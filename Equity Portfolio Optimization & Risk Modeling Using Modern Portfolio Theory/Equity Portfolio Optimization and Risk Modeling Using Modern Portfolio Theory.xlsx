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7C74E972-26F0-4D69-B586-689BEE6C4ABE}" xr6:coauthVersionLast="47" xr6:coauthVersionMax="47" xr10:uidLastSave="{00000000-0000-0000-0000-000000000000}"/>
  <bookViews>
    <workbookView xWindow="-108" yWindow="-108" windowWidth="23256" windowHeight="12456" firstSheet="9" activeTab="15" xr2:uid="{3DAF03FA-A5EC-4C6B-9590-B80E49D9E28F}"/>
  </bookViews>
  <sheets>
    <sheet name="AAPL" sheetId="1" r:id="rId1"/>
    <sheet name="MSFT" sheetId="2" r:id="rId2"/>
    <sheet name="NVDA" sheetId="3" r:id="rId3"/>
    <sheet name="AMD" sheetId="4" r:id="rId4"/>
    <sheet name="AMZN" sheetId="5" r:id="rId5"/>
    <sheet name="TSLA" sheetId="6" r:id="rId6"/>
    <sheet name="GOOGL" sheetId="7" r:id="rId7"/>
    <sheet name="META" sheetId="8" r:id="rId8"/>
    <sheet name="Nasdaq" sheetId="10" r:id="rId9"/>
    <sheet name="Risk_free_rate" sheetId="11" r:id="rId10"/>
    <sheet name="Raw_Stock_Data" sheetId="9" r:id="rId11"/>
    <sheet name="Daily_returns_cal" sheetId="12" r:id="rId12"/>
    <sheet name="Summary_sheet" sheetId="13" r:id="rId13"/>
    <sheet name="Benchmark" sheetId="14" r:id="rId14"/>
    <sheet name="DashBoard" sheetId="15" r:id="rId15"/>
    <sheet name="F.Dashboard" sheetId="16" r:id="rId16"/>
  </sheets>
  <definedNames>
    <definedName name="solver_adj" localSheetId="12" hidden="1">Summary_sheet!$C$14:$C$21</definedName>
    <definedName name="solver_cvg" localSheetId="12" hidden="1">0.0001</definedName>
    <definedName name="solver_drv" localSheetId="12" hidden="1">1</definedName>
    <definedName name="solver_eng" localSheetId="12" hidden="1">1</definedName>
    <definedName name="solver_est" localSheetId="12" hidden="1">1</definedName>
    <definedName name="solver_itr" localSheetId="12" hidden="1">2147483647</definedName>
    <definedName name="solver_lhs1" localSheetId="12" hidden="1">Summary_sheet!$C$14:$C$21</definedName>
    <definedName name="solver_lhs2" localSheetId="12" hidden="1">Summary_sheet!$C$14:$C$21</definedName>
    <definedName name="solver_lhs3" localSheetId="12" hidden="1">Summary_sheet!$C$22</definedName>
    <definedName name="solver_lhs4" localSheetId="12" hidden="1">Summary_sheet!$C$22</definedName>
    <definedName name="solver_lhs5" localSheetId="12" hidden="1">Summary_sheet!$C$22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1</definedName>
    <definedName name="solver_nod" localSheetId="12" hidden="1">2147483647</definedName>
    <definedName name="solver_num" localSheetId="12" hidden="1">3</definedName>
    <definedName name="solver_nwt" localSheetId="12" hidden="1">1</definedName>
    <definedName name="solver_opt" localSheetId="12" hidden="1">Summary_sheet!$B$53</definedName>
    <definedName name="solver_pre" localSheetId="12" hidden="1">0.000001</definedName>
    <definedName name="solver_rbv" localSheetId="12" hidden="1">1</definedName>
    <definedName name="solver_rel1" localSheetId="12" hidden="1">1</definedName>
    <definedName name="solver_rel2" localSheetId="12" hidden="1">3</definedName>
    <definedName name="solver_rel3" localSheetId="12" hidden="1">2</definedName>
    <definedName name="solver_rel4" localSheetId="12" hidden="1">2</definedName>
    <definedName name="solver_rel5" localSheetId="12" hidden="1">2</definedName>
    <definedName name="solver_rhs1" localSheetId="12" hidden="1">1</definedName>
    <definedName name="solver_rhs2" localSheetId="12" hidden="1">0</definedName>
    <definedName name="solver_rhs3" localSheetId="12" hidden="1">1</definedName>
    <definedName name="solver_rhs4" localSheetId="12" hidden="1">1</definedName>
    <definedName name="solver_rhs5" localSheetId="12" hidden="1">1</definedName>
    <definedName name="solver_rlx" localSheetId="12" hidden="1">2</definedName>
    <definedName name="solver_rsd" localSheetId="12" hidden="1">0</definedName>
    <definedName name="solver_scl" localSheetId="12" hidden="1">1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2</definedName>
    <definedName name="solver_val" localSheetId="12" hidden="1">0</definedName>
    <definedName name="solver_ver" localSheetId="1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3" l="1"/>
  <c r="C16" i="13"/>
  <c r="C17" i="13"/>
  <c r="C18" i="13"/>
  <c r="C19" i="13"/>
  <c r="C20" i="13"/>
  <c r="C21" i="13"/>
  <c r="C14" i="13"/>
  <c r="B62" i="15"/>
  <c r="B43" i="15"/>
  <c r="C23" i="15"/>
  <c r="C22" i="15"/>
  <c r="C4" i="14"/>
  <c r="B60" i="13"/>
  <c r="B5" i="14" s="1"/>
  <c r="D59" i="13"/>
  <c r="E59" i="13"/>
  <c r="F59" i="13"/>
  <c r="G59" i="13"/>
  <c r="H59" i="13"/>
  <c r="I59" i="13"/>
  <c r="C59" i="13"/>
  <c r="B59" i="13"/>
  <c r="B55" i="13"/>
  <c r="C42" i="13"/>
  <c r="D42" i="13"/>
  <c r="E42" i="13"/>
  <c r="F42" i="13"/>
  <c r="G42" i="13"/>
  <c r="H42" i="13"/>
  <c r="I42" i="13"/>
  <c r="B42" i="13"/>
  <c r="C41" i="13"/>
  <c r="D41" i="13"/>
  <c r="E41" i="13"/>
  <c r="F41" i="13"/>
  <c r="G41" i="13"/>
  <c r="H41" i="13"/>
  <c r="I41" i="13"/>
  <c r="B41" i="13"/>
  <c r="C40" i="13"/>
  <c r="D40" i="13"/>
  <c r="E40" i="13"/>
  <c r="F40" i="13"/>
  <c r="G40" i="13"/>
  <c r="H40" i="13"/>
  <c r="I40" i="13"/>
  <c r="B40" i="13"/>
  <c r="C39" i="13"/>
  <c r="D39" i="13"/>
  <c r="E39" i="13"/>
  <c r="F39" i="13"/>
  <c r="G39" i="13"/>
  <c r="H39" i="13"/>
  <c r="I39" i="13"/>
  <c r="B39" i="13"/>
  <c r="C38" i="13"/>
  <c r="D38" i="13"/>
  <c r="E38" i="13"/>
  <c r="F38" i="13"/>
  <c r="G38" i="13"/>
  <c r="H38" i="13"/>
  <c r="I38" i="13"/>
  <c r="B38" i="13"/>
  <c r="C37" i="13"/>
  <c r="D37" i="13"/>
  <c r="E37" i="13"/>
  <c r="F37" i="13"/>
  <c r="G37" i="13"/>
  <c r="H37" i="13"/>
  <c r="I37" i="13"/>
  <c r="B37" i="13"/>
  <c r="D36" i="13"/>
  <c r="E36" i="13"/>
  <c r="F36" i="13"/>
  <c r="G36" i="13"/>
  <c r="H36" i="13"/>
  <c r="I36" i="13"/>
  <c r="C36" i="13"/>
  <c r="B36" i="13"/>
  <c r="C35" i="13"/>
  <c r="D35" i="13"/>
  <c r="E35" i="13"/>
  <c r="F35" i="13"/>
  <c r="G35" i="13"/>
  <c r="H35" i="13"/>
  <c r="I35" i="13"/>
  <c r="B35" i="13"/>
  <c r="C32" i="13"/>
  <c r="D32" i="13"/>
  <c r="E32" i="13"/>
  <c r="F32" i="13"/>
  <c r="G32" i="13"/>
  <c r="H32" i="13"/>
  <c r="I32" i="13"/>
  <c r="B32" i="13"/>
  <c r="C31" i="13"/>
  <c r="D31" i="13"/>
  <c r="E31" i="13"/>
  <c r="F31" i="13"/>
  <c r="G31" i="13"/>
  <c r="H31" i="13"/>
  <c r="I31" i="13"/>
  <c r="B31" i="13"/>
  <c r="C30" i="13"/>
  <c r="D30" i="13"/>
  <c r="E30" i="13"/>
  <c r="F30" i="13"/>
  <c r="G30" i="13"/>
  <c r="H30" i="13"/>
  <c r="I30" i="13"/>
  <c r="B30" i="13"/>
  <c r="C29" i="13"/>
  <c r="D29" i="13"/>
  <c r="E29" i="13"/>
  <c r="F29" i="13"/>
  <c r="G29" i="13"/>
  <c r="H29" i="13"/>
  <c r="I29" i="13"/>
  <c r="B29" i="13"/>
  <c r="C28" i="13"/>
  <c r="D28" i="13"/>
  <c r="E28" i="13"/>
  <c r="F28" i="13"/>
  <c r="G28" i="13"/>
  <c r="H28" i="13"/>
  <c r="I28" i="13"/>
  <c r="B28" i="13"/>
  <c r="C27" i="13"/>
  <c r="D27" i="13"/>
  <c r="E27" i="13"/>
  <c r="F27" i="13"/>
  <c r="G27" i="13"/>
  <c r="H27" i="13"/>
  <c r="I27" i="13"/>
  <c r="B27" i="13"/>
  <c r="D26" i="13"/>
  <c r="E26" i="13"/>
  <c r="F26" i="13"/>
  <c r="G26" i="13"/>
  <c r="H26" i="13"/>
  <c r="I26" i="13"/>
  <c r="C26" i="13"/>
  <c r="B26" i="13"/>
  <c r="B25" i="13"/>
  <c r="E25" i="13"/>
  <c r="F25" i="13"/>
  <c r="G25" i="13"/>
  <c r="H25" i="13"/>
  <c r="I25" i="13"/>
  <c r="D25" i="13"/>
  <c r="C25" i="13"/>
  <c r="B22" i="13"/>
  <c r="D10" i="13"/>
  <c r="D9" i="13"/>
  <c r="D8" i="13"/>
  <c r="D7" i="13"/>
  <c r="D6" i="13"/>
  <c r="D5" i="13"/>
  <c r="D4" i="13"/>
  <c r="D3" i="13"/>
  <c r="D2" i="13"/>
  <c r="B10" i="13"/>
  <c r="C10" i="13" s="1"/>
  <c r="E10" i="13" s="1"/>
  <c r="C6" i="14" s="1"/>
  <c r="B9" i="13"/>
  <c r="C9" i="13" s="1"/>
  <c r="B8" i="13"/>
  <c r="C8" i="13" s="1"/>
  <c r="E8" i="13" s="1"/>
  <c r="B7" i="13"/>
  <c r="C7" i="13" s="1"/>
  <c r="B6" i="13"/>
  <c r="C6" i="13" s="1"/>
  <c r="E6" i="13" s="1"/>
  <c r="B5" i="13"/>
  <c r="C5" i="13" s="1"/>
  <c r="B4" i="13"/>
  <c r="C4" i="13" s="1"/>
  <c r="E4" i="13" s="1"/>
  <c r="B3" i="13"/>
  <c r="C3" i="13" s="1"/>
  <c r="E3" i="13" s="1"/>
  <c r="B2" i="13"/>
  <c r="C2" i="13" s="1"/>
  <c r="E2" i="13" s="1"/>
  <c r="C4" i="12"/>
  <c r="D4" i="12"/>
  <c r="E4" i="12"/>
  <c r="F4" i="12"/>
  <c r="G4" i="12"/>
  <c r="H4" i="12"/>
  <c r="I4" i="12"/>
  <c r="J4" i="12"/>
  <c r="C5" i="12"/>
  <c r="D5" i="12"/>
  <c r="E5" i="12"/>
  <c r="F5" i="12"/>
  <c r="G5" i="12"/>
  <c r="H5" i="12"/>
  <c r="I5" i="12"/>
  <c r="J5" i="12"/>
  <c r="C6" i="12"/>
  <c r="D6" i="12"/>
  <c r="E6" i="12"/>
  <c r="F6" i="12"/>
  <c r="G6" i="12"/>
  <c r="H6" i="12"/>
  <c r="I6" i="12"/>
  <c r="J6" i="12"/>
  <c r="C7" i="12"/>
  <c r="D7" i="12"/>
  <c r="E7" i="12"/>
  <c r="F7" i="12"/>
  <c r="G7" i="12"/>
  <c r="H7" i="12"/>
  <c r="I7" i="12"/>
  <c r="J7" i="12"/>
  <c r="C8" i="12"/>
  <c r="D8" i="12"/>
  <c r="E8" i="12"/>
  <c r="F8" i="12"/>
  <c r="G8" i="12"/>
  <c r="H8" i="12"/>
  <c r="I8" i="12"/>
  <c r="J8" i="12"/>
  <c r="C9" i="12"/>
  <c r="D9" i="12"/>
  <c r="E9" i="12"/>
  <c r="F9" i="12"/>
  <c r="G9" i="12"/>
  <c r="H9" i="12"/>
  <c r="I9" i="12"/>
  <c r="J9" i="12"/>
  <c r="C10" i="12"/>
  <c r="D10" i="12"/>
  <c r="E10" i="12"/>
  <c r="F10" i="12"/>
  <c r="G10" i="12"/>
  <c r="H10" i="12"/>
  <c r="I10" i="12"/>
  <c r="J10" i="12"/>
  <c r="C11" i="12"/>
  <c r="D11" i="12"/>
  <c r="E11" i="12"/>
  <c r="F11" i="12"/>
  <c r="G11" i="12"/>
  <c r="H11" i="12"/>
  <c r="I11" i="12"/>
  <c r="J11" i="12"/>
  <c r="C12" i="12"/>
  <c r="D12" i="12"/>
  <c r="E12" i="12"/>
  <c r="F12" i="12"/>
  <c r="G12" i="12"/>
  <c r="H12" i="12"/>
  <c r="I12" i="12"/>
  <c r="J12" i="12"/>
  <c r="C13" i="12"/>
  <c r="D13" i="12"/>
  <c r="E13" i="12"/>
  <c r="F13" i="12"/>
  <c r="G13" i="12"/>
  <c r="H13" i="12"/>
  <c r="I13" i="12"/>
  <c r="J13" i="12"/>
  <c r="C14" i="12"/>
  <c r="D14" i="12"/>
  <c r="E14" i="12"/>
  <c r="F14" i="12"/>
  <c r="G14" i="12"/>
  <c r="H14" i="12"/>
  <c r="I14" i="12"/>
  <c r="J14" i="12"/>
  <c r="C15" i="12"/>
  <c r="D15" i="12"/>
  <c r="E15" i="12"/>
  <c r="F15" i="12"/>
  <c r="G15" i="12"/>
  <c r="H15" i="12"/>
  <c r="I15" i="12"/>
  <c r="J15" i="12"/>
  <c r="C16" i="12"/>
  <c r="D16" i="12"/>
  <c r="E16" i="12"/>
  <c r="F16" i="12"/>
  <c r="G16" i="12"/>
  <c r="H16" i="12"/>
  <c r="I16" i="12"/>
  <c r="J16" i="12"/>
  <c r="C17" i="12"/>
  <c r="D17" i="12"/>
  <c r="E17" i="12"/>
  <c r="F17" i="12"/>
  <c r="G17" i="12"/>
  <c r="H17" i="12"/>
  <c r="I17" i="12"/>
  <c r="J17" i="12"/>
  <c r="C18" i="12"/>
  <c r="D18" i="12"/>
  <c r="E18" i="12"/>
  <c r="F18" i="12"/>
  <c r="G18" i="12"/>
  <c r="H18" i="12"/>
  <c r="I18" i="12"/>
  <c r="J18" i="12"/>
  <c r="C19" i="12"/>
  <c r="D19" i="12"/>
  <c r="E19" i="12"/>
  <c r="F19" i="12"/>
  <c r="G19" i="12"/>
  <c r="H19" i="12"/>
  <c r="I19" i="12"/>
  <c r="J19" i="12"/>
  <c r="C20" i="12"/>
  <c r="D20" i="12"/>
  <c r="E20" i="12"/>
  <c r="F20" i="12"/>
  <c r="G20" i="12"/>
  <c r="H20" i="12"/>
  <c r="I20" i="12"/>
  <c r="J20" i="12"/>
  <c r="C21" i="12"/>
  <c r="D21" i="12"/>
  <c r="E21" i="12"/>
  <c r="F21" i="12"/>
  <c r="G21" i="12"/>
  <c r="H21" i="12"/>
  <c r="I21" i="12"/>
  <c r="J21" i="12"/>
  <c r="C22" i="12"/>
  <c r="D22" i="12"/>
  <c r="E22" i="12"/>
  <c r="F22" i="12"/>
  <c r="G22" i="12"/>
  <c r="H22" i="12"/>
  <c r="I22" i="12"/>
  <c r="J22" i="12"/>
  <c r="C23" i="12"/>
  <c r="D23" i="12"/>
  <c r="E23" i="12"/>
  <c r="F23" i="12"/>
  <c r="G23" i="12"/>
  <c r="H23" i="12"/>
  <c r="I23" i="12"/>
  <c r="J23" i="12"/>
  <c r="C24" i="12"/>
  <c r="D24" i="12"/>
  <c r="E24" i="12"/>
  <c r="F24" i="12"/>
  <c r="G24" i="12"/>
  <c r="H24" i="12"/>
  <c r="I24" i="12"/>
  <c r="J24" i="12"/>
  <c r="C25" i="12"/>
  <c r="D25" i="12"/>
  <c r="E25" i="12"/>
  <c r="F25" i="12"/>
  <c r="G25" i="12"/>
  <c r="H25" i="12"/>
  <c r="I25" i="12"/>
  <c r="J25" i="12"/>
  <c r="C26" i="12"/>
  <c r="D26" i="12"/>
  <c r="E26" i="12"/>
  <c r="F26" i="12"/>
  <c r="G26" i="12"/>
  <c r="H26" i="12"/>
  <c r="I26" i="12"/>
  <c r="J26" i="12"/>
  <c r="C27" i="12"/>
  <c r="D27" i="12"/>
  <c r="E27" i="12"/>
  <c r="F27" i="12"/>
  <c r="G27" i="12"/>
  <c r="H27" i="12"/>
  <c r="I27" i="12"/>
  <c r="J27" i="12"/>
  <c r="C28" i="12"/>
  <c r="D28" i="12"/>
  <c r="E28" i="12"/>
  <c r="F28" i="12"/>
  <c r="G28" i="12"/>
  <c r="H28" i="12"/>
  <c r="I28" i="12"/>
  <c r="J28" i="12"/>
  <c r="C29" i="12"/>
  <c r="D29" i="12"/>
  <c r="E29" i="12"/>
  <c r="F29" i="12"/>
  <c r="G29" i="12"/>
  <c r="H29" i="12"/>
  <c r="I29" i="12"/>
  <c r="J29" i="12"/>
  <c r="C30" i="12"/>
  <c r="D30" i="12"/>
  <c r="E30" i="12"/>
  <c r="F30" i="12"/>
  <c r="G30" i="12"/>
  <c r="H30" i="12"/>
  <c r="I30" i="12"/>
  <c r="J30" i="12"/>
  <c r="C31" i="12"/>
  <c r="D31" i="12"/>
  <c r="E31" i="12"/>
  <c r="F31" i="12"/>
  <c r="G31" i="12"/>
  <c r="H31" i="12"/>
  <c r="I31" i="12"/>
  <c r="J31" i="12"/>
  <c r="C32" i="12"/>
  <c r="D32" i="12"/>
  <c r="E32" i="12"/>
  <c r="F32" i="12"/>
  <c r="G32" i="12"/>
  <c r="H32" i="12"/>
  <c r="I32" i="12"/>
  <c r="J32" i="12"/>
  <c r="C33" i="12"/>
  <c r="D33" i="12"/>
  <c r="E33" i="12"/>
  <c r="F33" i="12"/>
  <c r="G33" i="12"/>
  <c r="H33" i="12"/>
  <c r="I33" i="12"/>
  <c r="J33" i="12"/>
  <c r="C34" i="12"/>
  <c r="D34" i="12"/>
  <c r="E34" i="12"/>
  <c r="F34" i="12"/>
  <c r="G34" i="12"/>
  <c r="H34" i="12"/>
  <c r="I34" i="12"/>
  <c r="J34" i="12"/>
  <c r="C35" i="12"/>
  <c r="D35" i="12"/>
  <c r="E35" i="12"/>
  <c r="F35" i="12"/>
  <c r="G35" i="12"/>
  <c r="H35" i="12"/>
  <c r="I35" i="12"/>
  <c r="J35" i="12"/>
  <c r="C36" i="12"/>
  <c r="D36" i="12"/>
  <c r="E36" i="12"/>
  <c r="F36" i="12"/>
  <c r="G36" i="12"/>
  <c r="H36" i="12"/>
  <c r="I36" i="12"/>
  <c r="J36" i="12"/>
  <c r="C37" i="12"/>
  <c r="D37" i="12"/>
  <c r="E37" i="12"/>
  <c r="F37" i="12"/>
  <c r="G37" i="12"/>
  <c r="H37" i="12"/>
  <c r="I37" i="12"/>
  <c r="J37" i="12"/>
  <c r="C38" i="12"/>
  <c r="D38" i="12"/>
  <c r="E38" i="12"/>
  <c r="F38" i="12"/>
  <c r="G38" i="12"/>
  <c r="H38" i="12"/>
  <c r="I38" i="12"/>
  <c r="J38" i="12"/>
  <c r="C39" i="12"/>
  <c r="D39" i="12"/>
  <c r="E39" i="12"/>
  <c r="F39" i="12"/>
  <c r="G39" i="12"/>
  <c r="H39" i="12"/>
  <c r="I39" i="12"/>
  <c r="J39" i="12"/>
  <c r="C40" i="12"/>
  <c r="D40" i="12"/>
  <c r="E40" i="12"/>
  <c r="F40" i="12"/>
  <c r="G40" i="12"/>
  <c r="H40" i="12"/>
  <c r="I40" i="12"/>
  <c r="J40" i="12"/>
  <c r="C41" i="12"/>
  <c r="D41" i="12"/>
  <c r="E41" i="12"/>
  <c r="F41" i="12"/>
  <c r="G41" i="12"/>
  <c r="H41" i="12"/>
  <c r="I41" i="12"/>
  <c r="J41" i="12"/>
  <c r="C42" i="12"/>
  <c r="D42" i="12"/>
  <c r="E42" i="12"/>
  <c r="F42" i="12"/>
  <c r="G42" i="12"/>
  <c r="H42" i="12"/>
  <c r="I42" i="12"/>
  <c r="J42" i="12"/>
  <c r="C43" i="12"/>
  <c r="D43" i="12"/>
  <c r="E43" i="12"/>
  <c r="F43" i="12"/>
  <c r="G43" i="12"/>
  <c r="H43" i="12"/>
  <c r="I43" i="12"/>
  <c r="J43" i="12"/>
  <c r="C44" i="12"/>
  <c r="D44" i="12"/>
  <c r="E44" i="12"/>
  <c r="F44" i="12"/>
  <c r="G44" i="12"/>
  <c r="H44" i="12"/>
  <c r="I44" i="12"/>
  <c r="J44" i="12"/>
  <c r="C45" i="12"/>
  <c r="D45" i="12"/>
  <c r="E45" i="12"/>
  <c r="F45" i="12"/>
  <c r="G45" i="12"/>
  <c r="H45" i="12"/>
  <c r="I45" i="12"/>
  <c r="J45" i="12"/>
  <c r="C46" i="12"/>
  <c r="D46" i="12"/>
  <c r="E46" i="12"/>
  <c r="F46" i="12"/>
  <c r="G46" i="12"/>
  <c r="H46" i="12"/>
  <c r="I46" i="12"/>
  <c r="J46" i="12"/>
  <c r="C47" i="12"/>
  <c r="D47" i="12"/>
  <c r="E47" i="12"/>
  <c r="F47" i="12"/>
  <c r="G47" i="12"/>
  <c r="H47" i="12"/>
  <c r="I47" i="12"/>
  <c r="J47" i="12"/>
  <c r="C48" i="12"/>
  <c r="D48" i="12"/>
  <c r="E48" i="12"/>
  <c r="F48" i="12"/>
  <c r="G48" i="12"/>
  <c r="H48" i="12"/>
  <c r="I48" i="12"/>
  <c r="J48" i="12"/>
  <c r="C49" i="12"/>
  <c r="D49" i="12"/>
  <c r="E49" i="12"/>
  <c r="F49" i="12"/>
  <c r="G49" i="12"/>
  <c r="H49" i="12"/>
  <c r="I49" i="12"/>
  <c r="J49" i="12"/>
  <c r="C50" i="12"/>
  <c r="D50" i="12"/>
  <c r="E50" i="12"/>
  <c r="F50" i="12"/>
  <c r="G50" i="12"/>
  <c r="H50" i="12"/>
  <c r="I50" i="12"/>
  <c r="J50" i="12"/>
  <c r="C51" i="12"/>
  <c r="D51" i="12"/>
  <c r="E51" i="12"/>
  <c r="F51" i="12"/>
  <c r="G51" i="12"/>
  <c r="H51" i="12"/>
  <c r="I51" i="12"/>
  <c r="J51" i="12"/>
  <c r="C52" i="12"/>
  <c r="D52" i="12"/>
  <c r="E52" i="12"/>
  <c r="F52" i="12"/>
  <c r="G52" i="12"/>
  <c r="H52" i="12"/>
  <c r="I52" i="12"/>
  <c r="J52" i="12"/>
  <c r="C53" i="12"/>
  <c r="D53" i="12"/>
  <c r="E53" i="12"/>
  <c r="F53" i="12"/>
  <c r="G53" i="12"/>
  <c r="H53" i="12"/>
  <c r="I53" i="12"/>
  <c r="J53" i="12"/>
  <c r="C54" i="12"/>
  <c r="D54" i="12"/>
  <c r="E54" i="12"/>
  <c r="F54" i="12"/>
  <c r="G54" i="12"/>
  <c r="H54" i="12"/>
  <c r="I54" i="12"/>
  <c r="J54" i="12"/>
  <c r="C55" i="12"/>
  <c r="D55" i="12"/>
  <c r="E55" i="12"/>
  <c r="F55" i="12"/>
  <c r="G55" i="12"/>
  <c r="H55" i="12"/>
  <c r="I55" i="12"/>
  <c r="J55" i="12"/>
  <c r="C56" i="12"/>
  <c r="D56" i="12"/>
  <c r="E56" i="12"/>
  <c r="F56" i="12"/>
  <c r="G56" i="12"/>
  <c r="H56" i="12"/>
  <c r="I56" i="12"/>
  <c r="J56" i="12"/>
  <c r="C57" i="12"/>
  <c r="D57" i="12"/>
  <c r="E57" i="12"/>
  <c r="F57" i="12"/>
  <c r="G57" i="12"/>
  <c r="H57" i="12"/>
  <c r="I57" i="12"/>
  <c r="J57" i="12"/>
  <c r="C58" i="12"/>
  <c r="D58" i="12"/>
  <c r="E58" i="12"/>
  <c r="F58" i="12"/>
  <c r="G58" i="12"/>
  <c r="H58" i="12"/>
  <c r="I58" i="12"/>
  <c r="J58" i="12"/>
  <c r="C59" i="12"/>
  <c r="D59" i="12"/>
  <c r="E59" i="12"/>
  <c r="F59" i="12"/>
  <c r="G59" i="12"/>
  <c r="H59" i="12"/>
  <c r="I59" i="12"/>
  <c r="J59" i="12"/>
  <c r="C60" i="12"/>
  <c r="D60" i="12"/>
  <c r="E60" i="12"/>
  <c r="F60" i="12"/>
  <c r="G60" i="12"/>
  <c r="H60" i="12"/>
  <c r="I60" i="12"/>
  <c r="J60" i="12"/>
  <c r="C61" i="12"/>
  <c r="D61" i="12"/>
  <c r="E61" i="12"/>
  <c r="F61" i="12"/>
  <c r="G61" i="12"/>
  <c r="H61" i="12"/>
  <c r="I61" i="12"/>
  <c r="J61" i="12"/>
  <c r="C62" i="12"/>
  <c r="D62" i="12"/>
  <c r="E62" i="12"/>
  <c r="F62" i="12"/>
  <c r="G62" i="12"/>
  <c r="H62" i="12"/>
  <c r="I62" i="12"/>
  <c r="J62" i="12"/>
  <c r="C63" i="12"/>
  <c r="D63" i="12"/>
  <c r="E63" i="12"/>
  <c r="F63" i="12"/>
  <c r="G63" i="12"/>
  <c r="H63" i="12"/>
  <c r="I63" i="12"/>
  <c r="J63" i="12"/>
  <c r="C64" i="12"/>
  <c r="D64" i="12"/>
  <c r="E64" i="12"/>
  <c r="F64" i="12"/>
  <c r="G64" i="12"/>
  <c r="H64" i="12"/>
  <c r="I64" i="12"/>
  <c r="J64" i="12"/>
  <c r="C65" i="12"/>
  <c r="D65" i="12"/>
  <c r="E65" i="12"/>
  <c r="F65" i="12"/>
  <c r="G65" i="12"/>
  <c r="H65" i="12"/>
  <c r="I65" i="12"/>
  <c r="J65" i="12"/>
  <c r="C66" i="12"/>
  <c r="D66" i="12"/>
  <c r="E66" i="12"/>
  <c r="F66" i="12"/>
  <c r="G66" i="12"/>
  <c r="H66" i="12"/>
  <c r="I66" i="12"/>
  <c r="J66" i="12"/>
  <c r="C67" i="12"/>
  <c r="D67" i="12"/>
  <c r="E67" i="12"/>
  <c r="F67" i="12"/>
  <c r="G67" i="12"/>
  <c r="H67" i="12"/>
  <c r="I67" i="12"/>
  <c r="J67" i="12"/>
  <c r="C68" i="12"/>
  <c r="D68" i="12"/>
  <c r="E68" i="12"/>
  <c r="F68" i="12"/>
  <c r="G68" i="12"/>
  <c r="H68" i="12"/>
  <c r="I68" i="12"/>
  <c r="J68" i="12"/>
  <c r="C69" i="12"/>
  <c r="D69" i="12"/>
  <c r="E69" i="12"/>
  <c r="F69" i="12"/>
  <c r="G69" i="12"/>
  <c r="H69" i="12"/>
  <c r="I69" i="12"/>
  <c r="J69" i="12"/>
  <c r="C70" i="12"/>
  <c r="D70" i="12"/>
  <c r="E70" i="12"/>
  <c r="F70" i="12"/>
  <c r="G70" i="12"/>
  <c r="H70" i="12"/>
  <c r="I70" i="12"/>
  <c r="J70" i="12"/>
  <c r="C71" i="12"/>
  <c r="D71" i="12"/>
  <c r="E71" i="12"/>
  <c r="F71" i="12"/>
  <c r="G71" i="12"/>
  <c r="H71" i="12"/>
  <c r="I71" i="12"/>
  <c r="J71" i="12"/>
  <c r="C72" i="12"/>
  <c r="D72" i="12"/>
  <c r="E72" i="12"/>
  <c r="F72" i="12"/>
  <c r="G72" i="12"/>
  <c r="H72" i="12"/>
  <c r="I72" i="12"/>
  <c r="J72" i="12"/>
  <c r="C73" i="12"/>
  <c r="D73" i="12"/>
  <c r="E73" i="12"/>
  <c r="F73" i="12"/>
  <c r="G73" i="12"/>
  <c r="H73" i="12"/>
  <c r="I73" i="12"/>
  <c r="J73" i="12"/>
  <c r="C74" i="12"/>
  <c r="D74" i="12"/>
  <c r="E74" i="12"/>
  <c r="F74" i="12"/>
  <c r="G74" i="12"/>
  <c r="H74" i="12"/>
  <c r="I74" i="12"/>
  <c r="J74" i="12"/>
  <c r="C75" i="12"/>
  <c r="D75" i="12"/>
  <c r="E75" i="12"/>
  <c r="F75" i="12"/>
  <c r="G75" i="12"/>
  <c r="H75" i="12"/>
  <c r="I75" i="12"/>
  <c r="J75" i="12"/>
  <c r="C76" i="12"/>
  <c r="D76" i="12"/>
  <c r="E76" i="12"/>
  <c r="F76" i="12"/>
  <c r="G76" i="12"/>
  <c r="H76" i="12"/>
  <c r="I76" i="12"/>
  <c r="J76" i="12"/>
  <c r="C77" i="12"/>
  <c r="D77" i="12"/>
  <c r="E77" i="12"/>
  <c r="F77" i="12"/>
  <c r="G77" i="12"/>
  <c r="H77" i="12"/>
  <c r="I77" i="12"/>
  <c r="J77" i="12"/>
  <c r="C78" i="12"/>
  <c r="D78" i="12"/>
  <c r="E78" i="12"/>
  <c r="F78" i="12"/>
  <c r="G78" i="12"/>
  <c r="H78" i="12"/>
  <c r="I78" i="12"/>
  <c r="J78" i="12"/>
  <c r="C79" i="12"/>
  <c r="D79" i="12"/>
  <c r="E79" i="12"/>
  <c r="F79" i="12"/>
  <c r="G79" i="12"/>
  <c r="H79" i="12"/>
  <c r="I79" i="12"/>
  <c r="J79" i="12"/>
  <c r="C80" i="12"/>
  <c r="D80" i="12"/>
  <c r="E80" i="12"/>
  <c r="F80" i="12"/>
  <c r="G80" i="12"/>
  <c r="H80" i="12"/>
  <c r="I80" i="12"/>
  <c r="J80" i="12"/>
  <c r="C81" i="12"/>
  <c r="D81" i="12"/>
  <c r="E81" i="12"/>
  <c r="F81" i="12"/>
  <c r="G81" i="12"/>
  <c r="H81" i="12"/>
  <c r="I81" i="12"/>
  <c r="J81" i="12"/>
  <c r="C82" i="12"/>
  <c r="D82" i="12"/>
  <c r="E82" i="12"/>
  <c r="F82" i="12"/>
  <c r="G82" i="12"/>
  <c r="H82" i="12"/>
  <c r="I82" i="12"/>
  <c r="J82" i="12"/>
  <c r="C83" i="12"/>
  <c r="D83" i="12"/>
  <c r="E83" i="12"/>
  <c r="F83" i="12"/>
  <c r="G83" i="12"/>
  <c r="H83" i="12"/>
  <c r="I83" i="12"/>
  <c r="J83" i="12"/>
  <c r="C84" i="12"/>
  <c r="D84" i="12"/>
  <c r="E84" i="12"/>
  <c r="F84" i="12"/>
  <c r="G84" i="12"/>
  <c r="H84" i="12"/>
  <c r="I84" i="12"/>
  <c r="J84" i="12"/>
  <c r="C85" i="12"/>
  <c r="D85" i="12"/>
  <c r="E85" i="12"/>
  <c r="F85" i="12"/>
  <c r="G85" i="12"/>
  <c r="H85" i="12"/>
  <c r="I85" i="12"/>
  <c r="J85" i="12"/>
  <c r="C86" i="12"/>
  <c r="D86" i="12"/>
  <c r="E86" i="12"/>
  <c r="F86" i="12"/>
  <c r="G86" i="12"/>
  <c r="H86" i="12"/>
  <c r="I86" i="12"/>
  <c r="J86" i="12"/>
  <c r="C87" i="12"/>
  <c r="D87" i="12"/>
  <c r="E87" i="12"/>
  <c r="F87" i="12"/>
  <c r="G87" i="12"/>
  <c r="H87" i="12"/>
  <c r="I87" i="12"/>
  <c r="J87" i="12"/>
  <c r="C88" i="12"/>
  <c r="D88" i="12"/>
  <c r="E88" i="12"/>
  <c r="F88" i="12"/>
  <c r="G88" i="12"/>
  <c r="H88" i="12"/>
  <c r="I88" i="12"/>
  <c r="J88" i="12"/>
  <c r="C89" i="12"/>
  <c r="D89" i="12"/>
  <c r="E89" i="12"/>
  <c r="F89" i="12"/>
  <c r="G89" i="12"/>
  <c r="H89" i="12"/>
  <c r="I89" i="12"/>
  <c r="J89" i="12"/>
  <c r="C90" i="12"/>
  <c r="D90" i="12"/>
  <c r="E90" i="12"/>
  <c r="F90" i="12"/>
  <c r="G90" i="12"/>
  <c r="H90" i="12"/>
  <c r="I90" i="12"/>
  <c r="J90" i="12"/>
  <c r="C91" i="12"/>
  <c r="D91" i="12"/>
  <c r="E91" i="12"/>
  <c r="F91" i="12"/>
  <c r="G91" i="12"/>
  <c r="H91" i="12"/>
  <c r="I91" i="12"/>
  <c r="J91" i="12"/>
  <c r="C92" i="12"/>
  <c r="D92" i="12"/>
  <c r="E92" i="12"/>
  <c r="F92" i="12"/>
  <c r="G92" i="12"/>
  <c r="H92" i="12"/>
  <c r="I92" i="12"/>
  <c r="J92" i="12"/>
  <c r="C93" i="12"/>
  <c r="D93" i="12"/>
  <c r="E93" i="12"/>
  <c r="F93" i="12"/>
  <c r="G93" i="12"/>
  <c r="H93" i="12"/>
  <c r="I93" i="12"/>
  <c r="J93" i="12"/>
  <c r="C94" i="12"/>
  <c r="D94" i="12"/>
  <c r="E94" i="12"/>
  <c r="F94" i="12"/>
  <c r="G94" i="12"/>
  <c r="H94" i="12"/>
  <c r="I94" i="12"/>
  <c r="J94" i="12"/>
  <c r="C95" i="12"/>
  <c r="D95" i="12"/>
  <c r="E95" i="12"/>
  <c r="F95" i="12"/>
  <c r="G95" i="12"/>
  <c r="H95" i="12"/>
  <c r="I95" i="12"/>
  <c r="J95" i="12"/>
  <c r="C96" i="12"/>
  <c r="D96" i="12"/>
  <c r="E96" i="12"/>
  <c r="F96" i="12"/>
  <c r="G96" i="12"/>
  <c r="H96" i="12"/>
  <c r="I96" i="12"/>
  <c r="J96" i="12"/>
  <c r="C97" i="12"/>
  <c r="D97" i="12"/>
  <c r="E97" i="12"/>
  <c r="F97" i="12"/>
  <c r="G97" i="12"/>
  <c r="H97" i="12"/>
  <c r="I97" i="12"/>
  <c r="J97" i="12"/>
  <c r="C98" i="12"/>
  <c r="D98" i="12"/>
  <c r="E98" i="12"/>
  <c r="F98" i="12"/>
  <c r="G98" i="12"/>
  <c r="H98" i="12"/>
  <c r="I98" i="12"/>
  <c r="J98" i="12"/>
  <c r="C99" i="12"/>
  <c r="D99" i="12"/>
  <c r="E99" i="12"/>
  <c r="F99" i="12"/>
  <c r="G99" i="12"/>
  <c r="H99" i="12"/>
  <c r="I99" i="12"/>
  <c r="J99" i="12"/>
  <c r="C100" i="12"/>
  <c r="D100" i="12"/>
  <c r="E100" i="12"/>
  <c r="F100" i="12"/>
  <c r="G100" i="12"/>
  <c r="H100" i="12"/>
  <c r="I100" i="12"/>
  <c r="J100" i="12"/>
  <c r="C101" i="12"/>
  <c r="D101" i="12"/>
  <c r="E101" i="12"/>
  <c r="F101" i="12"/>
  <c r="G101" i="12"/>
  <c r="H101" i="12"/>
  <c r="I101" i="12"/>
  <c r="J101" i="12"/>
  <c r="C102" i="12"/>
  <c r="D102" i="12"/>
  <c r="E102" i="12"/>
  <c r="F102" i="12"/>
  <c r="G102" i="12"/>
  <c r="H102" i="12"/>
  <c r="I102" i="12"/>
  <c r="J102" i="12"/>
  <c r="C103" i="12"/>
  <c r="D103" i="12"/>
  <c r="E103" i="12"/>
  <c r="F103" i="12"/>
  <c r="G103" i="12"/>
  <c r="H103" i="12"/>
  <c r="I103" i="12"/>
  <c r="J103" i="12"/>
  <c r="C104" i="12"/>
  <c r="D104" i="12"/>
  <c r="E104" i="12"/>
  <c r="F104" i="12"/>
  <c r="G104" i="12"/>
  <c r="H104" i="12"/>
  <c r="I104" i="12"/>
  <c r="J104" i="12"/>
  <c r="C105" i="12"/>
  <c r="D105" i="12"/>
  <c r="E105" i="12"/>
  <c r="F105" i="12"/>
  <c r="G105" i="12"/>
  <c r="H105" i="12"/>
  <c r="I105" i="12"/>
  <c r="J105" i="12"/>
  <c r="C106" i="12"/>
  <c r="D106" i="12"/>
  <c r="E106" i="12"/>
  <c r="F106" i="12"/>
  <c r="G106" i="12"/>
  <c r="H106" i="12"/>
  <c r="I106" i="12"/>
  <c r="J106" i="12"/>
  <c r="C107" i="12"/>
  <c r="D107" i="12"/>
  <c r="E107" i="12"/>
  <c r="F107" i="12"/>
  <c r="G107" i="12"/>
  <c r="H107" i="12"/>
  <c r="I107" i="12"/>
  <c r="J107" i="12"/>
  <c r="C108" i="12"/>
  <c r="D108" i="12"/>
  <c r="E108" i="12"/>
  <c r="F108" i="12"/>
  <c r="G108" i="12"/>
  <c r="H108" i="12"/>
  <c r="I108" i="12"/>
  <c r="J108" i="12"/>
  <c r="C109" i="12"/>
  <c r="D109" i="12"/>
  <c r="E109" i="12"/>
  <c r="F109" i="12"/>
  <c r="G109" i="12"/>
  <c r="H109" i="12"/>
  <c r="I109" i="12"/>
  <c r="J109" i="12"/>
  <c r="C110" i="12"/>
  <c r="D110" i="12"/>
  <c r="E110" i="12"/>
  <c r="F110" i="12"/>
  <c r="G110" i="12"/>
  <c r="H110" i="12"/>
  <c r="I110" i="12"/>
  <c r="J110" i="12"/>
  <c r="C111" i="12"/>
  <c r="D111" i="12"/>
  <c r="E111" i="12"/>
  <c r="F111" i="12"/>
  <c r="G111" i="12"/>
  <c r="H111" i="12"/>
  <c r="I111" i="12"/>
  <c r="J111" i="12"/>
  <c r="C112" i="12"/>
  <c r="D112" i="12"/>
  <c r="E112" i="12"/>
  <c r="F112" i="12"/>
  <c r="G112" i="12"/>
  <c r="H112" i="12"/>
  <c r="I112" i="12"/>
  <c r="J112" i="12"/>
  <c r="C113" i="12"/>
  <c r="D113" i="12"/>
  <c r="E113" i="12"/>
  <c r="F113" i="12"/>
  <c r="G113" i="12"/>
  <c r="H113" i="12"/>
  <c r="I113" i="12"/>
  <c r="J113" i="12"/>
  <c r="C114" i="12"/>
  <c r="D114" i="12"/>
  <c r="E114" i="12"/>
  <c r="F114" i="12"/>
  <c r="G114" i="12"/>
  <c r="H114" i="12"/>
  <c r="I114" i="12"/>
  <c r="J114" i="12"/>
  <c r="C115" i="12"/>
  <c r="D115" i="12"/>
  <c r="E115" i="12"/>
  <c r="F115" i="12"/>
  <c r="G115" i="12"/>
  <c r="H115" i="12"/>
  <c r="I115" i="12"/>
  <c r="J115" i="12"/>
  <c r="C116" i="12"/>
  <c r="D116" i="12"/>
  <c r="E116" i="12"/>
  <c r="F116" i="12"/>
  <c r="G116" i="12"/>
  <c r="H116" i="12"/>
  <c r="I116" i="12"/>
  <c r="J116" i="12"/>
  <c r="C117" i="12"/>
  <c r="D117" i="12"/>
  <c r="E117" i="12"/>
  <c r="F117" i="12"/>
  <c r="G117" i="12"/>
  <c r="H117" i="12"/>
  <c r="I117" i="12"/>
  <c r="J117" i="12"/>
  <c r="C118" i="12"/>
  <c r="D118" i="12"/>
  <c r="E118" i="12"/>
  <c r="F118" i="12"/>
  <c r="G118" i="12"/>
  <c r="H118" i="12"/>
  <c r="I118" i="12"/>
  <c r="J118" i="12"/>
  <c r="C119" i="12"/>
  <c r="D119" i="12"/>
  <c r="E119" i="12"/>
  <c r="F119" i="12"/>
  <c r="G119" i="12"/>
  <c r="H119" i="12"/>
  <c r="I119" i="12"/>
  <c r="J119" i="12"/>
  <c r="C120" i="12"/>
  <c r="D120" i="12"/>
  <c r="E120" i="12"/>
  <c r="F120" i="12"/>
  <c r="G120" i="12"/>
  <c r="H120" i="12"/>
  <c r="I120" i="12"/>
  <c r="J120" i="12"/>
  <c r="C121" i="12"/>
  <c r="D121" i="12"/>
  <c r="E121" i="12"/>
  <c r="F121" i="12"/>
  <c r="G121" i="12"/>
  <c r="H121" i="12"/>
  <c r="I121" i="12"/>
  <c r="J121" i="12"/>
  <c r="C122" i="12"/>
  <c r="D122" i="12"/>
  <c r="E122" i="12"/>
  <c r="F122" i="12"/>
  <c r="G122" i="12"/>
  <c r="H122" i="12"/>
  <c r="I122" i="12"/>
  <c r="J122" i="12"/>
  <c r="C123" i="12"/>
  <c r="D123" i="12"/>
  <c r="E123" i="12"/>
  <c r="F123" i="12"/>
  <c r="G123" i="12"/>
  <c r="H123" i="12"/>
  <c r="I123" i="12"/>
  <c r="J123" i="12"/>
  <c r="C124" i="12"/>
  <c r="D124" i="12"/>
  <c r="E124" i="12"/>
  <c r="F124" i="12"/>
  <c r="G124" i="12"/>
  <c r="H124" i="12"/>
  <c r="I124" i="12"/>
  <c r="J124" i="12"/>
  <c r="C125" i="12"/>
  <c r="D125" i="12"/>
  <c r="E125" i="12"/>
  <c r="F125" i="12"/>
  <c r="G125" i="12"/>
  <c r="H125" i="12"/>
  <c r="I125" i="12"/>
  <c r="J125" i="12"/>
  <c r="C126" i="12"/>
  <c r="D126" i="12"/>
  <c r="E126" i="12"/>
  <c r="F126" i="12"/>
  <c r="G126" i="12"/>
  <c r="H126" i="12"/>
  <c r="I126" i="12"/>
  <c r="J126" i="12"/>
  <c r="C127" i="12"/>
  <c r="D127" i="12"/>
  <c r="E127" i="12"/>
  <c r="F127" i="12"/>
  <c r="G127" i="12"/>
  <c r="H127" i="12"/>
  <c r="I127" i="12"/>
  <c r="J127" i="12"/>
  <c r="C128" i="12"/>
  <c r="D128" i="12"/>
  <c r="E128" i="12"/>
  <c r="F128" i="12"/>
  <c r="G128" i="12"/>
  <c r="H128" i="12"/>
  <c r="I128" i="12"/>
  <c r="J128" i="12"/>
  <c r="C129" i="12"/>
  <c r="D129" i="12"/>
  <c r="E129" i="12"/>
  <c r="F129" i="12"/>
  <c r="G129" i="12"/>
  <c r="H129" i="12"/>
  <c r="I129" i="12"/>
  <c r="J129" i="12"/>
  <c r="C130" i="12"/>
  <c r="D130" i="12"/>
  <c r="E130" i="12"/>
  <c r="F130" i="12"/>
  <c r="G130" i="12"/>
  <c r="H130" i="12"/>
  <c r="I130" i="12"/>
  <c r="J130" i="12"/>
  <c r="C131" i="12"/>
  <c r="D131" i="12"/>
  <c r="E131" i="12"/>
  <c r="F131" i="12"/>
  <c r="G131" i="12"/>
  <c r="H131" i="12"/>
  <c r="I131" i="12"/>
  <c r="J131" i="12"/>
  <c r="C132" i="12"/>
  <c r="D132" i="12"/>
  <c r="E132" i="12"/>
  <c r="F132" i="12"/>
  <c r="G132" i="12"/>
  <c r="H132" i="12"/>
  <c r="I132" i="12"/>
  <c r="J132" i="12"/>
  <c r="C133" i="12"/>
  <c r="D133" i="12"/>
  <c r="E133" i="12"/>
  <c r="F133" i="12"/>
  <c r="G133" i="12"/>
  <c r="H133" i="12"/>
  <c r="I133" i="12"/>
  <c r="J133" i="12"/>
  <c r="C134" i="12"/>
  <c r="D134" i="12"/>
  <c r="E134" i="12"/>
  <c r="F134" i="12"/>
  <c r="G134" i="12"/>
  <c r="H134" i="12"/>
  <c r="I134" i="12"/>
  <c r="J134" i="12"/>
  <c r="C135" i="12"/>
  <c r="D135" i="12"/>
  <c r="E135" i="12"/>
  <c r="F135" i="12"/>
  <c r="G135" i="12"/>
  <c r="H135" i="12"/>
  <c r="I135" i="12"/>
  <c r="J135" i="12"/>
  <c r="C136" i="12"/>
  <c r="D136" i="12"/>
  <c r="E136" i="12"/>
  <c r="F136" i="12"/>
  <c r="G136" i="12"/>
  <c r="H136" i="12"/>
  <c r="I136" i="12"/>
  <c r="J136" i="12"/>
  <c r="C137" i="12"/>
  <c r="D137" i="12"/>
  <c r="E137" i="12"/>
  <c r="F137" i="12"/>
  <c r="G137" i="12"/>
  <c r="H137" i="12"/>
  <c r="I137" i="12"/>
  <c r="J137" i="12"/>
  <c r="C138" i="12"/>
  <c r="D138" i="12"/>
  <c r="E138" i="12"/>
  <c r="F138" i="12"/>
  <c r="G138" i="12"/>
  <c r="H138" i="12"/>
  <c r="I138" i="12"/>
  <c r="J138" i="12"/>
  <c r="C139" i="12"/>
  <c r="D139" i="12"/>
  <c r="E139" i="12"/>
  <c r="F139" i="12"/>
  <c r="G139" i="12"/>
  <c r="H139" i="12"/>
  <c r="I139" i="12"/>
  <c r="J139" i="12"/>
  <c r="C140" i="12"/>
  <c r="D140" i="12"/>
  <c r="E140" i="12"/>
  <c r="F140" i="12"/>
  <c r="G140" i="12"/>
  <c r="H140" i="12"/>
  <c r="I140" i="12"/>
  <c r="J140" i="12"/>
  <c r="C141" i="12"/>
  <c r="D141" i="12"/>
  <c r="E141" i="12"/>
  <c r="F141" i="12"/>
  <c r="G141" i="12"/>
  <c r="H141" i="12"/>
  <c r="I141" i="12"/>
  <c r="J141" i="12"/>
  <c r="C142" i="12"/>
  <c r="D142" i="12"/>
  <c r="E142" i="12"/>
  <c r="F142" i="12"/>
  <c r="G142" i="12"/>
  <c r="H142" i="12"/>
  <c r="I142" i="12"/>
  <c r="J142" i="12"/>
  <c r="C143" i="12"/>
  <c r="D143" i="12"/>
  <c r="E143" i="12"/>
  <c r="F143" i="12"/>
  <c r="G143" i="12"/>
  <c r="H143" i="12"/>
  <c r="I143" i="12"/>
  <c r="J143" i="12"/>
  <c r="C144" i="12"/>
  <c r="D144" i="12"/>
  <c r="E144" i="12"/>
  <c r="F144" i="12"/>
  <c r="G144" i="12"/>
  <c r="H144" i="12"/>
  <c r="I144" i="12"/>
  <c r="J144" i="12"/>
  <c r="C145" i="12"/>
  <c r="D145" i="12"/>
  <c r="E145" i="12"/>
  <c r="F145" i="12"/>
  <c r="G145" i="12"/>
  <c r="H145" i="12"/>
  <c r="I145" i="12"/>
  <c r="J145" i="12"/>
  <c r="C146" i="12"/>
  <c r="D146" i="12"/>
  <c r="E146" i="12"/>
  <c r="F146" i="12"/>
  <c r="G146" i="12"/>
  <c r="H146" i="12"/>
  <c r="I146" i="12"/>
  <c r="J146" i="12"/>
  <c r="C147" i="12"/>
  <c r="D147" i="12"/>
  <c r="E147" i="12"/>
  <c r="F147" i="12"/>
  <c r="G147" i="12"/>
  <c r="H147" i="12"/>
  <c r="I147" i="12"/>
  <c r="J147" i="12"/>
  <c r="C148" i="12"/>
  <c r="D148" i="12"/>
  <c r="E148" i="12"/>
  <c r="F148" i="12"/>
  <c r="G148" i="12"/>
  <c r="H148" i="12"/>
  <c r="I148" i="12"/>
  <c r="J148" i="12"/>
  <c r="C149" i="12"/>
  <c r="D149" i="12"/>
  <c r="E149" i="12"/>
  <c r="F149" i="12"/>
  <c r="G149" i="12"/>
  <c r="H149" i="12"/>
  <c r="I149" i="12"/>
  <c r="J149" i="12"/>
  <c r="C150" i="12"/>
  <c r="D150" i="12"/>
  <c r="E150" i="12"/>
  <c r="F150" i="12"/>
  <c r="G150" i="12"/>
  <c r="H150" i="12"/>
  <c r="I150" i="12"/>
  <c r="J150" i="12"/>
  <c r="C151" i="12"/>
  <c r="D151" i="12"/>
  <c r="E151" i="12"/>
  <c r="F151" i="12"/>
  <c r="G151" i="12"/>
  <c r="H151" i="12"/>
  <c r="I151" i="12"/>
  <c r="J151" i="12"/>
  <c r="C152" i="12"/>
  <c r="D152" i="12"/>
  <c r="E152" i="12"/>
  <c r="F152" i="12"/>
  <c r="G152" i="12"/>
  <c r="H152" i="12"/>
  <c r="I152" i="12"/>
  <c r="J152" i="12"/>
  <c r="C153" i="12"/>
  <c r="D153" i="12"/>
  <c r="E153" i="12"/>
  <c r="F153" i="12"/>
  <c r="G153" i="12"/>
  <c r="H153" i="12"/>
  <c r="I153" i="12"/>
  <c r="J153" i="12"/>
  <c r="C154" i="12"/>
  <c r="D154" i="12"/>
  <c r="E154" i="12"/>
  <c r="F154" i="12"/>
  <c r="G154" i="12"/>
  <c r="H154" i="12"/>
  <c r="I154" i="12"/>
  <c r="J154" i="12"/>
  <c r="C155" i="12"/>
  <c r="D155" i="12"/>
  <c r="E155" i="12"/>
  <c r="F155" i="12"/>
  <c r="G155" i="12"/>
  <c r="H155" i="12"/>
  <c r="I155" i="12"/>
  <c r="J155" i="12"/>
  <c r="C156" i="12"/>
  <c r="D156" i="12"/>
  <c r="E156" i="12"/>
  <c r="F156" i="12"/>
  <c r="G156" i="12"/>
  <c r="H156" i="12"/>
  <c r="I156" i="12"/>
  <c r="J156" i="12"/>
  <c r="C157" i="12"/>
  <c r="D157" i="12"/>
  <c r="E157" i="12"/>
  <c r="F157" i="12"/>
  <c r="G157" i="12"/>
  <c r="H157" i="12"/>
  <c r="I157" i="12"/>
  <c r="J157" i="12"/>
  <c r="C158" i="12"/>
  <c r="D158" i="12"/>
  <c r="E158" i="12"/>
  <c r="F158" i="12"/>
  <c r="G158" i="12"/>
  <c r="H158" i="12"/>
  <c r="I158" i="12"/>
  <c r="J158" i="12"/>
  <c r="C159" i="12"/>
  <c r="D159" i="12"/>
  <c r="E159" i="12"/>
  <c r="F159" i="12"/>
  <c r="G159" i="12"/>
  <c r="H159" i="12"/>
  <c r="I159" i="12"/>
  <c r="J159" i="12"/>
  <c r="C160" i="12"/>
  <c r="D160" i="12"/>
  <c r="E160" i="12"/>
  <c r="F160" i="12"/>
  <c r="G160" i="12"/>
  <c r="H160" i="12"/>
  <c r="I160" i="12"/>
  <c r="J160" i="12"/>
  <c r="C161" i="12"/>
  <c r="D161" i="12"/>
  <c r="E161" i="12"/>
  <c r="F161" i="12"/>
  <c r="G161" i="12"/>
  <c r="H161" i="12"/>
  <c r="I161" i="12"/>
  <c r="J161" i="12"/>
  <c r="C162" i="12"/>
  <c r="D162" i="12"/>
  <c r="E162" i="12"/>
  <c r="F162" i="12"/>
  <c r="G162" i="12"/>
  <c r="H162" i="12"/>
  <c r="I162" i="12"/>
  <c r="J162" i="12"/>
  <c r="C163" i="12"/>
  <c r="D163" i="12"/>
  <c r="E163" i="12"/>
  <c r="F163" i="12"/>
  <c r="G163" i="12"/>
  <c r="H163" i="12"/>
  <c r="I163" i="12"/>
  <c r="J163" i="12"/>
  <c r="C164" i="12"/>
  <c r="D164" i="12"/>
  <c r="E164" i="12"/>
  <c r="F164" i="12"/>
  <c r="G164" i="12"/>
  <c r="H164" i="12"/>
  <c r="I164" i="12"/>
  <c r="J164" i="12"/>
  <c r="C165" i="12"/>
  <c r="D165" i="12"/>
  <c r="E165" i="12"/>
  <c r="F165" i="12"/>
  <c r="G165" i="12"/>
  <c r="H165" i="12"/>
  <c r="I165" i="12"/>
  <c r="J165" i="12"/>
  <c r="C166" i="12"/>
  <c r="D166" i="12"/>
  <c r="E166" i="12"/>
  <c r="F166" i="12"/>
  <c r="G166" i="12"/>
  <c r="H166" i="12"/>
  <c r="I166" i="12"/>
  <c r="J166" i="12"/>
  <c r="C167" i="12"/>
  <c r="D167" i="12"/>
  <c r="E167" i="12"/>
  <c r="F167" i="12"/>
  <c r="G167" i="12"/>
  <c r="H167" i="12"/>
  <c r="I167" i="12"/>
  <c r="J167" i="12"/>
  <c r="C168" i="12"/>
  <c r="D168" i="12"/>
  <c r="E168" i="12"/>
  <c r="F168" i="12"/>
  <c r="G168" i="12"/>
  <c r="H168" i="12"/>
  <c r="I168" i="12"/>
  <c r="J168" i="12"/>
  <c r="C169" i="12"/>
  <c r="D169" i="12"/>
  <c r="E169" i="12"/>
  <c r="F169" i="12"/>
  <c r="G169" i="12"/>
  <c r="H169" i="12"/>
  <c r="I169" i="12"/>
  <c r="J169" i="12"/>
  <c r="C170" i="12"/>
  <c r="D170" i="12"/>
  <c r="E170" i="12"/>
  <c r="F170" i="12"/>
  <c r="G170" i="12"/>
  <c r="H170" i="12"/>
  <c r="I170" i="12"/>
  <c r="J170" i="12"/>
  <c r="C171" i="12"/>
  <c r="D171" i="12"/>
  <c r="E171" i="12"/>
  <c r="F171" i="12"/>
  <c r="G171" i="12"/>
  <c r="H171" i="12"/>
  <c r="I171" i="12"/>
  <c r="J171" i="12"/>
  <c r="C172" i="12"/>
  <c r="D172" i="12"/>
  <c r="E172" i="12"/>
  <c r="F172" i="12"/>
  <c r="G172" i="12"/>
  <c r="H172" i="12"/>
  <c r="I172" i="12"/>
  <c r="J172" i="12"/>
  <c r="C173" i="12"/>
  <c r="D173" i="12"/>
  <c r="E173" i="12"/>
  <c r="F173" i="12"/>
  <c r="G173" i="12"/>
  <c r="H173" i="12"/>
  <c r="I173" i="12"/>
  <c r="J173" i="12"/>
  <c r="C174" i="12"/>
  <c r="D174" i="12"/>
  <c r="E174" i="12"/>
  <c r="F174" i="12"/>
  <c r="G174" i="12"/>
  <c r="H174" i="12"/>
  <c r="I174" i="12"/>
  <c r="J174" i="12"/>
  <c r="C175" i="12"/>
  <c r="D175" i="12"/>
  <c r="E175" i="12"/>
  <c r="F175" i="12"/>
  <c r="G175" i="12"/>
  <c r="H175" i="12"/>
  <c r="I175" i="12"/>
  <c r="J175" i="12"/>
  <c r="C176" i="12"/>
  <c r="D176" i="12"/>
  <c r="E176" i="12"/>
  <c r="F176" i="12"/>
  <c r="G176" i="12"/>
  <c r="H176" i="12"/>
  <c r="I176" i="12"/>
  <c r="J176" i="12"/>
  <c r="C177" i="12"/>
  <c r="D177" i="12"/>
  <c r="E177" i="12"/>
  <c r="F177" i="12"/>
  <c r="G177" i="12"/>
  <c r="H177" i="12"/>
  <c r="I177" i="12"/>
  <c r="J177" i="12"/>
  <c r="C178" i="12"/>
  <c r="D178" i="12"/>
  <c r="E178" i="12"/>
  <c r="F178" i="12"/>
  <c r="G178" i="12"/>
  <c r="H178" i="12"/>
  <c r="I178" i="12"/>
  <c r="J178" i="12"/>
  <c r="C179" i="12"/>
  <c r="D179" i="12"/>
  <c r="E179" i="12"/>
  <c r="F179" i="12"/>
  <c r="G179" i="12"/>
  <c r="H179" i="12"/>
  <c r="I179" i="12"/>
  <c r="J179" i="12"/>
  <c r="C180" i="12"/>
  <c r="D180" i="12"/>
  <c r="E180" i="12"/>
  <c r="F180" i="12"/>
  <c r="G180" i="12"/>
  <c r="H180" i="12"/>
  <c r="I180" i="12"/>
  <c r="J180" i="12"/>
  <c r="C181" i="12"/>
  <c r="D181" i="12"/>
  <c r="E181" i="12"/>
  <c r="F181" i="12"/>
  <c r="G181" i="12"/>
  <c r="H181" i="12"/>
  <c r="I181" i="12"/>
  <c r="J181" i="12"/>
  <c r="C182" i="12"/>
  <c r="D182" i="12"/>
  <c r="E182" i="12"/>
  <c r="F182" i="12"/>
  <c r="G182" i="12"/>
  <c r="H182" i="12"/>
  <c r="I182" i="12"/>
  <c r="J182" i="12"/>
  <c r="C183" i="12"/>
  <c r="D183" i="12"/>
  <c r="E183" i="12"/>
  <c r="F183" i="12"/>
  <c r="G183" i="12"/>
  <c r="H183" i="12"/>
  <c r="I183" i="12"/>
  <c r="J183" i="12"/>
  <c r="C184" i="12"/>
  <c r="D184" i="12"/>
  <c r="E184" i="12"/>
  <c r="F184" i="12"/>
  <c r="G184" i="12"/>
  <c r="H184" i="12"/>
  <c r="I184" i="12"/>
  <c r="J184" i="12"/>
  <c r="C185" i="12"/>
  <c r="D185" i="12"/>
  <c r="E185" i="12"/>
  <c r="F185" i="12"/>
  <c r="G185" i="12"/>
  <c r="H185" i="12"/>
  <c r="I185" i="12"/>
  <c r="J185" i="12"/>
  <c r="C186" i="12"/>
  <c r="D186" i="12"/>
  <c r="E186" i="12"/>
  <c r="F186" i="12"/>
  <c r="G186" i="12"/>
  <c r="H186" i="12"/>
  <c r="I186" i="12"/>
  <c r="J186" i="12"/>
  <c r="C187" i="12"/>
  <c r="D187" i="12"/>
  <c r="E187" i="12"/>
  <c r="F187" i="12"/>
  <c r="G187" i="12"/>
  <c r="H187" i="12"/>
  <c r="I187" i="12"/>
  <c r="J187" i="12"/>
  <c r="C188" i="12"/>
  <c r="D188" i="12"/>
  <c r="E188" i="12"/>
  <c r="F188" i="12"/>
  <c r="G188" i="12"/>
  <c r="H188" i="12"/>
  <c r="I188" i="12"/>
  <c r="J188" i="12"/>
  <c r="C189" i="12"/>
  <c r="D189" i="12"/>
  <c r="E189" i="12"/>
  <c r="F189" i="12"/>
  <c r="G189" i="12"/>
  <c r="H189" i="12"/>
  <c r="I189" i="12"/>
  <c r="J189" i="12"/>
  <c r="C190" i="12"/>
  <c r="D190" i="12"/>
  <c r="E190" i="12"/>
  <c r="F190" i="12"/>
  <c r="G190" i="12"/>
  <c r="H190" i="12"/>
  <c r="I190" i="12"/>
  <c r="J190" i="12"/>
  <c r="C191" i="12"/>
  <c r="D191" i="12"/>
  <c r="E191" i="12"/>
  <c r="F191" i="12"/>
  <c r="G191" i="12"/>
  <c r="H191" i="12"/>
  <c r="I191" i="12"/>
  <c r="J191" i="12"/>
  <c r="C192" i="12"/>
  <c r="D192" i="12"/>
  <c r="E192" i="12"/>
  <c r="F192" i="12"/>
  <c r="G192" i="12"/>
  <c r="H192" i="12"/>
  <c r="I192" i="12"/>
  <c r="J192" i="12"/>
  <c r="C193" i="12"/>
  <c r="D193" i="12"/>
  <c r="E193" i="12"/>
  <c r="F193" i="12"/>
  <c r="G193" i="12"/>
  <c r="H193" i="12"/>
  <c r="I193" i="12"/>
  <c r="J193" i="12"/>
  <c r="C194" i="12"/>
  <c r="D194" i="12"/>
  <c r="E194" i="12"/>
  <c r="F194" i="12"/>
  <c r="G194" i="12"/>
  <c r="H194" i="12"/>
  <c r="I194" i="12"/>
  <c r="J194" i="12"/>
  <c r="C195" i="12"/>
  <c r="D195" i="12"/>
  <c r="E195" i="12"/>
  <c r="F195" i="12"/>
  <c r="G195" i="12"/>
  <c r="H195" i="12"/>
  <c r="I195" i="12"/>
  <c r="J195" i="12"/>
  <c r="C196" i="12"/>
  <c r="D196" i="12"/>
  <c r="E196" i="12"/>
  <c r="F196" i="12"/>
  <c r="G196" i="12"/>
  <c r="H196" i="12"/>
  <c r="I196" i="12"/>
  <c r="J196" i="12"/>
  <c r="C197" i="12"/>
  <c r="D197" i="12"/>
  <c r="E197" i="12"/>
  <c r="F197" i="12"/>
  <c r="G197" i="12"/>
  <c r="H197" i="12"/>
  <c r="I197" i="12"/>
  <c r="J197" i="12"/>
  <c r="C198" i="12"/>
  <c r="D198" i="12"/>
  <c r="E198" i="12"/>
  <c r="F198" i="12"/>
  <c r="G198" i="12"/>
  <c r="H198" i="12"/>
  <c r="I198" i="12"/>
  <c r="J198" i="12"/>
  <c r="C199" i="12"/>
  <c r="D199" i="12"/>
  <c r="E199" i="12"/>
  <c r="F199" i="12"/>
  <c r="G199" i="12"/>
  <c r="H199" i="12"/>
  <c r="I199" i="12"/>
  <c r="J199" i="12"/>
  <c r="C200" i="12"/>
  <c r="D200" i="12"/>
  <c r="E200" i="12"/>
  <c r="F200" i="12"/>
  <c r="G200" i="12"/>
  <c r="H200" i="12"/>
  <c r="I200" i="12"/>
  <c r="J200" i="12"/>
  <c r="C201" i="12"/>
  <c r="D201" i="12"/>
  <c r="E201" i="12"/>
  <c r="F201" i="12"/>
  <c r="G201" i="12"/>
  <c r="H201" i="12"/>
  <c r="I201" i="12"/>
  <c r="J201" i="12"/>
  <c r="C202" i="12"/>
  <c r="D202" i="12"/>
  <c r="E202" i="12"/>
  <c r="F202" i="12"/>
  <c r="G202" i="12"/>
  <c r="H202" i="12"/>
  <c r="I202" i="12"/>
  <c r="J202" i="12"/>
  <c r="C203" i="12"/>
  <c r="D203" i="12"/>
  <c r="E203" i="12"/>
  <c r="F203" i="12"/>
  <c r="G203" i="12"/>
  <c r="H203" i="12"/>
  <c r="I203" i="12"/>
  <c r="J203" i="12"/>
  <c r="C204" i="12"/>
  <c r="D204" i="12"/>
  <c r="E204" i="12"/>
  <c r="F204" i="12"/>
  <c r="G204" i="12"/>
  <c r="H204" i="12"/>
  <c r="I204" i="12"/>
  <c r="J204" i="12"/>
  <c r="C205" i="12"/>
  <c r="D205" i="12"/>
  <c r="E205" i="12"/>
  <c r="F205" i="12"/>
  <c r="G205" i="12"/>
  <c r="H205" i="12"/>
  <c r="I205" i="12"/>
  <c r="J205" i="12"/>
  <c r="C206" i="12"/>
  <c r="D206" i="12"/>
  <c r="E206" i="12"/>
  <c r="F206" i="12"/>
  <c r="G206" i="12"/>
  <c r="H206" i="12"/>
  <c r="I206" i="12"/>
  <c r="J206" i="12"/>
  <c r="C207" i="12"/>
  <c r="D207" i="12"/>
  <c r="E207" i="12"/>
  <c r="F207" i="12"/>
  <c r="G207" i="12"/>
  <c r="H207" i="12"/>
  <c r="I207" i="12"/>
  <c r="J207" i="12"/>
  <c r="C208" i="12"/>
  <c r="D208" i="12"/>
  <c r="E208" i="12"/>
  <c r="F208" i="12"/>
  <c r="G208" i="12"/>
  <c r="H208" i="12"/>
  <c r="I208" i="12"/>
  <c r="J208" i="12"/>
  <c r="C209" i="12"/>
  <c r="D209" i="12"/>
  <c r="E209" i="12"/>
  <c r="F209" i="12"/>
  <c r="G209" i="12"/>
  <c r="H209" i="12"/>
  <c r="I209" i="12"/>
  <c r="J209" i="12"/>
  <c r="C210" i="12"/>
  <c r="D210" i="12"/>
  <c r="E210" i="12"/>
  <c r="F210" i="12"/>
  <c r="G210" i="12"/>
  <c r="H210" i="12"/>
  <c r="I210" i="12"/>
  <c r="J210" i="12"/>
  <c r="C211" i="12"/>
  <c r="D211" i="12"/>
  <c r="E211" i="12"/>
  <c r="F211" i="12"/>
  <c r="G211" i="12"/>
  <c r="H211" i="12"/>
  <c r="I211" i="12"/>
  <c r="J211" i="12"/>
  <c r="C212" i="12"/>
  <c r="D212" i="12"/>
  <c r="E212" i="12"/>
  <c r="F212" i="12"/>
  <c r="G212" i="12"/>
  <c r="H212" i="12"/>
  <c r="I212" i="12"/>
  <c r="J212" i="12"/>
  <c r="C213" i="12"/>
  <c r="D213" i="12"/>
  <c r="E213" i="12"/>
  <c r="F213" i="12"/>
  <c r="G213" i="12"/>
  <c r="H213" i="12"/>
  <c r="I213" i="12"/>
  <c r="J213" i="12"/>
  <c r="C214" i="12"/>
  <c r="D214" i="12"/>
  <c r="E214" i="12"/>
  <c r="F214" i="12"/>
  <c r="G214" i="12"/>
  <c r="H214" i="12"/>
  <c r="I214" i="12"/>
  <c r="J214" i="12"/>
  <c r="C215" i="12"/>
  <c r="D215" i="12"/>
  <c r="E215" i="12"/>
  <c r="F215" i="12"/>
  <c r="G215" i="12"/>
  <c r="H215" i="12"/>
  <c r="I215" i="12"/>
  <c r="J215" i="12"/>
  <c r="C216" i="12"/>
  <c r="D216" i="12"/>
  <c r="E216" i="12"/>
  <c r="F216" i="12"/>
  <c r="G216" i="12"/>
  <c r="H216" i="12"/>
  <c r="I216" i="12"/>
  <c r="J216" i="12"/>
  <c r="C217" i="12"/>
  <c r="D217" i="12"/>
  <c r="E217" i="12"/>
  <c r="F217" i="12"/>
  <c r="G217" i="12"/>
  <c r="H217" i="12"/>
  <c r="I217" i="12"/>
  <c r="J217" i="12"/>
  <c r="C218" i="12"/>
  <c r="D218" i="12"/>
  <c r="E218" i="12"/>
  <c r="F218" i="12"/>
  <c r="G218" i="12"/>
  <c r="H218" i="12"/>
  <c r="I218" i="12"/>
  <c r="J218" i="12"/>
  <c r="C219" i="12"/>
  <c r="D219" i="12"/>
  <c r="E219" i="12"/>
  <c r="F219" i="12"/>
  <c r="G219" i="12"/>
  <c r="H219" i="12"/>
  <c r="I219" i="12"/>
  <c r="J219" i="12"/>
  <c r="C220" i="12"/>
  <c r="D220" i="12"/>
  <c r="E220" i="12"/>
  <c r="F220" i="12"/>
  <c r="G220" i="12"/>
  <c r="H220" i="12"/>
  <c r="I220" i="12"/>
  <c r="J220" i="12"/>
  <c r="C221" i="12"/>
  <c r="D221" i="12"/>
  <c r="E221" i="12"/>
  <c r="F221" i="12"/>
  <c r="G221" i="12"/>
  <c r="H221" i="12"/>
  <c r="I221" i="12"/>
  <c r="J221" i="12"/>
  <c r="C222" i="12"/>
  <c r="D222" i="12"/>
  <c r="E222" i="12"/>
  <c r="F222" i="12"/>
  <c r="G222" i="12"/>
  <c r="H222" i="12"/>
  <c r="I222" i="12"/>
  <c r="J222" i="12"/>
  <c r="C223" i="12"/>
  <c r="D223" i="12"/>
  <c r="E223" i="12"/>
  <c r="F223" i="12"/>
  <c r="G223" i="12"/>
  <c r="H223" i="12"/>
  <c r="I223" i="12"/>
  <c r="J223" i="12"/>
  <c r="C224" i="12"/>
  <c r="D224" i="12"/>
  <c r="E224" i="12"/>
  <c r="F224" i="12"/>
  <c r="G224" i="12"/>
  <c r="H224" i="12"/>
  <c r="I224" i="12"/>
  <c r="J224" i="12"/>
  <c r="C225" i="12"/>
  <c r="D225" i="12"/>
  <c r="E225" i="12"/>
  <c r="F225" i="12"/>
  <c r="G225" i="12"/>
  <c r="H225" i="12"/>
  <c r="I225" i="12"/>
  <c r="J225" i="12"/>
  <c r="C226" i="12"/>
  <c r="D226" i="12"/>
  <c r="E226" i="12"/>
  <c r="F226" i="12"/>
  <c r="G226" i="12"/>
  <c r="H226" i="12"/>
  <c r="I226" i="12"/>
  <c r="J226" i="12"/>
  <c r="C227" i="12"/>
  <c r="D227" i="12"/>
  <c r="E227" i="12"/>
  <c r="F227" i="12"/>
  <c r="G227" i="12"/>
  <c r="H227" i="12"/>
  <c r="I227" i="12"/>
  <c r="J227" i="12"/>
  <c r="C228" i="12"/>
  <c r="D228" i="12"/>
  <c r="E228" i="12"/>
  <c r="F228" i="12"/>
  <c r="G228" i="12"/>
  <c r="H228" i="12"/>
  <c r="I228" i="12"/>
  <c r="J228" i="12"/>
  <c r="C229" i="12"/>
  <c r="D229" i="12"/>
  <c r="E229" i="12"/>
  <c r="F229" i="12"/>
  <c r="G229" i="12"/>
  <c r="H229" i="12"/>
  <c r="I229" i="12"/>
  <c r="J229" i="12"/>
  <c r="C230" i="12"/>
  <c r="D230" i="12"/>
  <c r="E230" i="12"/>
  <c r="F230" i="12"/>
  <c r="G230" i="12"/>
  <c r="H230" i="12"/>
  <c r="I230" i="12"/>
  <c r="J230" i="12"/>
  <c r="C231" i="12"/>
  <c r="D231" i="12"/>
  <c r="E231" i="12"/>
  <c r="F231" i="12"/>
  <c r="G231" i="12"/>
  <c r="H231" i="12"/>
  <c r="I231" i="12"/>
  <c r="J231" i="12"/>
  <c r="C232" i="12"/>
  <c r="D232" i="12"/>
  <c r="E232" i="12"/>
  <c r="F232" i="12"/>
  <c r="G232" i="12"/>
  <c r="H232" i="12"/>
  <c r="I232" i="12"/>
  <c r="J232" i="12"/>
  <c r="C233" i="12"/>
  <c r="D233" i="12"/>
  <c r="E233" i="12"/>
  <c r="F233" i="12"/>
  <c r="G233" i="12"/>
  <c r="H233" i="12"/>
  <c r="I233" i="12"/>
  <c r="J233" i="12"/>
  <c r="C234" i="12"/>
  <c r="D234" i="12"/>
  <c r="E234" i="12"/>
  <c r="F234" i="12"/>
  <c r="G234" i="12"/>
  <c r="H234" i="12"/>
  <c r="I234" i="12"/>
  <c r="J234" i="12"/>
  <c r="C235" i="12"/>
  <c r="D235" i="12"/>
  <c r="E235" i="12"/>
  <c r="F235" i="12"/>
  <c r="G235" i="12"/>
  <c r="H235" i="12"/>
  <c r="I235" i="12"/>
  <c r="J235" i="12"/>
  <c r="C236" i="12"/>
  <c r="D236" i="12"/>
  <c r="E236" i="12"/>
  <c r="F236" i="12"/>
  <c r="G236" i="12"/>
  <c r="H236" i="12"/>
  <c r="I236" i="12"/>
  <c r="J236" i="12"/>
  <c r="C237" i="12"/>
  <c r="D237" i="12"/>
  <c r="E237" i="12"/>
  <c r="F237" i="12"/>
  <c r="G237" i="12"/>
  <c r="H237" i="12"/>
  <c r="I237" i="12"/>
  <c r="J237" i="12"/>
  <c r="C238" i="12"/>
  <c r="D238" i="12"/>
  <c r="E238" i="12"/>
  <c r="F238" i="12"/>
  <c r="G238" i="12"/>
  <c r="H238" i="12"/>
  <c r="I238" i="12"/>
  <c r="J238" i="12"/>
  <c r="C239" i="12"/>
  <c r="D239" i="12"/>
  <c r="E239" i="12"/>
  <c r="F239" i="12"/>
  <c r="G239" i="12"/>
  <c r="H239" i="12"/>
  <c r="I239" i="12"/>
  <c r="J239" i="12"/>
  <c r="C240" i="12"/>
  <c r="D240" i="12"/>
  <c r="E240" i="12"/>
  <c r="F240" i="12"/>
  <c r="G240" i="12"/>
  <c r="H240" i="12"/>
  <c r="I240" i="12"/>
  <c r="J240" i="12"/>
  <c r="C241" i="12"/>
  <c r="D241" i="12"/>
  <c r="E241" i="12"/>
  <c r="F241" i="12"/>
  <c r="G241" i="12"/>
  <c r="H241" i="12"/>
  <c r="I241" i="12"/>
  <c r="J241" i="12"/>
  <c r="C242" i="12"/>
  <c r="D242" i="12"/>
  <c r="E242" i="12"/>
  <c r="F242" i="12"/>
  <c r="G242" i="12"/>
  <c r="H242" i="12"/>
  <c r="I242" i="12"/>
  <c r="J242" i="12"/>
  <c r="C243" i="12"/>
  <c r="D243" i="12"/>
  <c r="E243" i="12"/>
  <c r="F243" i="12"/>
  <c r="G243" i="12"/>
  <c r="H243" i="12"/>
  <c r="I243" i="12"/>
  <c r="J243" i="12"/>
  <c r="C244" i="12"/>
  <c r="D244" i="12"/>
  <c r="E244" i="12"/>
  <c r="F244" i="12"/>
  <c r="G244" i="12"/>
  <c r="H244" i="12"/>
  <c r="I244" i="12"/>
  <c r="J244" i="12"/>
  <c r="C245" i="12"/>
  <c r="D245" i="12"/>
  <c r="E245" i="12"/>
  <c r="F245" i="12"/>
  <c r="G245" i="12"/>
  <c r="H245" i="12"/>
  <c r="I245" i="12"/>
  <c r="J245" i="12"/>
  <c r="C246" i="12"/>
  <c r="D246" i="12"/>
  <c r="E246" i="12"/>
  <c r="F246" i="12"/>
  <c r="G246" i="12"/>
  <c r="H246" i="12"/>
  <c r="I246" i="12"/>
  <c r="J246" i="12"/>
  <c r="C247" i="12"/>
  <c r="D247" i="12"/>
  <c r="E247" i="12"/>
  <c r="F247" i="12"/>
  <c r="G247" i="12"/>
  <c r="H247" i="12"/>
  <c r="I247" i="12"/>
  <c r="J247" i="12"/>
  <c r="C248" i="12"/>
  <c r="D248" i="12"/>
  <c r="E248" i="12"/>
  <c r="F248" i="12"/>
  <c r="G248" i="12"/>
  <c r="H248" i="12"/>
  <c r="I248" i="12"/>
  <c r="J248" i="12"/>
  <c r="C249" i="12"/>
  <c r="D249" i="12"/>
  <c r="E249" i="12"/>
  <c r="F249" i="12"/>
  <c r="G249" i="12"/>
  <c r="H249" i="12"/>
  <c r="I249" i="12"/>
  <c r="J249" i="12"/>
  <c r="C250" i="12"/>
  <c r="D250" i="12"/>
  <c r="E250" i="12"/>
  <c r="F250" i="12"/>
  <c r="G250" i="12"/>
  <c r="H250" i="12"/>
  <c r="I250" i="12"/>
  <c r="J250" i="12"/>
  <c r="C251" i="12"/>
  <c r="D251" i="12"/>
  <c r="E251" i="12"/>
  <c r="F251" i="12"/>
  <c r="G251" i="12"/>
  <c r="H251" i="12"/>
  <c r="I251" i="12"/>
  <c r="J251" i="12"/>
  <c r="C252" i="12"/>
  <c r="D252" i="12"/>
  <c r="E252" i="12"/>
  <c r="F252" i="12"/>
  <c r="G252" i="12"/>
  <c r="H252" i="12"/>
  <c r="I252" i="12"/>
  <c r="J252" i="12"/>
  <c r="C253" i="12"/>
  <c r="D253" i="12"/>
  <c r="E253" i="12"/>
  <c r="F253" i="12"/>
  <c r="G253" i="12"/>
  <c r="H253" i="12"/>
  <c r="I253" i="12"/>
  <c r="J253" i="12"/>
  <c r="C254" i="12"/>
  <c r="D254" i="12"/>
  <c r="E254" i="12"/>
  <c r="F254" i="12"/>
  <c r="G254" i="12"/>
  <c r="H254" i="12"/>
  <c r="I254" i="12"/>
  <c r="J254" i="12"/>
  <c r="C255" i="12"/>
  <c r="D255" i="12"/>
  <c r="E255" i="12"/>
  <c r="F255" i="12"/>
  <c r="G255" i="12"/>
  <c r="H255" i="12"/>
  <c r="I255" i="12"/>
  <c r="J255" i="12"/>
  <c r="C256" i="12"/>
  <c r="D256" i="12"/>
  <c r="E256" i="12"/>
  <c r="F256" i="12"/>
  <c r="G256" i="12"/>
  <c r="H256" i="12"/>
  <c r="I256" i="12"/>
  <c r="J256" i="12"/>
  <c r="C257" i="12"/>
  <c r="D257" i="12"/>
  <c r="E257" i="12"/>
  <c r="F257" i="12"/>
  <c r="G257" i="12"/>
  <c r="H257" i="12"/>
  <c r="I257" i="12"/>
  <c r="J257" i="12"/>
  <c r="C258" i="12"/>
  <c r="D258" i="12"/>
  <c r="E258" i="12"/>
  <c r="F258" i="12"/>
  <c r="G258" i="12"/>
  <c r="H258" i="12"/>
  <c r="I258" i="12"/>
  <c r="J258" i="12"/>
  <c r="C259" i="12"/>
  <c r="D259" i="12"/>
  <c r="E259" i="12"/>
  <c r="F259" i="12"/>
  <c r="G259" i="12"/>
  <c r="H259" i="12"/>
  <c r="I259" i="12"/>
  <c r="J259" i="12"/>
  <c r="C260" i="12"/>
  <c r="D260" i="12"/>
  <c r="E260" i="12"/>
  <c r="F260" i="12"/>
  <c r="G260" i="12"/>
  <c r="H260" i="12"/>
  <c r="I260" i="12"/>
  <c r="J260" i="12"/>
  <c r="C261" i="12"/>
  <c r="D261" i="12"/>
  <c r="E261" i="12"/>
  <c r="F261" i="12"/>
  <c r="G261" i="12"/>
  <c r="H261" i="12"/>
  <c r="I261" i="12"/>
  <c r="J261" i="12"/>
  <c r="C262" i="12"/>
  <c r="D262" i="12"/>
  <c r="E262" i="12"/>
  <c r="F262" i="12"/>
  <c r="G262" i="12"/>
  <c r="H262" i="12"/>
  <c r="I262" i="12"/>
  <c r="J262" i="12"/>
  <c r="C263" i="12"/>
  <c r="D263" i="12"/>
  <c r="E263" i="12"/>
  <c r="F263" i="12"/>
  <c r="G263" i="12"/>
  <c r="H263" i="12"/>
  <c r="I263" i="12"/>
  <c r="J263" i="12"/>
  <c r="C264" i="12"/>
  <c r="D264" i="12"/>
  <c r="E264" i="12"/>
  <c r="F264" i="12"/>
  <c r="G264" i="12"/>
  <c r="H264" i="12"/>
  <c r="I264" i="12"/>
  <c r="J264" i="12"/>
  <c r="C265" i="12"/>
  <c r="D265" i="12"/>
  <c r="E265" i="12"/>
  <c r="F265" i="12"/>
  <c r="G265" i="12"/>
  <c r="H265" i="12"/>
  <c r="I265" i="12"/>
  <c r="J265" i="12"/>
  <c r="C266" i="12"/>
  <c r="D266" i="12"/>
  <c r="E266" i="12"/>
  <c r="F266" i="12"/>
  <c r="G266" i="12"/>
  <c r="H266" i="12"/>
  <c r="I266" i="12"/>
  <c r="J266" i="12"/>
  <c r="C267" i="12"/>
  <c r="D267" i="12"/>
  <c r="E267" i="12"/>
  <c r="F267" i="12"/>
  <c r="G267" i="12"/>
  <c r="H267" i="12"/>
  <c r="I267" i="12"/>
  <c r="J267" i="12"/>
  <c r="C268" i="12"/>
  <c r="D268" i="12"/>
  <c r="E268" i="12"/>
  <c r="F268" i="12"/>
  <c r="G268" i="12"/>
  <c r="H268" i="12"/>
  <c r="I268" i="12"/>
  <c r="J268" i="12"/>
  <c r="C269" i="12"/>
  <c r="D269" i="12"/>
  <c r="E269" i="12"/>
  <c r="F269" i="12"/>
  <c r="G269" i="12"/>
  <c r="H269" i="12"/>
  <c r="I269" i="12"/>
  <c r="J269" i="12"/>
  <c r="C270" i="12"/>
  <c r="D270" i="12"/>
  <c r="E270" i="12"/>
  <c r="F270" i="12"/>
  <c r="G270" i="12"/>
  <c r="H270" i="12"/>
  <c r="I270" i="12"/>
  <c r="J270" i="12"/>
  <c r="C271" i="12"/>
  <c r="D271" i="12"/>
  <c r="E271" i="12"/>
  <c r="F271" i="12"/>
  <c r="G271" i="12"/>
  <c r="H271" i="12"/>
  <c r="I271" i="12"/>
  <c r="J271" i="12"/>
  <c r="C272" i="12"/>
  <c r="D272" i="12"/>
  <c r="E272" i="12"/>
  <c r="F272" i="12"/>
  <c r="G272" i="12"/>
  <c r="H272" i="12"/>
  <c r="I272" i="12"/>
  <c r="J272" i="12"/>
  <c r="C273" i="12"/>
  <c r="D273" i="12"/>
  <c r="E273" i="12"/>
  <c r="F273" i="12"/>
  <c r="G273" i="12"/>
  <c r="H273" i="12"/>
  <c r="I273" i="12"/>
  <c r="J273" i="12"/>
  <c r="C274" i="12"/>
  <c r="D274" i="12"/>
  <c r="E274" i="12"/>
  <c r="F274" i="12"/>
  <c r="G274" i="12"/>
  <c r="H274" i="12"/>
  <c r="I274" i="12"/>
  <c r="J274" i="12"/>
  <c r="C275" i="12"/>
  <c r="D275" i="12"/>
  <c r="E275" i="12"/>
  <c r="F275" i="12"/>
  <c r="G275" i="12"/>
  <c r="H275" i="12"/>
  <c r="I275" i="12"/>
  <c r="J275" i="12"/>
  <c r="C276" i="12"/>
  <c r="D276" i="12"/>
  <c r="E276" i="12"/>
  <c r="F276" i="12"/>
  <c r="G276" i="12"/>
  <c r="H276" i="12"/>
  <c r="I276" i="12"/>
  <c r="J276" i="12"/>
  <c r="C277" i="12"/>
  <c r="D277" i="12"/>
  <c r="E277" i="12"/>
  <c r="F277" i="12"/>
  <c r="G277" i="12"/>
  <c r="H277" i="12"/>
  <c r="I277" i="12"/>
  <c r="J277" i="12"/>
  <c r="C278" i="12"/>
  <c r="D278" i="12"/>
  <c r="E278" i="12"/>
  <c r="F278" i="12"/>
  <c r="G278" i="12"/>
  <c r="H278" i="12"/>
  <c r="I278" i="12"/>
  <c r="J278" i="12"/>
  <c r="C279" i="12"/>
  <c r="D279" i="12"/>
  <c r="E279" i="12"/>
  <c r="F279" i="12"/>
  <c r="G279" i="12"/>
  <c r="H279" i="12"/>
  <c r="I279" i="12"/>
  <c r="J279" i="12"/>
  <c r="C280" i="12"/>
  <c r="D280" i="12"/>
  <c r="E280" i="12"/>
  <c r="F280" i="12"/>
  <c r="G280" i="12"/>
  <c r="H280" i="12"/>
  <c r="I280" i="12"/>
  <c r="J280" i="12"/>
  <c r="C281" i="12"/>
  <c r="D281" i="12"/>
  <c r="E281" i="12"/>
  <c r="F281" i="12"/>
  <c r="G281" i="12"/>
  <c r="H281" i="12"/>
  <c r="I281" i="12"/>
  <c r="J281" i="12"/>
  <c r="C282" i="12"/>
  <c r="D282" i="12"/>
  <c r="E282" i="12"/>
  <c r="F282" i="12"/>
  <c r="G282" i="12"/>
  <c r="H282" i="12"/>
  <c r="I282" i="12"/>
  <c r="J282" i="12"/>
  <c r="C283" i="12"/>
  <c r="D283" i="12"/>
  <c r="E283" i="12"/>
  <c r="F283" i="12"/>
  <c r="G283" i="12"/>
  <c r="H283" i="12"/>
  <c r="I283" i="12"/>
  <c r="J283" i="12"/>
  <c r="C284" i="12"/>
  <c r="D284" i="12"/>
  <c r="E284" i="12"/>
  <c r="F284" i="12"/>
  <c r="G284" i="12"/>
  <c r="H284" i="12"/>
  <c r="I284" i="12"/>
  <c r="J284" i="12"/>
  <c r="C285" i="12"/>
  <c r="D285" i="12"/>
  <c r="E285" i="12"/>
  <c r="F285" i="12"/>
  <c r="G285" i="12"/>
  <c r="H285" i="12"/>
  <c r="I285" i="12"/>
  <c r="J285" i="12"/>
  <c r="C286" i="12"/>
  <c r="D286" i="12"/>
  <c r="E286" i="12"/>
  <c r="F286" i="12"/>
  <c r="G286" i="12"/>
  <c r="H286" i="12"/>
  <c r="I286" i="12"/>
  <c r="J286" i="12"/>
  <c r="C287" i="12"/>
  <c r="D287" i="12"/>
  <c r="E287" i="12"/>
  <c r="F287" i="12"/>
  <c r="G287" i="12"/>
  <c r="H287" i="12"/>
  <c r="I287" i="12"/>
  <c r="J287" i="12"/>
  <c r="C288" i="12"/>
  <c r="D288" i="12"/>
  <c r="E288" i="12"/>
  <c r="F288" i="12"/>
  <c r="G288" i="12"/>
  <c r="H288" i="12"/>
  <c r="I288" i="12"/>
  <c r="J288" i="12"/>
  <c r="C289" i="12"/>
  <c r="D289" i="12"/>
  <c r="E289" i="12"/>
  <c r="F289" i="12"/>
  <c r="G289" i="12"/>
  <c r="H289" i="12"/>
  <c r="I289" i="12"/>
  <c r="J289" i="12"/>
  <c r="C290" i="12"/>
  <c r="D290" i="12"/>
  <c r="E290" i="12"/>
  <c r="F290" i="12"/>
  <c r="G290" i="12"/>
  <c r="H290" i="12"/>
  <c r="I290" i="12"/>
  <c r="J290" i="12"/>
  <c r="C291" i="12"/>
  <c r="D291" i="12"/>
  <c r="E291" i="12"/>
  <c r="F291" i="12"/>
  <c r="G291" i="12"/>
  <c r="H291" i="12"/>
  <c r="I291" i="12"/>
  <c r="J291" i="12"/>
  <c r="C292" i="12"/>
  <c r="D292" i="12"/>
  <c r="E292" i="12"/>
  <c r="F292" i="12"/>
  <c r="G292" i="12"/>
  <c r="H292" i="12"/>
  <c r="I292" i="12"/>
  <c r="J292" i="12"/>
  <c r="C293" i="12"/>
  <c r="D293" i="12"/>
  <c r="E293" i="12"/>
  <c r="F293" i="12"/>
  <c r="G293" i="12"/>
  <c r="H293" i="12"/>
  <c r="I293" i="12"/>
  <c r="J293" i="12"/>
  <c r="C294" i="12"/>
  <c r="D294" i="12"/>
  <c r="E294" i="12"/>
  <c r="F294" i="12"/>
  <c r="G294" i="12"/>
  <c r="H294" i="12"/>
  <c r="I294" i="12"/>
  <c r="J294" i="12"/>
  <c r="C295" i="12"/>
  <c r="D295" i="12"/>
  <c r="E295" i="12"/>
  <c r="F295" i="12"/>
  <c r="G295" i="12"/>
  <c r="H295" i="12"/>
  <c r="I295" i="12"/>
  <c r="J295" i="12"/>
  <c r="C296" i="12"/>
  <c r="D296" i="12"/>
  <c r="E296" i="12"/>
  <c r="F296" i="12"/>
  <c r="G296" i="12"/>
  <c r="H296" i="12"/>
  <c r="I296" i="12"/>
  <c r="J296" i="12"/>
  <c r="C297" i="12"/>
  <c r="D297" i="12"/>
  <c r="E297" i="12"/>
  <c r="F297" i="12"/>
  <c r="G297" i="12"/>
  <c r="H297" i="12"/>
  <c r="I297" i="12"/>
  <c r="J297" i="12"/>
  <c r="C298" i="12"/>
  <c r="D298" i="12"/>
  <c r="E298" i="12"/>
  <c r="F298" i="12"/>
  <c r="G298" i="12"/>
  <c r="H298" i="12"/>
  <c r="I298" i="12"/>
  <c r="J298" i="12"/>
  <c r="C299" i="12"/>
  <c r="D299" i="12"/>
  <c r="E299" i="12"/>
  <c r="F299" i="12"/>
  <c r="G299" i="12"/>
  <c r="H299" i="12"/>
  <c r="I299" i="12"/>
  <c r="J299" i="12"/>
  <c r="C300" i="12"/>
  <c r="D300" i="12"/>
  <c r="E300" i="12"/>
  <c r="F300" i="12"/>
  <c r="G300" i="12"/>
  <c r="H300" i="12"/>
  <c r="I300" i="12"/>
  <c r="J300" i="12"/>
  <c r="C301" i="12"/>
  <c r="D301" i="12"/>
  <c r="E301" i="12"/>
  <c r="F301" i="12"/>
  <c r="G301" i="12"/>
  <c r="H301" i="12"/>
  <c r="I301" i="12"/>
  <c r="J301" i="12"/>
  <c r="C302" i="12"/>
  <c r="D302" i="12"/>
  <c r="E302" i="12"/>
  <c r="F302" i="12"/>
  <c r="G302" i="12"/>
  <c r="H302" i="12"/>
  <c r="I302" i="12"/>
  <c r="J302" i="12"/>
  <c r="C303" i="12"/>
  <c r="D303" i="12"/>
  <c r="E303" i="12"/>
  <c r="F303" i="12"/>
  <c r="G303" i="12"/>
  <c r="H303" i="12"/>
  <c r="I303" i="12"/>
  <c r="J303" i="12"/>
  <c r="C304" i="12"/>
  <c r="D304" i="12"/>
  <c r="E304" i="12"/>
  <c r="F304" i="12"/>
  <c r="G304" i="12"/>
  <c r="H304" i="12"/>
  <c r="I304" i="12"/>
  <c r="J304" i="12"/>
  <c r="C305" i="12"/>
  <c r="D305" i="12"/>
  <c r="E305" i="12"/>
  <c r="F305" i="12"/>
  <c r="G305" i="12"/>
  <c r="H305" i="12"/>
  <c r="I305" i="12"/>
  <c r="J305" i="12"/>
  <c r="C306" i="12"/>
  <c r="D306" i="12"/>
  <c r="E306" i="12"/>
  <c r="F306" i="12"/>
  <c r="G306" i="12"/>
  <c r="H306" i="12"/>
  <c r="I306" i="12"/>
  <c r="J306" i="12"/>
  <c r="C307" i="12"/>
  <c r="D307" i="12"/>
  <c r="E307" i="12"/>
  <c r="F307" i="12"/>
  <c r="G307" i="12"/>
  <c r="H307" i="12"/>
  <c r="I307" i="12"/>
  <c r="J307" i="12"/>
  <c r="C308" i="12"/>
  <c r="D308" i="12"/>
  <c r="E308" i="12"/>
  <c r="F308" i="12"/>
  <c r="G308" i="12"/>
  <c r="H308" i="12"/>
  <c r="I308" i="12"/>
  <c r="J308" i="12"/>
  <c r="C309" i="12"/>
  <c r="D309" i="12"/>
  <c r="E309" i="12"/>
  <c r="F309" i="12"/>
  <c r="G309" i="12"/>
  <c r="H309" i="12"/>
  <c r="I309" i="12"/>
  <c r="J309" i="12"/>
  <c r="C310" i="12"/>
  <c r="D310" i="12"/>
  <c r="E310" i="12"/>
  <c r="F310" i="12"/>
  <c r="G310" i="12"/>
  <c r="H310" i="12"/>
  <c r="I310" i="12"/>
  <c r="J310" i="12"/>
  <c r="C311" i="12"/>
  <c r="D311" i="12"/>
  <c r="E311" i="12"/>
  <c r="F311" i="12"/>
  <c r="G311" i="12"/>
  <c r="H311" i="12"/>
  <c r="I311" i="12"/>
  <c r="J311" i="12"/>
  <c r="C312" i="12"/>
  <c r="D312" i="12"/>
  <c r="E312" i="12"/>
  <c r="F312" i="12"/>
  <c r="G312" i="12"/>
  <c r="H312" i="12"/>
  <c r="I312" i="12"/>
  <c r="J312" i="12"/>
  <c r="C313" i="12"/>
  <c r="D313" i="12"/>
  <c r="E313" i="12"/>
  <c r="F313" i="12"/>
  <c r="G313" i="12"/>
  <c r="H313" i="12"/>
  <c r="I313" i="12"/>
  <c r="J313" i="12"/>
  <c r="C314" i="12"/>
  <c r="D314" i="12"/>
  <c r="E314" i="12"/>
  <c r="F314" i="12"/>
  <c r="G314" i="12"/>
  <c r="H314" i="12"/>
  <c r="I314" i="12"/>
  <c r="J314" i="12"/>
  <c r="C315" i="12"/>
  <c r="D315" i="12"/>
  <c r="E315" i="12"/>
  <c r="F315" i="12"/>
  <c r="G315" i="12"/>
  <c r="H315" i="12"/>
  <c r="I315" i="12"/>
  <c r="J315" i="12"/>
  <c r="C316" i="12"/>
  <c r="D316" i="12"/>
  <c r="E316" i="12"/>
  <c r="F316" i="12"/>
  <c r="G316" i="12"/>
  <c r="H316" i="12"/>
  <c r="I316" i="12"/>
  <c r="J316" i="12"/>
  <c r="C317" i="12"/>
  <c r="D317" i="12"/>
  <c r="E317" i="12"/>
  <c r="F317" i="12"/>
  <c r="G317" i="12"/>
  <c r="H317" i="12"/>
  <c r="I317" i="12"/>
  <c r="J317" i="12"/>
  <c r="C318" i="12"/>
  <c r="D318" i="12"/>
  <c r="E318" i="12"/>
  <c r="F318" i="12"/>
  <c r="G318" i="12"/>
  <c r="H318" i="12"/>
  <c r="I318" i="12"/>
  <c r="J318" i="12"/>
  <c r="C319" i="12"/>
  <c r="D319" i="12"/>
  <c r="E319" i="12"/>
  <c r="F319" i="12"/>
  <c r="G319" i="12"/>
  <c r="H319" i="12"/>
  <c r="I319" i="12"/>
  <c r="J319" i="12"/>
  <c r="C320" i="12"/>
  <c r="D320" i="12"/>
  <c r="E320" i="12"/>
  <c r="F320" i="12"/>
  <c r="G320" i="12"/>
  <c r="H320" i="12"/>
  <c r="I320" i="12"/>
  <c r="J320" i="12"/>
  <c r="C321" i="12"/>
  <c r="D321" i="12"/>
  <c r="E321" i="12"/>
  <c r="F321" i="12"/>
  <c r="G321" i="12"/>
  <c r="H321" i="12"/>
  <c r="I321" i="12"/>
  <c r="J321" i="12"/>
  <c r="C322" i="12"/>
  <c r="D322" i="12"/>
  <c r="E322" i="12"/>
  <c r="F322" i="12"/>
  <c r="G322" i="12"/>
  <c r="H322" i="12"/>
  <c r="I322" i="12"/>
  <c r="J322" i="12"/>
  <c r="C323" i="12"/>
  <c r="D323" i="12"/>
  <c r="E323" i="12"/>
  <c r="F323" i="12"/>
  <c r="G323" i="12"/>
  <c r="H323" i="12"/>
  <c r="I323" i="12"/>
  <c r="J323" i="12"/>
  <c r="C324" i="12"/>
  <c r="D324" i="12"/>
  <c r="E324" i="12"/>
  <c r="F324" i="12"/>
  <c r="G324" i="12"/>
  <c r="H324" i="12"/>
  <c r="I324" i="12"/>
  <c r="J324" i="12"/>
  <c r="C325" i="12"/>
  <c r="D325" i="12"/>
  <c r="E325" i="12"/>
  <c r="F325" i="12"/>
  <c r="G325" i="12"/>
  <c r="H325" i="12"/>
  <c r="I325" i="12"/>
  <c r="J325" i="12"/>
  <c r="C326" i="12"/>
  <c r="D326" i="12"/>
  <c r="E326" i="12"/>
  <c r="F326" i="12"/>
  <c r="G326" i="12"/>
  <c r="H326" i="12"/>
  <c r="I326" i="12"/>
  <c r="J326" i="12"/>
  <c r="C327" i="12"/>
  <c r="D327" i="12"/>
  <c r="E327" i="12"/>
  <c r="F327" i="12"/>
  <c r="G327" i="12"/>
  <c r="H327" i="12"/>
  <c r="I327" i="12"/>
  <c r="J327" i="12"/>
  <c r="C328" i="12"/>
  <c r="D328" i="12"/>
  <c r="E328" i="12"/>
  <c r="F328" i="12"/>
  <c r="G328" i="12"/>
  <c r="H328" i="12"/>
  <c r="I328" i="12"/>
  <c r="J328" i="12"/>
  <c r="C329" i="12"/>
  <c r="D329" i="12"/>
  <c r="E329" i="12"/>
  <c r="F329" i="12"/>
  <c r="G329" i="12"/>
  <c r="H329" i="12"/>
  <c r="I329" i="12"/>
  <c r="J329" i="12"/>
  <c r="C330" i="12"/>
  <c r="D330" i="12"/>
  <c r="E330" i="12"/>
  <c r="F330" i="12"/>
  <c r="G330" i="12"/>
  <c r="H330" i="12"/>
  <c r="I330" i="12"/>
  <c r="J330" i="12"/>
  <c r="C331" i="12"/>
  <c r="D331" i="12"/>
  <c r="E331" i="12"/>
  <c r="F331" i="12"/>
  <c r="G331" i="12"/>
  <c r="H331" i="12"/>
  <c r="I331" i="12"/>
  <c r="J331" i="12"/>
  <c r="C332" i="12"/>
  <c r="D332" i="12"/>
  <c r="E332" i="12"/>
  <c r="F332" i="12"/>
  <c r="G332" i="12"/>
  <c r="H332" i="12"/>
  <c r="I332" i="12"/>
  <c r="J332" i="12"/>
  <c r="C333" i="12"/>
  <c r="D333" i="12"/>
  <c r="E333" i="12"/>
  <c r="F333" i="12"/>
  <c r="G333" i="12"/>
  <c r="H333" i="12"/>
  <c r="I333" i="12"/>
  <c r="J333" i="12"/>
  <c r="C334" i="12"/>
  <c r="D334" i="12"/>
  <c r="E334" i="12"/>
  <c r="F334" i="12"/>
  <c r="G334" i="12"/>
  <c r="H334" i="12"/>
  <c r="I334" i="12"/>
  <c r="J334" i="12"/>
  <c r="C335" i="12"/>
  <c r="D335" i="12"/>
  <c r="E335" i="12"/>
  <c r="F335" i="12"/>
  <c r="G335" i="12"/>
  <c r="H335" i="12"/>
  <c r="I335" i="12"/>
  <c r="J335" i="12"/>
  <c r="C336" i="12"/>
  <c r="D336" i="12"/>
  <c r="E336" i="12"/>
  <c r="F336" i="12"/>
  <c r="G336" i="12"/>
  <c r="H336" i="12"/>
  <c r="I336" i="12"/>
  <c r="J336" i="12"/>
  <c r="C337" i="12"/>
  <c r="D337" i="12"/>
  <c r="E337" i="12"/>
  <c r="F337" i="12"/>
  <c r="G337" i="12"/>
  <c r="H337" i="12"/>
  <c r="I337" i="12"/>
  <c r="J337" i="12"/>
  <c r="C338" i="12"/>
  <c r="D338" i="12"/>
  <c r="E338" i="12"/>
  <c r="F338" i="12"/>
  <c r="G338" i="12"/>
  <c r="H338" i="12"/>
  <c r="I338" i="12"/>
  <c r="J338" i="12"/>
  <c r="C339" i="12"/>
  <c r="D339" i="12"/>
  <c r="E339" i="12"/>
  <c r="F339" i="12"/>
  <c r="G339" i="12"/>
  <c r="H339" i="12"/>
  <c r="I339" i="12"/>
  <c r="J339" i="12"/>
  <c r="C340" i="12"/>
  <c r="D340" i="12"/>
  <c r="E340" i="12"/>
  <c r="F340" i="12"/>
  <c r="G340" i="12"/>
  <c r="H340" i="12"/>
  <c r="I340" i="12"/>
  <c r="J340" i="12"/>
  <c r="C341" i="12"/>
  <c r="D341" i="12"/>
  <c r="E341" i="12"/>
  <c r="F341" i="12"/>
  <c r="G341" i="12"/>
  <c r="H341" i="12"/>
  <c r="I341" i="12"/>
  <c r="J341" i="12"/>
  <c r="C342" i="12"/>
  <c r="D342" i="12"/>
  <c r="E342" i="12"/>
  <c r="F342" i="12"/>
  <c r="G342" i="12"/>
  <c r="H342" i="12"/>
  <c r="I342" i="12"/>
  <c r="J342" i="12"/>
  <c r="C343" i="12"/>
  <c r="D343" i="12"/>
  <c r="E343" i="12"/>
  <c r="F343" i="12"/>
  <c r="G343" i="12"/>
  <c r="H343" i="12"/>
  <c r="I343" i="12"/>
  <c r="J343" i="12"/>
  <c r="C344" i="12"/>
  <c r="D344" i="12"/>
  <c r="E344" i="12"/>
  <c r="F344" i="12"/>
  <c r="G344" i="12"/>
  <c r="H344" i="12"/>
  <c r="I344" i="12"/>
  <c r="J344" i="12"/>
  <c r="C345" i="12"/>
  <c r="D345" i="12"/>
  <c r="E345" i="12"/>
  <c r="F345" i="12"/>
  <c r="G345" i="12"/>
  <c r="H345" i="12"/>
  <c r="I345" i="12"/>
  <c r="J345" i="12"/>
  <c r="C346" i="12"/>
  <c r="D346" i="12"/>
  <c r="E346" i="12"/>
  <c r="F346" i="12"/>
  <c r="G346" i="12"/>
  <c r="H346" i="12"/>
  <c r="I346" i="12"/>
  <c r="J346" i="12"/>
  <c r="C347" i="12"/>
  <c r="D347" i="12"/>
  <c r="E347" i="12"/>
  <c r="F347" i="12"/>
  <c r="G347" i="12"/>
  <c r="H347" i="12"/>
  <c r="I347" i="12"/>
  <c r="J347" i="12"/>
  <c r="C348" i="12"/>
  <c r="D348" i="12"/>
  <c r="E348" i="12"/>
  <c r="F348" i="12"/>
  <c r="G348" i="12"/>
  <c r="H348" i="12"/>
  <c r="I348" i="12"/>
  <c r="J348" i="12"/>
  <c r="C349" i="12"/>
  <c r="D349" i="12"/>
  <c r="E349" i="12"/>
  <c r="F349" i="12"/>
  <c r="G349" i="12"/>
  <c r="H349" i="12"/>
  <c r="I349" i="12"/>
  <c r="J349" i="12"/>
  <c r="C350" i="12"/>
  <c r="D350" i="12"/>
  <c r="E350" i="12"/>
  <c r="F350" i="12"/>
  <c r="G350" i="12"/>
  <c r="H350" i="12"/>
  <c r="I350" i="12"/>
  <c r="J350" i="12"/>
  <c r="C351" i="12"/>
  <c r="D351" i="12"/>
  <c r="E351" i="12"/>
  <c r="F351" i="12"/>
  <c r="G351" i="12"/>
  <c r="H351" i="12"/>
  <c r="I351" i="12"/>
  <c r="J351" i="12"/>
  <c r="C352" i="12"/>
  <c r="D352" i="12"/>
  <c r="E352" i="12"/>
  <c r="F352" i="12"/>
  <c r="G352" i="12"/>
  <c r="H352" i="12"/>
  <c r="I352" i="12"/>
  <c r="J352" i="12"/>
  <c r="C353" i="12"/>
  <c r="D353" i="12"/>
  <c r="E353" i="12"/>
  <c r="F353" i="12"/>
  <c r="G353" i="12"/>
  <c r="H353" i="12"/>
  <c r="I353" i="12"/>
  <c r="J353" i="12"/>
  <c r="C354" i="12"/>
  <c r="D354" i="12"/>
  <c r="E354" i="12"/>
  <c r="F354" i="12"/>
  <c r="G354" i="12"/>
  <c r="H354" i="12"/>
  <c r="I354" i="12"/>
  <c r="J354" i="12"/>
  <c r="C355" i="12"/>
  <c r="D355" i="12"/>
  <c r="E355" i="12"/>
  <c r="F355" i="12"/>
  <c r="G355" i="12"/>
  <c r="H355" i="12"/>
  <c r="I355" i="12"/>
  <c r="J355" i="12"/>
  <c r="C356" i="12"/>
  <c r="D356" i="12"/>
  <c r="E356" i="12"/>
  <c r="F356" i="12"/>
  <c r="G356" i="12"/>
  <c r="H356" i="12"/>
  <c r="I356" i="12"/>
  <c r="J356" i="12"/>
  <c r="C357" i="12"/>
  <c r="D357" i="12"/>
  <c r="E357" i="12"/>
  <c r="F357" i="12"/>
  <c r="G357" i="12"/>
  <c r="H357" i="12"/>
  <c r="I357" i="12"/>
  <c r="J357" i="12"/>
  <c r="C358" i="12"/>
  <c r="D358" i="12"/>
  <c r="E358" i="12"/>
  <c r="F358" i="12"/>
  <c r="G358" i="12"/>
  <c r="H358" i="12"/>
  <c r="I358" i="12"/>
  <c r="J358" i="12"/>
  <c r="C359" i="12"/>
  <c r="D359" i="12"/>
  <c r="E359" i="12"/>
  <c r="F359" i="12"/>
  <c r="G359" i="12"/>
  <c r="H359" i="12"/>
  <c r="I359" i="12"/>
  <c r="J359" i="12"/>
  <c r="C360" i="12"/>
  <c r="D360" i="12"/>
  <c r="E360" i="12"/>
  <c r="F360" i="12"/>
  <c r="G360" i="12"/>
  <c r="H360" i="12"/>
  <c r="I360" i="12"/>
  <c r="J360" i="12"/>
  <c r="C361" i="12"/>
  <c r="D361" i="12"/>
  <c r="E361" i="12"/>
  <c r="F361" i="12"/>
  <c r="G361" i="12"/>
  <c r="H361" i="12"/>
  <c r="I361" i="12"/>
  <c r="J361" i="12"/>
  <c r="C362" i="12"/>
  <c r="D362" i="12"/>
  <c r="E362" i="12"/>
  <c r="F362" i="12"/>
  <c r="G362" i="12"/>
  <c r="H362" i="12"/>
  <c r="I362" i="12"/>
  <c r="J362" i="12"/>
  <c r="C363" i="12"/>
  <c r="D363" i="12"/>
  <c r="E363" i="12"/>
  <c r="F363" i="12"/>
  <c r="G363" i="12"/>
  <c r="H363" i="12"/>
  <c r="I363" i="12"/>
  <c r="J363" i="12"/>
  <c r="C364" i="12"/>
  <c r="D364" i="12"/>
  <c r="E364" i="12"/>
  <c r="F364" i="12"/>
  <c r="G364" i="12"/>
  <c r="H364" i="12"/>
  <c r="I364" i="12"/>
  <c r="J364" i="12"/>
  <c r="C365" i="12"/>
  <c r="D365" i="12"/>
  <c r="E365" i="12"/>
  <c r="F365" i="12"/>
  <c r="G365" i="12"/>
  <c r="H365" i="12"/>
  <c r="I365" i="12"/>
  <c r="J365" i="12"/>
  <c r="C366" i="12"/>
  <c r="D366" i="12"/>
  <c r="E366" i="12"/>
  <c r="F366" i="12"/>
  <c r="G366" i="12"/>
  <c r="H366" i="12"/>
  <c r="I366" i="12"/>
  <c r="J366" i="12"/>
  <c r="C367" i="12"/>
  <c r="D367" i="12"/>
  <c r="E367" i="12"/>
  <c r="F367" i="12"/>
  <c r="G367" i="12"/>
  <c r="H367" i="12"/>
  <c r="I367" i="12"/>
  <c r="J367" i="12"/>
  <c r="C368" i="12"/>
  <c r="D368" i="12"/>
  <c r="E368" i="12"/>
  <c r="F368" i="12"/>
  <c r="G368" i="12"/>
  <c r="H368" i="12"/>
  <c r="I368" i="12"/>
  <c r="J368" i="12"/>
  <c r="C369" i="12"/>
  <c r="D369" i="12"/>
  <c r="E369" i="12"/>
  <c r="F369" i="12"/>
  <c r="G369" i="12"/>
  <c r="H369" i="12"/>
  <c r="I369" i="12"/>
  <c r="J369" i="12"/>
  <c r="C370" i="12"/>
  <c r="D370" i="12"/>
  <c r="E370" i="12"/>
  <c r="F370" i="12"/>
  <c r="G370" i="12"/>
  <c r="H370" i="12"/>
  <c r="I370" i="12"/>
  <c r="J370" i="12"/>
  <c r="C371" i="12"/>
  <c r="D371" i="12"/>
  <c r="E371" i="12"/>
  <c r="F371" i="12"/>
  <c r="G371" i="12"/>
  <c r="H371" i="12"/>
  <c r="I371" i="12"/>
  <c r="J371" i="12"/>
  <c r="C372" i="12"/>
  <c r="D372" i="12"/>
  <c r="E372" i="12"/>
  <c r="F372" i="12"/>
  <c r="G372" i="12"/>
  <c r="H372" i="12"/>
  <c r="I372" i="12"/>
  <c r="J372" i="12"/>
  <c r="C373" i="12"/>
  <c r="D373" i="12"/>
  <c r="E373" i="12"/>
  <c r="F373" i="12"/>
  <c r="G373" i="12"/>
  <c r="H373" i="12"/>
  <c r="I373" i="12"/>
  <c r="J373" i="12"/>
  <c r="C374" i="12"/>
  <c r="D374" i="12"/>
  <c r="E374" i="12"/>
  <c r="F374" i="12"/>
  <c r="G374" i="12"/>
  <c r="H374" i="12"/>
  <c r="I374" i="12"/>
  <c r="J374" i="12"/>
  <c r="C375" i="12"/>
  <c r="D375" i="12"/>
  <c r="E375" i="12"/>
  <c r="F375" i="12"/>
  <c r="G375" i="12"/>
  <c r="H375" i="12"/>
  <c r="I375" i="12"/>
  <c r="J375" i="12"/>
  <c r="C376" i="12"/>
  <c r="D376" i="12"/>
  <c r="E376" i="12"/>
  <c r="F376" i="12"/>
  <c r="G376" i="12"/>
  <c r="H376" i="12"/>
  <c r="I376" i="12"/>
  <c r="J376" i="12"/>
  <c r="C377" i="12"/>
  <c r="D377" i="12"/>
  <c r="E377" i="12"/>
  <c r="F377" i="12"/>
  <c r="G377" i="12"/>
  <c r="H377" i="12"/>
  <c r="I377" i="12"/>
  <c r="J377" i="12"/>
  <c r="C378" i="12"/>
  <c r="D378" i="12"/>
  <c r="E378" i="12"/>
  <c r="F378" i="12"/>
  <c r="G378" i="12"/>
  <c r="H378" i="12"/>
  <c r="I378" i="12"/>
  <c r="J378" i="12"/>
  <c r="C379" i="12"/>
  <c r="D379" i="12"/>
  <c r="E379" i="12"/>
  <c r="F379" i="12"/>
  <c r="G379" i="12"/>
  <c r="H379" i="12"/>
  <c r="I379" i="12"/>
  <c r="J379" i="12"/>
  <c r="C380" i="12"/>
  <c r="D380" i="12"/>
  <c r="E380" i="12"/>
  <c r="F380" i="12"/>
  <c r="G380" i="12"/>
  <c r="H380" i="12"/>
  <c r="I380" i="12"/>
  <c r="J380" i="12"/>
  <c r="C381" i="12"/>
  <c r="D381" i="12"/>
  <c r="E381" i="12"/>
  <c r="F381" i="12"/>
  <c r="G381" i="12"/>
  <c r="H381" i="12"/>
  <c r="I381" i="12"/>
  <c r="J381" i="12"/>
  <c r="C382" i="12"/>
  <c r="D382" i="12"/>
  <c r="E382" i="12"/>
  <c r="F382" i="12"/>
  <c r="G382" i="12"/>
  <c r="H382" i="12"/>
  <c r="I382" i="12"/>
  <c r="J382" i="12"/>
  <c r="C383" i="12"/>
  <c r="D383" i="12"/>
  <c r="E383" i="12"/>
  <c r="F383" i="12"/>
  <c r="G383" i="12"/>
  <c r="H383" i="12"/>
  <c r="I383" i="12"/>
  <c r="J383" i="12"/>
  <c r="C384" i="12"/>
  <c r="D384" i="12"/>
  <c r="E384" i="12"/>
  <c r="F384" i="12"/>
  <c r="G384" i="12"/>
  <c r="H384" i="12"/>
  <c r="I384" i="12"/>
  <c r="J384" i="12"/>
  <c r="C385" i="12"/>
  <c r="D385" i="12"/>
  <c r="E385" i="12"/>
  <c r="F385" i="12"/>
  <c r="G385" i="12"/>
  <c r="H385" i="12"/>
  <c r="I385" i="12"/>
  <c r="J385" i="12"/>
  <c r="C386" i="12"/>
  <c r="D386" i="12"/>
  <c r="E386" i="12"/>
  <c r="F386" i="12"/>
  <c r="G386" i="12"/>
  <c r="H386" i="12"/>
  <c r="I386" i="12"/>
  <c r="J386" i="12"/>
  <c r="C387" i="12"/>
  <c r="D387" i="12"/>
  <c r="E387" i="12"/>
  <c r="F387" i="12"/>
  <c r="G387" i="12"/>
  <c r="H387" i="12"/>
  <c r="I387" i="12"/>
  <c r="J387" i="12"/>
  <c r="C388" i="12"/>
  <c r="D388" i="12"/>
  <c r="E388" i="12"/>
  <c r="F388" i="12"/>
  <c r="G388" i="12"/>
  <c r="H388" i="12"/>
  <c r="I388" i="12"/>
  <c r="J388" i="12"/>
  <c r="C389" i="12"/>
  <c r="D389" i="12"/>
  <c r="E389" i="12"/>
  <c r="F389" i="12"/>
  <c r="G389" i="12"/>
  <c r="H389" i="12"/>
  <c r="I389" i="12"/>
  <c r="J389" i="12"/>
  <c r="C390" i="12"/>
  <c r="D390" i="12"/>
  <c r="E390" i="12"/>
  <c r="F390" i="12"/>
  <c r="G390" i="12"/>
  <c r="H390" i="12"/>
  <c r="I390" i="12"/>
  <c r="J390" i="12"/>
  <c r="C391" i="12"/>
  <c r="D391" i="12"/>
  <c r="E391" i="12"/>
  <c r="F391" i="12"/>
  <c r="G391" i="12"/>
  <c r="H391" i="12"/>
  <c r="I391" i="12"/>
  <c r="J391" i="12"/>
  <c r="C392" i="12"/>
  <c r="D392" i="12"/>
  <c r="E392" i="12"/>
  <c r="F392" i="12"/>
  <c r="G392" i="12"/>
  <c r="H392" i="12"/>
  <c r="I392" i="12"/>
  <c r="J392" i="12"/>
  <c r="C393" i="12"/>
  <c r="D393" i="12"/>
  <c r="E393" i="12"/>
  <c r="F393" i="12"/>
  <c r="G393" i="12"/>
  <c r="H393" i="12"/>
  <c r="I393" i="12"/>
  <c r="J393" i="12"/>
  <c r="C394" i="12"/>
  <c r="D394" i="12"/>
  <c r="E394" i="12"/>
  <c r="F394" i="12"/>
  <c r="G394" i="12"/>
  <c r="H394" i="12"/>
  <c r="I394" i="12"/>
  <c r="J394" i="12"/>
  <c r="C395" i="12"/>
  <c r="D395" i="12"/>
  <c r="E395" i="12"/>
  <c r="F395" i="12"/>
  <c r="G395" i="12"/>
  <c r="H395" i="12"/>
  <c r="I395" i="12"/>
  <c r="J395" i="12"/>
  <c r="C396" i="12"/>
  <c r="D396" i="12"/>
  <c r="E396" i="12"/>
  <c r="F396" i="12"/>
  <c r="G396" i="12"/>
  <c r="H396" i="12"/>
  <c r="I396" i="12"/>
  <c r="J396" i="12"/>
  <c r="C397" i="12"/>
  <c r="D397" i="12"/>
  <c r="E397" i="12"/>
  <c r="F397" i="12"/>
  <c r="G397" i="12"/>
  <c r="H397" i="12"/>
  <c r="I397" i="12"/>
  <c r="J397" i="12"/>
  <c r="C398" i="12"/>
  <c r="D398" i="12"/>
  <c r="E398" i="12"/>
  <c r="F398" i="12"/>
  <c r="G398" i="12"/>
  <c r="H398" i="12"/>
  <c r="I398" i="12"/>
  <c r="J398" i="12"/>
  <c r="C399" i="12"/>
  <c r="D399" i="12"/>
  <c r="E399" i="12"/>
  <c r="F399" i="12"/>
  <c r="G399" i="12"/>
  <c r="H399" i="12"/>
  <c r="I399" i="12"/>
  <c r="J399" i="12"/>
  <c r="C400" i="12"/>
  <c r="D400" i="12"/>
  <c r="E400" i="12"/>
  <c r="F400" i="12"/>
  <c r="G400" i="12"/>
  <c r="H400" i="12"/>
  <c r="I400" i="12"/>
  <c r="J400" i="12"/>
  <c r="C401" i="12"/>
  <c r="D401" i="12"/>
  <c r="E401" i="12"/>
  <c r="F401" i="12"/>
  <c r="G401" i="12"/>
  <c r="H401" i="12"/>
  <c r="I401" i="12"/>
  <c r="J401" i="12"/>
  <c r="C402" i="12"/>
  <c r="D402" i="12"/>
  <c r="E402" i="12"/>
  <c r="F402" i="12"/>
  <c r="G402" i="12"/>
  <c r="H402" i="12"/>
  <c r="I402" i="12"/>
  <c r="J402" i="12"/>
  <c r="C403" i="12"/>
  <c r="D403" i="12"/>
  <c r="E403" i="12"/>
  <c r="F403" i="12"/>
  <c r="G403" i="12"/>
  <c r="H403" i="12"/>
  <c r="I403" i="12"/>
  <c r="J403" i="12"/>
  <c r="C404" i="12"/>
  <c r="D404" i="12"/>
  <c r="E404" i="12"/>
  <c r="F404" i="12"/>
  <c r="G404" i="12"/>
  <c r="H404" i="12"/>
  <c r="I404" i="12"/>
  <c r="J404" i="12"/>
  <c r="C405" i="12"/>
  <c r="D405" i="12"/>
  <c r="E405" i="12"/>
  <c r="F405" i="12"/>
  <c r="G405" i="12"/>
  <c r="H405" i="12"/>
  <c r="I405" i="12"/>
  <c r="J405" i="12"/>
  <c r="C406" i="12"/>
  <c r="D406" i="12"/>
  <c r="E406" i="12"/>
  <c r="F406" i="12"/>
  <c r="G406" i="12"/>
  <c r="H406" i="12"/>
  <c r="I406" i="12"/>
  <c r="J406" i="12"/>
  <c r="C407" i="12"/>
  <c r="D407" i="12"/>
  <c r="E407" i="12"/>
  <c r="F407" i="12"/>
  <c r="G407" i="12"/>
  <c r="H407" i="12"/>
  <c r="I407" i="12"/>
  <c r="J407" i="12"/>
  <c r="C408" i="12"/>
  <c r="D408" i="12"/>
  <c r="E408" i="12"/>
  <c r="F408" i="12"/>
  <c r="G408" i="12"/>
  <c r="H408" i="12"/>
  <c r="I408" i="12"/>
  <c r="J408" i="12"/>
  <c r="C409" i="12"/>
  <c r="D409" i="12"/>
  <c r="E409" i="12"/>
  <c r="F409" i="12"/>
  <c r="G409" i="12"/>
  <c r="H409" i="12"/>
  <c r="I409" i="12"/>
  <c r="J409" i="12"/>
  <c r="C410" i="12"/>
  <c r="D410" i="12"/>
  <c r="E410" i="12"/>
  <c r="F410" i="12"/>
  <c r="G410" i="12"/>
  <c r="H410" i="12"/>
  <c r="I410" i="12"/>
  <c r="J410" i="12"/>
  <c r="C411" i="12"/>
  <c r="D411" i="12"/>
  <c r="E411" i="12"/>
  <c r="F411" i="12"/>
  <c r="G411" i="12"/>
  <c r="H411" i="12"/>
  <c r="I411" i="12"/>
  <c r="J411" i="12"/>
  <c r="C412" i="12"/>
  <c r="D412" i="12"/>
  <c r="E412" i="12"/>
  <c r="F412" i="12"/>
  <c r="G412" i="12"/>
  <c r="H412" i="12"/>
  <c r="I412" i="12"/>
  <c r="J412" i="12"/>
  <c r="C413" i="12"/>
  <c r="D413" i="12"/>
  <c r="E413" i="12"/>
  <c r="F413" i="12"/>
  <c r="G413" i="12"/>
  <c r="H413" i="12"/>
  <c r="I413" i="12"/>
  <c r="J413" i="12"/>
  <c r="C414" i="12"/>
  <c r="D414" i="12"/>
  <c r="E414" i="12"/>
  <c r="F414" i="12"/>
  <c r="G414" i="12"/>
  <c r="H414" i="12"/>
  <c r="I414" i="12"/>
  <c r="J414" i="12"/>
  <c r="C415" i="12"/>
  <c r="D415" i="12"/>
  <c r="E415" i="12"/>
  <c r="F415" i="12"/>
  <c r="G415" i="12"/>
  <c r="H415" i="12"/>
  <c r="I415" i="12"/>
  <c r="J415" i="12"/>
  <c r="C416" i="12"/>
  <c r="D416" i="12"/>
  <c r="E416" i="12"/>
  <c r="F416" i="12"/>
  <c r="G416" i="12"/>
  <c r="H416" i="12"/>
  <c r="I416" i="12"/>
  <c r="J416" i="12"/>
  <c r="C417" i="12"/>
  <c r="D417" i="12"/>
  <c r="E417" i="12"/>
  <c r="F417" i="12"/>
  <c r="G417" i="12"/>
  <c r="H417" i="12"/>
  <c r="I417" i="12"/>
  <c r="J417" i="12"/>
  <c r="C418" i="12"/>
  <c r="D418" i="12"/>
  <c r="E418" i="12"/>
  <c r="F418" i="12"/>
  <c r="G418" i="12"/>
  <c r="H418" i="12"/>
  <c r="I418" i="12"/>
  <c r="J418" i="12"/>
  <c r="C419" i="12"/>
  <c r="D419" i="12"/>
  <c r="E419" i="12"/>
  <c r="F419" i="12"/>
  <c r="G419" i="12"/>
  <c r="H419" i="12"/>
  <c r="I419" i="12"/>
  <c r="J419" i="12"/>
  <c r="C420" i="12"/>
  <c r="D420" i="12"/>
  <c r="E420" i="12"/>
  <c r="F420" i="12"/>
  <c r="G420" i="12"/>
  <c r="H420" i="12"/>
  <c r="I420" i="12"/>
  <c r="J420" i="12"/>
  <c r="C421" i="12"/>
  <c r="D421" i="12"/>
  <c r="E421" i="12"/>
  <c r="F421" i="12"/>
  <c r="G421" i="12"/>
  <c r="H421" i="12"/>
  <c r="I421" i="12"/>
  <c r="J421" i="12"/>
  <c r="C422" i="12"/>
  <c r="D422" i="12"/>
  <c r="E422" i="12"/>
  <c r="F422" i="12"/>
  <c r="G422" i="12"/>
  <c r="H422" i="12"/>
  <c r="I422" i="12"/>
  <c r="J422" i="12"/>
  <c r="C423" i="12"/>
  <c r="D423" i="12"/>
  <c r="E423" i="12"/>
  <c r="F423" i="12"/>
  <c r="G423" i="12"/>
  <c r="H423" i="12"/>
  <c r="I423" i="12"/>
  <c r="J423" i="12"/>
  <c r="C424" i="12"/>
  <c r="D424" i="12"/>
  <c r="E424" i="12"/>
  <c r="F424" i="12"/>
  <c r="G424" i="12"/>
  <c r="H424" i="12"/>
  <c r="I424" i="12"/>
  <c r="J424" i="12"/>
  <c r="C425" i="12"/>
  <c r="D425" i="12"/>
  <c r="E425" i="12"/>
  <c r="F425" i="12"/>
  <c r="G425" i="12"/>
  <c r="H425" i="12"/>
  <c r="I425" i="12"/>
  <c r="J425" i="12"/>
  <c r="C426" i="12"/>
  <c r="D426" i="12"/>
  <c r="E426" i="12"/>
  <c r="F426" i="12"/>
  <c r="G426" i="12"/>
  <c r="H426" i="12"/>
  <c r="I426" i="12"/>
  <c r="J426" i="12"/>
  <c r="C427" i="12"/>
  <c r="D427" i="12"/>
  <c r="E427" i="12"/>
  <c r="F427" i="12"/>
  <c r="G427" i="12"/>
  <c r="H427" i="12"/>
  <c r="I427" i="12"/>
  <c r="J427" i="12"/>
  <c r="C428" i="12"/>
  <c r="D428" i="12"/>
  <c r="E428" i="12"/>
  <c r="F428" i="12"/>
  <c r="G428" i="12"/>
  <c r="H428" i="12"/>
  <c r="I428" i="12"/>
  <c r="J428" i="12"/>
  <c r="C429" i="12"/>
  <c r="D429" i="12"/>
  <c r="E429" i="12"/>
  <c r="F429" i="12"/>
  <c r="G429" i="12"/>
  <c r="H429" i="12"/>
  <c r="I429" i="12"/>
  <c r="J429" i="12"/>
  <c r="C430" i="12"/>
  <c r="D430" i="12"/>
  <c r="E430" i="12"/>
  <c r="F430" i="12"/>
  <c r="G430" i="12"/>
  <c r="H430" i="12"/>
  <c r="I430" i="12"/>
  <c r="J430" i="12"/>
  <c r="C431" i="12"/>
  <c r="D431" i="12"/>
  <c r="E431" i="12"/>
  <c r="F431" i="12"/>
  <c r="G431" i="12"/>
  <c r="H431" i="12"/>
  <c r="I431" i="12"/>
  <c r="J431" i="12"/>
  <c r="C432" i="12"/>
  <c r="D432" i="12"/>
  <c r="E432" i="12"/>
  <c r="F432" i="12"/>
  <c r="G432" i="12"/>
  <c r="H432" i="12"/>
  <c r="I432" i="12"/>
  <c r="J432" i="12"/>
  <c r="C433" i="12"/>
  <c r="D433" i="12"/>
  <c r="E433" i="12"/>
  <c r="F433" i="12"/>
  <c r="G433" i="12"/>
  <c r="H433" i="12"/>
  <c r="I433" i="12"/>
  <c r="J433" i="12"/>
  <c r="C434" i="12"/>
  <c r="D434" i="12"/>
  <c r="E434" i="12"/>
  <c r="F434" i="12"/>
  <c r="G434" i="12"/>
  <c r="H434" i="12"/>
  <c r="I434" i="12"/>
  <c r="J434" i="12"/>
  <c r="C435" i="12"/>
  <c r="D435" i="12"/>
  <c r="E435" i="12"/>
  <c r="F435" i="12"/>
  <c r="G435" i="12"/>
  <c r="H435" i="12"/>
  <c r="I435" i="12"/>
  <c r="J435" i="12"/>
  <c r="C436" i="12"/>
  <c r="D436" i="12"/>
  <c r="E436" i="12"/>
  <c r="F436" i="12"/>
  <c r="G436" i="12"/>
  <c r="H436" i="12"/>
  <c r="I436" i="12"/>
  <c r="J436" i="12"/>
  <c r="C437" i="12"/>
  <c r="D437" i="12"/>
  <c r="E437" i="12"/>
  <c r="F437" i="12"/>
  <c r="G437" i="12"/>
  <c r="H437" i="12"/>
  <c r="I437" i="12"/>
  <c r="J437" i="12"/>
  <c r="C438" i="12"/>
  <c r="D438" i="12"/>
  <c r="E438" i="12"/>
  <c r="F438" i="12"/>
  <c r="G438" i="12"/>
  <c r="H438" i="12"/>
  <c r="I438" i="12"/>
  <c r="J438" i="12"/>
  <c r="C439" i="12"/>
  <c r="D439" i="12"/>
  <c r="E439" i="12"/>
  <c r="F439" i="12"/>
  <c r="G439" i="12"/>
  <c r="H439" i="12"/>
  <c r="I439" i="12"/>
  <c r="J439" i="12"/>
  <c r="C440" i="12"/>
  <c r="D440" i="12"/>
  <c r="E440" i="12"/>
  <c r="F440" i="12"/>
  <c r="G440" i="12"/>
  <c r="H440" i="12"/>
  <c r="I440" i="12"/>
  <c r="J440" i="12"/>
  <c r="C441" i="12"/>
  <c r="D441" i="12"/>
  <c r="E441" i="12"/>
  <c r="F441" i="12"/>
  <c r="G441" i="12"/>
  <c r="H441" i="12"/>
  <c r="I441" i="12"/>
  <c r="J441" i="12"/>
  <c r="C442" i="12"/>
  <c r="D442" i="12"/>
  <c r="E442" i="12"/>
  <c r="F442" i="12"/>
  <c r="G442" i="12"/>
  <c r="H442" i="12"/>
  <c r="I442" i="12"/>
  <c r="J442" i="12"/>
  <c r="C443" i="12"/>
  <c r="D443" i="12"/>
  <c r="E443" i="12"/>
  <c r="F443" i="12"/>
  <c r="G443" i="12"/>
  <c r="H443" i="12"/>
  <c r="I443" i="12"/>
  <c r="J443" i="12"/>
  <c r="C444" i="12"/>
  <c r="D444" i="12"/>
  <c r="E444" i="12"/>
  <c r="F444" i="12"/>
  <c r="G444" i="12"/>
  <c r="H444" i="12"/>
  <c r="I444" i="12"/>
  <c r="J444" i="12"/>
  <c r="C445" i="12"/>
  <c r="D445" i="12"/>
  <c r="E445" i="12"/>
  <c r="F445" i="12"/>
  <c r="G445" i="12"/>
  <c r="H445" i="12"/>
  <c r="I445" i="12"/>
  <c r="J445" i="12"/>
  <c r="C446" i="12"/>
  <c r="D446" i="12"/>
  <c r="E446" i="12"/>
  <c r="F446" i="12"/>
  <c r="G446" i="12"/>
  <c r="H446" i="12"/>
  <c r="I446" i="12"/>
  <c r="J446" i="12"/>
  <c r="C447" i="12"/>
  <c r="D447" i="12"/>
  <c r="E447" i="12"/>
  <c r="F447" i="12"/>
  <c r="G447" i="12"/>
  <c r="H447" i="12"/>
  <c r="I447" i="12"/>
  <c r="J447" i="12"/>
  <c r="C448" i="12"/>
  <c r="D448" i="12"/>
  <c r="E448" i="12"/>
  <c r="F448" i="12"/>
  <c r="G448" i="12"/>
  <c r="H448" i="12"/>
  <c r="I448" i="12"/>
  <c r="J448" i="12"/>
  <c r="C449" i="12"/>
  <c r="D449" i="12"/>
  <c r="E449" i="12"/>
  <c r="F449" i="12"/>
  <c r="G449" i="12"/>
  <c r="H449" i="12"/>
  <c r="I449" i="12"/>
  <c r="J449" i="12"/>
  <c r="C450" i="12"/>
  <c r="D450" i="12"/>
  <c r="E450" i="12"/>
  <c r="F450" i="12"/>
  <c r="G450" i="12"/>
  <c r="H450" i="12"/>
  <c r="I450" i="12"/>
  <c r="J450" i="12"/>
  <c r="C451" i="12"/>
  <c r="D451" i="12"/>
  <c r="E451" i="12"/>
  <c r="F451" i="12"/>
  <c r="G451" i="12"/>
  <c r="H451" i="12"/>
  <c r="I451" i="12"/>
  <c r="J451" i="12"/>
  <c r="C452" i="12"/>
  <c r="D452" i="12"/>
  <c r="E452" i="12"/>
  <c r="F452" i="12"/>
  <c r="G452" i="12"/>
  <c r="H452" i="12"/>
  <c r="I452" i="12"/>
  <c r="J452" i="12"/>
  <c r="C453" i="12"/>
  <c r="D453" i="12"/>
  <c r="E453" i="12"/>
  <c r="F453" i="12"/>
  <c r="G453" i="12"/>
  <c r="H453" i="12"/>
  <c r="I453" i="12"/>
  <c r="J453" i="12"/>
  <c r="C454" i="12"/>
  <c r="D454" i="12"/>
  <c r="E454" i="12"/>
  <c r="F454" i="12"/>
  <c r="G454" i="12"/>
  <c r="H454" i="12"/>
  <c r="I454" i="12"/>
  <c r="J454" i="12"/>
  <c r="C455" i="12"/>
  <c r="D455" i="12"/>
  <c r="E455" i="12"/>
  <c r="F455" i="12"/>
  <c r="G455" i="12"/>
  <c r="H455" i="12"/>
  <c r="I455" i="12"/>
  <c r="J455" i="12"/>
  <c r="C456" i="12"/>
  <c r="D456" i="12"/>
  <c r="E456" i="12"/>
  <c r="F456" i="12"/>
  <c r="G456" i="12"/>
  <c r="H456" i="12"/>
  <c r="I456" i="12"/>
  <c r="J456" i="12"/>
  <c r="C457" i="12"/>
  <c r="D457" i="12"/>
  <c r="E457" i="12"/>
  <c r="F457" i="12"/>
  <c r="G457" i="12"/>
  <c r="H457" i="12"/>
  <c r="I457" i="12"/>
  <c r="J457" i="12"/>
  <c r="C458" i="12"/>
  <c r="D458" i="12"/>
  <c r="E458" i="12"/>
  <c r="F458" i="12"/>
  <c r="G458" i="12"/>
  <c r="H458" i="12"/>
  <c r="I458" i="12"/>
  <c r="J458" i="12"/>
  <c r="C459" i="12"/>
  <c r="D459" i="12"/>
  <c r="E459" i="12"/>
  <c r="F459" i="12"/>
  <c r="G459" i="12"/>
  <c r="H459" i="12"/>
  <c r="I459" i="12"/>
  <c r="J459" i="12"/>
  <c r="C460" i="12"/>
  <c r="D460" i="12"/>
  <c r="E460" i="12"/>
  <c r="F460" i="12"/>
  <c r="G460" i="12"/>
  <c r="H460" i="12"/>
  <c r="I460" i="12"/>
  <c r="J460" i="12"/>
  <c r="C461" i="12"/>
  <c r="D461" i="12"/>
  <c r="E461" i="12"/>
  <c r="F461" i="12"/>
  <c r="G461" i="12"/>
  <c r="H461" i="12"/>
  <c r="I461" i="12"/>
  <c r="J461" i="12"/>
  <c r="C462" i="12"/>
  <c r="D462" i="12"/>
  <c r="E462" i="12"/>
  <c r="F462" i="12"/>
  <c r="G462" i="12"/>
  <c r="H462" i="12"/>
  <c r="I462" i="12"/>
  <c r="J462" i="12"/>
  <c r="C463" i="12"/>
  <c r="D463" i="12"/>
  <c r="E463" i="12"/>
  <c r="F463" i="12"/>
  <c r="G463" i="12"/>
  <c r="H463" i="12"/>
  <c r="I463" i="12"/>
  <c r="J463" i="12"/>
  <c r="C464" i="12"/>
  <c r="D464" i="12"/>
  <c r="E464" i="12"/>
  <c r="F464" i="12"/>
  <c r="G464" i="12"/>
  <c r="H464" i="12"/>
  <c r="I464" i="12"/>
  <c r="J464" i="12"/>
  <c r="C465" i="12"/>
  <c r="D465" i="12"/>
  <c r="E465" i="12"/>
  <c r="F465" i="12"/>
  <c r="G465" i="12"/>
  <c r="H465" i="12"/>
  <c r="I465" i="12"/>
  <c r="J465" i="12"/>
  <c r="C466" i="12"/>
  <c r="D466" i="12"/>
  <c r="E466" i="12"/>
  <c r="F466" i="12"/>
  <c r="G466" i="12"/>
  <c r="H466" i="12"/>
  <c r="I466" i="12"/>
  <c r="J466" i="12"/>
  <c r="C467" i="12"/>
  <c r="D467" i="12"/>
  <c r="E467" i="12"/>
  <c r="F467" i="12"/>
  <c r="G467" i="12"/>
  <c r="H467" i="12"/>
  <c r="I467" i="12"/>
  <c r="J467" i="12"/>
  <c r="C468" i="12"/>
  <c r="D468" i="12"/>
  <c r="E468" i="12"/>
  <c r="F468" i="12"/>
  <c r="G468" i="12"/>
  <c r="H468" i="12"/>
  <c r="I468" i="12"/>
  <c r="J468" i="12"/>
  <c r="C469" i="12"/>
  <c r="D469" i="12"/>
  <c r="E469" i="12"/>
  <c r="F469" i="12"/>
  <c r="G469" i="12"/>
  <c r="H469" i="12"/>
  <c r="I469" i="12"/>
  <c r="J469" i="12"/>
  <c r="C470" i="12"/>
  <c r="D470" i="12"/>
  <c r="E470" i="12"/>
  <c r="F470" i="12"/>
  <c r="G470" i="12"/>
  <c r="H470" i="12"/>
  <c r="I470" i="12"/>
  <c r="J470" i="12"/>
  <c r="C471" i="12"/>
  <c r="D471" i="12"/>
  <c r="E471" i="12"/>
  <c r="F471" i="12"/>
  <c r="G471" i="12"/>
  <c r="H471" i="12"/>
  <c r="I471" i="12"/>
  <c r="J471" i="12"/>
  <c r="C472" i="12"/>
  <c r="D472" i="12"/>
  <c r="E472" i="12"/>
  <c r="F472" i="12"/>
  <c r="G472" i="12"/>
  <c r="H472" i="12"/>
  <c r="I472" i="12"/>
  <c r="J472" i="12"/>
  <c r="C473" i="12"/>
  <c r="D473" i="12"/>
  <c r="E473" i="12"/>
  <c r="F473" i="12"/>
  <c r="G473" i="12"/>
  <c r="H473" i="12"/>
  <c r="I473" i="12"/>
  <c r="J473" i="12"/>
  <c r="C474" i="12"/>
  <c r="D474" i="12"/>
  <c r="E474" i="12"/>
  <c r="F474" i="12"/>
  <c r="G474" i="12"/>
  <c r="H474" i="12"/>
  <c r="I474" i="12"/>
  <c r="J474" i="12"/>
  <c r="C475" i="12"/>
  <c r="D475" i="12"/>
  <c r="E475" i="12"/>
  <c r="F475" i="12"/>
  <c r="G475" i="12"/>
  <c r="H475" i="12"/>
  <c r="I475" i="12"/>
  <c r="J475" i="12"/>
  <c r="C476" i="12"/>
  <c r="D476" i="12"/>
  <c r="E476" i="12"/>
  <c r="F476" i="12"/>
  <c r="G476" i="12"/>
  <c r="H476" i="12"/>
  <c r="I476" i="12"/>
  <c r="J476" i="12"/>
  <c r="C477" i="12"/>
  <c r="D477" i="12"/>
  <c r="E477" i="12"/>
  <c r="F477" i="12"/>
  <c r="G477" i="12"/>
  <c r="H477" i="12"/>
  <c r="I477" i="12"/>
  <c r="J477" i="12"/>
  <c r="C478" i="12"/>
  <c r="D478" i="12"/>
  <c r="E478" i="12"/>
  <c r="F478" i="12"/>
  <c r="G478" i="12"/>
  <c r="H478" i="12"/>
  <c r="I478" i="12"/>
  <c r="J478" i="12"/>
  <c r="C479" i="12"/>
  <c r="D479" i="12"/>
  <c r="E479" i="12"/>
  <c r="F479" i="12"/>
  <c r="G479" i="12"/>
  <c r="H479" i="12"/>
  <c r="I479" i="12"/>
  <c r="J479" i="12"/>
  <c r="C480" i="12"/>
  <c r="D480" i="12"/>
  <c r="E480" i="12"/>
  <c r="F480" i="12"/>
  <c r="G480" i="12"/>
  <c r="H480" i="12"/>
  <c r="I480" i="12"/>
  <c r="J480" i="12"/>
  <c r="C481" i="12"/>
  <c r="D481" i="12"/>
  <c r="E481" i="12"/>
  <c r="F481" i="12"/>
  <c r="G481" i="12"/>
  <c r="H481" i="12"/>
  <c r="I481" i="12"/>
  <c r="J481" i="12"/>
  <c r="C482" i="12"/>
  <c r="D482" i="12"/>
  <c r="E482" i="12"/>
  <c r="F482" i="12"/>
  <c r="G482" i="12"/>
  <c r="H482" i="12"/>
  <c r="I482" i="12"/>
  <c r="J482" i="12"/>
  <c r="C483" i="12"/>
  <c r="D483" i="12"/>
  <c r="E483" i="12"/>
  <c r="F483" i="12"/>
  <c r="G483" i="12"/>
  <c r="H483" i="12"/>
  <c r="I483" i="12"/>
  <c r="J483" i="12"/>
  <c r="C484" i="12"/>
  <c r="D484" i="12"/>
  <c r="E484" i="12"/>
  <c r="F484" i="12"/>
  <c r="G484" i="12"/>
  <c r="H484" i="12"/>
  <c r="I484" i="12"/>
  <c r="J484" i="12"/>
  <c r="C485" i="12"/>
  <c r="D485" i="12"/>
  <c r="E485" i="12"/>
  <c r="F485" i="12"/>
  <c r="G485" i="12"/>
  <c r="H485" i="12"/>
  <c r="I485" i="12"/>
  <c r="J485" i="12"/>
  <c r="C486" i="12"/>
  <c r="D486" i="12"/>
  <c r="E486" i="12"/>
  <c r="F486" i="12"/>
  <c r="G486" i="12"/>
  <c r="H486" i="12"/>
  <c r="I486" i="12"/>
  <c r="J486" i="12"/>
  <c r="C487" i="12"/>
  <c r="D487" i="12"/>
  <c r="E487" i="12"/>
  <c r="F487" i="12"/>
  <c r="G487" i="12"/>
  <c r="H487" i="12"/>
  <c r="I487" i="12"/>
  <c r="J487" i="12"/>
  <c r="C488" i="12"/>
  <c r="D488" i="12"/>
  <c r="E488" i="12"/>
  <c r="F488" i="12"/>
  <c r="G488" i="12"/>
  <c r="H488" i="12"/>
  <c r="I488" i="12"/>
  <c r="J488" i="12"/>
  <c r="C489" i="12"/>
  <c r="D489" i="12"/>
  <c r="E489" i="12"/>
  <c r="F489" i="12"/>
  <c r="G489" i="12"/>
  <c r="H489" i="12"/>
  <c r="I489" i="12"/>
  <c r="J489" i="12"/>
  <c r="C490" i="12"/>
  <c r="D490" i="12"/>
  <c r="E490" i="12"/>
  <c r="F490" i="12"/>
  <c r="G490" i="12"/>
  <c r="H490" i="12"/>
  <c r="I490" i="12"/>
  <c r="J490" i="12"/>
  <c r="C491" i="12"/>
  <c r="D491" i="12"/>
  <c r="E491" i="12"/>
  <c r="F491" i="12"/>
  <c r="G491" i="12"/>
  <c r="H491" i="12"/>
  <c r="I491" i="12"/>
  <c r="J491" i="12"/>
  <c r="C492" i="12"/>
  <c r="D492" i="12"/>
  <c r="E492" i="12"/>
  <c r="F492" i="12"/>
  <c r="G492" i="12"/>
  <c r="H492" i="12"/>
  <c r="I492" i="12"/>
  <c r="J492" i="12"/>
  <c r="C493" i="12"/>
  <c r="D493" i="12"/>
  <c r="E493" i="12"/>
  <c r="F493" i="12"/>
  <c r="G493" i="12"/>
  <c r="H493" i="12"/>
  <c r="I493" i="12"/>
  <c r="J493" i="12"/>
  <c r="C494" i="12"/>
  <c r="D494" i="12"/>
  <c r="E494" i="12"/>
  <c r="F494" i="12"/>
  <c r="G494" i="12"/>
  <c r="H494" i="12"/>
  <c r="I494" i="12"/>
  <c r="J494" i="12"/>
  <c r="C495" i="12"/>
  <c r="D495" i="12"/>
  <c r="E495" i="12"/>
  <c r="F495" i="12"/>
  <c r="G495" i="12"/>
  <c r="H495" i="12"/>
  <c r="I495" i="12"/>
  <c r="J495" i="12"/>
  <c r="C496" i="12"/>
  <c r="D496" i="12"/>
  <c r="E496" i="12"/>
  <c r="F496" i="12"/>
  <c r="G496" i="12"/>
  <c r="H496" i="12"/>
  <c r="I496" i="12"/>
  <c r="J496" i="12"/>
  <c r="C497" i="12"/>
  <c r="D497" i="12"/>
  <c r="E497" i="12"/>
  <c r="F497" i="12"/>
  <c r="G497" i="12"/>
  <c r="H497" i="12"/>
  <c r="I497" i="12"/>
  <c r="J497" i="12"/>
  <c r="C498" i="12"/>
  <c r="D498" i="12"/>
  <c r="E498" i="12"/>
  <c r="F498" i="12"/>
  <c r="G498" i="12"/>
  <c r="H498" i="12"/>
  <c r="I498" i="12"/>
  <c r="J498" i="12"/>
  <c r="C499" i="12"/>
  <c r="D499" i="12"/>
  <c r="E499" i="12"/>
  <c r="F499" i="12"/>
  <c r="G499" i="12"/>
  <c r="H499" i="12"/>
  <c r="I499" i="12"/>
  <c r="J499" i="12"/>
  <c r="C500" i="12"/>
  <c r="D500" i="12"/>
  <c r="E500" i="12"/>
  <c r="F500" i="12"/>
  <c r="G500" i="12"/>
  <c r="H500" i="12"/>
  <c r="I500" i="12"/>
  <c r="J500" i="12"/>
  <c r="C501" i="12"/>
  <c r="D501" i="12"/>
  <c r="E501" i="12"/>
  <c r="F501" i="12"/>
  <c r="G501" i="12"/>
  <c r="H501" i="12"/>
  <c r="I501" i="12"/>
  <c r="J501" i="12"/>
  <c r="C502" i="12"/>
  <c r="D502" i="12"/>
  <c r="E502" i="12"/>
  <c r="F502" i="12"/>
  <c r="G502" i="12"/>
  <c r="H502" i="12"/>
  <c r="I502" i="12"/>
  <c r="J502" i="12"/>
  <c r="C503" i="12"/>
  <c r="D503" i="12"/>
  <c r="E503" i="12"/>
  <c r="F503" i="12"/>
  <c r="G503" i="12"/>
  <c r="H503" i="12"/>
  <c r="I503" i="12"/>
  <c r="J503" i="12"/>
  <c r="C504" i="12"/>
  <c r="D504" i="12"/>
  <c r="E504" i="12"/>
  <c r="F504" i="12"/>
  <c r="G504" i="12"/>
  <c r="H504" i="12"/>
  <c r="I504" i="12"/>
  <c r="J504" i="12"/>
  <c r="C505" i="12"/>
  <c r="D505" i="12"/>
  <c r="E505" i="12"/>
  <c r="F505" i="12"/>
  <c r="G505" i="12"/>
  <c r="H505" i="12"/>
  <c r="I505" i="12"/>
  <c r="J505" i="12"/>
  <c r="C506" i="12"/>
  <c r="D506" i="12"/>
  <c r="E506" i="12"/>
  <c r="F506" i="12"/>
  <c r="G506" i="12"/>
  <c r="H506" i="12"/>
  <c r="I506" i="12"/>
  <c r="J506" i="12"/>
  <c r="C507" i="12"/>
  <c r="D507" i="12"/>
  <c r="E507" i="12"/>
  <c r="F507" i="12"/>
  <c r="G507" i="12"/>
  <c r="H507" i="12"/>
  <c r="I507" i="12"/>
  <c r="J507" i="12"/>
  <c r="C508" i="12"/>
  <c r="D508" i="12"/>
  <c r="E508" i="12"/>
  <c r="F508" i="12"/>
  <c r="G508" i="12"/>
  <c r="H508" i="12"/>
  <c r="I508" i="12"/>
  <c r="J508" i="12"/>
  <c r="C509" i="12"/>
  <c r="D509" i="12"/>
  <c r="E509" i="12"/>
  <c r="F509" i="12"/>
  <c r="G509" i="12"/>
  <c r="H509" i="12"/>
  <c r="I509" i="12"/>
  <c r="J509" i="12"/>
  <c r="C510" i="12"/>
  <c r="D510" i="12"/>
  <c r="E510" i="12"/>
  <c r="F510" i="12"/>
  <c r="G510" i="12"/>
  <c r="H510" i="12"/>
  <c r="I510" i="12"/>
  <c r="J510" i="12"/>
  <c r="C511" i="12"/>
  <c r="D511" i="12"/>
  <c r="E511" i="12"/>
  <c r="F511" i="12"/>
  <c r="G511" i="12"/>
  <c r="H511" i="12"/>
  <c r="I511" i="12"/>
  <c r="J511" i="12"/>
  <c r="C512" i="12"/>
  <c r="D512" i="12"/>
  <c r="E512" i="12"/>
  <c r="F512" i="12"/>
  <c r="G512" i="12"/>
  <c r="H512" i="12"/>
  <c r="I512" i="12"/>
  <c r="J512" i="12"/>
  <c r="C513" i="12"/>
  <c r="D513" i="12"/>
  <c r="E513" i="12"/>
  <c r="F513" i="12"/>
  <c r="G513" i="12"/>
  <c r="H513" i="12"/>
  <c r="I513" i="12"/>
  <c r="J513" i="12"/>
  <c r="C514" i="12"/>
  <c r="D514" i="12"/>
  <c r="E514" i="12"/>
  <c r="F514" i="12"/>
  <c r="G514" i="12"/>
  <c r="H514" i="12"/>
  <c r="I514" i="12"/>
  <c r="J514" i="12"/>
  <c r="C515" i="12"/>
  <c r="D515" i="12"/>
  <c r="E515" i="12"/>
  <c r="F515" i="12"/>
  <c r="G515" i="12"/>
  <c r="H515" i="12"/>
  <c r="I515" i="12"/>
  <c r="J515" i="12"/>
  <c r="C516" i="12"/>
  <c r="D516" i="12"/>
  <c r="E516" i="12"/>
  <c r="F516" i="12"/>
  <c r="G516" i="12"/>
  <c r="H516" i="12"/>
  <c r="I516" i="12"/>
  <c r="J516" i="12"/>
  <c r="C517" i="12"/>
  <c r="D517" i="12"/>
  <c r="E517" i="12"/>
  <c r="F517" i="12"/>
  <c r="G517" i="12"/>
  <c r="H517" i="12"/>
  <c r="I517" i="12"/>
  <c r="J517" i="12"/>
  <c r="C518" i="12"/>
  <c r="D518" i="12"/>
  <c r="E518" i="12"/>
  <c r="F518" i="12"/>
  <c r="G518" i="12"/>
  <c r="H518" i="12"/>
  <c r="I518" i="12"/>
  <c r="J518" i="12"/>
  <c r="C519" i="12"/>
  <c r="D519" i="12"/>
  <c r="E519" i="12"/>
  <c r="F519" i="12"/>
  <c r="G519" i="12"/>
  <c r="H519" i="12"/>
  <c r="I519" i="12"/>
  <c r="J519" i="12"/>
  <c r="C520" i="12"/>
  <c r="D520" i="12"/>
  <c r="E520" i="12"/>
  <c r="F520" i="12"/>
  <c r="G520" i="12"/>
  <c r="H520" i="12"/>
  <c r="I520" i="12"/>
  <c r="J520" i="12"/>
  <c r="C521" i="12"/>
  <c r="D521" i="12"/>
  <c r="E521" i="12"/>
  <c r="F521" i="12"/>
  <c r="G521" i="12"/>
  <c r="H521" i="12"/>
  <c r="I521" i="12"/>
  <c r="J521" i="12"/>
  <c r="C522" i="12"/>
  <c r="D522" i="12"/>
  <c r="E522" i="12"/>
  <c r="F522" i="12"/>
  <c r="G522" i="12"/>
  <c r="H522" i="12"/>
  <c r="I522" i="12"/>
  <c r="J522" i="12"/>
  <c r="C523" i="12"/>
  <c r="D523" i="12"/>
  <c r="E523" i="12"/>
  <c r="F523" i="12"/>
  <c r="G523" i="12"/>
  <c r="H523" i="12"/>
  <c r="I523" i="12"/>
  <c r="J523" i="12"/>
  <c r="C524" i="12"/>
  <c r="D524" i="12"/>
  <c r="E524" i="12"/>
  <c r="F524" i="12"/>
  <c r="G524" i="12"/>
  <c r="H524" i="12"/>
  <c r="I524" i="12"/>
  <c r="J524" i="12"/>
  <c r="C525" i="12"/>
  <c r="D525" i="12"/>
  <c r="E525" i="12"/>
  <c r="F525" i="12"/>
  <c r="G525" i="12"/>
  <c r="H525" i="12"/>
  <c r="I525" i="12"/>
  <c r="J525" i="12"/>
  <c r="C526" i="12"/>
  <c r="D526" i="12"/>
  <c r="E526" i="12"/>
  <c r="F526" i="12"/>
  <c r="G526" i="12"/>
  <c r="H526" i="12"/>
  <c r="I526" i="12"/>
  <c r="J526" i="12"/>
  <c r="C527" i="12"/>
  <c r="D527" i="12"/>
  <c r="E527" i="12"/>
  <c r="F527" i="12"/>
  <c r="G527" i="12"/>
  <c r="H527" i="12"/>
  <c r="I527" i="12"/>
  <c r="J527" i="12"/>
  <c r="C528" i="12"/>
  <c r="D528" i="12"/>
  <c r="E528" i="12"/>
  <c r="F528" i="12"/>
  <c r="G528" i="12"/>
  <c r="H528" i="12"/>
  <c r="I528" i="12"/>
  <c r="J528" i="12"/>
  <c r="C529" i="12"/>
  <c r="D529" i="12"/>
  <c r="E529" i="12"/>
  <c r="F529" i="12"/>
  <c r="G529" i="12"/>
  <c r="H529" i="12"/>
  <c r="I529" i="12"/>
  <c r="J529" i="12"/>
  <c r="C530" i="12"/>
  <c r="D530" i="12"/>
  <c r="E530" i="12"/>
  <c r="F530" i="12"/>
  <c r="G530" i="12"/>
  <c r="H530" i="12"/>
  <c r="I530" i="12"/>
  <c r="J530" i="12"/>
  <c r="C531" i="12"/>
  <c r="D531" i="12"/>
  <c r="E531" i="12"/>
  <c r="F531" i="12"/>
  <c r="G531" i="12"/>
  <c r="H531" i="12"/>
  <c r="I531" i="12"/>
  <c r="J531" i="12"/>
  <c r="C532" i="12"/>
  <c r="D532" i="12"/>
  <c r="E532" i="12"/>
  <c r="F532" i="12"/>
  <c r="G532" i="12"/>
  <c r="H532" i="12"/>
  <c r="I532" i="12"/>
  <c r="J532" i="12"/>
  <c r="C533" i="12"/>
  <c r="D533" i="12"/>
  <c r="E533" i="12"/>
  <c r="F533" i="12"/>
  <c r="G533" i="12"/>
  <c r="H533" i="12"/>
  <c r="I533" i="12"/>
  <c r="J533" i="12"/>
  <c r="C534" i="12"/>
  <c r="D534" i="12"/>
  <c r="E534" i="12"/>
  <c r="F534" i="12"/>
  <c r="G534" i="12"/>
  <c r="H534" i="12"/>
  <c r="I534" i="12"/>
  <c r="J534" i="12"/>
  <c r="C535" i="12"/>
  <c r="D535" i="12"/>
  <c r="E535" i="12"/>
  <c r="F535" i="12"/>
  <c r="G535" i="12"/>
  <c r="H535" i="12"/>
  <c r="I535" i="12"/>
  <c r="J535" i="12"/>
  <c r="C536" i="12"/>
  <c r="D536" i="12"/>
  <c r="E536" i="12"/>
  <c r="F536" i="12"/>
  <c r="G536" i="12"/>
  <c r="H536" i="12"/>
  <c r="I536" i="12"/>
  <c r="J536" i="12"/>
  <c r="C537" i="12"/>
  <c r="D537" i="12"/>
  <c r="E537" i="12"/>
  <c r="F537" i="12"/>
  <c r="G537" i="12"/>
  <c r="H537" i="12"/>
  <c r="I537" i="12"/>
  <c r="J537" i="12"/>
  <c r="C538" i="12"/>
  <c r="D538" i="12"/>
  <c r="E538" i="12"/>
  <c r="F538" i="12"/>
  <c r="G538" i="12"/>
  <c r="H538" i="12"/>
  <c r="I538" i="12"/>
  <c r="J538" i="12"/>
  <c r="C539" i="12"/>
  <c r="D539" i="12"/>
  <c r="E539" i="12"/>
  <c r="F539" i="12"/>
  <c r="G539" i="12"/>
  <c r="H539" i="12"/>
  <c r="I539" i="12"/>
  <c r="J539" i="12"/>
  <c r="C540" i="12"/>
  <c r="D540" i="12"/>
  <c r="E540" i="12"/>
  <c r="F540" i="12"/>
  <c r="G540" i="12"/>
  <c r="H540" i="12"/>
  <c r="I540" i="12"/>
  <c r="J540" i="12"/>
  <c r="C541" i="12"/>
  <c r="D541" i="12"/>
  <c r="E541" i="12"/>
  <c r="F541" i="12"/>
  <c r="G541" i="12"/>
  <c r="H541" i="12"/>
  <c r="I541" i="12"/>
  <c r="J541" i="12"/>
  <c r="C542" i="12"/>
  <c r="D542" i="12"/>
  <c r="E542" i="12"/>
  <c r="F542" i="12"/>
  <c r="G542" i="12"/>
  <c r="H542" i="12"/>
  <c r="I542" i="12"/>
  <c r="J542" i="12"/>
  <c r="C543" i="12"/>
  <c r="D543" i="12"/>
  <c r="E543" i="12"/>
  <c r="F543" i="12"/>
  <c r="G543" i="12"/>
  <c r="H543" i="12"/>
  <c r="I543" i="12"/>
  <c r="J543" i="12"/>
  <c r="C544" i="12"/>
  <c r="D544" i="12"/>
  <c r="E544" i="12"/>
  <c r="F544" i="12"/>
  <c r="G544" i="12"/>
  <c r="H544" i="12"/>
  <c r="I544" i="12"/>
  <c r="J544" i="12"/>
  <c r="C545" i="12"/>
  <c r="D545" i="12"/>
  <c r="E545" i="12"/>
  <c r="F545" i="12"/>
  <c r="G545" i="12"/>
  <c r="H545" i="12"/>
  <c r="I545" i="12"/>
  <c r="J545" i="12"/>
  <c r="C546" i="12"/>
  <c r="D546" i="12"/>
  <c r="E546" i="12"/>
  <c r="F546" i="12"/>
  <c r="G546" i="12"/>
  <c r="H546" i="12"/>
  <c r="I546" i="12"/>
  <c r="J546" i="12"/>
  <c r="C547" i="12"/>
  <c r="D547" i="12"/>
  <c r="E547" i="12"/>
  <c r="F547" i="12"/>
  <c r="G547" i="12"/>
  <c r="H547" i="12"/>
  <c r="I547" i="12"/>
  <c r="J547" i="12"/>
  <c r="C548" i="12"/>
  <c r="D548" i="12"/>
  <c r="E548" i="12"/>
  <c r="F548" i="12"/>
  <c r="G548" i="12"/>
  <c r="H548" i="12"/>
  <c r="I548" i="12"/>
  <c r="J548" i="12"/>
  <c r="C549" i="12"/>
  <c r="D549" i="12"/>
  <c r="E549" i="12"/>
  <c r="F549" i="12"/>
  <c r="G549" i="12"/>
  <c r="H549" i="12"/>
  <c r="I549" i="12"/>
  <c r="J549" i="12"/>
  <c r="C550" i="12"/>
  <c r="D550" i="12"/>
  <c r="E550" i="12"/>
  <c r="F550" i="12"/>
  <c r="G550" i="12"/>
  <c r="H550" i="12"/>
  <c r="I550" i="12"/>
  <c r="J550" i="12"/>
  <c r="C551" i="12"/>
  <c r="D551" i="12"/>
  <c r="E551" i="12"/>
  <c r="F551" i="12"/>
  <c r="G551" i="12"/>
  <c r="H551" i="12"/>
  <c r="I551" i="12"/>
  <c r="J551" i="12"/>
  <c r="C552" i="12"/>
  <c r="D552" i="12"/>
  <c r="E552" i="12"/>
  <c r="F552" i="12"/>
  <c r="G552" i="12"/>
  <c r="H552" i="12"/>
  <c r="I552" i="12"/>
  <c r="J552" i="12"/>
  <c r="C553" i="12"/>
  <c r="D553" i="12"/>
  <c r="E553" i="12"/>
  <c r="F553" i="12"/>
  <c r="G553" i="12"/>
  <c r="H553" i="12"/>
  <c r="I553" i="12"/>
  <c r="J553" i="12"/>
  <c r="C554" i="12"/>
  <c r="D554" i="12"/>
  <c r="E554" i="12"/>
  <c r="F554" i="12"/>
  <c r="G554" i="12"/>
  <c r="H554" i="12"/>
  <c r="I554" i="12"/>
  <c r="J554" i="12"/>
  <c r="C555" i="12"/>
  <c r="D555" i="12"/>
  <c r="E555" i="12"/>
  <c r="F555" i="12"/>
  <c r="G555" i="12"/>
  <c r="H555" i="12"/>
  <c r="I555" i="12"/>
  <c r="J555" i="12"/>
  <c r="C556" i="12"/>
  <c r="D556" i="12"/>
  <c r="E556" i="12"/>
  <c r="F556" i="12"/>
  <c r="G556" i="12"/>
  <c r="H556" i="12"/>
  <c r="I556" i="12"/>
  <c r="J556" i="12"/>
  <c r="C557" i="12"/>
  <c r="D557" i="12"/>
  <c r="E557" i="12"/>
  <c r="F557" i="12"/>
  <c r="G557" i="12"/>
  <c r="H557" i="12"/>
  <c r="I557" i="12"/>
  <c r="J557" i="12"/>
  <c r="C558" i="12"/>
  <c r="D558" i="12"/>
  <c r="E558" i="12"/>
  <c r="F558" i="12"/>
  <c r="G558" i="12"/>
  <c r="H558" i="12"/>
  <c r="I558" i="12"/>
  <c r="J558" i="12"/>
  <c r="C559" i="12"/>
  <c r="D559" i="12"/>
  <c r="E559" i="12"/>
  <c r="F559" i="12"/>
  <c r="G559" i="12"/>
  <c r="H559" i="12"/>
  <c r="I559" i="12"/>
  <c r="J559" i="12"/>
  <c r="C560" i="12"/>
  <c r="D560" i="12"/>
  <c r="E560" i="12"/>
  <c r="F560" i="12"/>
  <c r="G560" i="12"/>
  <c r="H560" i="12"/>
  <c r="I560" i="12"/>
  <c r="J560" i="12"/>
  <c r="C561" i="12"/>
  <c r="D561" i="12"/>
  <c r="E561" i="12"/>
  <c r="F561" i="12"/>
  <c r="G561" i="12"/>
  <c r="H561" i="12"/>
  <c r="I561" i="12"/>
  <c r="J561" i="12"/>
  <c r="C562" i="12"/>
  <c r="D562" i="12"/>
  <c r="E562" i="12"/>
  <c r="F562" i="12"/>
  <c r="G562" i="12"/>
  <c r="H562" i="12"/>
  <c r="I562" i="12"/>
  <c r="J562" i="12"/>
  <c r="C563" i="12"/>
  <c r="D563" i="12"/>
  <c r="E563" i="12"/>
  <c r="F563" i="12"/>
  <c r="G563" i="12"/>
  <c r="H563" i="12"/>
  <c r="I563" i="12"/>
  <c r="J563" i="12"/>
  <c r="C564" i="12"/>
  <c r="D564" i="12"/>
  <c r="E564" i="12"/>
  <c r="F564" i="12"/>
  <c r="G564" i="12"/>
  <c r="H564" i="12"/>
  <c r="I564" i="12"/>
  <c r="J564" i="12"/>
  <c r="C565" i="12"/>
  <c r="D565" i="12"/>
  <c r="E565" i="12"/>
  <c r="F565" i="12"/>
  <c r="G565" i="12"/>
  <c r="H565" i="12"/>
  <c r="I565" i="12"/>
  <c r="J565" i="12"/>
  <c r="C566" i="12"/>
  <c r="D566" i="12"/>
  <c r="E566" i="12"/>
  <c r="F566" i="12"/>
  <c r="G566" i="12"/>
  <c r="H566" i="12"/>
  <c r="I566" i="12"/>
  <c r="J566" i="12"/>
  <c r="C567" i="12"/>
  <c r="D567" i="12"/>
  <c r="E567" i="12"/>
  <c r="F567" i="12"/>
  <c r="G567" i="12"/>
  <c r="H567" i="12"/>
  <c r="I567" i="12"/>
  <c r="J567" i="12"/>
  <c r="C568" i="12"/>
  <c r="D568" i="12"/>
  <c r="E568" i="12"/>
  <c r="F568" i="12"/>
  <c r="G568" i="12"/>
  <c r="H568" i="12"/>
  <c r="I568" i="12"/>
  <c r="J568" i="12"/>
  <c r="C569" i="12"/>
  <c r="D569" i="12"/>
  <c r="E569" i="12"/>
  <c r="F569" i="12"/>
  <c r="G569" i="12"/>
  <c r="H569" i="12"/>
  <c r="I569" i="12"/>
  <c r="J569" i="12"/>
  <c r="C570" i="12"/>
  <c r="D570" i="12"/>
  <c r="E570" i="12"/>
  <c r="F570" i="12"/>
  <c r="G570" i="12"/>
  <c r="H570" i="12"/>
  <c r="I570" i="12"/>
  <c r="J570" i="12"/>
  <c r="C571" i="12"/>
  <c r="D571" i="12"/>
  <c r="E571" i="12"/>
  <c r="F571" i="12"/>
  <c r="G571" i="12"/>
  <c r="H571" i="12"/>
  <c r="I571" i="12"/>
  <c r="J571" i="12"/>
  <c r="C572" i="12"/>
  <c r="D572" i="12"/>
  <c r="E572" i="12"/>
  <c r="F572" i="12"/>
  <c r="G572" i="12"/>
  <c r="H572" i="12"/>
  <c r="I572" i="12"/>
  <c r="J572" i="12"/>
  <c r="C573" i="12"/>
  <c r="D573" i="12"/>
  <c r="E573" i="12"/>
  <c r="F573" i="12"/>
  <c r="G573" i="12"/>
  <c r="H573" i="12"/>
  <c r="I573" i="12"/>
  <c r="J573" i="12"/>
  <c r="C574" i="12"/>
  <c r="D574" i="12"/>
  <c r="E574" i="12"/>
  <c r="F574" i="12"/>
  <c r="G574" i="12"/>
  <c r="H574" i="12"/>
  <c r="I574" i="12"/>
  <c r="J574" i="12"/>
  <c r="C575" i="12"/>
  <c r="D575" i="12"/>
  <c r="E575" i="12"/>
  <c r="F575" i="12"/>
  <c r="G575" i="12"/>
  <c r="H575" i="12"/>
  <c r="I575" i="12"/>
  <c r="J575" i="12"/>
  <c r="C576" i="12"/>
  <c r="D576" i="12"/>
  <c r="E576" i="12"/>
  <c r="F576" i="12"/>
  <c r="G576" i="12"/>
  <c r="H576" i="12"/>
  <c r="I576" i="12"/>
  <c r="J576" i="12"/>
  <c r="C577" i="12"/>
  <c r="D577" i="12"/>
  <c r="E577" i="12"/>
  <c r="F577" i="12"/>
  <c r="G577" i="12"/>
  <c r="H577" i="12"/>
  <c r="I577" i="12"/>
  <c r="J577" i="12"/>
  <c r="C578" i="12"/>
  <c r="D578" i="12"/>
  <c r="E578" i="12"/>
  <c r="F578" i="12"/>
  <c r="G578" i="12"/>
  <c r="H578" i="12"/>
  <c r="I578" i="12"/>
  <c r="J578" i="12"/>
  <c r="C579" i="12"/>
  <c r="D579" i="12"/>
  <c r="E579" i="12"/>
  <c r="F579" i="12"/>
  <c r="G579" i="12"/>
  <c r="H579" i="12"/>
  <c r="I579" i="12"/>
  <c r="J579" i="12"/>
  <c r="C580" i="12"/>
  <c r="D580" i="12"/>
  <c r="E580" i="12"/>
  <c r="F580" i="12"/>
  <c r="G580" i="12"/>
  <c r="H580" i="12"/>
  <c r="I580" i="12"/>
  <c r="J580" i="12"/>
  <c r="C581" i="12"/>
  <c r="D581" i="12"/>
  <c r="E581" i="12"/>
  <c r="F581" i="12"/>
  <c r="G581" i="12"/>
  <c r="H581" i="12"/>
  <c r="I581" i="12"/>
  <c r="J581" i="12"/>
  <c r="C582" i="12"/>
  <c r="D582" i="12"/>
  <c r="E582" i="12"/>
  <c r="F582" i="12"/>
  <c r="G582" i="12"/>
  <c r="H582" i="12"/>
  <c r="I582" i="12"/>
  <c r="J582" i="12"/>
  <c r="C583" i="12"/>
  <c r="D583" i="12"/>
  <c r="E583" i="12"/>
  <c r="F583" i="12"/>
  <c r="G583" i="12"/>
  <c r="H583" i="12"/>
  <c r="I583" i="12"/>
  <c r="J583" i="12"/>
  <c r="C584" i="12"/>
  <c r="D584" i="12"/>
  <c r="E584" i="12"/>
  <c r="F584" i="12"/>
  <c r="G584" i="12"/>
  <c r="H584" i="12"/>
  <c r="I584" i="12"/>
  <c r="J584" i="12"/>
  <c r="C585" i="12"/>
  <c r="D585" i="12"/>
  <c r="E585" i="12"/>
  <c r="F585" i="12"/>
  <c r="G585" i="12"/>
  <c r="H585" i="12"/>
  <c r="I585" i="12"/>
  <c r="J585" i="12"/>
  <c r="C586" i="12"/>
  <c r="D586" i="12"/>
  <c r="E586" i="12"/>
  <c r="F586" i="12"/>
  <c r="G586" i="12"/>
  <c r="H586" i="12"/>
  <c r="I586" i="12"/>
  <c r="J586" i="12"/>
  <c r="C587" i="12"/>
  <c r="D587" i="12"/>
  <c r="E587" i="12"/>
  <c r="F587" i="12"/>
  <c r="G587" i="12"/>
  <c r="H587" i="12"/>
  <c r="I587" i="12"/>
  <c r="J587" i="12"/>
  <c r="C588" i="12"/>
  <c r="D588" i="12"/>
  <c r="E588" i="12"/>
  <c r="F588" i="12"/>
  <c r="G588" i="12"/>
  <c r="H588" i="12"/>
  <c r="I588" i="12"/>
  <c r="J588" i="12"/>
  <c r="C589" i="12"/>
  <c r="D589" i="12"/>
  <c r="E589" i="12"/>
  <c r="F589" i="12"/>
  <c r="G589" i="12"/>
  <c r="H589" i="12"/>
  <c r="I589" i="12"/>
  <c r="J589" i="12"/>
  <c r="C590" i="12"/>
  <c r="D590" i="12"/>
  <c r="E590" i="12"/>
  <c r="F590" i="12"/>
  <c r="G590" i="12"/>
  <c r="H590" i="12"/>
  <c r="I590" i="12"/>
  <c r="J590" i="12"/>
  <c r="C591" i="12"/>
  <c r="D591" i="12"/>
  <c r="E591" i="12"/>
  <c r="F591" i="12"/>
  <c r="G591" i="12"/>
  <c r="H591" i="12"/>
  <c r="I591" i="12"/>
  <c r="J591" i="12"/>
  <c r="C592" i="12"/>
  <c r="D592" i="12"/>
  <c r="E592" i="12"/>
  <c r="F592" i="12"/>
  <c r="G592" i="12"/>
  <c r="H592" i="12"/>
  <c r="I592" i="12"/>
  <c r="J592" i="12"/>
  <c r="C593" i="12"/>
  <c r="D593" i="12"/>
  <c r="E593" i="12"/>
  <c r="F593" i="12"/>
  <c r="G593" i="12"/>
  <c r="H593" i="12"/>
  <c r="I593" i="12"/>
  <c r="J593" i="12"/>
  <c r="C594" i="12"/>
  <c r="D594" i="12"/>
  <c r="E594" i="12"/>
  <c r="F594" i="12"/>
  <c r="G594" i="12"/>
  <c r="H594" i="12"/>
  <c r="I594" i="12"/>
  <c r="J594" i="12"/>
  <c r="C595" i="12"/>
  <c r="D595" i="12"/>
  <c r="E595" i="12"/>
  <c r="F595" i="12"/>
  <c r="G595" i="12"/>
  <c r="H595" i="12"/>
  <c r="I595" i="12"/>
  <c r="J595" i="12"/>
  <c r="C596" i="12"/>
  <c r="D596" i="12"/>
  <c r="E596" i="12"/>
  <c r="F596" i="12"/>
  <c r="G596" i="12"/>
  <c r="H596" i="12"/>
  <c r="I596" i="12"/>
  <c r="J596" i="12"/>
  <c r="C597" i="12"/>
  <c r="D597" i="12"/>
  <c r="E597" i="12"/>
  <c r="F597" i="12"/>
  <c r="G597" i="12"/>
  <c r="H597" i="12"/>
  <c r="I597" i="12"/>
  <c r="J597" i="12"/>
  <c r="C598" i="12"/>
  <c r="D598" i="12"/>
  <c r="E598" i="12"/>
  <c r="F598" i="12"/>
  <c r="G598" i="12"/>
  <c r="H598" i="12"/>
  <c r="I598" i="12"/>
  <c r="J598" i="12"/>
  <c r="C599" i="12"/>
  <c r="D599" i="12"/>
  <c r="E599" i="12"/>
  <c r="F599" i="12"/>
  <c r="G599" i="12"/>
  <c r="H599" i="12"/>
  <c r="I599" i="12"/>
  <c r="J599" i="12"/>
  <c r="C600" i="12"/>
  <c r="D600" i="12"/>
  <c r="E600" i="12"/>
  <c r="F600" i="12"/>
  <c r="G600" i="12"/>
  <c r="H600" i="12"/>
  <c r="I600" i="12"/>
  <c r="J600" i="12"/>
  <c r="C601" i="12"/>
  <c r="D601" i="12"/>
  <c r="E601" i="12"/>
  <c r="F601" i="12"/>
  <c r="G601" i="12"/>
  <c r="H601" i="12"/>
  <c r="I601" i="12"/>
  <c r="J601" i="12"/>
  <c r="C602" i="12"/>
  <c r="D602" i="12"/>
  <c r="E602" i="12"/>
  <c r="F602" i="12"/>
  <c r="G602" i="12"/>
  <c r="H602" i="12"/>
  <c r="I602" i="12"/>
  <c r="J602" i="12"/>
  <c r="C603" i="12"/>
  <c r="D603" i="12"/>
  <c r="E603" i="12"/>
  <c r="F603" i="12"/>
  <c r="G603" i="12"/>
  <c r="H603" i="12"/>
  <c r="I603" i="12"/>
  <c r="J603" i="12"/>
  <c r="C604" i="12"/>
  <c r="D604" i="12"/>
  <c r="E604" i="12"/>
  <c r="F604" i="12"/>
  <c r="G604" i="12"/>
  <c r="H604" i="12"/>
  <c r="I604" i="12"/>
  <c r="J604" i="12"/>
  <c r="C605" i="12"/>
  <c r="D605" i="12"/>
  <c r="E605" i="12"/>
  <c r="F605" i="12"/>
  <c r="G605" i="12"/>
  <c r="H605" i="12"/>
  <c r="I605" i="12"/>
  <c r="J605" i="12"/>
  <c r="C606" i="12"/>
  <c r="D606" i="12"/>
  <c r="E606" i="12"/>
  <c r="F606" i="12"/>
  <c r="G606" i="12"/>
  <c r="H606" i="12"/>
  <c r="I606" i="12"/>
  <c r="J606" i="12"/>
  <c r="C607" i="12"/>
  <c r="D607" i="12"/>
  <c r="E607" i="12"/>
  <c r="F607" i="12"/>
  <c r="G607" i="12"/>
  <c r="H607" i="12"/>
  <c r="I607" i="12"/>
  <c r="J607" i="12"/>
  <c r="C608" i="12"/>
  <c r="D608" i="12"/>
  <c r="E608" i="12"/>
  <c r="F608" i="12"/>
  <c r="G608" i="12"/>
  <c r="H608" i="12"/>
  <c r="I608" i="12"/>
  <c r="J608" i="12"/>
  <c r="C609" i="12"/>
  <c r="D609" i="12"/>
  <c r="E609" i="12"/>
  <c r="F609" i="12"/>
  <c r="G609" i="12"/>
  <c r="H609" i="12"/>
  <c r="I609" i="12"/>
  <c r="J609" i="12"/>
  <c r="C610" i="12"/>
  <c r="D610" i="12"/>
  <c r="E610" i="12"/>
  <c r="F610" i="12"/>
  <c r="G610" i="12"/>
  <c r="H610" i="12"/>
  <c r="I610" i="12"/>
  <c r="J610" i="12"/>
  <c r="C611" i="12"/>
  <c r="D611" i="12"/>
  <c r="E611" i="12"/>
  <c r="F611" i="12"/>
  <c r="G611" i="12"/>
  <c r="H611" i="12"/>
  <c r="I611" i="12"/>
  <c r="J611" i="12"/>
  <c r="C612" i="12"/>
  <c r="D612" i="12"/>
  <c r="E612" i="12"/>
  <c r="F612" i="12"/>
  <c r="G612" i="12"/>
  <c r="H612" i="12"/>
  <c r="I612" i="12"/>
  <c r="J612" i="12"/>
  <c r="C613" i="12"/>
  <c r="D613" i="12"/>
  <c r="E613" i="12"/>
  <c r="F613" i="12"/>
  <c r="G613" i="12"/>
  <c r="H613" i="12"/>
  <c r="I613" i="12"/>
  <c r="J613" i="12"/>
  <c r="C614" i="12"/>
  <c r="D614" i="12"/>
  <c r="E614" i="12"/>
  <c r="F614" i="12"/>
  <c r="G614" i="12"/>
  <c r="H614" i="12"/>
  <c r="I614" i="12"/>
  <c r="J614" i="12"/>
  <c r="C615" i="12"/>
  <c r="D615" i="12"/>
  <c r="E615" i="12"/>
  <c r="F615" i="12"/>
  <c r="G615" i="12"/>
  <c r="H615" i="12"/>
  <c r="I615" i="12"/>
  <c r="J615" i="12"/>
  <c r="C616" i="12"/>
  <c r="D616" i="12"/>
  <c r="E616" i="12"/>
  <c r="F616" i="12"/>
  <c r="G616" i="12"/>
  <c r="H616" i="12"/>
  <c r="I616" i="12"/>
  <c r="J616" i="12"/>
  <c r="C617" i="12"/>
  <c r="D617" i="12"/>
  <c r="E617" i="12"/>
  <c r="F617" i="12"/>
  <c r="G617" i="12"/>
  <c r="H617" i="12"/>
  <c r="I617" i="12"/>
  <c r="J617" i="12"/>
  <c r="C618" i="12"/>
  <c r="D618" i="12"/>
  <c r="E618" i="12"/>
  <c r="F618" i="12"/>
  <c r="G618" i="12"/>
  <c r="H618" i="12"/>
  <c r="I618" i="12"/>
  <c r="J618" i="12"/>
  <c r="C619" i="12"/>
  <c r="D619" i="12"/>
  <c r="E619" i="12"/>
  <c r="F619" i="12"/>
  <c r="G619" i="12"/>
  <c r="H619" i="12"/>
  <c r="I619" i="12"/>
  <c r="J619" i="12"/>
  <c r="C620" i="12"/>
  <c r="D620" i="12"/>
  <c r="E620" i="12"/>
  <c r="F620" i="12"/>
  <c r="G620" i="12"/>
  <c r="H620" i="12"/>
  <c r="I620" i="12"/>
  <c r="J620" i="12"/>
  <c r="C621" i="12"/>
  <c r="D621" i="12"/>
  <c r="E621" i="12"/>
  <c r="F621" i="12"/>
  <c r="G621" i="12"/>
  <c r="H621" i="12"/>
  <c r="I621" i="12"/>
  <c r="J621" i="12"/>
  <c r="C622" i="12"/>
  <c r="D622" i="12"/>
  <c r="E622" i="12"/>
  <c r="F622" i="12"/>
  <c r="G622" i="12"/>
  <c r="H622" i="12"/>
  <c r="I622" i="12"/>
  <c r="J622" i="12"/>
  <c r="C623" i="12"/>
  <c r="D623" i="12"/>
  <c r="E623" i="12"/>
  <c r="F623" i="12"/>
  <c r="G623" i="12"/>
  <c r="H623" i="12"/>
  <c r="I623" i="12"/>
  <c r="J623" i="12"/>
  <c r="C624" i="12"/>
  <c r="D624" i="12"/>
  <c r="E624" i="12"/>
  <c r="F624" i="12"/>
  <c r="G624" i="12"/>
  <c r="H624" i="12"/>
  <c r="I624" i="12"/>
  <c r="J624" i="12"/>
  <c r="C625" i="12"/>
  <c r="D625" i="12"/>
  <c r="E625" i="12"/>
  <c r="F625" i="12"/>
  <c r="G625" i="12"/>
  <c r="H625" i="12"/>
  <c r="I625" i="12"/>
  <c r="J625" i="12"/>
  <c r="C626" i="12"/>
  <c r="D626" i="12"/>
  <c r="E626" i="12"/>
  <c r="F626" i="12"/>
  <c r="G626" i="12"/>
  <c r="H626" i="12"/>
  <c r="I626" i="12"/>
  <c r="J626" i="12"/>
  <c r="C627" i="12"/>
  <c r="D627" i="12"/>
  <c r="E627" i="12"/>
  <c r="F627" i="12"/>
  <c r="G627" i="12"/>
  <c r="H627" i="12"/>
  <c r="I627" i="12"/>
  <c r="J627" i="12"/>
  <c r="C628" i="12"/>
  <c r="D628" i="12"/>
  <c r="E628" i="12"/>
  <c r="F628" i="12"/>
  <c r="G628" i="12"/>
  <c r="H628" i="12"/>
  <c r="I628" i="12"/>
  <c r="J628" i="12"/>
  <c r="C629" i="12"/>
  <c r="D629" i="12"/>
  <c r="E629" i="12"/>
  <c r="F629" i="12"/>
  <c r="G629" i="12"/>
  <c r="H629" i="12"/>
  <c r="I629" i="12"/>
  <c r="J629" i="12"/>
  <c r="C630" i="12"/>
  <c r="D630" i="12"/>
  <c r="E630" i="12"/>
  <c r="F630" i="12"/>
  <c r="G630" i="12"/>
  <c r="H630" i="12"/>
  <c r="I630" i="12"/>
  <c r="J630" i="12"/>
  <c r="C631" i="12"/>
  <c r="D631" i="12"/>
  <c r="E631" i="12"/>
  <c r="F631" i="12"/>
  <c r="G631" i="12"/>
  <c r="H631" i="12"/>
  <c r="I631" i="12"/>
  <c r="J631" i="12"/>
  <c r="C632" i="12"/>
  <c r="D632" i="12"/>
  <c r="E632" i="12"/>
  <c r="F632" i="12"/>
  <c r="G632" i="12"/>
  <c r="H632" i="12"/>
  <c r="I632" i="12"/>
  <c r="J632" i="12"/>
  <c r="C633" i="12"/>
  <c r="D633" i="12"/>
  <c r="E633" i="12"/>
  <c r="F633" i="12"/>
  <c r="G633" i="12"/>
  <c r="H633" i="12"/>
  <c r="I633" i="12"/>
  <c r="J633" i="12"/>
  <c r="C634" i="12"/>
  <c r="D634" i="12"/>
  <c r="E634" i="12"/>
  <c r="F634" i="12"/>
  <c r="G634" i="12"/>
  <c r="H634" i="12"/>
  <c r="I634" i="12"/>
  <c r="J634" i="12"/>
  <c r="C635" i="12"/>
  <c r="D635" i="12"/>
  <c r="E635" i="12"/>
  <c r="F635" i="12"/>
  <c r="G635" i="12"/>
  <c r="H635" i="12"/>
  <c r="I635" i="12"/>
  <c r="J635" i="12"/>
  <c r="C636" i="12"/>
  <c r="D636" i="12"/>
  <c r="E636" i="12"/>
  <c r="F636" i="12"/>
  <c r="G636" i="12"/>
  <c r="H636" i="12"/>
  <c r="I636" i="12"/>
  <c r="J636" i="12"/>
  <c r="C637" i="12"/>
  <c r="D637" i="12"/>
  <c r="E637" i="12"/>
  <c r="F637" i="12"/>
  <c r="G637" i="12"/>
  <c r="H637" i="12"/>
  <c r="I637" i="12"/>
  <c r="J637" i="12"/>
  <c r="C638" i="12"/>
  <c r="D638" i="12"/>
  <c r="E638" i="12"/>
  <c r="F638" i="12"/>
  <c r="G638" i="12"/>
  <c r="H638" i="12"/>
  <c r="I638" i="12"/>
  <c r="J638" i="12"/>
  <c r="C639" i="12"/>
  <c r="D639" i="12"/>
  <c r="E639" i="12"/>
  <c r="F639" i="12"/>
  <c r="G639" i="12"/>
  <c r="H639" i="12"/>
  <c r="I639" i="12"/>
  <c r="J639" i="12"/>
  <c r="C640" i="12"/>
  <c r="D640" i="12"/>
  <c r="E640" i="12"/>
  <c r="F640" i="12"/>
  <c r="G640" i="12"/>
  <c r="H640" i="12"/>
  <c r="I640" i="12"/>
  <c r="J640" i="12"/>
  <c r="C641" i="12"/>
  <c r="D641" i="12"/>
  <c r="E641" i="12"/>
  <c r="F641" i="12"/>
  <c r="G641" i="12"/>
  <c r="H641" i="12"/>
  <c r="I641" i="12"/>
  <c r="J641" i="12"/>
  <c r="C642" i="12"/>
  <c r="D642" i="12"/>
  <c r="E642" i="12"/>
  <c r="F642" i="12"/>
  <c r="G642" i="12"/>
  <c r="H642" i="12"/>
  <c r="I642" i="12"/>
  <c r="J642" i="12"/>
  <c r="C643" i="12"/>
  <c r="D643" i="12"/>
  <c r="E643" i="12"/>
  <c r="F643" i="12"/>
  <c r="G643" i="12"/>
  <c r="H643" i="12"/>
  <c r="I643" i="12"/>
  <c r="J643" i="12"/>
  <c r="C644" i="12"/>
  <c r="D644" i="12"/>
  <c r="E644" i="12"/>
  <c r="F644" i="12"/>
  <c r="G644" i="12"/>
  <c r="H644" i="12"/>
  <c r="I644" i="12"/>
  <c r="J644" i="12"/>
  <c r="C645" i="12"/>
  <c r="D645" i="12"/>
  <c r="E645" i="12"/>
  <c r="F645" i="12"/>
  <c r="G645" i="12"/>
  <c r="H645" i="12"/>
  <c r="I645" i="12"/>
  <c r="J645" i="12"/>
  <c r="C646" i="12"/>
  <c r="D646" i="12"/>
  <c r="E646" i="12"/>
  <c r="F646" i="12"/>
  <c r="G646" i="12"/>
  <c r="H646" i="12"/>
  <c r="I646" i="12"/>
  <c r="J646" i="12"/>
  <c r="C647" i="12"/>
  <c r="D647" i="12"/>
  <c r="E647" i="12"/>
  <c r="F647" i="12"/>
  <c r="G647" i="12"/>
  <c r="H647" i="12"/>
  <c r="I647" i="12"/>
  <c r="J647" i="12"/>
  <c r="C648" i="12"/>
  <c r="D648" i="12"/>
  <c r="E648" i="12"/>
  <c r="F648" i="12"/>
  <c r="G648" i="12"/>
  <c r="H648" i="12"/>
  <c r="I648" i="12"/>
  <c r="J648" i="12"/>
  <c r="C649" i="12"/>
  <c r="D649" i="12"/>
  <c r="E649" i="12"/>
  <c r="F649" i="12"/>
  <c r="G649" i="12"/>
  <c r="H649" i="12"/>
  <c r="I649" i="12"/>
  <c r="J649" i="12"/>
  <c r="C650" i="12"/>
  <c r="D650" i="12"/>
  <c r="E650" i="12"/>
  <c r="F650" i="12"/>
  <c r="G650" i="12"/>
  <c r="H650" i="12"/>
  <c r="I650" i="12"/>
  <c r="J650" i="12"/>
  <c r="C651" i="12"/>
  <c r="D651" i="12"/>
  <c r="E651" i="12"/>
  <c r="F651" i="12"/>
  <c r="G651" i="12"/>
  <c r="H651" i="12"/>
  <c r="I651" i="12"/>
  <c r="J651" i="12"/>
  <c r="C652" i="12"/>
  <c r="D652" i="12"/>
  <c r="E652" i="12"/>
  <c r="F652" i="12"/>
  <c r="G652" i="12"/>
  <c r="H652" i="12"/>
  <c r="I652" i="12"/>
  <c r="J652" i="12"/>
  <c r="C653" i="12"/>
  <c r="D653" i="12"/>
  <c r="E653" i="12"/>
  <c r="F653" i="12"/>
  <c r="G653" i="12"/>
  <c r="H653" i="12"/>
  <c r="I653" i="12"/>
  <c r="J653" i="12"/>
  <c r="C654" i="12"/>
  <c r="D654" i="12"/>
  <c r="E654" i="12"/>
  <c r="F654" i="12"/>
  <c r="G654" i="12"/>
  <c r="H654" i="12"/>
  <c r="I654" i="12"/>
  <c r="J654" i="12"/>
  <c r="C655" i="12"/>
  <c r="D655" i="12"/>
  <c r="E655" i="12"/>
  <c r="F655" i="12"/>
  <c r="G655" i="12"/>
  <c r="H655" i="12"/>
  <c r="I655" i="12"/>
  <c r="J655" i="12"/>
  <c r="C656" i="12"/>
  <c r="D656" i="12"/>
  <c r="E656" i="12"/>
  <c r="F656" i="12"/>
  <c r="G656" i="12"/>
  <c r="H656" i="12"/>
  <c r="I656" i="12"/>
  <c r="J656" i="12"/>
  <c r="C657" i="12"/>
  <c r="D657" i="12"/>
  <c r="E657" i="12"/>
  <c r="F657" i="12"/>
  <c r="G657" i="12"/>
  <c r="H657" i="12"/>
  <c r="I657" i="12"/>
  <c r="J657" i="12"/>
  <c r="C658" i="12"/>
  <c r="D658" i="12"/>
  <c r="E658" i="12"/>
  <c r="F658" i="12"/>
  <c r="G658" i="12"/>
  <c r="H658" i="12"/>
  <c r="I658" i="12"/>
  <c r="J658" i="12"/>
  <c r="C659" i="12"/>
  <c r="D659" i="12"/>
  <c r="E659" i="12"/>
  <c r="F659" i="12"/>
  <c r="G659" i="12"/>
  <c r="H659" i="12"/>
  <c r="I659" i="12"/>
  <c r="J659" i="12"/>
  <c r="C660" i="12"/>
  <c r="D660" i="12"/>
  <c r="E660" i="12"/>
  <c r="F660" i="12"/>
  <c r="G660" i="12"/>
  <c r="H660" i="12"/>
  <c r="I660" i="12"/>
  <c r="J660" i="12"/>
  <c r="C661" i="12"/>
  <c r="D661" i="12"/>
  <c r="E661" i="12"/>
  <c r="F661" i="12"/>
  <c r="G661" i="12"/>
  <c r="H661" i="12"/>
  <c r="I661" i="12"/>
  <c r="J661" i="12"/>
  <c r="C662" i="12"/>
  <c r="D662" i="12"/>
  <c r="E662" i="12"/>
  <c r="F662" i="12"/>
  <c r="G662" i="12"/>
  <c r="H662" i="12"/>
  <c r="I662" i="12"/>
  <c r="J662" i="12"/>
  <c r="C663" i="12"/>
  <c r="D663" i="12"/>
  <c r="E663" i="12"/>
  <c r="F663" i="12"/>
  <c r="G663" i="12"/>
  <c r="H663" i="12"/>
  <c r="I663" i="12"/>
  <c r="J663" i="12"/>
  <c r="C664" i="12"/>
  <c r="D664" i="12"/>
  <c r="E664" i="12"/>
  <c r="F664" i="12"/>
  <c r="G664" i="12"/>
  <c r="H664" i="12"/>
  <c r="I664" i="12"/>
  <c r="J664" i="12"/>
  <c r="C665" i="12"/>
  <c r="D665" i="12"/>
  <c r="E665" i="12"/>
  <c r="F665" i="12"/>
  <c r="G665" i="12"/>
  <c r="H665" i="12"/>
  <c r="I665" i="12"/>
  <c r="J665" i="12"/>
  <c r="C666" i="12"/>
  <c r="D666" i="12"/>
  <c r="E666" i="12"/>
  <c r="F666" i="12"/>
  <c r="G666" i="12"/>
  <c r="H666" i="12"/>
  <c r="I666" i="12"/>
  <c r="J666" i="12"/>
  <c r="C667" i="12"/>
  <c r="D667" i="12"/>
  <c r="E667" i="12"/>
  <c r="F667" i="12"/>
  <c r="G667" i="12"/>
  <c r="H667" i="12"/>
  <c r="I667" i="12"/>
  <c r="J667" i="12"/>
  <c r="C668" i="12"/>
  <c r="D668" i="12"/>
  <c r="E668" i="12"/>
  <c r="F668" i="12"/>
  <c r="G668" i="12"/>
  <c r="H668" i="12"/>
  <c r="I668" i="12"/>
  <c r="J668" i="12"/>
  <c r="C669" i="12"/>
  <c r="D669" i="12"/>
  <c r="E669" i="12"/>
  <c r="F669" i="12"/>
  <c r="G669" i="12"/>
  <c r="H669" i="12"/>
  <c r="I669" i="12"/>
  <c r="J669" i="12"/>
  <c r="C670" i="12"/>
  <c r="D670" i="12"/>
  <c r="E670" i="12"/>
  <c r="F670" i="12"/>
  <c r="G670" i="12"/>
  <c r="H670" i="12"/>
  <c r="I670" i="12"/>
  <c r="J670" i="12"/>
  <c r="C671" i="12"/>
  <c r="D671" i="12"/>
  <c r="E671" i="12"/>
  <c r="F671" i="12"/>
  <c r="G671" i="12"/>
  <c r="H671" i="12"/>
  <c r="I671" i="12"/>
  <c r="J671" i="12"/>
  <c r="C672" i="12"/>
  <c r="D672" i="12"/>
  <c r="E672" i="12"/>
  <c r="F672" i="12"/>
  <c r="G672" i="12"/>
  <c r="H672" i="12"/>
  <c r="I672" i="12"/>
  <c r="J672" i="12"/>
  <c r="C673" i="12"/>
  <c r="D673" i="12"/>
  <c r="E673" i="12"/>
  <c r="F673" i="12"/>
  <c r="G673" i="12"/>
  <c r="H673" i="12"/>
  <c r="I673" i="12"/>
  <c r="J673" i="12"/>
  <c r="C674" i="12"/>
  <c r="D674" i="12"/>
  <c r="E674" i="12"/>
  <c r="F674" i="12"/>
  <c r="G674" i="12"/>
  <c r="H674" i="12"/>
  <c r="I674" i="12"/>
  <c r="J674" i="12"/>
  <c r="C675" i="12"/>
  <c r="D675" i="12"/>
  <c r="E675" i="12"/>
  <c r="F675" i="12"/>
  <c r="G675" i="12"/>
  <c r="H675" i="12"/>
  <c r="I675" i="12"/>
  <c r="J675" i="12"/>
  <c r="C676" i="12"/>
  <c r="D676" i="12"/>
  <c r="E676" i="12"/>
  <c r="F676" i="12"/>
  <c r="G676" i="12"/>
  <c r="H676" i="12"/>
  <c r="I676" i="12"/>
  <c r="J676" i="12"/>
  <c r="C677" i="12"/>
  <c r="D677" i="12"/>
  <c r="E677" i="12"/>
  <c r="F677" i="12"/>
  <c r="G677" i="12"/>
  <c r="H677" i="12"/>
  <c r="I677" i="12"/>
  <c r="J677" i="12"/>
  <c r="C678" i="12"/>
  <c r="D678" i="12"/>
  <c r="E678" i="12"/>
  <c r="F678" i="12"/>
  <c r="G678" i="12"/>
  <c r="H678" i="12"/>
  <c r="I678" i="12"/>
  <c r="J678" i="12"/>
  <c r="C679" i="12"/>
  <c r="D679" i="12"/>
  <c r="E679" i="12"/>
  <c r="F679" i="12"/>
  <c r="G679" i="12"/>
  <c r="H679" i="12"/>
  <c r="I679" i="12"/>
  <c r="J679" i="12"/>
  <c r="C680" i="12"/>
  <c r="D680" i="12"/>
  <c r="E680" i="12"/>
  <c r="F680" i="12"/>
  <c r="G680" i="12"/>
  <c r="H680" i="12"/>
  <c r="I680" i="12"/>
  <c r="J680" i="12"/>
  <c r="C681" i="12"/>
  <c r="D681" i="12"/>
  <c r="E681" i="12"/>
  <c r="F681" i="12"/>
  <c r="G681" i="12"/>
  <c r="H681" i="12"/>
  <c r="I681" i="12"/>
  <c r="J681" i="12"/>
  <c r="C682" i="12"/>
  <c r="D682" i="12"/>
  <c r="E682" i="12"/>
  <c r="F682" i="12"/>
  <c r="G682" i="12"/>
  <c r="H682" i="12"/>
  <c r="I682" i="12"/>
  <c r="J682" i="12"/>
  <c r="C683" i="12"/>
  <c r="D683" i="12"/>
  <c r="E683" i="12"/>
  <c r="F683" i="12"/>
  <c r="G683" i="12"/>
  <c r="H683" i="12"/>
  <c r="I683" i="12"/>
  <c r="J683" i="12"/>
  <c r="C684" i="12"/>
  <c r="D684" i="12"/>
  <c r="E684" i="12"/>
  <c r="F684" i="12"/>
  <c r="G684" i="12"/>
  <c r="H684" i="12"/>
  <c r="I684" i="12"/>
  <c r="J684" i="12"/>
  <c r="C685" i="12"/>
  <c r="D685" i="12"/>
  <c r="E685" i="12"/>
  <c r="F685" i="12"/>
  <c r="G685" i="12"/>
  <c r="H685" i="12"/>
  <c r="I685" i="12"/>
  <c r="J685" i="12"/>
  <c r="C686" i="12"/>
  <c r="D686" i="12"/>
  <c r="E686" i="12"/>
  <c r="F686" i="12"/>
  <c r="G686" i="12"/>
  <c r="H686" i="12"/>
  <c r="I686" i="12"/>
  <c r="J686" i="12"/>
  <c r="C687" i="12"/>
  <c r="D687" i="12"/>
  <c r="E687" i="12"/>
  <c r="F687" i="12"/>
  <c r="G687" i="12"/>
  <c r="H687" i="12"/>
  <c r="I687" i="12"/>
  <c r="J687" i="12"/>
  <c r="C688" i="12"/>
  <c r="D688" i="12"/>
  <c r="E688" i="12"/>
  <c r="F688" i="12"/>
  <c r="G688" i="12"/>
  <c r="H688" i="12"/>
  <c r="I688" i="12"/>
  <c r="J688" i="12"/>
  <c r="C689" i="12"/>
  <c r="D689" i="12"/>
  <c r="E689" i="12"/>
  <c r="F689" i="12"/>
  <c r="G689" i="12"/>
  <c r="H689" i="12"/>
  <c r="I689" i="12"/>
  <c r="J689" i="12"/>
  <c r="C690" i="12"/>
  <c r="D690" i="12"/>
  <c r="E690" i="12"/>
  <c r="F690" i="12"/>
  <c r="G690" i="12"/>
  <c r="H690" i="12"/>
  <c r="I690" i="12"/>
  <c r="J690" i="12"/>
  <c r="C691" i="12"/>
  <c r="D691" i="12"/>
  <c r="E691" i="12"/>
  <c r="F691" i="12"/>
  <c r="G691" i="12"/>
  <c r="H691" i="12"/>
  <c r="I691" i="12"/>
  <c r="J691" i="12"/>
  <c r="C692" i="12"/>
  <c r="D692" i="12"/>
  <c r="E692" i="12"/>
  <c r="F692" i="12"/>
  <c r="G692" i="12"/>
  <c r="H692" i="12"/>
  <c r="I692" i="12"/>
  <c r="J692" i="12"/>
  <c r="C693" i="12"/>
  <c r="D693" i="12"/>
  <c r="E693" i="12"/>
  <c r="F693" i="12"/>
  <c r="G693" i="12"/>
  <c r="H693" i="12"/>
  <c r="I693" i="12"/>
  <c r="J693" i="12"/>
  <c r="C694" i="12"/>
  <c r="D694" i="12"/>
  <c r="E694" i="12"/>
  <c r="F694" i="12"/>
  <c r="G694" i="12"/>
  <c r="H694" i="12"/>
  <c r="I694" i="12"/>
  <c r="J694" i="12"/>
  <c r="C695" i="12"/>
  <c r="D695" i="12"/>
  <c r="E695" i="12"/>
  <c r="F695" i="12"/>
  <c r="G695" i="12"/>
  <c r="H695" i="12"/>
  <c r="I695" i="12"/>
  <c r="J695" i="12"/>
  <c r="C696" i="12"/>
  <c r="D696" i="12"/>
  <c r="E696" i="12"/>
  <c r="F696" i="12"/>
  <c r="G696" i="12"/>
  <c r="H696" i="12"/>
  <c r="I696" i="12"/>
  <c r="J696" i="12"/>
  <c r="C697" i="12"/>
  <c r="D697" i="12"/>
  <c r="E697" i="12"/>
  <c r="F697" i="12"/>
  <c r="G697" i="12"/>
  <c r="H697" i="12"/>
  <c r="I697" i="12"/>
  <c r="J697" i="12"/>
  <c r="C698" i="12"/>
  <c r="D698" i="12"/>
  <c r="E698" i="12"/>
  <c r="F698" i="12"/>
  <c r="G698" i="12"/>
  <c r="H698" i="12"/>
  <c r="I698" i="12"/>
  <c r="J698" i="12"/>
  <c r="C699" i="12"/>
  <c r="D699" i="12"/>
  <c r="E699" i="12"/>
  <c r="F699" i="12"/>
  <c r="G699" i="12"/>
  <c r="H699" i="12"/>
  <c r="I699" i="12"/>
  <c r="J699" i="12"/>
  <c r="C700" i="12"/>
  <c r="D700" i="12"/>
  <c r="E700" i="12"/>
  <c r="F700" i="12"/>
  <c r="G700" i="12"/>
  <c r="H700" i="12"/>
  <c r="I700" i="12"/>
  <c r="J700" i="12"/>
  <c r="C701" i="12"/>
  <c r="D701" i="12"/>
  <c r="E701" i="12"/>
  <c r="F701" i="12"/>
  <c r="G701" i="12"/>
  <c r="H701" i="12"/>
  <c r="I701" i="12"/>
  <c r="J701" i="12"/>
  <c r="C702" i="12"/>
  <c r="D702" i="12"/>
  <c r="E702" i="12"/>
  <c r="F702" i="12"/>
  <c r="G702" i="12"/>
  <c r="H702" i="12"/>
  <c r="I702" i="12"/>
  <c r="J702" i="12"/>
  <c r="C703" i="12"/>
  <c r="D703" i="12"/>
  <c r="E703" i="12"/>
  <c r="F703" i="12"/>
  <c r="G703" i="12"/>
  <c r="H703" i="12"/>
  <c r="I703" i="12"/>
  <c r="J703" i="12"/>
  <c r="C704" i="12"/>
  <c r="D704" i="12"/>
  <c r="E704" i="12"/>
  <c r="F704" i="12"/>
  <c r="G704" i="12"/>
  <c r="H704" i="12"/>
  <c r="I704" i="12"/>
  <c r="J704" i="12"/>
  <c r="C705" i="12"/>
  <c r="D705" i="12"/>
  <c r="E705" i="12"/>
  <c r="F705" i="12"/>
  <c r="G705" i="12"/>
  <c r="H705" i="12"/>
  <c r="I705" i="12"/>
  <c r="J705" i="12"/>
  <c r="C706" i="12"/>
  <c r="D706" i="12"/>
  <c r="E706" i="12"/>
  <c r="F706" i="12"/>
  <c r="G706" i="12"/>
  <c r="H706" i="12"/>
  <c r="I706" i="12"/>
  <c r="J706" i="12"/>
  <c r="C707" i="12"/>
  <c r="D707" i="12"/>
  <c r="E707" i="12"/>
  <c r="F707" i="12"/>
  <c r="G707" i="12"/>
  <c r="H707" i="12"/>
  <c r="I707" i="12"/>
  <c r="J707" i="12"/>
  <c r="C708" i="12"/>
  <c r="D708" i="12"/>
  <c r="E708" i="12"/>
  <c r="F708" i="12"/>
  <c r="G708" i="12"/>
  <c r="H708" i="12"/>
  <c r="I708" i="12"/>
  <c r="J708" i="12"/>
  <c r="C709" i="12"/>
  <c r="D709" i="12"/>
  <c r="E709" i="12"/>
  <c r="F709" i="12"/>
  <c r="G709" i="12"/>
  <c r="H709" i="12"/>
  <c r="I709" i="12"/>
  <c r="J709" i="12"/>
  <c r="C710" i="12"/>
  <c r="D710" i="12"/>
  <c r="E710" i="12"/>
  <c r="F710" i="12"/>
  <c r="G710" i="12"/>
  <c r="H710" i="12"/>
  <c r="I710" i="12"/>
  <c r="J710" i="12"/>
  <c r="C711" i="12"/>
  <c r="D711" i="12"/>
  <c r="E711" i="12"/>
  <c r="F711" i="12"/>
  <c r="G711" i="12"/>
  <c r="H711" i="12"/>
  <c r="I711" i="12"/>
  <c r="J711" i="12"/>
  <c r="C712" i="12"/>
  <c r="D712" i="12"/>
  <c r="E712" i="12"/>
  <c r="F712" i="12"/>
  <c r="G712" i="12"/>
  <c r="H712" i="12"/>
  <c r="I712" i="12"/>
  <c r="J712" i="12"/>
  <c r="C713" i="12"/>
  <c r="D713" i="12"/>
  <c r="E713" i="12"/>
  <c r="F713" i="12"/>
  <c r="G713" i="12"/>
  <c r="H713" i="12"/>
  <c r="I713" i="12"/>
  <c r="J713" i="12"/>
  <c r="C714" i="12"/>
  <c r="D714" i="12"/>
  <c r="E714" i="12"/>
  <c r="F714" i="12"/>
  <c r="G714" i="12"/>
  <c r="H714" i="12"/>
  <c r="I714" i="12"/>
  <c r="J714" i="12"/>
  <c r="C715" i="12"/>
  <c r="D715" i="12"/>
  <c r="E715" i="12"/>
  <c r="F715" i="12"/>
  <c r="G715" i="12"/>
  <c r="H715" i="12"/>
  <c r="I715" i="12"/>
  <c r="J715" i="12"/>
  <c r="C716" i="12"/>
  <c r="D716" i="12"/>
  <c r="E716" i="12"/>
  <c r="F716" i="12"/>
  <c r="G716" i="12"/>
  <c r="H716" i="12"/>
  <c r="I716" i="12"/>
  <c r="J716" i="12"/>
  <c r="C717" i="12"/>
  <c r="D717" i="12"/>
  <c r="E717" i="12"/>
  <c r="F717" i="12"/>
  <c r="G717" i="12"/>
  <c r="H717" i="12"/>
  <c r="I717" i="12"/>
  <c r="J717" i="12"/>
  <c r="C718" i="12"/>
  <c r="D718" i="12"/>
  <c r="E718" i="12"/>
  <c r="F718" i="12"/>
  <c r="G718" i="12"/>
  <c r="H718" i="12"/>
  <c r="I718" i="12"/>
  <c r="J718" i="12"/>
  <c r="C719" i="12"/>
  <c r="D719" i="12"/>
  <c r="E719" i="12"/>
  <c r="F719" i="12"/>
  <c r="G719" i="12"/>
  <c r="H719" i="12"/>
  <c r="I719" i="12"/>
  <c r="J719" i="12"/>
  <c r="C720" i="12"/>
  <c r="D720" i="12"/>
  <c r="E720" i="12"/>
  <c r="F720" i="12"/>
  <c r="G720" i="12"/>
  <c r="H720" i="12"/>
  <c r="I720" i="12"/>
  <c r="J720" i="12"/>
  <c r="C721" i="12"/>
  <c r="D721" i="12"/>
  <c r="E721" i="12"/>
  <c r="F721" i="12"/>
  <c r="G721" i="12"/>
  <c r="H721" i="12"/>
  <c r="I721" i="12"/>
  <c r="J721" i="12"/>
  <c r="C722" i="12"/>
  <c r="D722" i="12"/>
  <c r="E722" i="12"/>
  <c r="F722" i="12"/>
  <c r="G722" i="12"/>
  <c r="H722" i="12"/>
  <c r="I722" i="12"/>
  <c r="J722" i="12"/>
  <c r="C723" i="12"/>
  <c r="D723" i="12"/>
  <c r="E723" i="12"/>
  <c r="F723" i="12"/>
  <c r="G723" i="12"/>
  <c r="H723" i="12"/>
  <c r="I723" i="12"/>
  <c r="J723" i="12"/>
  <c r="C724" i="12"/>
  <c r="D724" i="12"/>
  <c r="E724" i="12"/>
  <c r="F724" i="12"/>
  <c r="G724" i="12"/>
  <c r="H724" i="12"/>
  <c r="I724" i="12"/>
  <c r="J724" i="12"/>
  <c r="C725" i="12"/>
  <c r="D725" i="12"/>
  <c r="E725" i="12"/>
  <c r="F725" i="12"/>
  <c r="G725" i="12"/>
  <c r="H725" i="12"/>
  <c r="I725" i="12"/>
  <c r="J725" i="12"/>
  <c r="C726" i="12"/>
  <c r="D726" i="12"/>
  <c r="E726" i="12"/>
  <c r="F726" i="12"/>
  <c r="G726" i="12"/>
  <c r="H726" i="12"/>
  <c r="I726" i="12"/>
  <c r="J726" i="12"/>
  <c r="C727" i="12"/>
  <c r="D727" i="12"/>
  <c r="E727" i="12"/>
  <c r="F727" i="12"/>
  <c r="G727" i="12"/>
  <c r="H727" i="12"/>
  <c r="I727" i="12"/>
  <c r="J727" i="12"/>
  <c r="C728" i="12"/>
  <c r="D728" i="12"/>
  <c r="E728" i="12"/>
  <c r="F728" i="12"/>
  <c r="G728" i="12"/>
  <c r="H728" i="12"/>
  <c r="I728" i="12"/>
  <c r="J728" i="12"/>
  <c r="C729" i="12"/>
  <c r="D729" i="12"/>
  <c r="E729" i="12"/>
  <c r="F729" i="12"/>
  <c r="G729" i="12"/>
  <c r="H729" i="12"/>
  <c r="I729" i="12"/>
  <c r="J729" i="12"/>
  <c r="C730" i="12"/>
  <c r="D730" i="12"/>
  <c r="E730" i="12"/>
  <c r="F730" i="12"/>
  <c r="G730" i="12"/>
  <c r="H730" i="12"/>
  <c r="I730" i="12"/>
  <c r="J730" i="12"/>
  <c r="C731" i="12"/>
  <c r="D731" i="12"/>
  <c r="E731" i="12"/>
  <c r="F731" i="12"/>
  <c r="G731" i="12"/>
  <c r="H731" i="12"/>
  <c r="I731" i="12"/>
  <c r="J731" i="12"/>
  <c r="C732" i="12"/>
  <c r="D732" i="12"/>
  <c r="E732" i="12"/>
  <c r="F732" i="12"/>
  <c r="G732" i="12"/>
  <c r="H732" i="12"/>
  <c r="I732" i="12"/>
  <c r="J732" i="12"/>
  <c r="C733" i="12"/>
  <c r="D733" i="12"/>
  <c r="E733" i="12"/>
  <c r="F733" i="12"/>
  <c r="G733" i="12"/>
  <c r="H733" i="12"/>
  <c r="I733" i="12"/>
  <c r="J733" i="12"/>
  <c r="C734" i="12"/>
  <c r="D734" i="12"/>
  <c r="E734" i="12"/>
  <c r="F734" i="12"/>
  <c r="G734" i="12"/>
  <c r="H734" i="12"/>
  <c r="I734" i="12"/>
  <c r="J734" i="12"/>
  <c r="C735" i="12"/>
  <c r="D735" i="12"/>
  <c r="E735" i="12"/>
  <c r="F735" i="12"/>
  <c r="G735" i="12"/>
  <c r="H735" i="12"/>
  <c r="I735" i="12"/>
  <c r="J735" i="12"/>
  <c r="C736" i="12"/>
  <c r="D736" i="12"/>
  <c r="E736" i="12"/>
  <c r="F736" i="12"/>
  <c r="G736" i="12"/>
  <c r="H736" i="12"/>
  <c r="I736" i="12"/>
  <c r="J736" i="12"/>
  <c r="C737" i="12"/>
  <c r="D737" i="12"/>
  <c r="E737" i="12"/>
  <c r="F737" i="12"/>
  <c r="G737" i="12"/>
  <c r="H737" i="12"/>
  <c r="I737" i="12"/>
  <c r="J737" i="12"/>
  <c r="C738" i="12"/>
  <c r="D738" i="12"/>
  <c r="E738" i="12"/>
  <c r="F738" i="12"/>
  <c r="G738" i="12"/>
  <c r="H738" i="12"/>
  <c r="I738" i="12"/>
  <c r="J738" i="12"/>
  <c r="C739" i="12"/>
  <c r="D739" i="12"/>
  <c r="E739" i="12"/>
  <c r="F739" i="12"/>
  <c r="G739" i="12"/>
  <c r="H739" i="12"/>
  <c r="I739" i="12"/>
  <c r="J739" i="12"/>
  <c r="C740" i="12"/>
  <c r="D740" i="12"/>
  <c r="E740" i="12"/>
  <c r="F740" i="12"/>
  <c r="G740" i="12"/>
  <c r="H740" i="12"/>
  <c r="I740" i="12"/>
  <c r="J740" i="12"/>
  <c r="C741" i="12"/>
  <c r="D741" i="12"/>
  <c r="E741" i="12"/>
  <c r="F741" i="12"/>
  <c r="G741" i="12"/>
  <c r="H741" i="12"/>
  <c r="I741" i="12"/>
  <c r="J741" i="12"/>
  <c r="C742" i="12"/>
  <c r="D742" i="12"/>
  <c r="E742" i="12"/>
  <c r="F742" i="12"/>
  <c r="G742" i="12"/>
  <c r="H742" i="12"/>
  <c r="I742" i="12"/>
  <c r="J742" i="12"/>
  <c r="C743" i="12"/>
  <c r="D743" i="12"/>
  <c r="E743" i="12"/>
  <c r="F743" i="12"/>
  <c r="G743" i="12"/>
  <c r="H743" i="12"/>
  <c r="I743" i="12"/>
  <c r="J743" i="12"/>
  <c r="C744" i="12"/>
  <c r="D744" i="12"/>
  <c r="E744" i="12"/>
  <c r="F744" i="12"/>
  <c r="G744" i="12"/>
  <c r="H744" i="12"/>
  <c r="I744" i="12"/>
  <c r="J744" i="12"/>
  <c r="C745" i="12"/>
  <c r="D745" i="12"/>
  <c r="E745" i="12"/>
  <c r="F745" i="12"/>
  <c r="G745" i="12"/>
  <c r="H745" i="12"/>
  <c r="I745" i="12"/>
  <c r="J745" i="12"/>
  <c r="C746" i="12"/>
  <c r="D746" i="12"/>
  <c r="E746" i="12"/>
  <c r="F746" i="12"/>
  <c r="G746" i="12"/>
  <c r="H746" i="12"/>
  <c r="I746" i="12"/>
  <c r="J746" i="12"/>
  <c r="C747" i="12"/>
  <c r="D747" i="12"/>
  <c r="E747" i="12"/>
  <c r="F747" i="12"/>
  <c r="G747" i="12"/>
  <c r="H747" i="12"/>
  <c r="I747" i="12"/>
  <c r="J747" i="12"/>
  <c r="C748" i="12"/>
  <c r="D748" i="12"/>
  <c r="E748" i="12"/>
  <c r="F748" i="12"/>
  <c r="G748" i="12"/>
  <c r="H748" i="12"/>
  <c r="I748" i="12"/>
  <c r="J748" i="12"/>
  <c r="C749" i="12"/>
  <c r="D749" i="12"/>
  <c r="E749" i="12"/>
  <c r="F749" i="12"/>
  <c r="G749" i="12"/>
  <c r="H749" i="12"/>
  <c r="I749" i="12"/>
  <c r="J749" i="12"/>
  <c r="C750" i="12"/>
  <c r="D750" i="12"/>
  <c r="E750" i="12"/>
  <c r="F750" i="12"/>
  <c r="G750" i="12"/>
  <c r="H750" i="12"/>
  <c r="I750" i="12"/>
  <c r="J750" i="12"/>
  <c r="C751" i="12"/>
  <c r="D751" i="12"/>
  <c r="E751" i="12"/>
  <c r="F751" i="12"/>
  <c r="G751" i="12"/>
  <c r="H751" i="12"/>
  <c r="I751" i="12"/>
  <c r="J751" i="12"/>
  <c r="C752" i="12"/>
  <c r="D752" i="12"/>
  <c r="E752" i="12"/>
  <c r="F752" i="12"/>
  <c r="G752" i="12"/>
  <c r="H752" i="12"/>
  <c r="I752" i="12"/>
  <c r="J752" i="12"/>
  <c r="C753" i="12"/>
  <c r="D753" i="12"/>
  <c r="E753" i="12"/>
  <c r="F753" i="12"/>
  <c r="G753" i="12"/>
  <c r="H753" i="12"/>
  <c r="I753" i="12"/>
  <c r="J753" i="12"/>
  <c r="C754" i="12"/>
  <c r="D754" i="12"/>
  <c r="E754" i="12"/>
  <c r="F754" i="12"/>
  <c r="G754" i="12"/>
  <c r="H754" i="12"/>
  <c r="I754" i="12"/>
  <c r="J754" i="12"/>
  <c r="C755" i="12"/>
  <c r="D755" i="12"/>
  <c r="E755" i="12"/>
  <c r="F755" i="12"/>
  <c r="G755" i="12"/>
  <c r="H755" i="12"/>
  <c r="I755" i="12"/>
  <c r="J755" i="12"/>
  <c r="C756" i="12"/>
  <c r="D756" i="12"/>
  <c r="E756" i="12"/>
  <c r="F756" i="12"/>
  <c r="G756" i="12"/>
  <c r="H756" i="12"/>
  <c r="I756" i="12"/>
  <c r="J756" i="12"/>
  <c r="C757" i="12"/>
  <c r="D757" i="12"/>
  <c r="E757" i="12"/>
  <c r="F757" i="12"/>
  <c r="G757" i="12"/>
  <c r="H757" i="12"/>
  <c r="I757" i="12"/>
  <c r="J757" i="12"/>
  <c r="C758" i="12"/>
  <c r="D758" i="12"/>
  <c r="E758" i="12"/>
  <c r="F758" i="12"/>
  <c r="G758" i="12"/>
  <c r="H758" i="12"/>
  <c r="I758" i="12"/>
  <c r="J758" i="12"/>
  <c r="C759" i="12"/>
  <c r="D759" i="12"/>
  <c r="E759" i="12"/>
  <c r="F759" i="12"/>
  <c r="G759" i="12"/>
  <c r="H759" i="12"/>
  <c r="I759" i="12"/>
  <c r="J759" i="12"/>
  <c r="C760" i="12"/>
  <c r="D760" i="12"/>
  <c r="E760" i="12"/>
  <c r="F760" i="12"/>
  <c r="G760" i="12"/>
  <c r="H760" i="12"/>
  <c r="I760" i="12"/>
  <c r="J760" i="12"/>
  <c r="C761" i="12"/>
  <c r="D761" i="12"/>
  <c r="E761" i="12"/>
  <c r="F761" i="12"/>
  <c r="G761" i="12"/>
  <c r="H761" i="12"/>
  <c r="I761" i="12"/>
  <c r="J761" i="12"/>
  <c r="C762" i="12"/>
  <c r="D762" i="12"/>
  <c r="E762" i="12"/>
  <c r="F762" i="12"/>
  <c r="G762" i="12"/>
  <c r="H762" i="12"/>
  <c r="I762" i="12"/>
  <c r="J762" i="12"/>
  <c r="C763" i="12"/>
  <c r="D763" i="12"/>
  <c r="E763" i="12"/>
  <c r="F763" i="12"/>
  <c r="G763" i="12"/>
  <c r="H763" i="12"/>
  <c r="I763" i="12"/>
  <c r="J763" i="12"/>
  <c r="C764" i="12"/>
  <c r="D764" i="12"/>
  <c r="E764" i="12"/>
  <c r="F764" i="12"/>
  <c r="G764" i="12"/>
  <c r="H764" i="12"/>
  <c r="I764" i="12"/>
  <c r="J764" i="12"/>
  <c r="C765" i="12"/>
  <c r="D765" i="12"/>
  <c r="E765" i="12"/>
  <c r="F765" i="12"/>
  <c r="G765" i="12"/>
  <c r="H765" i="12"/>
  <c r="I765" i="12"/>
  <c r="J765" i="12"/>
  <c r="C766" i="12"/>
  <c r="D766" i="12"/>
  <c r="E766" i="12"/>
  <c r="F766" i="12"/>
  <c r="G766" i="12"/>
  <c r="H766" i="12"/>
  <c r="I766" i="12"/>
  <c r="J766" i="12"/>
  <c r="C767" i="12"/>
  <c r="D767" i="12"/>
  <c r="E767" i="12"/>
  <c r="F767" i="12"/>
  <c r="G767" i="12"/>
  <c r="H767" i="12"/>
  <c r="I767" i="12"/>
  <c r="J767" i="12"/>
  <c r="C768" i="12"/>
  <c r="D768" i="12"/>
  <c r="E768" i="12"/>
  <c r="F768" i="12"/>
  <c r="G768" i="12"/>
  <c r="H768" i="12"/>
  <c r="I768" i="12"/>
  <c r="J768" i="12"/>
  <c r="C769" i="12"/>
  <c r="D769" i="12"/>
  <c r="E769" i="12"/>
  <c r="F769" i="12"/>
  <c r="G769" i="12"/>
  <c r="H769" i="12"/>
  <c r="I769" i="12"/>
  <c r="J769" i="12"/>
  <c r="C770" i="12"/>
  <c r="D770" i="12"/>
  <c r="E770" i="12"/>
  <c r="F770" i="12"/>
  <c r="G770" i="12"/>
  <c r="H770" i="12"/>
  <c r="I770" i="12"/>
  <c r="J770" i="12"/>
  <c r="C771" i="12"/>
  <c r="D771" i="12"/>
  <c r="E771" i="12"/>
  <c r="F771" i="12"/>
  <c r="G771" i="12"/>
  <c r="H771" i="12"/>
  <c r="I771" i="12"/>
  <c r="J771" i="12"/>
  <c r="C772" i="12"/>
  <c r="D772" i="12"/>
  <c r="E772" i="12"/>
  <c r="F772" i="12"/>
  <c r="G772" i="12"/>
  <c r="H772" i="12"/>
  <c r="I772" i="12"/>
  <c r="J772" i="12"/>
  <c r="C773" i="12"/>
  <c r="D773" i="12"/>
  <c r="E773" i="12"/>
  <c r="F773" i="12"/>
  <c r="G773" i="12"/>
  <c r="H773" i="12"/>
  <c r="I773" i="12"/>
  <c r="J773" i="12"/>
  <c r="C774" i="12"/>
  <c r="D774" i="12"/>
  <c r="E774" i="12"/>
  <c r="F774" i="12"/>
  <c r="G774" i="12"/>
  <c r="H774" i="12"/>
  <c r="I774" i="12"/>
  <c r="J774" i="12"/>
  <c r="C775" i="12"/>
  <c r="D775" i="12"/>
  <c r="E775" i="12"/>
  <c r="F775" i="12"/>
  <c r="G775" i="12"/>
  <c r="H775" i="12"/>
  <c r="I775" i="12"/>
  <c r="J775" i="12"/>
  <c r="C776" i="12"/>
  <c r="D776" i="12"/>
  <c r="E776" i="12"/>
  <c r="F776" i="12"/>
  <c r="G776" i="12"/>
  <c r="H776" i="12"/>
  <c r="I776" i="12"/>
  <c r="J776" i="12"/>
  <c r="C777" i="12"/>
  <c r="D777" i="12"/>
  <c r="E777" i="12"/>
  <c r="F777" i="12"/>
  <c r="G777" i="12"/>
  <c r="H777" i="12"/>
  <c r="I777" i="12"/>
  <c r="J777" i="12"/>
  <c r="C778" i="12"/>
  <c r="D778" i="12"/>
  <c r="E778" i="12"/>
  <c r="F778" i="12"/>
  <c r="G778" i="12"/>
  <c r="H778" i="12"/>
  <c r="I778" i="12"/>
  <c r="J778" i="12"/>
  <c r="C779" i="12"/>
  <c r="D779" i="12"/>
  <c r="E779" i="12"/>
  <c r="F779" i="12"/>
  <c r="G779" i="12"/>
  <c r="H779" i="12"/>
  <c r="I779" i="12"/>
  <c r="J779" i="12"/>
  <c r="C780" i="12"/>
  <c r="D780" i="12"/>
  <c r="E780" i="12"/>
  <c r="F780" i="12"/>
  <c r="G780" i="12"/>
  <c r="H780" i="12"/>
  <c r="I780" i="12"/>
  <c r="J780" i="12"/>
  <c r="C781" i="12"/>
  <c r="D781" i="12"/>
  <c r="E781" i="12"/>
  <c r="F781" i="12"/>
  <c r="G781" i="12"/>
  <c r="H781" i="12"/>
  <c r="I781" i="12"/>
  <c r="J781" i="12"/>
  <c r="C782" i="12"/>
  <c r="D782" i="12"/>
  <c r="E782" i="12"/>
  <c r="F782" i="12"/>
  <c r="G782" i="12"/>
  <c r="H782" i="12"/>
  <c r="I782" i="12"/>
  <c r="J782" i="12"/>
  <c r="C783" i="12"/>
  <c r="D783" i="12"/>
  <c r="E783" i="12"/>
  <c r="F783" i="12"/>
  <c r="G783" i="12"/>
  <c r="H783" i="12"/>
  <c r="I783" i="12"/>
  <c r="J783" i="12"/>
  <c r="C784" i="12"/>
  <c r="D784" i="12"/>
  <c r="E784" i="12"/>
  <c r="F784" i="12"/>
  <c r="G784" i="12"/>
  <c r="H784" i="12"/>
  <c r="I784" i="12"/>
  <c r="J784" i="12"/>
  <c r="C785" i="12"/>
  <c r="D785" i="12"/>
  <c r="E785" i="12"/>
  <c r="F785" i="12"/>
  <c r="G785" i="12"/>
  <c r="H785" i="12"/>
  <c r="I785" i="12"/>
  <c r="J785" i="12"/>
  <c r="C786" i="12"/>
  <c r="D786" i="12"/>
  <c r="E786" i="12"/>
  <c r="F786" i="12"/>
  <c r="G786" i="12"/>
  <c r="H786" i="12"/>
  <c r="I786" i="12"/>
  <c r="J786" i="12"/>
  <c r="C787" i="12"/>
  <c r="D787" i="12"/>
  <c r="E787" i="12"/>
  <c r="F787" i="12"/>
  <c r="G787" i="12"/>
  <c r="H787" i="12"/>
  <c r="I787" i="12"/>
  <c r="J787" i="12"/>
  <c r="C788" i="12"/>
  <c r="D788" i="12"/>
  <c r="E788" i="12"/>
  <c r="F788" i="12"/>
  <c r="G788" i="12"/>
  <c r="H788" i="12"/>
  <c r="I788" i="12"/>
  <c r="J788" i="12"/>
  <c r="C789" i="12"/>
  <c r="D789" i="12"/>
  <c r="E789" i="12"/>
  <c r="F789" i="12"/>
  <c r="G789" i="12"/>
  <c r="H789" i="12"/>
  <c r="I789" i="12"/>
  <c r="J789" i="12"/>
  <c r="C790" i="12"/>
  <c r="D790" i="12"/>
  <c r="E790" i="12"/>
  <c r="F790" i="12"/>
  <c r="G790" i="12"/>
  <c r="H790" i="12"/>
  <c r="I790" i="12"/>
  <c r="J790" i="12"/>
  <c r="C791" i="12"/>
  <c r="D791" i="12"/>
  <c r="E791" i="12"/>
  <c r="F791" i="12"/>
  <c r="G791" i="12"/>
  <c r="H791" i="12"/>
  <c r="I791" i="12"/>
  <c r="J791" i="12"/>
  <c r="C792" i="12"/>
  <c r="D792" i="12"/>
  <c r="E792" i="12"/>
  <c r="F792" i="12"/>
  <c r="G792" i="12"/>
  <c r="H792" i="12"/>
  <c r="I792" i="12"/>
  <c r="J792" i="12"/>
  <c r="C793" i="12"/>
  <c r="D793" i="12"/>
  <c r="E793" i="12"/>
  <c r="F793" i="12"/>
  <c r="G793" i="12"/>
  <c r="H793" i="12"/>
  <c r="I793" i="12"/>
  <c r="J793" i="12"/>
  <c r="C794" i="12"/>
  <c r="D794" i="12"/>
  <c r="E794" i="12"/>
  <c r="F794" i="12"/>
  <c r="G794" i="12"/>
  <c r="H794" i="12"/>
  <c r="I794" i="12"/>
  <c r="J794" i="12"/>
  <c r="C795" i="12"/>
  <c r="D795" i="12"/>
  <c r="E795" i="12"/>
  <c r="F795" i="12"/>
  <c r="G795" i="12"/>
  <c r="H795" i="12"/>
  <c r="I795" i="12"/>
  <c r="J795" i="12"/>
  <c r="C796" i="12"/>
  <c r="D796" i="12"/>
  <c r="E796" i="12"/>
  <c r="F796" i="12"/>
  <c r="G796" i="12"/>
  <c r="H796" i="12"/>
  <c r="I796" i="12"/>
  <c r="J796" i="12"/>
  <c r="C797" i="12"/>
  <c r="D797" i="12"/>
  <c r="E797" i="12"/>
  <c r="F797" i="12"/>
  <c r="G797" i="12"/>
  <c r="H797" i="12"/>
  <c r="I797" i="12"/>
  <c r="J797" i="12"/>
  <c r="C798" i="12"/>
  <c r="D798" i="12"/>
  <c r="E798" i="12"/>
  <c r="F798" i="12"/>
  <c r="G798" i="12"/>
  <c r="H798" i="12"/>
  <c r="I798" i="12"/>
  <c r="J798" i="12"/>
  <c r="C799" i="12"/>
  <c r="D799" i="12"/>
  <c r="E799" i="12"/>
  <c r="F799" i="12"/>
  <c r="G799" i="12"/>
  <c r="H799" i="12"/>
  <c r="I799" i="12"/>
  <c r="J799" i="12"/>
  <c r="C800" i="12"/>
  <c r="D800" i="12"/>
  <c r="E800" i="12"/>
  <c r="F800" i="12"/>
  <c r="G800" i="12"/>
  <c r="H800" i="12"/>
  <c r="I800" i="12"/>
  <c r="J800" i="12"/>
  <c r="C801" i="12"/>
  <c r="D801" i="12"/>
  <c r="E801" i="12"/>
  <c r="F801" i="12"/>
  <c r="G801" i="12"/>
  <c r="H801" i="12"/>
  <c r="I801" i="12"/>
  <c r="J801" i="12"/>
  <c r="C802" i="12"/>
  <c r="D802" i="12"/>
  <c r="E802" i="12"/>
  <c r="F802" i="12"/>
  <c r="G802" i="12"/>
  <c r="H802" i="12"/>
  <c r="I802" i="12"/>
  <c r="J802" i="12"/>
  <c r="C803" i="12"/>
  <c r="D803" i="12"/>
  <c r="E803" i="12"/>
  <c r="F803" i="12"/>
  <c r="G803" i="12"/>
  <c r="H803" i="12"/>
  <c r="I803" i="12"/>
  <c r="J803" i="12"/>
  <c r="C804" i="12"/>
  <c r="D804" i="12"/>
  <c r="E804" i="12"/>
  <c r="F804" i="12"/>
  <c r="G804" i="12"/>
  <c r="H804" i="12"/>
  <c r="I804" i="12"/>
  <c r="J804" i="12"/>
  <c r="C805" i="12"/>
  <c r="D805" i="12"/>
  <c r="E805" i="12"/>
  <c r="F805" i="12"/>
  <c r="G805" i="12"/>
  <c r="H805" i="12"/>
  <c r="I805" i="12"/>
  <c r="J805" i="12"/>
  <c r="C806" i="12"/>
  <c r="D806" i="12"/>
  <c r="E806" i="12"/>
  <c r="F806" i="12"/>
  <c r="G806" i="12"/>
  <c r="H806" i="12"/>
  <c r="I806" i="12"/>
  <c r="J806" i="12"/>
  <c r="C807" i="12"/>
  <c r="D807" i="12"/>
  <c r="E807" i="12"/>
  <c r="F807" i="12"/>
  <c r="G807" i="12"/>
  <c r="H807" i="12"/>
  <c r="I807" i="12"/>
  <c r="J807" i="12"/>
  <c r="C808" i="12"/>
  <c r="D808" i="12"/>
  <c r="E808" i="12"/>
  <c r="F808" i="12"/>
  <c r="G808" i="12"/>
  <c r="H808" i="12"/>
  <c r="I808" i="12"/>
  <c r="J808" i="12"/>
  <c r="C809" i="12"/>
  <c r="D809" i="12"/>
  <c r="E809" i="12"/>
  <c r="F809" i="12"/>
  <c r="G809" i="12"/>
  <c r="H809" i="12"/>
  <c r="I809" i="12"/>
  <c r="J809" i="12"/>
  <c r="C810" i="12"/>
  <c r="D810" i="12"/>
  <c r="E810" i="12"/>
  <c r="F810" i="12"/>
  <c r="G810" i="12"/>
  <c r="H810" i="12"/>
  <c r="I810" i="12"/>
  <c r="J810" i="12"/>
  <c r="C811" i="12"/>
  <c r="D811" i="12"/>
  <c r="E811" i="12"/>
  <c r="F811" i="12"/>
  <c r="G811" i="12"/>
  <c r="H811" i="12"/>
  <c r="I811" i="12"/>
  <c r="J811" i="12"/>
  <c r="C812" i="12"/>
  <c r="D812" i="12"/>
  <c r="E812" i="12"/>
  <c r="F812" i="12"/>
  <c r="G812" i="12"/>
  <c r="H812" i="12"/>
  <c r="I812" i="12"/>
  <c r="J812" i="12"/>
  <c r="C813" i="12"/>
  <c r="D813" i="12"/>
  <c r="E813" i="12"/>
  <c r="F813" i="12"/>
  <c r="G813" i="12"/>
  <c r="H813" i="12"/>
  <c r="I813" i="12"/>
  <c r="J813" i="12"/>
  <c r="C814" i="12"/>
  <c r="D814" i="12"/>
  <c r="E814" i="12"/>
  <c r="F814" i="12"/>
  <c r="G814" i="12"/>
  <c r="H814" i="12"/>
  <c r="I814" i="12"/>
  <c r="J814" i="12"/>
  <c r="C815" i="12"/>
  <c r="D815" i="12"/>
  <c r="E815" i="12"/>
  <c r="F815" i="12"/>
  <c r="G815" i="12"/>
  <c r="H815" i="12"/>
  <c r="I815" i="12"/>
  <c r="J815" i="12"/>
  <c r="C816" i="12"/>
  <c r="D816" i="12"/>
  <c r="E816" i="12"/>
  <c r="F816" i="12"/>
  <c r="G816" i="12"/>
  <c r="H816" i="12"/>
  <c r="I816" i="12"/>
  <c r="J816" i="12"/>
  <c r="C817" i="12"/>
  <c r="D817" i="12"/>
  <c r="E817" i="12"/>
  <c r="F817" i="12"/>
  <c r="G817" i="12"/>
  <c r="H817" i="12"/>
  <c r="I817" i="12"/>
  <c r="J817" i="12"/>
  <c r="C818" i="12"/>
  <c r="D818" i="12"/>
  <c r="E818" i="12"/>
  <c r="F818" i="12"/>
  <c r="G818" i="12"/>
  <c r="H818" i="12"/>
  <c r="I818" i="12"/>
  <c r="J818" i="12"/>
  <c r="C819" i="12"/>
  <c r="D819" i="12"/>
  <c r="E819" i="12"/>
  <c r="F819" i="12"/>
  <c r="G819" i="12"/>
  <c r="H819" i="12"/>
  <c r="I819" i="12"/>
  <c r="J819" i="12"/>
  <c r="C820" i="12"/>
  <c r="D820" i="12"/>
  <c r="E820" i="12"/>
  <c r="F820" i="12"/>
  <c r="G820" i="12"/>
  <c r="H820" i="12"/>
  <c r="I820" i="12"/>
  <c r="J820" i="12"/>
  <c r="C821" i="12"/>
  <c r="D821" i="12"/>
  <c r="E821" i="12"/>
  <c r="F821" i="12"/>
  <c r="G821" i="12"/>
  <c r="H821" i="12"/>
  <c r="I821" i="12"/>
  <c r="J821" i="12"/>
  <c r="C822" i="12"/>
  <c r="D822" i="12"/>
  <c r="E822" i="12"/>
  <c r="F822" i="12"/>
  <c r="G822" i="12"/>
  <c r="H822" i="12"/>
  <c r="I822" i="12"/>
  <c r="J822" i="12"/>
  <c r="C823" i="12"/>
  <c r="D823" i="12"/>
  <c r="E823" i="12"/>
  <c r="F823" i="12"/>
  <c r="G823" i="12"/>
  <c r="H823" i="12"/>
  <c r="I823" i="12"/>
  <c r="J823" i="12"/>
  <c r="C824" i="12"/>
  <c r="D824" i="12"/>
  <c r="E824" i="12"/>
  <c r="F824" i="12"/>
  <c r="G824" i="12"/>
  <c r="H824" i="12"/>
  <c r="I824" i="12"/>
  <c r="J824" i="12"/>
  <c r="C825" i="12"/>
  <c r="D825" i="12"/>
  <c r="E825" i="12"/>
  <c r="F825" i="12"/>
  <c r="G825" i="12"/>
  <c r="H825" i="12"/>
  <c r="I825" i="12"/>
  <c r="J825" i="12"/>
  <c r="C826" i="12"/>
  <c r="D826" i="12"/>
  <c r="E826" i="12"/>
  <c r="F826" i="12"/>
  <c r="G826" i="12"/>
  <c r="H826" i="12"/>
  <c r="I826" i="12"/>
  <c r="J826" i="12"/>
  <c r="C827" i="12"/>
  <c r="D827" i="12"/>
  <c r="E827" i="12"/>
  <c r="F827" i="12"/>
  <c r="G827" i="12"/>
  <c r="H827" i="12"/>
  <c r="I827" i="12"/>
  <c r="J827" i="12"/>
  <c r="C828" i="12"/>
  <c r="D828" i="12"/>
  <c r="E828" i="12"/>
  <c r="F828" i="12"/>
  <c r="G828" i="12"/>
  <c r="H828" i="12"/>
  <c r="I828" i="12"/>
  <c r="J828" i="12"/>
  <c r="C829" i="12"/>
  <c r="D829" i="12"/>
  <c r="E829" i="12"/>
  <c r="F829" i="12"/>
  <c r="G829" i="12"/>
  <c r="H829" i="12"/>
  <c r="I829" i="12"/>
  <c r="J829" i="12"/>
  <c r="C830" i="12"/>
  <c r="D830" i="12"/>
  <c r="E830" i="12"/>
  <c r="F830" i="12"/>
  <c r="G830" i="12"/>
  <c r="H830" i="12"/>
  <c r="I830" i="12"/>
  <c r="J830" i="12"/>
  <c r="C831" i="12"/>
  <c r="D831" i="12"/>
  <c r="E831" i="12"/>
  <c r="F831" i="12"/>
  <c r="G831" i="12"/>
  <c r="H831" i="12"/>
  <c r="I831" i="12"/>
  <c r="J831" i="12"/>
  <c r="C832" i="12"/>
  <c r="D832" i="12"/>
  <c r="E832" i="12"/>
  <c r="F832" i="12"/>
  <c r="G832" i="12"/>
  <c r="H832" i="12"/>
  <c r="I832" i="12"/>
  <c r="J832" i="12"/>
  <c r="C833" i="12"/>
  <c r="D833" i="12"/>
  <c r="E833" i="12"/>
  <c r="F833" i="12"/>
  <c r="G833" i="12"/>
  <c r="H833" i="12"/>
  <c r="I833" i="12"/>
  <c r="J833" i="12"/>
  <c r="C834" i="12"/>
  <c r="D834" i="12"/>
  <c r="E834" i="12"/>
  <c r="F834" i="12"/>
  <c r="G834" i="12"/>
  <c r="H834" i="12"/>
  <c r="I834" i="12"/>
  <c r="J834" i="12"/>
  <c r="C835" i="12"/>
  <c r="D835" i="12"/>
  <c r="E835" i="12"/>
  <c r="F835" i="12"/>
  <c r="G835" i="12"/>
  <c r="H835" i="12"/>
  <c r="I835" i="12"/>
  <c r="J835" i="12"/>
  <c r="C836" i="12"/>
  <c r="D836" i="12"/>
  <c r="E836" i="12"/>
  <c r="F836" i="12"/>
  <c r="G836" i="12"/>
  <c r="H836" i="12"/>
  <c r="I836" i="12"/>
  <c r="J836" i="12"/>
  <c r="C837" i="12"/>
  <c r="D837" i="12"/>
  <c r="E837" i="12"/>
  <c r="F837" i="12"/>
  <c r="G837" i="12"/>
  <c r="H837" i="12"/>
  <c r="I837" i="12"/>
  <c r="J837" i="12"/>
  <c r="C838" i="12"/>
  <c r="D838" i="12"/>
  <c r="E838" i="12"/>
  <c r="F838" i="12"/>
  <c r="G838" i="12"/>
  <c r="H838" i="12"/>
  <c r="I838" i="12"/>
  <c r="J838" i="12"/>
  <c r="C839" i="12"/>
  <c r="D839" i="12"/>
  <c r="E839" i="12"/>
  <c r="F839" i="12"/>
  <c r="G839" i="12"/>
  <c r="H839" i="12"/>
  <c r="I839" i="12"/>
  <c r="J839" i="12"/>
  <c r="C840" i="12"/>
  <c r="D840" i="12"/>
  <c r="E840" i="12"/>
  <c r="F840" i="12"/>
  <c r="G840" i="12"/>
  <c r="H840" i="12"/>
  <c r="I840" i="12"/>
  <c r="J840" i="12"/>
  <c r="C841" i="12"/>
  <c r="D841" i="12"/>
  <c r="E841" i="12"/>
  <c r="F841" i="12"/>
  <c r="G841" i="12"/>
  <c r="H841" i="12"/>
  <c r="I841" i="12"/>
  <c r="J841" i="12"/>
  <c r="C842" i="12"/>
  <c r="D842" i="12"/>
  <c r="E842" i="12"/>
  <c r="F842" i="12"/>
  <c r="G842" i="12"/>
  <c r="H842" i="12"/>
  <c r="I842" i="12"/>
  <c r="J842" i="12"/>
  <c r="C843" i="12"/>
  <c r="D843" i="12"/>
  <c r="E843" i="12"/>
  <c r="F843" i="12"/>
  <c r="G843" i="12"/>
  <c r="H843" i="12"/>
  <c r="I843" i="12"/>
  <c r="J843" i="12"/>
  <c r="C844" i="12"/>
  <c r="D844" i="12"/>
  <c r="E844" i="12"/>
  <c r="F844" i="12"/>
  <c r="G844" i="12"/>
  <c r="H844" i="12"/>
  <c r="I844" i="12"/>
  <c r="J844" i="12"/>
  <c r="C845" i="12"/>
  <c r="D845" i="12"/>
  <c r="E845" i="12"/>
  <c r="F845" i="12"/>
  <c r="G845" i="12"/>
  <c r="H845" i="12"/>
  <c r="I845" i="12"/>
  <c r="J845" i="12"/>
  <c r="C846" i="12"/>
  <c r="D846" i="12"/>
  <c r="E846" i="12"/>
  <c r="F846" i="12"/>
  <c r="G846" i="12"/>
  <c r="H846" i="12"/>
  <c r="I846" i="12"/>
  <c r="J846" i="12"/>
  <c r="C847" i="12"/>
  <c r="D847" i="12"/>
  <c r="E847" i="12"/>
  <c r="F847" i="12"/>
  <c r="G847" i="12"/>
  <c r="H847" i="12"/>
  <c r="I847" i="12"/>
  <c r="J847" i="12"/>
  <c r="C848" i="12"/>
  <c r="D848" i="12"/>
  <c r="E848" i="12"/>
  <c r="F848" i="12"/>
  <c r="G848" i="12"/>
  <c r="H848" i="12"/>
  <c r="I848" i="12"/>
  <c r="J848" i="12"/>
  <c r="C849" i="12"/>
  <c r="D849" i="12"/>
  <c r="E849" i="12"/>
  <c r="F849" i="12"/>
  <c r="G849" i="12"/>
  <c r="H849" i="12"/>
  <c r="I849" i="12"/>
  <c r="J849" i="12"/>
  <c r="C850" i="12"/>
  <c r="D850" i="12"/>
  <c r="E850" i="12"/>
  <c r="F850" i="12"/>
  <c r="G850" i="12"/>
  <c r="H850" i="12"/>
  <c r="I850" i="12"/>
  <c r="J850" i="12"/>
  <c r="C851" i="12"/>
  <c r="D851" i="12"/>
  <c r="E851" i="12"/>
  <c r="F851" i="12"/>
  <c r="G851" i="12"/>
  <c r="H851" i="12"/>
  <c r="I851" i="12"/>
  <c r="J851" i="12"/>
  <c r="C852" i="12"/>
  <c r="D852" i="12"/>
  <c r="E852" i="12"/>
  <c r="F852" i="12"/>
  <c r="G852" i="12"/>
  <c r="H852" i="12"/>
  <c r="I852" i="12"/>
  <c r="J852" i="12"/>
  <c r="C853" i="12"/>
  <c r="D853" i="12"/>
  <c r="E853" i="12"/>
  <c r="F853" i="12"/>
  <c r="G853" i="12"/>
  <c r="H853" i="12"/>
  <c r="I853" i="12"/>
  <c r="J853" i="12"/>
  <c r="C854" i="12"/>
  <c r="D854" i="12"/>
  <c r="E854" i="12"/>
  <c r="F854" i="12"/>
  <c r="G854" i="12"/>
  <c r="H854" i="12"/>
  <c r="I854" i="12"/>
  <c r="J854" i="12"/>
  <c r="C855" i="12"/>
  <c r="D855" i="12"/>
  <c r="E855" i="12"/>
  <c r="F855" i="12"/>
  <c r="G855" i="12"/>
  <c r="H855" i="12"/>
  <c r="I855" i="12"/>
  <c r="J855" i="12"/>
  <c r="C856" i="12"/>
  <c r="D856" i="12"/>
  <c r="E856" i="12"/>
  <c r="F856" i="12"/>
  <c r="G856" i="12"/>
  <c r="H856" i="12"/>
  <c r="I856" i="12"/>
  <c r="J856" i="12"/>
  <c r="C857" i="12"/>
  <c r="D857" i="12"/>
  <c r="E857" i="12"/>
  <c r="F857" i="12"/>
  <c r="G857" i="12"/>
  <c r="H857" i="12"/>
  <c r="I857" i="12"/>
  <c r="J857" i="12"/>
  <c r="C858" i="12"/>
  <c r="D858" i="12"/>
  <c r="E858" i="12"/>
  <c r="F858" i="12"/>
  <c r="G858" i="12"/>
  <c r="H858" i="12"/>
  <c r="I858" i="12"/>
  <c r="J858" i="12"/>
  <c r="C859" i="12"/>
  <c r="D859" i="12"/>
  <c r="E859" i="12"/>
  <c r="F859" i="12"/>
  <c r="G859" i="12"/>
  <c r="H859" i="12"/>
  <c r="I859" i="12"/>
  <c r="J859" i="12"/>
  <c r="C860" i="12"/>
  <c r="D860" i="12"/>
  <c r="E860" i="12"/>
  <c r="F860" i="12"/>
  <c r="G860" i="12"/>
  <c r="H860" i="12"/>
  <c r="I860" i="12"/>
  <c r="J860" i="12"/>
  <c r="C861" i="12"/>
  <c r="D861" i="12"/>
  <c r="E861" i="12"/>
  <c r="F861" i="12"/>
  <c r="G861" i="12"/>
  <c r="H861" i="12"/>
  <c r="I861" i="12"/>
  <c r="J861" i="12"/>
  <c r="C862" i="12"/>
  <c r="D862" i="12"/>
  <c r="E862" i="12"/>
  <c r="F862" i="12"/>
  <c r="G862" i="12"/>
  <c r="H862" i="12"/>
  <c r="I862" i="12"/>
  <c r="J862" i="12"/>
  <c r="C863" i="12"/>
  <c r="D863" i="12"/>
  <c r="E863" i="12"/>
  <c r="F863" i="12"/>
  <c r="G863" i="12"/>
  <c r="H863" i="12"/>
  <c r="I863" i="12"/>
  <c r="J863" i="12"/>
  <c r="C864" i="12"/>
  <c r="D864" i="12"/>
  <c r="E864" i="12"/>
  <c r="F864" i="12"/>
  <c r="G864" i="12"/>
  <c r="H864" i="12"/>
  <c r="I864" i="12"/>
  <c r="J864" i="12"/>
  <c r="C865" i="12"/>
  <c r="D865" i="12"/>
  <c r="E865" i="12"/>
  <c r="F865" i="12"/>
  <c r="G865" i="12"/>
  <c r="H865" i="12"/>
  <c r="I865" i="12"/>
  <c r="J865" i="12"/>
  <c r="C866" i="12"/>
  <c r="D866" i="12"/>
  <c r="E866" i="12"/>
  <c r="F866" i="12"/>
  <c r="G866" i="12"/>
  <c r="H866" i="12"/>
  <c r="I866" i="12"/>
  <c r="J866" i="12"/>
  <c r="C867" i="12"/>
  <c r="D867" i="12"/>
  <c r="E867" i="12"/>
  <c r="F867" i="12"/>
  <c r="G867" i="12"/>
  <c r="H867" i="12"/>
  <c r="I867" i="12"/>
  <c r="J867" i="12"/>
  <c r="C868" i="12"/>
  <c r="D868" i="12"/>
  <c r="E868" i="12"/>
  <c r="F868" i="12"/>
  <c r="G868" i="12"/>
  <c r="H868" i="12"/>
  <c r="I868" i="12"/>
  <c r="J868" i="12"/>
  <c r="C869" i="12"/>
  <c r="D869" i="12"/>
  <c r="E869" i="12"/>
  <c r="F869" i="12"/>
  <c r="G869" i="12"/>
  <c r="H869" i="12"/>
  <c r="I869" i="12"/>
  <c r="J869" i="12"/>
  <c r="C870" i="12"/>
  <c r="D870" i="12"/>
  <c r="E870" i="12"/>
  <c r="F870" i="12"/>
  <c r="G870" i="12"/>
  <c r="H870" i="12"/>
  <c r="I870" i="12"/>
  <c r="J870" i="12"/>
  <c r="C871" i="12"/>
  <c r="D871" i="12"/>
  <c r="E871" i="12"/>
  <c r="F871" i="12"/>
  <c r="G871" i="12"/>
  <c r="H871" i="12"/>
  <c r="I871" i="12"/>
  <c r="J871" i="12"/>
  <c r="C872" i="12"/>
  <c r="D872" i="12"/>
  <c r="E872" i="12"/>
  <c r="F872" i="12"/>
  <c r="G872" i="12"/>
  <c r="H872" i="12"/>
  <c r="I872" i="12"/>
  <c r="J872" i="12"/>
  <c r="C873" i="12"/>
  <c r="D873" i="12"/>
  <c r="E873" i="12"/>
  <c r="F873" i="12"/>
  <c r="G873" i="12"/>
  <c r="H873" i="12"/>
  <c r="I873" i="12"/>
  <c r="J873" i="12"/>
  <c r="C874" i="12"/>
  <c r="D874" i="12"/>
  <c r="E874" i="12"/>
  <c r="F874" i="12"/>
  <c r="G874" i="12"/>
  <c r="H874" i="12"/>
  <c r="I874" i="12"/>
  <c r="J874" i="12"/>
  <c r="C875" i="12"/>
  <c r="D875" i="12"/>
  <c r="E875" i="12"/>
  <c r="F875" i="12"/>
  <c r="G875" i="12"/>
  <c r="H875" i="12"/>
  <c r="I875" i="12"/>
  <c r="J875" i="12"/>
  <c r="C876" i="12"/>
  <c r="D876" i="12"/>
  <c r="E876" i="12"/>
  <c r="F876" i="12"/>
  <c r="G876" i="12"/>
  <c r="H876" i="12"/>
  <c r="I876" i="12"/>
  <c r="J876" i="12"/>
  <c r="C877" i="12"/>
  <c r="D877" i="12"/>
  <c r="E877" i="12"/>
  <c r="F877" i="12"/>
  <c r="G877" i="12"/>
  <c r="H877" i="12"/>
  <c r="I877" i="12"/>
  <c r="J877" i="12"/>
  <c r="C878" i="12"/>
  <c r="D878" i="12"/>
  <c r="E878" i="12"/>
  <c r="F878" i="12"/>
  <c r="G878" i="12"/>
  <c r="H878" i="12"/>
  <c r="I878" i="12"/>
  <c r="J878" i="12"/>
  <c r="C879" i="12"/>
  <c r="D879" i="12"/>
  <c r="E879" i="12"/>
  <c r="F879" i="12"/>
  <c r="G879" i="12"/>
  <c r="H879" i="12"/>
  <c r="I879" i="12"/>
  <c r="J879" i="12"/>
  <c r="C880" i="12"/>
  <c r="D880" i="12"/>
  <c r="E880" i="12"/>
  <c r="F880" i="12"/>
  <c r="G880" i="12"/>
  <c r="H880" i="12"/>
  <c r="I880" i="12"/>
  <c r="J880" i="12"/>
  <c r="C881" i="12"/>
  <c r="D881" i="12"/>
  <c r="E881" i="12"/>
  <c r="F881" i="12"/>
  <c r="G881" i="12"/>
  <c r="H881" i="12"/>
  <c r="I881" i="12"/>
  <c r="J881" i="12"/>
  <c r="C882" i="12"/>
  <c r="D882" i="12"/>
  <c r="E882" i="12"/>
  <c r="F882" i="12"/>
  <c r="G882" i="12"/>
  <c r="H882" i="12"/>
  <c r="I882" i="12"/>
  <c r="J882" i="12"/>
  <c r="C883" i="12"/>
  <c r="D883" i="12"/>
  <c r="E883" i="12"/>
  <c r="F883" i="12"/>
  <c r="G883" i="12"/>
  <c r="H883" i="12"/>
  <c r="I883" i="12"/>
  <c r="J883" i="12"/>
  <c r="C884" i="12"/>
  <c r="D884" i="12"/>
  <c r="E884" i="12"/>
  <c r="F884" i="12"/>
  <c r="G884" i="12"/>
  <c r="H884" i="12"/>
  <c r="I884" i="12"/>
  <c r="J884" i="12"/>
  <c r="C885" i="12"/>
  <c r="D885" i="12"/>
  <c r="E885" i="12"/>
  <c r="F885" i="12"/>
  <c r="G885" i="12"/>
  <c r="H885" i="12"/>
  <c r="I885" i="12"/>
  <c r="J885" i="12"/>
  <c r="C886" i="12"/>
  <c r="D886" i="12"/>
  <c r="E886" i="12"/>
  <c r="F886" i="12"/>
  <c r="G886" i="12"/>
  <c r="H886" i="12"/>
  <c r="I886" i="12"/>
  <c r="J886" i="12"/>
  <c r="C887" i="12"/>
  <c r="D887" i="12"/>
  <c r="E887" i="12"/>
  <c r="F887" i="12"/>
  <c r="G887" i="12"/>
  <c r="H887" i="12"/>
  <c r="I887" i="12"/>
  <c r="J887" i="12"/>
  <c r="C888" i="12"/>
  <c r="D888" i="12"/>
  <c r="E888" i="12"/>
  <c r="F888" i="12"/>
  <c r="G888" i="12"/>
  <c r="H888" i="12"/>
  <c r="I888" i="12"/>
  <c r="J888" i="12"/>
  <c r="C889" i="12"/>
  <c r="D889" i="12"/>
  <c r="E889" i="12"/>
  <c r="F889" i="12"/>
  <c r="G889" i="12"/>
  <c r="H889" i="12"/>
  <c r="I889" i="12"/>
  <c r="J889" i="12"/>
  <c r="C890" i="12"/>
  <c r="D890" i="12"/>
  <c r="E890" i="12"/>
  <c r="F890" i="12"/>
  <c r="G890" i="12"/>
  <c r="H890" i="12"/>
  <c r="I890" i="12"/>
  <c r="J890" i="12"/>
  <c r="C891" i="12"/>
  <c r="D891" i="12"/>
  <c r="E891" i="12"/>
  <c r="F891" i="12"/>
  <c r="G891" i="12"/>
  <c r="H891" i="12"/>
  <c r="I891" i="12"/>
  <c r="J891" i="12"/>
  <c r="C892" i="12"/>
  <c r="D892" i="12"/>
  <c r="E892" i="12"/>
  <c r="F892" i="12"/>
  <c r="G892" i="12"/>
  <c r="H892" i="12"/>
  <c r="I892" i="12"/>
  <c r="J892" i="12"/>
  <c r="C893" i="12"/>
  <c r="D893" i="12"/>
  <c r="E893" i="12"/>
  <c r="F893" i="12"/>
  <c r="G893" i="12"/>
  <c r="H893" i="12"/>
  <c r="I893" i="12"/>
  <c r="J893" i="12"/>
  <c r="C894" i="12"/>
  <c r="D894" i="12"/>
  <c r="E894" i="12"/>
  <c r="F894" i="12"/>
  <c r="G894" i="12"/>
  <c r="H894" i="12"/>
  <c r="I894" i="12"/>
  <c r="J894" i="12"/>
  <c r="C895" i="12"/>
  <c r="D895" i="12"/>
  <c r="E895" i="12"/>
  <c r="F895" i="12"/>
  <c r="G895" i="12"/>
  <c r="H895" i="12"/>
  <c r="I895" i="12"/>
  <c r="J895" i="12"/>
  <c r="C896" i="12"/>
  <c r="D896" i="12"/>
  <c r="E896" i="12"/>
  <c r="F896" i="12"/>
  <c r="G896" i="12"/>
  <c r="H896" i="12"/>
  <c r="I896" i="12"/>
  <c r="J896" i="12"/>
  <c r="C897" i="12"/>
  <c r="D897" i="12"/>
  <c r="E897" i="12"/>
  <c r="F897" i="12"/>
  <c r="G897" i="12"/>
  <c r="H897" i="12"/>
  <c r="I897" i="12"/>
  <c r="J897" i="12"/>
  <c r="C898" i="12"/>
  <c r="D898" i="12"/>
  <c r="E898" i="12"/>
  <c r="F898" i="12"/>
  <c r="G898" i="12"/>
  <c r="H898" i="12"/>
  <c r="I898" i="12"/>
  <c r="J898" i="12"/>
  <c r="C899" i="12"/>
  <c r="D899" i="12"/>
  <c r="E899" i="12"/>
  <c r="F899" i="12"/>
  <c r="G899" i="12"/>
  <c r="H899" i="12"/>
  <c r="I899" i="12"/>
  <c r="J899" i="12"/>
  <c r="C900" i="12"/>
  <c r="D900" i="12"/>
  <c r="E900" i="12"/>
  <c r="F900" i="12"/>
  <c r="G900" i="12"/>
  <c r="H900" i="12"/>
  <c r="I900" i="12"/>
  <c r="J900" i="12"/>
  <c r="C901" i="12"/>
  <c r="D901" i="12"/>
  <c r="E901" i="12"/>
  <c r="F901" i="12"/>
  <c r="G901" i="12"/>
  <c r="H901" i="12"/>
  <c r="I901" i="12"/>
  <c r="J901" i="12"/>
  <c r="C902" i="12"/>
  <c r="D902" i="12"/>
  <c r="E902" i="12"/>
  <c r="F902" i="12"/>
  <c r="G902" i="12"/>
  <c r="H902" i="12"/>
  <c r="I902" i="12"/>
  <c r="J902" i="12"/>
  <c r="C903" i="12"/>
  <c r="D903" i="12"/>
  <c r="E903" i="12"/>
  <c r="F903" i="12"/>
  <c r="G903" i="12"/>
  <c r="H903" i="12"/>
  <c r="I903" i="12"/>
  <c r="J903" i="12"/>
  <c r="C904" i="12"/>
  <c r="D904" i="12"/>
  <c r="E904" i="12"/>
  <c r="F904" i="12"/>
  <c r="G904" i="12"/>
  <c r="H904" i="12"/>
  <c r="I904" i="12"/>
  <c r="J904" i="12"/>
  <c r="C905" i="12"/>
  <c r="D905" i="12"/>
  <c r="E905" i="12"/>
  <c r="F905" i="12"/>
  <c r="G905" i="12"/>
  <c r="H905" i="12"/>
  <c r="I905" i="12"/>
  <c r="J905" i="12"/>
  <c r="C906" i="12"/>
  <c r="D906" i="12"/>
  <c r="E906" i="12"/>
  <c r="F906" i="12"/>
  <c r="G906" i="12"/>
  <c r="H906" i="12"/>
  <c r="I906" i="12"/>
  <c r="J906" i="12"/>
  <c r="C907" i="12"/>
  <c r="D907" i="12"/>
  <c r="E907" i="12"/>
  <c r="F907" i="12"/>
  <c r="G907" i="12"/>
  <c r="H907" i="12"/>
  <c r="I907" i="12"/>
  <c r="J907" i="12"/>
  <c r="C908" i="12"/>
  <c r="D908" i="12"/>
  <c r="E908" i="12"/>
  <c r="F908" i="12"/>
  <c r="G908" i="12"/>
  <c r="H908" i="12"/>
  <c r="I908" i="12"/>
  <c r="J908" i="12"/>
  <c r="C909" i="12"/>
  <c r="D909" i="12"/>
  <c r="E909" i="12"/>
  <c r="F909" i="12"/>
  <c r="G909" i="12"/>
  <c r="H909" i="12"/>
  <c r="I909" i="12"/>
  <c r="J909" i="12"/>
  <c r="C910" i="12"/>
  <c r="D910" i="12"/>
  <c r="E910" i="12"/>
  <c r="F910" i="12"/>
  <c r="G910" i="12"/>
  <c r="H910" i="12"/>
  <c r="I910" i="12"/>
  <c r="J910" i="12"/>
  <c r="C911" i="12"/>
  <c r="D911" i="12"/>
  <c r="E911" i="12"/>
  <c r="F911" i="12"/>
  <c r="G911" i="12"/>
  <c r="H911" i="12"/>
  <c r="I911" i="12"/>
  <c r="J911" i="12"/>
  <c r="C912" i="12"/>
  <c r="D912" i="12"/>
  <c r="E912" i="12"/>
  <c r="F912" i="12"/>
  <c r="G912" i="12"/>
  <c r="H912" i="12"/>
  <c r="I912" i="12"/>
  <c r="J912" i="12"/>
  <c r="C913" i="12"/>
  <c r="D913" i="12"/>
  <c r="E913" i="12"/>
  <c r="F913" i="12"/>
  <c r="G913" i="12"/>
  <c r="H913" i="12"/>
  <c r="I913" i="12"/>
  <c r="J913" i="12"/>
  <c r="C914" i="12"/>
  <c r="D914" i="12"/>
  <c r="E914" i="12"/>
  <c r="F914" i="12"/>
  <c r="G914" i="12"/>
  <c r="H914" i="12"/>
  <c r="I914" i="12"/>
  <c r="J914" i="12"/>
  <c r="C915" i="12"/>
  <c r="D915" i="12"/>
  <c r="E915" i="12"/>
  <c r="F915" i="12"/>
  <c r="G915" i="12"/>
  <c r="H915" i="12"/>
  <c r="I915" i="12"/>
  <c r="J915" i="12"/>
  <c r="C916" i="12"/>
  <c r="D916" i="12"/>
  <c r="E916" i="12"/>
  <c r="F916" i="12"/>
  <c r="G916" i="12"/>
  <c r="H916" i="12"/>
  <c r="I916" i="12"/>
  <c r="J916" i="12"/>
  <c r="C917" i="12"/>
  <c r="D917" i="12"/>
  <c r="E917" i="12"/>
  <c r="F917" i="12"/>
  <c r="G917" i="12"/>
  <c r="H917" i="12"/>
  <c r="I917" i="12"/>
  <c r="J917" i="12"/>
  <c r="C918" i="12"/>
  <c r="D918" i="12"/>
  <c r="E918" i="12"/>
  <c r="F918" i="12"/>
  <c r="G918" i="12"/>
  <c r="H918" i="12"/>
  <c r="I918" i="12"/>
  <c r="J918" i="12"/>
  <c r="C919" i="12"/>
  <c r="D919" i="12"/>
  <c r="E919" i="12"/>
  <c r="F919" i="12"/>
  <c r="G919" i="12"/>
  <c r="H919" i="12"/>
  <c r="I919" i="12"/>
  <c r="J919" i="12"/>
  <c r="C920" i="12"/>
  <c r="D920" i="12"/>
  <c r="E920" i="12"/>
  <c r="F920" i="12"/>
  <c r="G920" i="12"/>
  <c r="H920" i="12"/>
  <c r="I920" i="12"/>
  <c r="J920" i="12"/>
  <c r="C921" i="12"/>
  <c r="D921" i="12"/>
  <c r="E921" i="12"/>
  <c r="F921" i="12"/>
  <c r="G921" i="12"/>
  <c r="H921" i="12"/>
  <c r="I921" i="12"/>
  <c r="J921" i="12"/>
  <c r="C922" i="12"/>
  <c r="D922" i="12"/>
  <c r="E922" i="12"/>
  <c r="F922" i="12"/>
  <c r="G922" i="12"/>
  <c r="H922" i="12"/>
  <c r="I922" i="12"/>
  <c r="J922" i="12"/>
  <c r="C923" i="12"/>
  <c r="D923" i="12"/>
  <c r="E923" i="12"/>
  <c r="F923" i="12"/>
  <c r="G923" i="12"/>
  <c r="H923" i="12"/>
  <c r="I923" i="12"/>
  <c r="J923" i="12"/>
  <c r="C924" i="12"/>
  <c r="D924" i="12"/>
  <c r="E924" i="12"/>
  <c r="F924" i="12"/>
  <c r="G924" i="12"/>
  <c r="H924" i="12"/>
  <c r="I924" i="12"/>
  <c r="J924" i="12"/>
  <c r="C925" i="12"/>
  <c r="D925" i="12"/>
  <c r="E925" i="12"/>
  <c r="F925" i="12"/>
  <c r="G925" i="12"/>
  <c r="H925" i="12"/>
  <c r="I925" i="12"/>
  <c r="J925" i="12"/>
  <c r="C926" i="12"/>
  <c r="D926" i="12"/>
  <c r="E926" i="12"/>
  <c r="F926" i="12"/>
  <c r="G926" i="12"/>
  <c r="H926" i="12"/>
  <c r="I926" i="12"/>
  <c r="J926" i="12"/>
  <c r="C927" i="12"/>
  <c r="D927" i="12"/>
  <c r="E927" i="12"/>
  <c r="F927" i="12"/>
  <c r="G927" i="12"/>
  <c r="H927" i="12"/>
  <c r="I927" i="12"/>
  <c r="J927" i="12"/>
  <c r="C928" i="12"/>
  <c r="D928" i="12"/>
  <c r="E928" i="12"/>
  <c r="F928" i="12"/>
  <c r="G928" i="12"/>
  <c r="H928" i="12"/>
  <c r="I928" i="12"/>
  <c r="J928" i="12"/>
  <c r="C929" i="12"/>
  <c r="D929" i="12"/>
  <c r="E929" i="12"/>
  <c r="F929" i="12"/>
  <c r="G929" i="12"/>
  <c r="H929" i="12"/>
  <c r="I929" i="12"/>
  <c r="J929" i="12"/>
  <c r="C930" i="12"/>
  <c r="D930" i="12"/>
  <c r="E930" i="12"/>
  <c r="F930" i="12"/>
  <c r="G930" i="12"/>
  <c r="H930" i="12"/>
  <c r="I930" i="12"/>
  <c r="J930" i="12"/>
  <c r="C931" i="12"/>
  <c r="D931" i="12"/>
  <c r="E931" i="12"/>
  <c r="F931" i="12"/>
  <c r="G931" i="12"/>
  <c r="H931" i="12"/>
  <c r="I931" i="12"/>
  <c r="J931" i="12"/>
  <c r="C932" i="12"/>
  <c r="D932" i="12"/>
  <c r="E932" i="12"/>
  <c r="F932" i="12"/>
  <c r="G932" i="12"/>
  <c r="H932" i="12"/>
  <c r="I932" i="12"/>
  <c r="J932" i="12"/>
  <c r="C933" i="12"/>
  <c r="D933" i="12"/>
  <c r="E933" i="12"/>
  <c r="F933" i="12"/>
  <c r="G933" i="12"/>
  <c r="H933" i="12"/>
  <c r="I933" i="12"/>
  <c r="J933" i="12"/>
  <c r="C934" i="12"/>
  <c r="D934" i="12"/>
  <c r="E934" i="12"/>
  <c r="F934" i="12"/>
  <c r="G934" i="12"/>
  <c r="H934" i="12"/>
  <c r="I934" i="12"/>
  <c r="J934" i="12"/>
  <c r="C935" i="12"/>
  <c r="D935" i="12"/>
  <c r="E935" i="12"/>
  <c r="F935" i="12"/>
  <c r="G935" i="12"/>
  <c r="H935" i="12"/>
  <c r="I935" i="12"/>
  <c r="J935" i="12"/>
  <c r="C936" i="12"/>
  <c r="D936" i="12"/>
  <c r="E936" i="12"/>
  <c r="F936" i="12"/>
  <c r="G936" i="12"/>
  <c r="H936" i="12"/>
  <c r="I936" i="12"/>
  <c r="J936" i="12"/>
  <c r="C937" i="12"/>
  <c r="D937" i="12"/>
  <c r="E937" i="12"/>
  <c r="F937" i="12"/>
  <c r="G937" i="12"/>
  <c r="H937" i="12"/>
  <c r="I937" i="12"/>
  <c r="J937" i="12"/>
  <c r="C938" i="12"/>
  <c r="D938" i="12"/>
  <c r="E938" i="12"/>
  <c r="F938" i="12"/>
  <c r="G938" i="12"/>
  <c r="H938" i="12"/>
  <c r="I938" i="12"/>
  <c r="J938" i="12"/>
  <c r="C939" i="12"/>
  <c r="D939" i="12"/>
  <c r="E939" i="12"/>
  <c r="F939" i="12"/>
  <c r="G939" i="12"/>
  <c r="H939" i="12"/>
  <c r="I939" i="12"/>
  <c r="J939" i="12"/>
  <c r="C940" i="12"/>
  <c r="D940" i="12"/>
  <c r="E940" i="12"/>
  <c r="F940" i="12"/>
  <c r="G940" i="12"/>
  <c r="H940" i="12"/>
  <c r="I940" i="12"/>
  <c r="J940" i="12"/>
  <c r="C941" i="12"/>
  <c r="D941" i="12"/>
  <c r="E941" i="12"/>
  <c r="F941" i="12"/>
  <c r="G941" i="12"/>
  <c r="H941" i="12"/>
  <c r="I941" i="12"/>
  <c r="J941" i="12"/>
  <c r="C942" i="12"/>
  <c r="D942" i="12"/>
  <c r="E942" i="12"/>
  <c r="F942" i="12"/>
  <c r="G942" i="12"/>
  <c r="H942" i="12"/>
  <c r="I942" i="12"/>
  <c r="J942" i="12"/>
  <c r="C943" i="12"/>
  <c r="D943" i="12"/>
  <c r="E943" i="12"/>
  <c r="F943" i="12"/>
  <c r="G943" i="12"/>
  <c r="H943" i="12"/>
  <c r="I943" i="12"/>
  <c r="J943" i="12"/>
  <c r="C944" i="12"/>
  <c r="D944" i="12"/>
  <c r="E944" i="12"/>
  <c r="F944" i="12"/>
  <c r="G944" i="12"/>
  <c r="H944" i="12"/>
  <c r="I944" i="12"/>
  <c r="J944" i="12"/>
  <c r="C945" i="12"/>
  <c r="D945" i="12"/>
  <c r="E945" i="12"/>
  <c r="F945" i="12"/>
  <c r="G945" i="12"/>
  <c r="H945" i="12"/>
  <c r="I945" i="12"/>
  <c r="J945" i="12"/>
  <c r="C946" i="12"/>
  <c r="D946" i="12"/>
  <c r="E946" i="12"/>
  <c r="F946" i="12"/>
  <c r="G946" i="12"/>
  <c r="H946" i="12"/>
  <c r="I946" i="12"/>
  <c r="J946" i="12"/>
  <c r="C947" i="12"/>
  <c r="D947" i="12"/>
  <c r="E947" i="12"/>
  <c r="F947" i="12"/>
  <c r="G947" i="12"/>
  <c r="H947" i="12"/>
  <c r="I947" i="12"/>
  <c r="J947" i="12"/>
  <c r="C948" i="12"/>
  <c r="D948" i="12"/>
  <c r="E948" i="12"/>
  <c r="F948" i="12"/>
  <c r="G948" i="12"/>
  <c r="H948" i="12"/>
  <c r="I948" i="12"/>
  <c r="J948" i="12"/>
  <c r="C949" i="12"/>
  <c r="D949" i="12"/>
  <c r="E949" i="12"/>
  <c r="F949" i="12"/>
  <c r="G949" i="12"/>
  <c r="H949" i="12"/>
  <c r="I949" i="12"/>
  <c r="J949" i="12"/>
  <c r="C950" i="12"/>
  <c r="D950" i="12"/>
  <c r="E950" i="12"/>
  <c r="F950" i="12"/>
  <c r="G950" i="12"/>
  <c r="H950" i="12"/>
  <c r="I950" i="12"/>
  <c r="J950" i="12"/>
  <c r="C951" i="12"/>
  <c r="D951" i="12"/>
  <c r="E951" i="12"/>
  <c r="F951" i="12"/>
  <c r="G951" i="12"/>
  <c r="H951" i="12"/>
  <c r="I951" i="12"/>
  <c r="J951" i="12"/>
  <c r="C952" i="12"/>
  <c r="D952" i="12"/>
  <c r="E952" i="12"/>
  <c r="F952" i="12"/>
  <c r="G952" i="12"/>
  <c r="H952" i="12"/>
  <c r="I952" i="12"/>
  <c r="J952" i="12"/>
  <c r="C953" i="12"/>
  <c r="D953" i="12"/>
  <c r="E953" i="12"/>
  <c r="F953" i="12"/>
  <c r="G953" i="12"/>
  <c r="H953" i="12"/>
  <c r="I953" i="12"/>
  <c r="J953" i="12"/>
  <c r="C954" i="12"/>
  <c r="D954" i="12"/>
  <c r="E954" i="12"/>
  <c r="F954" i="12"/>
  <c r="G954" i="12"/>
  <c r="H954" i="12"/>
  <c r="I954" i="12"/>
  <c r="J954" i="12"/>
  <c r="C955" i="12"/>
  <c r="D955" i="12"/>
  <c r="E955" i="12"/>
  <c r="F955" i="12"/>
  <c r="G955" i="12"/>
  <c r="H955" i="12"/>
  <c r="I955" i="12"/>
  <c r="J955" i="12"/>
  <c r="C956" i="12"/>
  <c r="D956" i="12"/>
  <c r="E956" i="12"/>
  <c r="F956" i="12"/>
  <c r="G956" i="12"/>
  <c r="H956" i="12"/>
  <c r="I956" i="12"/>
  <c r="J956" i="12"/>
  <c r="C957" i="12"/>
  <c r="D957" i="12"/>
  <c r="E957" i="12"/>
  <c r="F957" i="12"/>
  <c r="G957" i="12"/>
  <c r="H957" i="12"/>
  <c r="I957" i="12"/>
  <c r="J957" i="12"/>
  <c r="C958" i="12"/>
  <c r="D958" i="12"/>
  <c r="E958" i="12"/>
  <c r="F958" i="12"/>
  <c r="G958" i="12"/>
  <c r="H958" i="12"/>
  <c r="I958" i="12"/>
  <c r="J958" i="12"/>
  <c r="C959" i="12"/>
  <c r="D959" i="12"/>
  <c r="E959" i="12"/>
  <c r="F959" i="12"/>
  <c r="G959" i="12"/>
  <c r="H959" i="12"/>
  <c r="I959" i="12"/>
  <c r="J959" i="12"/>
  <c r="C960" i="12"/>
  <c r="D960" i="12"/>
  <c r="E960" i="12"/>
  <c r="F960" i="12"/>
  <c r="G960" i="12"/>
  <c r="H960" i="12"/>
  <c r="I960" i="12"/>
  <c r="J960" i="12"/>
  <c r="C961" i="12"/>
  <c r="D961" i="12"/>
  <c r="E961" i="12"/>
  <c r="F961" i="12"/>
  <c r="G961" i="12"/>
  <c r="H961" i="12"/>
  <c r="I961" i="12"/>
  <c r="J961" i="12"/>
  <c r="C962" i="12"/>
  <c r="D962" i="12"/>
  <c r="E962" i="12"/>
  <c r="F962" i="12"/>
  <c r="G962" i="12"/>
  <c r="H962" i="12"/>
  <c r="I962" i="12"/>
  <c r="J962" i="12"/>
  <c r="C963" i="12"/>
  <c r="D963" i="12"/>
  <c r="E963" i="12"/>
  <c r="F963" i="12"/>
  <c r="G963" i="12"/>
  <c r="H963" i="12"/>
  <c r="I963" i="12"/>
  <c r="J963" i="12"/>
  <c r="C964" i="12"/>
  <c r="D964" i="12"/>
  <c r="E964" i="12"/>
  <c r="F964" i="12"/>
  <c r="G964" i="12"/>
  <c r="H964" i="12"/>
  <c r="I964" i="12"/>
  <c r="J964" i="12"/>
  <c r="C965" i="12"/>
  <c r="D965" i="12"/>
  <c r="E965" i="12"/>
  <c r="F965" i="12"/>
  <c r="G965" i="12"/>
  <c r="H965" i="12"/>
  <c r="I965" i="12"/>
  <c r="J965" i="12"/>
  <c r="C966" i="12"/>
  <c r="D966" i="12"/>
  <c r="E966" i="12"/>
  <c r="F966" i="12"/>
  <c r="G966" i="12"/>
  <c r="H966" i="12"/>
  <c r="I966" i="12"/>
  <c r="J966" i="12"/>
  <c r="C967" i="12"/>
  <c r="D967" i="12"/>
  <c r="E967" i="12"/>
  <c r="F967" i="12"/>
  <c r="G967" i="12"/>
  <c r="H967" i="12"/>
  <c r="I967" i="12"/>
  <c r="J967" i="12"/>
  <c r="C968" i="12"/>
  <c r="D968" i="12"/>
  <c r="E968" i="12"/>
  <c r="F968" i="12"/>
  <c r="G968" i="12"/>
  <c r="H968" i="12"/>
  <c r="I968" i="12"/>
  <c r="J968" i="12"/>
  <c r="C969" i="12"/>
  <c r="D969" i="12"/>
  <c r="E969" i="12"/>
  <c r="F969" i="12"/>
  <c r="G969" i="12"/>
  <c r="H969" i="12"/>
  <c r="I969" i="12"/>
  <c r="J969" i="12"/>
  <c r="C970" i="12"/>
  <c r="D970" i="12"/>
  <c r="E970" i="12"/>
  <c r="F970" i="12"/>
  <c r="G970" i="12"/>
  <c r="H970" i="12"/>
  <c r="I970" i="12"/>
  <c r="J970" i="12"/>
  <c r="C971" i="12"/>
  <c r="D971" i="12"/>
  <c r="E971" i="12"/>
  <c r="F971" i="12"/>
  <c r="G971" i="12"/>
  <c r="H971" i="12"/>
  <c r="I971" i="12"/>
  <c r="J971" i="12"/>
  <c r="C972" i="12"/>
  <c r="D972" i="12"/>
  <c r="E972" i="12"/>
  <c r="F972" i="12"/>
  <c r="G972" i="12"/>
  <c r="H972" i="12"/>
  <c r="I972" i="12"/>
  <c r="J972" i="12"/>
  <c r="C973" i="12"/>
  <c r="D973" i="12"/>
  <c r="E973" i="12"/>
  <c r="F973" i="12"/>
  <c r="G973" i="12"/>
  <c r="H973" i="12"/>
  <c r="I973" i="12"/>
  <c r="J973" i="12"/>
  <c r="C974" i="12"/>
  <c r="D974" i="12"/>
  <c r="E974" i="12"/>
  <c r="F974" i="12"/>
  <c r="G974" i="12"/>
  <c r="H974" i="12"/>
  <c r="I974" i="12"/>
  <c r="J974" i="12"/>
  <c r="C975" i="12"/>
  <c r="D975" i="12"/>
  <c r="E975" i="12"/>
  <c r="F975" i="12"/>
  <c r="G975" i="12"/>
  <c r="H975" i="12"/>
  <c r="I975" i="12"/>
  <c r="J975" i="12"/>
  <c r="C976" i="12"/>
  <c r="D976" i="12"/>
  <c r="E976" i="12"/>
  <c r="F976" i="12"/>
  <c r="G976" i="12"/>
  <c r="H976" i="12"/>
  <c r="I976" i="12"/>
  <c r="J976" i="12"/>
  <c r="C977" i="12"/>
  <c r="D977" i="12"/>
  <c r="E977" i="12"/>
  <c r="F977" i="12"/>
  <c r="G977" i="12"/>
  <c r="H977" i="12"/>
  <c r="I977" i="12"/>
  <c r="J977" i="12"/>
  <c r="C978" i="12"/>
  <c r="D978" i="12"/>
  <c r="E978" i="12"/>
  <c r="F978" i="12"/>
  <c r="G978" i="12"/>
  <c r="H978" i="12"/>
  <c r="I978" i="12"/>
  <c r="J978" i="12"/>
  <c r="C979" i="12"/>
  <c r="D979" i="12"/>
  <c r="E979" i="12"/>
  <c r="F979" i="12"/>
  <c r="G979" i="12"/>
  <c r="H979" i="12"/>
  <c r="I979" i="12"/>
  <c r="J979" i="12"/>
  <c r="C980" i="12"/>
  <c r="D980" i="12"/>
  <c r="E980" i="12"/>
  <c r="F980" i="12"/>
  <c r="G980" i="12"/>
  <c r="H980" i="12"/>
  <c r="I980" i="12"/>
  <c r="J980" i="12"/>
  <c r="C981" i="12"/>
  <c r="D981" i="12"/>
  <c r="E981" i="12"/>
  <c r="F981" i="12"/>
  <c r="G981" i="12"/>
  <c r="H981" i="12"/>
  <c r="I981" i="12"/>
  <c r="J981" i="12"/>
  <c r="C982" i="12"/>
  <c r="D982" i="12"/>
  <c r="E982" i="12"/>
  <c r="F982" i="12"/>
  <c r="G982" i="12"/>
  <c r="H982" i="12"/>
  <c r="I982" i="12"/>
  <c r="J982" i="12"/>
  <c r="C983" i="12"/>
  <c r="D983" i="12"/>
  <c r="E983" i="12"/>
  <c r="F983" i="12"/>
  <c r="G983" i="12"/>
  <c r="H983" i="12"/>
  <c r="I983" i="12"/>
  <c r="J983" i="12"/>
  <c r="C984" i="12"/>
  <c r="D984" i="12"/>
  <c r="E984" i="12"/>
  <c r="F984" i="12"/>
  <c r="G984" i="12"/>
  <c r="H984" i="12"/>
  <c r="I984" i="12"/>
  <c r="J984" i="12"/>
  <c r="C985" i="12"/>
  <c r="D985" i="12"/>
  <c r="E985" i="12"/>
  <c r="F985" i="12"/>
  <c r="G985" i="12"/>
  <c r="H985" i="12"/>
  <c r="I985" i="12"/>
  <c r="J985" i="12"/>
  <c r="C986" i="12"/>
  <c r="D986" i="12"/>
  <c r="E986" i="12"/>
  <c r="F986" i="12"/>
  <c r="G986" i="12"/>
  <c r="H986" i="12"/>
  <c r="I986" i="12"/>
  <c r="J986" i="12"/>
  <c r="C987" i="12"/>
  <c r="D987" i="12"/>
  <c r="E987" i="12"/>
  <c r="F987" i="12"/>
  <c r="G987" i="12"/>
  <c r="H987" i="12"/>
  <c r="I987" i="12"/>
  <c r="J987" i="12"/>
  <c r="C988" i="12"/>
  <c r="D988" i="12"/>
  <c r="E988" i="12"/>
  <c r="F988" i="12"/>
  <c r="G988" i="12"/>
  <c r="H988" i="12"/>
  <c r="I988" i="12"/>
  <c r="J988" i="12"/>
  <c r="C989" i="12"/>
  <c r="D989" i="12"/>
  <c r="E989" i="12"/>
  <c r="F989" i="12"/>
  <c r="G989" i="12"/>
  <c r="H989" i="12"/>
  <c r="I989" i="12"/>
  <c r="J989" i="12"/>
  <c r="C990" i="12"/>
  <c r="D990" i="12"/>
  <c r="E990" i="12"/>
  <c r="F990" i="12"/>
  <c r="G990" i="12"/>
  <c r="H990" i="12"/>
  <c r="I990" i="12"/>
  <c r="J990" i="12"/>
  <c r="C991" i="12"/>
  <c r="D991" i="12"/>
  <c r="E991" i="12"/>
  <c r="F991" i="12"/>
  <c r="G991" i="12"/>
  <c r="H991" i="12"/>
  <c r="I991" i="12"/>
  <c r="J991" i="12"/>
  <c r="C992" i="12"/>
  <c r="D992" i="12"/>
  <c r="E992" i="12"/>
  <c r="F992" i="12"/>
  <c r="G992" i="12"/>
  <c r="H992" i="12"/>
  <c r="I992" i="12"/>
  <c r="J992" i="12"/>
  <c r="C993" i="12"/>
  <c r="D993" i="12"/>
  <c r="E993" i="12"/>
  <c r="F993" i="12"/>
  <c r="G993" i="12"/>
  <c r="H993" i="12"/>
  <c r="I993" i="12"/>
  <c r="J993" i="12"/>
  <c r="C994" i="12"/>
  <c r="D994" i="12"/>
  <c r="E994" i="12"/>
  <c r="F994" i="12"/>
  <c r="G994" i="12"/>
  <c r="H994" i="12"/>
  <c r="I994" i="12"/>
  <c r="J994" i="12"/>
  <c r="C995" i="12"/>
  <c r="D995" i="12"/>
  <c r="E995" i="12"/>
  <c r="F995" i="12"/>
  <c r="G995" i="12"/>
  <c r="H995" i="12"/>
  <c r="I995" i="12"/>
  <c r="J995" i="12"/>
  <c r="C996" i="12"/>
  <c r="D996" i="12"/>
  <c r="E996" i="12"/>
  <c r="F996" i="12"/>
  <c r="G996" i="12"/>
  <c r="H996" i="12"/>
  <c r="I996" i="12"/>
  <c r="J996" i="12"/>
  <c r="C997" i="12"/>
  <c r="D997" i="12"/>
  <c r="E997" i="12"/>
  <c r="F997" i="12"/>
  <c r="G997" i="12"/>
  <c r="H997" i="12"/>
  <c r="I997" i="12"/>
  <c r="J997" i="12"/>
  <c r="C998" i="12"/>
  <c r="D998" i="12"/>
  <c r="E998" i="12"/>
  <c r="F998" i="12"/>
  <c r="G998" i="12"/>
  <c r="H998" i="12"/>
  <c r="I998" i="12"/>
  <c r="J998" i="12"/>
  <c r="C999" i="12"/>
  <c r="D999" i="12"/>
  <c r="E999" i="12"/>
  <c r="F999" i="12"/>
  <c r="G999" i="12"/>
  <c r="H999" i="12"/>
  <c r="I999" i="12"/>
  <c r="J999" i="12"/>
  <c r="C1000" i="12"/>
  <c r="D1000" i="12"/>
  <c r="E1000" i="12"/>
  <c r="F1000" i="12"/>
  <c r="G1000" i="12"/>
  <c r="H1000" i="12"/>
  <c r="I1000" i="12"/>
  <c r="J1000" i="12"/>
  <c r="C1001" i="12"/>
  <c r="D1001" i="12"/>
  <c r="E1001" i="12"/>
  <c r="F1001" i="12"/>
  <c r="G1001" i="12"/>
  <c r="H1001" i="12"/>
  <c r="I1001" i="12"/>
  <c r="J1001" i="12"/>
  <c r="C1002" i="12"/>
  <c r="D1002" i="12"/>
  <c r="E1002" i="12"/>
  <c r="F1002" i="12"/>
  <c r="G1002" i="12"/>
  <c r="H1002" i="12"/>
  <c r="I1002" i="12"/>
  <c r="J1002" i="12"/>
  <c r="C1003" i="12"/>
  <c r="D1003" i="12"/>
  <c r="E1003" i="12"/>
  <c r="F1003" i="12"/>
  <c r="G1003" i="12"/>
  <c r="H1003" i="12"/>
  <c r="I1003" i="12"/>
  <c r="J1003" i="12"/>
  <c r="C1004" i="12"/>
  <c r="D1004" i="12"/>
  <c r="E1004" i="12"/>
  <c r="F1004" i="12"/>
  <c r="G1004" i="12"/>
  <c r="H1004" i="12"/>
  <c r="I1004" i="12"/>
  <c r="J1004" i="12"/>
  <c r="C1005" i="12"/>
  <c r="D1005" i="12"/>
  <c r="E1005" i="12"/>
  <c r="F1005" i="12"/>
  <c r="G1005" i="12"/>
  <c r="H1005" i="12"/>
  <c r="I1005" i="12"/>
  <c r="J1005" i="12"/>
  <c r="C1006" i="12"/>
  <c r="D1006" i="12"/>
  <c r="E1006" i="12"/>
  <c r="F1006" i="12"/>
  <c r="G1006" i="12"/>
  <c r="H1006" i="12"/>
  <c r="I1006" i="12"/>
  <c r="J1006" i="12"/>
  <c r="C1007" i="12"/>
  <c r="D1007" i="12"/>
  <c r="E1007" i="12"/>
  <c r="F1007" i="12"/>
  <c r="G1007" i="12"/>
  <c r="H1007" i="12"/>
  <c r="I1007" i="12"/>
  <c r="J1007" i="12"/>
  <c r="C1008" i="12"/>
  <c r="D1008" i="12"/>
  <c r="E1008" i="12"/>
  <c r="F1008" i="12"/>
  <c r="G1008" i="12"/>
  <c r="H1008" i="12"/>
  <c r="I1008" i="12"/>
  <c r="J1008" i="12"/>
  <c r="C1009" i="12"/>
  <c r="D1009" i="12"/>
  <c r="E1009" i="12"/>
  <c r="F1009" i="12"/>
  <c r="G1009" i="12"/>
  <c r="H1009" i="12"/>
  <c r="I1009" i="12"/>
  <c r="J1009" i="12"/>
  <c r="C1010" i="12"/>
  <c r="D1010" i="12"/>
  <c r="E1010" i="12"/>
  <c r="F1010" i="12"/>
  <c r="G1010" i="12"/>
  <c r="H1010" i="12"/>
  <c r="I1010" i="12"/>
  <c r="J1010" i="12"/>
  <c r="C1011" i="12"/>
  <c r="D1011" i="12"/>
  <c r="E1011" i="12"/>
  <c r="F1011" i="12"/>
  <c r="G1011" i="12"/>
  <c r="H1011" i="12"/>
  <c r="I1011" i="12"/>
  <c r="J1011" i="12"/>
  <c r="C1012" i="12"/>
  <c r="D1012" i="12"/>
  <c r="E1012" i="12"/>
  <c r="F1012" i="12"/>
  <c r="G1012" i="12"/>
  <c r="H1012" i="12"/>
  <c r="I1012" i="12"/>
  <c r="J1012" i="12"/>
  <c r="C1013" i="12"/>
  <c r="D1013" i="12"/>
  <c r="E1013" i="12"/>
  <c r="F1013" i="12"/>
  <c r="G1013" i="12"/>
  <c r="H1013" i="12"/>
  <c r="I1013" i="12"/>
  <c r="J1013" i="12"/>
  <c r="C1014" i="12"/>
  <c r="D1014" i="12"/>
  <c r="E1014" i="12"/>
  <c r="F1014" i="12"/>
  <c r="G1014" i="12"/>
  <c r="H1014" i="12"/>
  <c r="I1014" i="12"/>
  <c r="J1014" i="12"/>
  <c r="C1015" i="12"/>
  <c r="D1015" i="12"/>
  <c r="E1015" i="12"/>
  <c r="F1015" i="12"/>
  <c r="G1015" i="12"/>
  <c r="H1015" i="12"/>
  <c r="I1015" i="12"/>
  <c r="J1015" i="12"/>
  <c r="C1016" i="12"/>
  <c r="D1016" i="12"/>
  <c r="E1016" i="12"/>
  <c r="F1016" i="12"/>
  <c r="G1016" i="12"/>
  <c r="H1016" i="12"/>
  <c r="I1016" i="12"/>
  <c r="J1016" i="12"/>
  <c r="C1017" i="12"/>
  <c r="D1017" i="12"/>
  <c r="E1017" i="12"/>
  <c r="F1017" i="12"/>
  <c r="G1017" i="12"/>
  <c r="H1017" i="12"/>
  <c r="I1017" i="12"/>
  <c r="J1017" i="12"/>
  <c r="C1018" i="12"/>
  <c r="D1018" i="12"/>
  <c r="E1018" i="12"/>
  <c r="F1018" i="12"/>
  <c r="G1018" i="12"/>
  <c r="H1018" i="12"/>
  <c r="I1018" i="12"/>
  <c r="J1018" i="12"/>
  <c r="C1019" i="12"/>
  <c r="D1019" i="12"/>
  <c r="E1019" i="12"/>
  <c r="F1019" i="12"/>
  <c r="G1019" i="12"/>
  <c r="H1019" i="12"/>
  <c r="I1019" i="12"/>
  <c r="J1019" i="12"/>
  <c r="C1020" i="12"/>
  <c r="D1020" i="12"/>
  <c r="E1020" i="12"/>
  <c r="F1020" i="12"/>
  <c r="G1020" i="12"/>
  <c r="H1020" i="12"/>
  <c r="I1020" i="12"/>
  <c r="J1020" i="12"/>
  <c r="C1021" i="12"/>
  <c r="D1021" i="12"/>
  <c r="E1021" i="12"/>
  <c r="F1021" i="12"/>
  <c r="G1021" i="12"/>
  <c r="H1021" i="12"/>
  <c r="I1021" i="12"/>
  <c r="J1021" i="12"/>
  <c r="C1022" i="12"/>
  <c r="D1022" i="12"/>
  <c r="E1022" i="12"/>
  <c r="F1022" i="12"/>
  <c r="G1022" i="12"/>
  <c r="H1022" i="12"/>
  <c r="I1022" i="12"/>
  <c r="J1022" i="12"/>
  <c r="C1023" i="12"/>
  <c r="D1023" i="12"/>
  <c r="E1023" i="12"/>
  <c r="F1023" i="12"/>
  <c r="G1023" i="12"/>
  <c r="H1023" i="12"/>
  <c r="I1023" i="12"/>
  <c r="J1023" i="12"/>
  <c r="C1024" i="12"/>
  <c r="D1024" i="12"/>
  <c r="E1024" i="12"/>
  <c r="F1024" i="12"/>
  <c r="G1024" i="12"/>
  <c r="H1024" i="12"/>
  <c r="I1024" i="12"/>
  <c r="J1024" i="12"/>
  <c r="C1025" i="12"/>
  <c r="D1025" i="12"/>
  <c r="E1025" i="12"/>
  <c r="F1025" i="12"/>
  <c r="G1025" i="12"/>
  <c r="H1025" i="12"/>
  <c r="I1025" i="12"/>
  <c r="J1025" i="12"/>
  <c r="C1026" i="12"/>
  <c r="D1026" i="12"/>
  <c r="E1026" i="12"/>
  <c r="F1026" i="12"/>
  <c r="G1026" i="12"/>
  <c r="H1026" i="12"/>
  <c r="I1026" i="12"/>
  <c r="J1026" i="12"/>
  <c r="C1027" i="12"/>
  <c r="D1027" i="12"/>
  <c r="E1027" i="12"/>
  <c r="F1027" i="12"/>
  <c r="G1027" i="12"/>
  <c r="H1027" i="12"/>
  <c r="I1027" i="12"/>
  <c r="J1027" i="12"/>
  <c r="C1028" i="12"/>
  <c r="D1028" i="12"/>
  <c r="E1028" i="12"/>
  <c r="F1028" i="12"/>
  <c r="G1028" i="12"/>
  <c r="H1028" i="12"/>
  <c r="I1028" i="12"/>
  <c r="J1028" i="12"/>
  <c r="C1029" i="12"/>
  <c r="D1029" i="12"/>
  <c r="E1029" i="12"/>
  <c r="F1029" i="12"/>
  <c r="G1029" i="12"/>
  <c r="H1029" i="12"/>
  <c r="I1029" i="12"/>
  <c r="J1029" i="12"/>
  <c r="C1030" i="12"/>
  <c r="D1030" i="12"/>
  <c r="E1030" i="12"/>
  <c r="F1030" i="12"/>
  <c r="G1030" i="12"/>
  <c r="H1030" i="12"/>
  <c r="I1030" i="12"/>
  <c r="J1030" i="12"/>
  <c r="C1031" i="12"/>
  <c r="D1031" i="12"/>
  <c r="E1031" i="12"/>
  <c r="F1031" i="12"/>
  <c r="G1031" i="12"/>
  <c r="H1031" i="12"/>
  <c r="I1031" i="12"/>
  <c r="J1031" i="12"/>
  <c r="C1032" i="12"/>
  <c r="D1032" i="12"/>
  <c r="E1032" i="12"/>
  <c r="F1032" i="12"/>
  <c r="G1032" i="12"/>
  <c r="H1032" i="12"/>
  <c r="I1032" i="12"/>
  <c r="J1032" i="12"/>
  <c r="C1033" i="12"/>
  <c r="D1033" i="12"/>
  <c r="E1033" i="12"/>
  <c r="F1033" i="12"/>
  <c r="G1033" i="12"/>
  <c r="H1033" i="12"/>
  <c r="I1033" i="12"/>
  <c r="J1033" i="12"/>
  <c r="C1034" i="12"/>
  <c r="D1034" i="12"/>
  <c r="E1034" i="12"/>
  <c r="F1034" i="12"/>
  <c r="G1034" i="12"/>
  <c r="H1034" i="12"/>
  <c r="I1034" i="12"/>
  <c r="J1034" i="12"/>
  <c r="C1035" i="12"/>
  <c r="D1035" i="12"/>
  <c r="E1035" i="12"/>
  <c r="F1035" i="12"/>
  <c r="G1035" i="12"/>
  <c r="H1035" i="12"/>
  <c r="I1035" i="12"/>
  <c r="J1035" i="12"/>
  <c r="C1036" i="12"/>
  <c r="D1036" i="12"/>
  <c r="E1036" i="12"/>
  <c r="F1036" i="12"/>
  <c r="G1036" i="12"/>
  <c r="H1036" i="12"/>
  <c r="I1036" i="12"/>
  <c r="J1036" i="12"/>
  <c r="C1037" i="12"/>
  <c r="D1037" i="12"/>
  <c r="E1037" i="12"/>
  <c r="F1037" i="12"/>
  <c r="G1037" i="12"/>
  <c r="H1037" i="12"/>
  <c r="I1037" i="12"/>
  <c r="J1037" i="12"/>
  <c r="C1038" i="12"/>
  <c r="D1038" i="12"/>
  <c r="E1038" i="12"/>
  <c r="F1038" i="12"/>
  <c r="G1038" i="12"/>
  <c r="H1038" i="12"/>
  <c r="I1038" i="12"/>
  <c r="J1038" i="12"/>
  <c r="C1039" i="12"/>
  <c r="D1039" i="12"/>
  <c r="E1039" i="12"/>
  <c r="F1039" i="12"/>
  <c r="G1039" i="12"/>
  <c r="H1039" i="12"/>
  <c r="I1039" i="12"/>
  <c r="J1039" i="12"/>
  <c r="C1040" i="12"/>
  <c r="D1040" i="12"/>
  <c r="E1040" i="12"/>
  <c r="F1040" i="12"/>
  <c r="G1040" i="12"/>
  <c r="H1040" i="12"/>
  <c r="I1040" i="12"/>
  <c r="J1040" i="12"/>
  <c r="C1041" i="12"/>
  <c r="D1041" i="12"/>
  <c r="E1041" i="12"/>
  <c r="F1041" i="12"/>
  <c r="G1041" i="12"/>
  <c r="H1041" i="12"/>
  <c r="I1041" i="12"/>
  <c r="J1041" i="12"/>
  <c r="C1042" i="12"/>
  <c r="D1042" i="12"/>
  <c r="E1042" i="12"/>
  <c r="F1042" i="12"/>
  <c r="G1042" i="12"/>
  <c r="H1042" i="12"/>
  <c r="I1042" i="12"/>
  <c r="J1042" i="12"/>
  <c r="C1043" i="12"/>
  <c r="D1043" i="12"/>
  <c r="E1043" i="12"/>
  <c r="F1043" i="12"/>
  <c r="G1043" i="12"/>
  <c r="H1043" i="12"/>
  <c r="I1043" i="12"/>
  <c r="J1043" i="12"/>
  <c r="C1044" i="12"/>
  <c r="D1044" i="12"/>
  <c r="E1044" i="12"/>
  <c r="F1044" i="12"/>
  <c r="G1044" i="12"/>
  <c r="H1044" i="12"/>
  <c r="I1044" i="12"/>
  <c r="J1044" i="12"/>
  <c r="C1045" i="12"/>
  <c r="D1045" i="12"/>
  <c r="E1045" i="12"/>
  <c r="F1045" i="12"/>
  <c r="G1045" i="12"/>
  <c r="H1045" i="12"/>
  <c r="I1045" i="12"/>
  <c r="J1045" i="12"/>
  <c r="C1046" i="12"/>
  <c r="D1046" i="12"/>
  <c r="E1046" i="12"/>
  <c r="F1046" i="12"/>
  <c r="G1046" i="12"/>
  <c r="H1046" i="12"/>
  <c r="I1046" i="12"/>
  <c r="J1046" i="12"/>
  <c r="C1047" i="12"/>
  <c r="D1047" i="12"/>
  <c r="E1047" i="12"/>
  <c r="F1047" i="12"/>
  <c r="G1047" i="12"/>
  <c r="H1047" i="12"/>
  <c r="I1047" i="12"/>
  <c r="J1047" i="12"/>
  <c r="C1048" i="12"/>
  <c r="D1048" i="12"/>
  <c r="E1048" i="12"/>
  <c r="F1048" i="12"/>
  <c r="G1048" i="12"/>
  <c r="H1048" i="12"/>
  <c r="I1048" i="12"/>
  <c r="J1048" i="12"/>
  <c r="C1049" i="12"/>
  <c r="D1049" i="12"/>
  <c r="E1049" i="12"/>
  <c r="F1049" i="12"/>
  <c r="G1049" i="12"/>
  <c r="H1049" i="12"/>
  <c r="I1049" i="12"/>
  <c r="J1049" i="12"/>
  <c r="C1050" i="12"/>
  <c r="D1050" i="12"/>
  <c r="E1050" i="12"/>
  <c r="F1050" i="12"/>
  <c r="G1050" i="12"/>
  <c r="H1050" i="12"/>
  <c r="I1050" i="12"/>
  <c r="J1050" i="12"/>
  <c r="C1051" i="12"/>
  <c r="D1051" i="12"/>
  <c r="E1051" i="12"/>
  <c r="F1051" i="12"/>
  <c r="G1051" i="12"/>
  <c r="H1051" i="12"/>
  <c r="I1051" i="12"/>
  <c r="J1051" i="12"/>
  <c r="C1052" i="12"/>
  <c r="D1052" i="12"/>
  <c r="E1052" i="12"/>
  <c r="F1052" i="12"/>
  <c r="G1052" i="12"/>
  <c r="H1052" i="12"/>
  <c r="I1052" i="12"/>
  <c r="J1052" i="12"/>
  <c r="C1053" i="12"/>
  <c r="D1053" i="12"/>
  <c r="E1053" i="12"/>
  <c r="F1053" i="12"/>
  <c r="G1053" i="12"/>
  <c r="H1053" i="12"/>
  <c r="I1053" i="12"/>
  <c r="J1053" i="12"/>
  <c r="C1054" i="12"/>
  <c r="D1054" i="12"/>
  <c r="E1054" i="12"/>
  <c r="F1054" i="12"/>
  <c r="G1054" i="12"/>
  <c r="H1054" i="12"/>
  <c r="I1054" i="12"/>
  <c r="J1054" i="12"/>
  <c r="C1055" i="12"/>
  <c r="D1055" i="12"/>
  <c r="E1055" i="12"/>
  <c r="F1055" i="12"/>
  <c r="G1055" i="12"/>
  <c r="H1055" i="12"/>
  <c r="I1055" i="12"/>
  <c r="J1055" i="12"/>
  <c r="C1056" i="12"/>
  <c r="D1056" i="12"/>
  <c r="E1056" i="12"/>
  <c r="F1056" i="12"/>
  <c r="G1056" i="12"/>
  <c r="H1056" i="12"/>
  <c r="I1056" i="12"/>
  <c r="J1056" i="12"/>
  <c r="C1057" i="12"/>
  <c r="D1057" i="12"/>
  <c r="E1057" i="12"/>
  <c r="F1057" i="12"/>
  <c r="G1057" i="12"/>
  <c r="H1057" i="12"/>
  <c r="I1057" i="12"/>
  <c r="J1057" i="12"/>
  <c r="C1058" i="12"/>
  <c r="D1058" i="12"/>
  <c r="E1058" i="12"/>
  <c r="F1058" i="12"/>
  <c r="G1058" i="12"/>
  <c r="H1058" i="12"/>
  <c r="I1058" i="12"/>
  <c r="J1058" i="12"/>
  <c r="C1059" i="12"/>
  <c r="D1059" i="12"/>
  <c r="E1059" i="12"/>
  <c r="F1059" i="12"/>
  <c r="G1059" i="12"/>
  <c r="H1059" i="12"/>
  <c r="I1059" i="12"/>
  <c r="J1059" i="12"/>
  <c r="C1060" i="12"/>
  <c r="D1060" i="12"/>
  <c r="E1060" i="12"/>
  <c r="F1060" i="12"/>
  <c r="G1060" i="12"/>
  <c r="H1060" i="12"/>
  <c r="I1060" i="12"/>
  <c r="J1060" i="12"/>
  <c r="C1061" i="12"/>
  <c r="D1061" i="12"/>
  <c r="E1061" i="12"/>
  <c r="F1061" i="12"/>
  <c r="G1061" i="12"/>
  <c r="H1061" i="12"/>
  <c r="I1061" i="12"/>
  <c r="J1061" i="12"/>
  <c r="C1062" i="12"/>
  <c r="D1062" i="12"/>
  <c r="E1062" i="12"/>
  <c r="F1062" i="12"/>
  <c r="G1062" i="12"/>
  <c r="H1062" i="12"/>
  <c r="I1062" i="12"/>
  <c r="J1062" i="12"/>
  <c r="C1063" i="12"/>
  <c r="D1063" i="12"/>
  <c r="E1063" i="12"/>
  <c r="F1063" i="12"/>
  <c r="G1063" i="12"/>
  <c r="H1063" i="12"/>
  <c r="I1063" i="12"/>
  <c r="J1063" i="12"/>
  <c r="C1064" i="12"/>
  <c r="D1064" i="12"/>
  <c r="E1064" i="12"/>
  <c r="F1064" i="12"/>
  <c r="G1064" i="12"/>
  <c r="H1064" i="12"/>
  <c r="I1064" i="12"/>
  <c r="J1064" i="12"/>
  <c r="C1065" i="12"/>
  <c r="D1065" i="12"/>
  <c r="E1065" i="12"/>
  <c r="F1065" i="12"/>
  <c r="G1065" i="12"/>
  <c r="H1065" i="12"/>
  <c r="I1065" i="12"/>
  <c r="J1065" i="12"/>
  <c r="C1066" i="12"/>
  <c r="D1066" i="12"/>
  <c r="E1066" i="12"/>
  <c r="F1066" i="12"/>
  <c r="G1066" i="12"/>
  <c r="H1066" i="12"/>
  <c r="I1066" i="12"/>
  <c r="J1066" i="12"/>
  <c r="C1067" i="12"/>
  <c r="D1067" i="12"/>
  <c r="E1067" i="12"/>
  <c r="F1067" i="12"/>
  <c r="G1067" i="12"/>
  <c r="H1067" i="12"/>
  <c r="I1067" i="12"/>
  <c r="J1067" i="12"/>
  <c r="C1068" i="12"/>
  <c r="D1068" i="12"/>
  <c r="E1068" i="12"/>
  <c r="F1068" i="12"/>
  <c r="G1068" i="12"/>
  <c r="H1068" i="12"/>
  <c r="I1068" i="12"/>
  <c r="J1068" i="12"/>
  <c r="C1069" i="12"/>
  <c r="D1069" i="12"/>
  <c r="E1069" i="12"/>
  <c r="F1069" i="12"/>
  <c r="G1069" i="12"/>
  <c r="H1069" i="12"/>
  <c r="I1069" i="12"/>
  <c r="J1069" i="12"/>
  <c r="C1070" i="12"/>
  <c r="D1070" i="12"/>
  <c r="E1070" i="12"/>
  <c r="F1070" i="12"/>
  <c r="G1070" i="12"/>
  <c r="H1070" i="12"/>
  <c r="I1070" i="12"/>
  <c r="J1070" i="12"/>
  <c r="C1071" i="12"/>
  <c r="D1071" i="12"/>
  <c r="E1071" i="12"/>
  <c r="F1071" i="12"/>
  <c r="G1071" i="12"/>
  <c r="H1071" i="12"/>
  <c r="I1071" i="12"/>
  <c r="J1071" i="12"/>
  <c r="C1072" i="12"/>
  <c r="D1072" i="12"/>
  <c r="E1072" i="12"/>
  <c r="F1072" i="12"/>
  <c r="G1072" i="12"/>
  <c r="H1072" i="12"/>
  <c r="I1072" i="12"/>
  <c r="J1072" i="12"/>
  <c r="C1073" i="12"/>
  <c r="D1073" i="12"/>
  <c r="E1073" i="12"/>
  <c r="F1073" i="12"/>
  <c r="G1073" i="12"/>
  <c r="H1073" i="12"/>
  <c r="I1073" i="12"/>
  <c r="J1073" i="12"/>
  <c r="C1074" i="12"/>
  <c r="D1074" i="12"/>
  <c r="E1074" i="12"/>
  <c r="F1074" i="12"/>
  <c r="G1074" i="12"/>
  <c r="H1074" i="12"/>
  <c r="I1074" i="12"/>
  <c r="J1074" i="12"/>
  <c r="C1075" i="12"/>
  <c r="D1075" i="12"/>
  <c r="E1075" i="12"/>
  <c r="F1075" i="12"/>
  <c r="G1075" i="12"/>
  <c r="H1075" i="12"/>
  <c r="I1075" i="12"/>
  <c r="J1075" i="12"/>
  <c r="C1076" i="12"/>
  <c r="D1076" i="12"/>
  <c r="E1076" i="12"/>
  <c r="F1076" i="12"/>
  <c r="G1076" i="12"/>
  <c r="H1076" i="12"/>
  <c r="I1076" i="12"/>
  <c r="J1076" i="12"/>
  <c r="C1077" i="12"/>
  <c r="D1077" i="12"/>
  <c r="E1077" i="12"/>
  <c r="F1077" i="12"/>
  <c r="G1077" i="12"/>
  <c r="H1077" i="12"/>
  <c r="I1077" i="12"/>
  <c r="J1077" i="12"/>
  <c r="C1078" i="12"/>
  <c r="D1078" i="12"/>
  <c r="E1078" i="12"/>
  <c r="F1078" i="12"/>
  <c r="G1078" i="12"/>
  <c r="H1078" i="12"/>
  <c r="I1078" i="12"/>
  <c r="J1078" i="12"/>
  <c r="C1079" i="12"/>
  <c r="D1079" i="12"/>
  <c r="E1079" i="12"/>
  <c r="F1079" i="12"/>
  <c r="G1079" i="12"/>
  <c r="H1079" i="12"/>
  <c r="I1079" i="12"/>
  <c r="J1079" i="12"/>
  <c r="C1080" i="12"/>
  <c r="D1080" i="12"/>
  <c r="E1080" i="12"/>
  <c r="F1080" i="12"/>
  <c r="G1080" i="12"/>
  <c r="H1080" i="12"/>
  <c r="I1080" i="12"/>
  <c r="J1080" i="12"/>
  <c r="C1081" i="12"/>
  <c r="D1081" i="12"/>
  <c r="E1081" i="12"/>
  <c r="F1081" i="12"/>
  <c r="G1081" i="12"/>
  <c r="H1081" i="12"/>
  <c r="I1081" i="12"/>
  <c r="J1081" i="12"/>
  <c r="C1082" i="12"/>
  <c r="D1082" i="12"/>
  <c r="E1082" i="12"/>
  <c r="F1082" i="12"/>
  <c r="G1082" i="12"/>
  <c r="H1082" i="12"/>
  <c r="I1082" i="12"/>
  <c r="J1082" i="12"/>
  <c r="C1083" i="12"/>
  <c r="D1083" i="12"/>
  <c r="E1083" i="12"/>
  <c r="F1083" i="12"/>
  <c r="G1083" i="12"/>
  <c r="H1083" i="12"/>
  <c r="I1083" i="12"/>
  <c r="J1083" i="12"/>
  <c r="C1084" i="12"/>
  <c r="D1084" i="12"/>
  <c r="E1084" i="12"/>
  <c r="F1084" i="12"/>
  <c r="G1084" i="12"/>
  <c r="H1084" i="12"/>
  <c r="I1084" i="12"/>
  <c r="J1084" i="12"/>
  <c r="C1085" i="12"/>
  <c r="D1085" i="12"/>
  <c r="E1085" i="12"/>
  <c r="F1085" i="12"/>
  <c r="G1085" i="12"/>
  <c r="H1085" i="12"/>
  <c r="I1085" i="12"/>
  <c r="J1085" i="12"/>
  <c r="C1086" i="12"/>
  <c r="D1086" i="12"/>
  <c r="E1086" i="12"/>
  <c r="F1086" i="12"/>
  <c r="G1086" i="12"/>
  <c r="H1086" i="12"/>
  <c r="I1086" i="12"/>
  <c r="J1086" i="12"/>
  <c r="C1087" i="12"/>
  <c r="D1087" i="12"/>
  <c r="E1087" i="12"/>
  <c r="F1087" i="12"/>
  <c r="G1087" i="12"/>
  <c r="H1087" i="12"/>
  <c r="I1087" i="12"/>
  <c r="J1087" i="12"/>
  <c r="C1088" i="12"/>
  <c r="D1088" i="12"/>
  <c r="E1088" i="12"/>
  <c r="F1088" i="12"/>
  <c r="G1088" i="12"/>
  <c r="H1088" i="12"/>
  <c r="I1088" i="12"/>
  <c r="J1088" i="12"/>
  <c r="C1089" i="12"/>
  <c r="D1089" i="12"/>
  <c r="E1089" i="12"/>
  <c r="F1089" i="12"/>
  <c r="G1089" i="12"/>
  <c r="H1089" i="12"/>
  <c r="I1089" i="12"/>
  <c r="J1089" i="12"/>
  <c r="C1090" i="12"/>
  <c r="D1090" i="12"/>
  <c r="E1090" i="12"/>
  <c r="F1090" i="12"/>
  <c r="G1090" i="12"/>
  <c r="H1090" i="12"/>
  <c r="I1090" i="12"/>
  <c r="J1090" i="12"/>
  <c r="C1091" i="12"/>
  <c r="D1091" i="12"/>
  <c r="E1091" i="12"/>
  <c r="F1091" i="12"/>
  <c r="G1091" i="12"/>
  <c r="H1091" i="12"/>
  <c r="I1091" i="12"/>
  <c r="J1091" i="12"/>
  <c r="C1092" i="12"/>
  <c r="D1092" i="12"/>
  <c r="E1092" i="12"/>
  <c r="F1092" i="12"/>
  <c r="G1092" i="12"/>
  <c r="H1092" i="12"/>
  <c r="I1092" i="12"/>
  <c r="J1092" i="12"/>
  <c r="C1093" i="12"/>
  <c r="D1093" i="12"/>
  <c r="E1093" i="12"/>
  <c r="F1093" i="12"/>
  <c r="G1093" i="12"/>
  <c r="H1093" i="12"/>
  <c r="I1093" i="12"/>
  <c r="J1093" i="12"/>
  <c r="C1094" i="12"/>
  <c r="D1094" i="12"/>
  <c r="E1094" i="12"/>
  <c r="F1094" i="12"/>
  <c r="G1094" i="12"/>
  <c r="H1094" i="12"/>
  <c r="I1094" i="12"/>
  <c r="J1094" i="12"/>
  <c r="C1095" i="12"/>
  <c r="D1095" i="12"/>
  <c r="E1095" i="12"/>
  <c r="F1095" i="12"/>
  <c r="G1095" i="12"/>
  <c r="H1095" i="12"/>
  <c r="I1095" i="12"/>
  <c r="J1095" i="12"/>
  <c r="C1096" i="12"/>
  <c r="D1096" i="12"/>
  <c r="E1096" i="12"/>
  <c r="F1096" i="12"/>
  <c r="G1096" i="12"/>
  <c r="H1096" i="12"/>
  <c r="I1096" i="12"/>
  <c r="J1096" i="12"/>
  <c r="C1097" i="12"/>
  <c r="D1097" i="12"/>
  <c r="E1097" i="12"/>
  <c r="F1097" i="12"/>
  <c r="G1097" i="12"/>
  <c r="H1097" i="12"/>
  <c r="I1097" i="12"/>
  <c r="J1097" i="12"/>
  <c r="C1098" i="12"/>
  <c r="D1098" i="12"/>
  <c r="E1098" i="12"/>
  <c r="F1098" i="12"/>
  <c r="G1098" i="12"/>
  <c r="H1098" i="12"/>
  <c r="I1098" i="12"/>
  <c r="J1098" i="12"/>
  <c r="C1099" i="12"/>
  <c r="D1099" i="12"/>
  <c r="E1099" i="12"/>
  <c r="F1099" i="12"/>
  <c r="G1099" i="12"/>
  <c r="H1099" i="12"/>
  <c r="I1099" i="12"/>
  <c r="J1099" i="12"/>
  <c r="C1100" i="12"/>
  <c r="D1100" i="12"/>
  <c r="E1100" i="12"/>
  <c r="F1100" i="12"/>
  <c r="G1100" i="12"/>
  <c r="H1100" i="12"/>
  <c r="I1100" i="12"/>
  <c r="J1100" i="12"/>
  <c r="C1101" i="12"/>
  <c r="D1101" i="12"/>
  <c r="E1101" i="12"/>
  <c r="F1101" i="12"/>
  <c r="G1101" i="12"/>
  <c r="H1101" i="12"/>
  <c r="I1101" i="12"/>
  <c r="J1101" i="12"/>
  <c r="C1102" i="12"/>
  <c r="D1102" i="12"/>
  <c r="E1102" i="12"/>
  <c r="F1102" i="12"/>
  <c r="G1102" i="12"/>
  <c r="H1102" i="12"/>
  <c r="I1102" i="12"/>
  <c r="J1102" i="12"/>
  <c r="C1103" i="12"/>
  <c r="D1103" i="12"/>
  <c r="E1103" i="12"/>
  <c r="F1103" i="12"/>
  <c r="G1103" i="12"/>
  <c r="H1103" i="12"/>
  <c r="I1103" i="12"/>
  <c r="J1103" i="12"/>
  <c r="C1104" i="12"/>
  <c r="D1104" i="12"/>
  <c r="E1104" i="12"/>
  <c r="F1104" i="12"/>
  <c r="G1104" i="12"/>
  <c r="H1104" i="12"/>
  <c r="I1104" i="12"/>
  <c r="J1104" i="12"/>
  <c r="C1105" i="12"/>
  <c r="D1105" i="12"/>
  <c r="E1105" i="12"/>
  <c r="F1105" i="12"/>
  <c r="G1105" i="12"/>
  <c r="H1105" i="12"/>
  <c r="I1105" i="12"/>
  <c r="J1105" i="12"/>
  <c r="C1106" i="12"/>
  <c r="D1106" i="12"/>
  <c r="E1106" i="12"/>
  <c r="F1106" i="12"/>
  <c r="G1106" i="12"/>
  <c r="H1106" i="12"/>
  <c r="I1106" i="12"/>
  <c r="J1106" i="12"/>
  <c r="C1107" i="12"/>
  <c r="D1107" i="12"/>
  <c r="E1107" i="12"/>
  <c r="F1107" i="12"/>
  <c r="G1107" i="12"/>
  <c r="H1107" i="12"/>
  <c r="I1107" i="12"/>
  <c r="J1107" i="12"/>
  <c r="C1108" i="12"/>
  <c r="D1108" i="12"/>
  <c r="E1108" i="12"/>
  <c r="F1108" i="12"/>
  <c r="G1108" i="12"/>
  <c r="H1108" i="12"/>
  <c r="I1108" i="12"/>
  <c r="J1108" i="12"/>
  <c r="C1109" i="12"/>
  <c r="D1109" i="12"/>
  <c r="E1109" i="12"/>
  <c r="F1109" i="12"/>
  <c r="G1109" i="12"/>
  <c r="H1109" i="12"/>
  <c r="I1109" i="12"/>
  <c r="J1109" i="12"/>
  <c r="C1110" i="12"/>
  <c r="D1110" i="12"/>
  <c r="E1110" i="12"/>
  <c r="F1110" i="12"/>
  <c r="G1110" i="12"/>
  <c r="H1110" i="12"/>
  <c r="I1110" i="12"/>
  <c r="J1110" i="12"/>
  <c r="C1111" i="12"/>
  <c r="D1111" i="12"/>
  <c r="E1111" i="12"/>
  <c r="F1111" i="12"/>
  <c r="G1111" i="12"/>
  <c r="H1111" i="12"/>
  <c r="I1111" i="12"/>
  <c r="J1111" i="12"/>
  <c r="C1112" i="12"/>
  <c r="D1112" i="12"/>
  <c r="E1112" i="12"/>
  <c r="F1112" i="12"/>
  <c r="G1112" i="12"/>
  <c r="H1112" i="12"/>
  <c r="I1112" i="12"/>
  <c r="J1112" i="12"/>
  <c r="C1113" i="12"/>
  <c r="D1113" i="12"/>
  <c r="E1113" i="12"/>
  <c r="F1113" i="12"/>
  <c r="G1113" i="12"/>
  <c r="H1113" i="12"/>
  <c r="I1113" i="12"/>
  <c r="J1113" i="12"/>
  <c r="C1114" i="12"/>
  <c r="D1114" i="12"/>
  <c r="E1114" i="12"/>
  <c r="F1114" i="12"/>
  <c r="G1114" i="12"/>
  <c r="H1114" i="12"/>
  <c r="I1114" i="12"/>
  <c r="J1114" i="12"/>
  <c r="C1115" i="12"/>
  <c r="D1115" i="12"/>
  <c r="E1115" i="12"/>
  <c r="F1115" i="12"/>
  <c r="G1115" i="12"/>
  <c r="H1115" i="12"/>
  <c r="I1115" i="12"/>
  <c r="J1115" i="12"/>
  <c r="C1116" i="12"/>
  <c r="D1116" i="12"/>
  <c r="E1116" i="12"/>
  <c r="F1116" i="12"/>
  <c r="G1116" i="12"/>
  <c r="H1116" i="12"/>
  <c r="I1116" i="12"/>
  <c r="J1116" i="12"/>
  <c r="C1117" i="12"/>
  <c r="D1117" i="12"/>
  <c r="E1117" i="12"/>
  <c r="F1117" i="12"/>
  <c r="G1117" i="12"/>
  <c r="H1117" i="12"/>
  <c r="I1117" i="12"/>
  <c r="J1117" i="12"/>
  <c r="C1118" i="12"/>
  <c r="D1118" i="12"/>
  <c r="E1118" i="12"/>
  <c r="F1118" i="12"/>
  <c r="G1118" i="12"/>
  <c r="H1118" i="12"/>
  <c r="I1118" i="12"/>
  <c r="J1118" i="12"/>
  <c r="C1119" i="12"/>
  <c r="D1119" i="12"/>
  <c r="E1119" i="12"/>
  <c r="F1119" i="12"/>
  <c r="G1119" i="12"/>
  <c r="H1119" i="12"/>
  <c r="I1119" i="12"/>
  <c r="J1119" i="12"/>
  <c r="C1120" i="12"/>
  <c r="D1120" i="12"/>
  <c r="E1120" i="12"/>
  <c r="F1120" i="12"/>
  <c r="G1120" i="12"/>
  <c r="H1120" i="12"/>
  <c r="I1120" i="12"/>
  <c r="J1120" i="12"/>
  <c r="C1121" i="12"/>
  <c r="D1121" i="12"/>
  <c r="E1121" i="12"/>
  <c r="F1121" i="12"/>
  <c r="G1121" i="12"/>
  <c r="H1121" i="12"/>
  <c r="I1121" i="12"/>
  <c r="J1121" i="12"/>
  <c r="C1122" i="12"/>
  <c r="D1122" i="12"/>
  <c r="E1122" i="12"/>
  <c r="F1122" i="12"/>
  <c r="G1122" i="12"/>
  <c r="H1122" i="12"/>
  <c r="I1122" i="12"/>
  <c r="J1122" i="12"/>
  <c r="C1123" i="12"/>
  <c r="D1123" i="12"/>
  <c r="E1123" i="12"/>
  <c r="F1123" i="12"/>
  <c r="G1123" i="12"/>
  <c r="H1123" i="12"/>
  <c r="I1123" i="12"/>
  <c r="J1123" i="12"/>
  <c r="C1124" i="12"/>
  <c r="D1124" i="12"/>
  <c r="E1124" i="12"/>
  <c r="F1124" i="12"/>
  <c r="G1124" i="12"/>
  <c r="H1124" i="12"/>
  <c r="I1124" i="12"/>
  <c r="J1124" i="12"/>
  <c r="C1125" i="12"/>
  <c r="D1125" i="12"/>
  <c r="E1125" i="12"/>
  <c r="F1125" i="12"/>
  <c r="G1125" i="12"/>
  <c r="H1125" i="12"/>
  <c r="I1125" i="12"/>
  <c r="J1125" i="12"/>
  <c r="C1126" i="12"/>
  <c r="D1126" i="12"/>
  <c r="E1126" i="12"/>
  <c r="F1126" i="12"/>
  <c r="G1126" i="12"/>
  <c r="H1126" i="12"/>
  <c r="I1126" i="12"/>
  <c r="J1126" i="12"/>
  <c r="C1127" i="12"/>
  <c r="D1127" i="12"/>
  <c r="E1127" i="12"/>
  <c r="F1127" i="12"/>
  <c r="G1127" i="12"/>
  <c r="H1127" i="12"/>
  <c r="I1127" i="12"/>
  <c r="J1127" i="12"/>
  <c r="C1128" i="12"/>
  <c r="D1128" i="12"/>
  <c r="E1128" i="12"/>
  <c r="F1128" i="12"/>
  <c r="G1128" i="12"/>
  <c r="H1128" i="12"/>
  <c r="I1128" i="12"/>
  <c r="J1128" i="12"/>
  <c r="C1129" i="12"/>
  <c r="D1129" i="12"/>
  <c r="E1129" i="12"/>
  <c r="F1129" i="12"/>
  <c r="G1129" i="12"/>
  <c r="H1129" i="12"/>
  <c r="I1129" i="12"/>
  <c r="J1129" i="12"/>
  <c r="C1130" i="12"/>
  <c r="D1130" i="12"/>
  <c r="E1130" i="12"/>
  <c r="F1130" i="12"/>
  <c r="G1130" i="12"/>
  <c r="H1130" i="12"/>
  <c r="I1130" i="12"/>
  <c r="J1130" i="12"/>
  <c r="C1131" i="12"/>
  <c r="D1131" i="12"/>
  <c r="E1131" i="12"/>
  <c r="F1131" i="12"/>
  <c r="G1131" i="12"/>
  <c r="H1131" i="12"/>
  <c r="I1131" i="12"/>
  <c r="J1131" i="12"/>
  <c r="C1132" i="12"/>
  <c r="D1132" i="12"/>
  <c r="E1132" i="12"/>
  <c r="F1132" i="12"/>
  <c r="G1132" i="12"/>
  <c r="H1132" i="12"/>
  <c r="I1132" i="12"/>
  <c r="J1132" i="12"/>
  <c r="C1133" i="12"/>
  <c r="D1133" i="12"/>
  <c r="E1133" i="12"/>
  <c r="F1133" i="12"/>
  <c r="G1133" i="12"/>
  <c r="H1133" i="12"/>
  <c r="I1133" i="12"/>
  <c r="J1133" i="12"/>
  <c r="C1134" i="12"/>
  <c r="D1134" i="12"/>
  <c r="E1134" i="12"/>
  <c r="F1134" i="12"/>
  <c r="G1134" i="12"/>
  <c r="H1134" i="12"/>
  <c r="I1134" i="12"/>
  <c r="J1134" i="12"/>
  <c r="C1135" i="12"/>
  <c r="D1135" i="12"/>
  <c r="E1135" i="12"/>
  <c r="F1135" i="12"/>
  <c r="G1135" i="12"/>
  <c r="H1135" i="12"/>
  <c r="I1135" i="12"/>
  <c r="J1135" i="12"/>
  <c r="C1136" i="12"/>
  <c r="D1136" i="12"/>
  <c r="E1136" i="12"/>
  <c r="F1136" i="12"/>
  <c r="G1136" i="12"/>
  <c r="H1136" i="12"/>
  <c r="I1136" i="12"/>
  <c r="J1136" i="12"/>
  <c r="C1137" i="12"/>
  <c r="D1137" i="12"/>
  <c r="E1137" i="12"/>
  <c r="F1137" i="12"/>
  <c r="G1137" i="12"/>
  <c r="H1137" i="12"/>
  <c r="I1137" i="12"/>
  <c r="J1137" i="12"/>
  <c r="C1138" i="12"/>
  <c r="D1138" i="12"/>
  <c r="E1138" i="12"/>
  <c r="F1138" i="12"/>
  <c r="G1138" i="12"/>
  <c r="H1138" i="12"/>
  <c r="I1138" i="12"/>
  <c r="J1138" i="12"/>
  <c r="C1139" i="12"/>
  <c r="D1139" i="12"/>
  <c r="E1139" i="12"/>
  <c r="F1139" i="12"/>
  <c r="G1139" i="12"/>
  <c r="H1139" i="12"/>
  <c r="I1139" i="12"/>
  <c r="J1139" i="12"/>
  <c r="C1140" i="12"/>
  <c r="D1140" i="12"/>
  <c r="E1140" i="12"/>
  <c r="F1140" i="12"/>
  <c r="G1140" i="12"/>
  <c r="H1140" i="12"/>
  <c r="I1140" i="12"/>
  <c r="J1140" i="12"/>
  <c r="C1141" i="12"/>
  <c r="D1141" i="12"/>
  <c r="E1141" i="12"/>
  <c r="F1141" i="12"/>
  <c r="G1141" i="12"/>
  <c r="H1141" i="12"/>
  <c r="I1141" i="12"/>
  <c r="J1141" i="12"/>
  <c r="C1142" i="12"/>
  <c r="D1142" i="12"/>
  <c r="E1142" i="12"/>
  <c r="F1142" i="12"/>
  <c r="G1142" i="12"/>
  <c r="H1142" i="12"/>
  <c r="I1142" i="12"/>
  <c r="J1142" i="12"/>
  <c r="C1143" i="12"/>
  <c r="D1143" i="12"/>
  <c r="E1143" i="12"/>
  <c r="F1143" i="12"/>
  <c r="G1143" i="12"/>
  <c r="H1143" i="12"/>
  <c r="I1143" i="12"/>
  <c r="J1143" i="12"/>
  <c r="C1144" i="12"/>
  <c r="D1144" i="12"/>
  <c r="E1144" i="12"/>
  <c r="F1144" i="12"/>
  <c r="G1144" i="12"/>
  <c r="H1144" i="12"/>
  <c r="I1144" i="12"/>
  <c r="J1144" i="12"/>
  <c r="C1145" i="12"/>
  <c r="D1145" i="12"/>
  <c r="E1145" i="12"/>
  <c r="F1145" i="12"/>
  <c r="G1145" i="12"/>
  <c r="H1145" i="12"/>
  <c r="I1145" i="12"/>
  <c r="J1145" i="12"/>
  <c r="C1146" i="12"/>
  <c r="D1146" i="12"/>
  <c r="E1146" i="12"/>
  <c r="F1146" i="12"/>
  <c r="G1146" i="12"/>
  <c r="H1146" i="12"/>
  <c r="I1146" i="12"/>
  <c r="J1146" i="12"/>
  <c r="C1147" i="12"/>
  <c r="D1147" i="12"/>
  <c r="E1147" i="12"/>
  <c r="F1147" i="12"/>
  <c r="G1147" i="12"/>
  <c r="H1147" i="12"/>
  <c r="I1147" i="12"/>
  <c r="J1147" i="12"/>
  <c r="C1148" i="12"/>
  <c r="D1148" i="12"/>
  <c r="E1148" i="12"/>
  <c r="F1148" i="12"/>
  <c r="G1148" i="12"/>
  <c r="H1148" i="12"/>
  <c r="I1148" i="12"/>
  <c r="J1148" i="12"/>
  <c r="C1149" i="12"/>
  <c r="D1149" i="12"/>
  <c r="E1149" i="12"/>
  <c r="F1149" i="12"/>
  <c r="G1149" i="12"/>
  <c r="H1149" i="12"/>
  <c r="I1149" i="12"/>
  <c r="J1149" i="12"/>
  <c r="C1150" i="12"/>
  <c r="D1150" i="12"/>
  <c r="E1150" i="12"/>
  <c r="F1150" i="12"/>
  <c r="G1150" i="12"/>
  <c r="H1150" i="12"/>
  <c r="I1150" i="12"/>
  <c r="J1150" i="12"/>
  <c r="C1151" i="12"/>
  <c r="D1151" i="12"/>
  <c r="E1151" i="12"/>
  <c r="F1151" i="12"/>
  <c r="G1151" i="12"/>
  <c r="H1151" i="12"/>
  <c r="I1151" i="12"/>
  <c r="J1151" i="12"/>
  <c r="C1152" i="12"/>
  <c r="D1152" i="12"/>
  <c r="E1152" i="12"/>
  <c r="F1152" i="12"/>
  <c r="G1152" i="12"/>
  <c r="H1152" i="12"/>
  <c r="I1152" i="12"/>
  <c r="J1152" i="12"/>
  <c r="C1153" i="12"/>
  <c r="D1153" i="12"/>
  <c r="E1153" i="12"/>
  <c r="F1153" i="12"/>
  <c r="G1153" i="12"/>
  <c r="H1153" i="12"/>
  <c r="I1153" i="12"/>
  <c r="J1153" i="12"/>
  <c r="C1154" i="12"/>
  <c r="D1154" i="12"/>
  <c r="E1154" i="12"/>
  <c r="F1154" i="12"/>
  <c r="G1154" i="12"/>
  <c r="H1154" i="12"/>
  <c r="I1154" i="12"/>
  <c r="J1154" i="12"/>
  <c r="C1155" i="12"/>
  <c r="D1155" i="12"/>
  <c r="E1155" i="12"/>
  <c r="F1155" i="12"/>
  <c r="G1155" i="12"/>
  <c r="H1155" i="12"/>
  <c r="I1155" i="12"/>
  <c r="J1155" i="12"/>
  <c r="C1156" i="12"/>
  <c r="D1156" i="12"/>
  <c r="E1156" i="12"/>
  <c r="F1156" i="12"/>
  <c r="G1156" i="12"/>
  <c r="H1156" i="12"/>
  <c r="I1156" i="12"/>
  <c r="J1156" i="12"/>
  <c r="C1157" i="12"/>
  <c r="D1157" i="12"/>
  <c r="E1157" i="12"/>
  <c r="F1157" i="12"/>
  <c r="G1157" i="12"/>
  <c r="H1157" i="12"/>
  <c r="I1157" i="12"/>
  <c r="J1157" i="12"/>
  <c r="C1158" i="12"/>
  <c r="D1158" i="12"/>
  <c r="E1158" i="12"/>
  <c r="F1158" i="12"/>
  <c r="G1158" i="12"/>
  <c r="H1158" i="12"/>
  <c r="I1158" i="12"/>
  <c r="J1158" i="12"/>
  <c r="C1159" i="12"/>
  <c r="D1159" i="12"/>
  <c r="E1159" i="12"/>
  <c r="F1159" i="12"/>
  <c r="G1159" i="12"/>
  <c r="H1159" i="12"/>
  <c r="I1159" i="12"/>
  <c r="J1159" i="12"/>
  <c r="C1160" i="12"/>
  <c r="D1160" i="12"/>
  <c r="E1160" i="12"/>
  <c r="F1160" i="12"/>
  <c r="G1160" i="12"/>
  <c r="H1160" i="12"/>
  <c r="I1160" i="12"/>
  <c r="J1160" i="12"/>
  <c r="C1161" i="12"/>
  <c r="D1161" i="12"/>
  <c r="E1161" i="12"/>
  <c r="F1161" i="12"/>
  <c r="G1161" i="12"/>
  <c r="H1161" i="12"/>
  <c r="I1161" i="12"/>
  <c r="J1161" i="12"/>
  <c r="C1162" i="12"/>
  <c r="D1162" i="12"/>
  <c r="E1162" i="12"/>
  <c r="F1162" i="12"/>
  <c r="G1162" i="12"/>
  <c r="H1162" i="12"/>
  <c r="I1162" i="12"/>
  <c r="J1162" i="12"/>
  <c r="C1163" i="12"/>
  <c r="D1163" i="12"/>
  <c r="E1163" i="12"/>
  <c r="F1163" i="12"/>
  <c r="G1163" i="12"/>
  <c r="H1163" i="12"/>
  <c r="I1163" i="12"/>
  <c r="J1163" i="12"/>
  <c r="C1164" i="12"/>
  <c r="D1164" i="12"/>
  <c r="E1164" i="12"/>
  <c r="F1164" i="12"/>
  <c r="G1164" i="12"/>
  <c r="H1164" i="12"/>
  <c r="I1164" i="12"/>
  <c r="J1164" i="12"/>
  <c r="C1165" i="12"/>
  <c r="D1165" i="12"/>
  <c r="E1165" i="12"/>
  <c r="F1165" i="12"/>
  <c r="G1165" i="12"/>
  <c r="H1165" i="12"/>
  <c r="I1165" i="12"/>
  <c r="J1165" i="12"/>
  <c r="C1166" i="12"/>
  <c r="D1166" i="12"/>
  <c r="E1166" i="12"/>
  <c r="F1166" i="12"/>
  <c r="G1166" i="12"/>
  <c r="H1166" i="12"/>
  <c r="I1166" i="12"/>
  <c r="J1166" i="12"/>
  <c r="C1167" i="12"/>
  <c r="D1167" i="12"/>
  <c r="E1167" i="12"/>
  <c r="F1167" i="12"/>
  <c r="G1167" i="12"/>
  <c r="H1167" i="12"/>
  <c r="I1167" i="12"/>
  <c r="J1167" i="12"/>
  <c r="C1168" i="12"/>
  <c r="D1168" i="12"/>
  <c r="E1168" i="12"/>
  <c r="F1168" i="12"/>
  <c r="G1168" i="12"/>
  <c r="H1168" i="12"/>
  <c r="I1168" i="12"/>
  <c r="J1168" i="12"/>
  <c r="C1169" i="12"/>
  <c r="D1169" i="12"/>
  <c r="E1169" i="12"/>
  <c r="F1169" i="12"/>
  <c r="G1169" i="12"/>
  <c r="H1169" i="12"/>
  <c r="I1169" i="12"/>
  <c r="J1169" i="12"/>
  <c r="C1170" i="12"/>
  <c r="D1170" i="12"/>
  <c r="E1170" i="12"/>
  <c r="F1170" i="12"/>
  <c r="G1170" i="12"/>
  <c r="H1170" i="12"/>
  <c r="I1170" i="12"/>
  <c r="J1170" i="12"/>
  <c r="C1171" i="12"/>
  <c r="D1171" i="12"/>
  <c r="E1171" i="12"/>
  <c r="F1171" i="12"/>
  <c r="G1171" i="12"/>
  <c r="H1171" i="12"/>
  <c r="I1171" i="12"/>
  <c r="J1171" i="12"/>
  <c r="C1172" i="12"/>
  <c r="D1172" i="12"/>
  <c r="E1172" i="12"/>
  <c r="F1172" i="12"/>
  <c r="G1172" i="12"/>
  <c r="H1172" i="12"/>
  <c r="I1172" i="12"/>
  <c r="J1172" i="12"/>
  <c r="C1173" i="12"/>
  <c r="D1173" i="12"/>
  <c r="E1173" i="12"/>
  <c r="F1173" i="12"/>
  <c r="G1173" i="12"/>
  <c r="H1173" i="12"/>
  <c r="I1173" i="12"/>
  <c r="J1173" i="12"/>
  <c r="C1174" i="12"/>
  <c r="D1174" i="12"/>
  <c r="E1174" i="12"/>
  <c r="F1174" i="12"/>
  <c r="G1174" i="12"/>
  <c r="H1174" i="12"/>
  <c r="I1174" i="12"/>
  <c r="J1174" i="12"/>
  <c r="C1175" i="12"/>
  <c r="D1175" i="12"/>
  <c r="E1175" i="12"/>
  <c r="F1175" i="12"/>
  <c r="G1175" i="12"/>
  <c r="H1175" i="12"/>
  <c r="I1175" i="12"/>
  <c r="J1175" i="12"/>
  <c r="C1176" i="12"/>
  <c r="D1176" i="12"/>
  <c r="E1176" i="12"/>
  <c r="F1176" i="12"/>
  <c r="G1176" i="12"/>
  <c r="H1176" i="12"/>
  <c r="I1176" i="12"/>
  <c r="J1176" i="12"/>
  <c r="C1177" i="12"/>
  <c r="D1177" i="12"/>
  <c r="E1177" i="12"/>
  <c r="F1177" i="12"/>
  <c r="G1177" i="12"/>
  <c r="H1177" i="12"/>
  <c r="I1177" i="12"/>
  <c r="J1177" i="12"/>
  <c r="C1178" i="12"/>
  <c r="D1178" i="12"/>
  <c r="E1178" i="12"/>
  <c r="F1178" i="12"/>
  <c r="G1178" i="12"/>
  <c r="H1178" i="12"/>
  <c r="I1178" i="12"/>
  <c r="J1178" i="12"/>
  <c r="C1179" i="12"/>
  <c r="D1179" i="12"/>
  <c r="E1179" i="12"/>
  <c r="F1179" i="12"/>
  <c r="G1179" i="12"/>
  <c r="H1179" i="12"/>
  <c r="I1179" i="12"/>
  <c r="J1179" i="12"/>
  <c r="C1180" i="12"/>
  <c r="D1180" i="12"/>
  <c r="E1180" i="12"/>
  <c r="F1180" i="12"/>
  <c r="G1180" i="12"/>
  <c r="H1180" i="12"/>
  <c r="I1180" i="12"/>
  <c r="J1180" i="12"/>
  <c r="C1181" i="12"/>
  <c r="D1181" i="12"/>
  <c r="E1181" i="12"/>
  <c r="F1181" i="12"/>
  <c r="G1181" i="12"/>
  <c r="H1181" i="12"/>
  <c r="I1181" i="12"/>
  <c r="J1181" i="12"/>
  <c r="C1182" i="12"/>
  <c r="D1182" i="12"/>
  <c r="E1182" i="12"/>
  <c r="F1182" i="12"/>
  <c r="G1182" i="12"/>
  <c r="H1182" i="12"/>
  <c r="I1182" i="12"/>
  <c r="J1182" i="12"/>
  <c r="C1183" i="12"/>
  <c r="D1183" i="12"/>
  <c r="E1183" i="12"/>
  <c r="F1183" i="12"/>
  <c r="G1183" i="12"/>
  <c r="H1183" i="12"/>
  <c r="I1183" i="12"/>
  <c r="J1183" i="12"/>
  <c r="C1184" i="12"/>
  <c r="D1184" i="12"/>
  <c r="E1184" i="12"/>
  <c r="F1184" i="12"/>
  <c r="G1184" i="12"/>
  <c r="H1184" i="12"/>
  <c r="I1184" i="12"/>
  <c r="J1184" i="12"/>
  <c r="C1185" i="12"/>
  <c r="D1185" i="12"/>
  <c r="E1185" i="12"/>
  <c r="F1185" i="12"/>
  <c r="G1185" i="12"/>
  <c r="H1185" i="12"/>
  <c r="I1185" i="12"/>
  <c r="J1185" i="12"/>
  <c r="C1186" i="12"/>
  <c r="D1186" i="12"/>
  <c r="E1186" i="12"/>
  <c r="F1186" i="12"/>
  <c r="G1186" i="12"/>
  <c r="H1186" i="12"/>
  <c r="I1186" i="12"/>
  <c r="J1186" i="12"/>
  <c r="C1187" i="12"/>
  <c r="D1187" i="12"/>
  <c r="E1187" i="12"/>
  <c r="F1187" i="12"/>
  <c r="G1187" i="12"/>
  <c r="H1187" i="12"/>
  <c r="I1187" i="12"/>
  <c r="J1187" i="12"/>
  <c r="C1188" i="12"/>
  <c r="D1188" i="12"/>
  <c r="E1188" i="12"/>
  <c r="F1188" i="12"/>
  <c r="G1188" i="12"/>
  <c r="H1188" i="12"/>
  <c r="I1188" i="12"/>
  <c r="J1188" i="12"/>
  <c r="C1189" i="12"/>
  <c r="D1189" i="12"/>
  <c r="E1189" i="12"/>
  <c r="F1189" i="12"/>
  <c r="G1189" i="12"/>
  <c r="H1189" i="12"/>
  <c r="I1189" i="12"/>
  <c r="J1189" i="12"/>
  <c r="C1190" i="12"/>
  <c r="D1190" i="12"/>
  <c r="E1190" i="12"/>
  <c r="F1190" i="12"/>
  <c r="G1190" i="12"/>
  <c r="H1190" i="12"/>
  <c r="I1190" i="12"/>
  <c r="J1190" i="12"/>
  <c r="C1191" i="12"/>
  <c r="D1191" i="12"/>
  <c r="E1191" i="12"/>
  <c r="F1191" i="12"/>
  <c r="G1191" i="12"/>
  <c r="H1191" i="12"/>
  <c r="I1191" i="12"/>
  <c r="J1191" i="12"/>
  <c r="C1192" i="12"/>
  <c r="D1192" i="12"/>
  <c r="E1192" i="12"/>
  <c r="F1192" i="12"/>
  <c r="G1192" i="12"/>
  <c r="H1192" i="12"/>
  <c r="I1192" i="12"/>
  <c r="J1192" i="12"/>
  <c r="C1193" i="12"/>
  <c r="D1193" i="12"/>
  <c r="E1193" i="12"/>
  <c r="F1193" i="12"/>
  <c r="G1193" i="12"/>
  <c r="H1193" i="12"/>
  <c r="I1193" i="12"/>
  <c r="J1193" i="12"/>
  <c r="C1194" i="12"/>
  <c r="D1194" i="12"/>
  <c r="E1194" i="12"/>
  <c r="F1194" i="12"/>
  <c r="G1194" i="12"/>
  <c r="H1194" i="12"/>
  <c r="I1194" i="12"/>
  <c r="J1194" i="12"/>
  <c r="C1195" i="12"/>
  <c r="D1195" i="12"/>
  <c r="E1195" i="12"/>
  <c r="F1195" i="12"/>
  <c r="G1195" i="12"/>
  <c r="H1195" i="12"/>
  <c r="I1195" i="12"/>
  <c r="J1195" i="12"/>
  <c r="C1196" i="12"/>
  <c r="D1196" i="12"/>
  <c r="E1196" i="12"/>
  <c r="F1196" i="12"/>
  <c r="G1196" i="12"/>
  <c r="H1196" i="12"/>
  <c r="I1196" i="12"/>
  <c r="J1196" i="12"/>
  <c r="C1197" i="12"/>
  <c r="D1197" i="12"/>
  <c r="E1197" i="12"/>
  <c r="F1197" i="12"/>
  <c r="G1197" i="12"/>
  <c r="H1197" i="12"/>
  <c r="I1197" i="12"/>
  <c r="J1197" i="12"/>
  <c r="C1198" i="12"/>
  <c r="D1198" i="12"/>
  <c r="E1198" i="12"/>
  <c r="F1198" i="12"/>
  <c r="G1198" i="12"/>
  <c r="H1198" i="12"/>
  <c r="I1198" i="12"/>
  <c r="J1198" i="12"/>
  <c r="C1199" i="12"/>
  <c r="D1199" i="12"/>
  <c r="E1199" i="12"/>
  <c r="F1199" i="12"/>
  <c r="G1199" i="12"/>
  <c r="H1199" i="12"/>
  <c r="I1199" i="12"/>
  <c r="J1199" i="12"/>
  <c r="C1200" i="12"/>
  <c r="D1200" i="12"/>
  <c r="E1200" i="12"/>
  <c r="F1200" i="12"/>
  <c r="G1200" i="12"/>
  <c r="H1200" i="12"/>
  <c r="I1200" i="12"/>
  <c r="J1200" i="12"/>
  <c r="C1201" i="12"/>
  <c r="D1201" i="12"/>
  <c r="E1201" i="12"/>
  <c r="F1201" i="12"/>
  <c r="G1201" i="12"/>
  <c r="H1201" i="12"/>
  <c r="I1201" i="12"/>
  <c r="J1201" i="12"/>
  <c r="C1202" i="12"/>
  <c r="D1202" i="12"/>
  <c r="E1202" i="12"/>
  <c r="F1202" i="12"/>
  <c r="G1202" i="12"/>
  <c r="H1202" i="12"/>
  <c r="I1202" i="12"/>
  <c r="J1202" i="12"/>
  <c r="C1203" i="12"/>
  <c r="D1203" i="12"/>
  <c r="E1203" i="12"/>
  <c r="F1203" i="12"/>
  <c r="G1203" i="12"/>
  <c r="H1203" i="12"/>
  <c r="I1203" i="12"/>
  <c r="J1203" i="12"/>
  <c r="C1204" i="12"/>
  <c r="D1204" i="12"/>
  <c r="E1204" i="12"/>
  <c r="F1204" i="12"/>
  <c r="G1204" i="12"/>
  <c r="H1204" i="12"/>
  <c r="I1204" i="12"/>
  <c r="J1204" i="12"/>
  <c r="C1205" i="12"/>
  <c r="D1205" i="12"/>
  <c r="E1205" i="12"/>
  <c r="F1205" i="12"/>
  <c r="G1205" i="12"/>
  <c r="H1205" i="12"/>
  <c r="I1205" i="12"/>
  <c r="J1205" i="12"/>
  <c r="C1206" i="12"/>
  <c r="D1206" i="12"/>
  <c r="E1206" i="12"/>
  <c r="F1206" i="12"/>
  <c r="G1206" i="12"/>
  <c r="H1206" i="12"/>
  <c r="I1206" i="12"/>
  <c r="J1206" i="12"/>
  <c r="C1207" i="12"/>
  <c r="D1207" i="12"/>
  <c r="E1207" i="12"/>
  <c r="F1207" i="12"/>
  <c r="G1207" i="12"/>
  <c r="H1207" i="12"/>
  <c r="I1207" i="12"/>
  <c r="J1207" i="12"/>
  <c r="C1208" i="12"/>
  <c r="D1208" i="12"/>
  <c r="E1208" i="12"/>
  <c r="F1208" i="12"/>
  <c r="G1208" i="12"/>
  <c r="H1208" i="12"/>
  <c r="I1208" i="12"/>
  <c r="J1208" i="12"/>
  <c r="C1209" i="12"/>
  <c r="D1209" i="12"/>
  <c r="E1209" i="12"/>
  <c r="F1209" i="12"/>
  <c r="G1209" i="12"/>
  <c r="H1209" i="12"/>
  <c r="I1209" i="12"/>
  <c r="J1209" i="12"/>
  <c r="C1210" i="12"/>
  <c r="D1210" i="12"/>
  <c r="E1210" i="12"/>
  <c r="F1210" i="12"/>
  <c r="G1210" i="12"/>
  <c r="H1210" i="12"/>
  <c r="I1210" i="12"/>
  <c r="J1210" i="12"/>
  <c r="C1211" i="12"/>
  <c r="D1211" i="12"/>
  <c r="E1211" i="12"/>
  <c r="F1211" i="12"/>
  <c r="G1211" i="12"/>
  <c r="H1211" i="12"/>
  <c r="I1211" i="12"/>
  <c r="J1211" i="12"/>
  <c r="C1212" i="12"/>
  <c r="D1212" i="12"/>
  <c r="E1212" i="12"/>
  <c r="F1212" i="12"/>
  <c r="G1212" i="12"/>
  <c r="H1212" i="12"/>
  <c r="I1212" i="12"/>
  <c r="J1212" i="12"/>
  <c r="C1213" i="12"/>
  <c r="D1213" i="12"/>
  <c r="E1213" i="12"/>
  <c r="F1213" i="12"/>
  <c r="G1213" i="12"/>
  <c r="H1213" i="12"/>
  <c r="I1213" i="12"/>
  <c r="J1213" i="12"/>
  <c r="C1214" i="12"/>
  <c r="D1214" i="12"/>
  <c r="E1214" i="12"/>
  <c r="F1214" i="12"/>
  <c r="G1214" i="12"/>
  <c r="H1214" i="12"/>
  <c r="I1214" i="12"/>
  <c r="J1214" i="12"/>
  <c r="C1215" i="12"/>
  <c r="D1215" i="12"/>
  <c r="E1215" i="12"/>
  <c r="F1215" i="12"/>
  <c r="G1215" i="12"/>
  <c r="H1215" i="12"/>
  <c r="I1215" i="12"/>
  <c r="J1215" i="12"/>
  <c r="C1216" i="12"/>
  <c r="D1216" i="12"/>
  <c r="E1216" i="12"/>
  <c r="F1216" i="12"/>
  <c r="G1216" i="12"/>
  <c r="H1216" i="12"/>
  <c r="I1216" i="12"/>
  <c r="J1216" i="12"/>
  <c r="C1217" i="12"/>
  <c r="D1217" i="12"/>
  <c r="E1217" i="12"/>
  <c r="F1217" i="12"/>
  <c r="G1217" i="12"/>
  <c r="H1217" i="12"/>
  <c r="I1217" i="12"/>
  <c r="J1217" i="12"/>
  <c r="C1218" i="12"/>
  <c r="D1218" i="12"/>
  <c r="E1218" i="12"/>
  <c r="F1218" i="12"/>
  <c r="G1218" i="12"/>
  <c r="H1218" i="12"/>
  <c r="I1218" i="12"/>
  <c r="J1218" i="12"/>
  <c r="C1219" i="12"/>
  <c r="D1219" i="12"/>
  <c r="E1219" i="12"/>
  <c r="F1219" i="12"/>
  <c r="G1219" i="12"/>
  <c r="H1219" i="12"/>
  <c r="I1219" i="12"/>
  <c r="J1219" i="12"/>
  <c r="C1220" i="12"/>
  <c r="D1220" i="12"/>
  <c r="E1220" i="12"/>
  <c r="F1220" i="12"/>
  <c r="G1220" i="12"/>
  <c r="H1220" i="12"/>
  <c r="I1220" i="12"/>
  <c r="J1220" i="12"/>
  <c r="C1221" i="12"/>
  <c r="D1221" i="12"/>
  <c r="E1221" i="12"/>
  <c r="F1221" i="12"/>
  <c r="G1221" i="12"/>
  <c r="H1221" i="12"/>
  <c r="I1221" i="12"/>
  <c r="J1221" i="12"/>
  <c r="C1222" i="12"/>
  <c r="D1222" i="12"/>
  <c r="E1222" i="12"/>
  <c r="F1222" i="12"/>
  <c r="G1222" i="12"/>
  <c r="H1222" i="12"/>
  <c r="I1222" i="12"/>
  <c r="J1222" i="12"/>
  <c r="C1223" i="12"/>
  <c r="D1223" i="12"/>
  <c r="E1223" i="12"/>
  <c r="F1223" i="12"/>
  <c r="G1223" i="12"/>
  <c r="H1223" i="12"/>
  <c r="I1223" i="12"/>
  <c r="J1223" i="12"/>
  <c r="C1224" i="12"/>
  <c r="D1224" i="12"/>
  <c r="E1224" i="12"/>
  <c r="F1224" i="12"/>
  <c r="G1224" i="12"/>
  <c r="H1224" i="12"/>
  <c r="I1224" i="12"/>
  <c r="J1224" i="12"/>
  <c r="C1225" i="12"/>
  <c r="D1225" i="12"/>
  <c r="E1225" i="12"/>
  <c r="F1225" i="12"/>
  <c r="G1225" i="12"/>
  <c r="H1225" i="12"/>
  <c r="I1225" i="12"/>
  <c r="J1225" i="12"/>
  <c r="C1226" i="12"/>
  <c r="D1226" i="12"/>
  <c r="E1226" i="12"/>
  <c r="F1226" i="12"/>
  <c r="G1226" i="12"/>
  <c r="H1226" i="12"/>
  <c r="I1226" i="12"/>
  <c r="J1226" i="12"/>
  <c r="C1227" i="12"/>
  <c r="D1227" i="12"/>
  <c r="E1227" i="12"/>
  <c r="F1227" i="12"/>
  <c r="G1227" i="12"/>
  <c r="H1227" i="12"/>
  <c r="I1227" i="12"/>
  <c r="J1227" i="12"/>
  <c r="C1228" i="12"/>
  <c r="D1228" i="12"/>
  <c r="E1228" i="12"/>
  <c r="F1228" i="12"/>
  <c r="G1228" i="12"/>
  <c r="H1228" i="12"/>
  <c r="I1228" i="12"/>
  <c r="J1228" i="12"/>
  <c r="C1229" i="12"/>
  <c r="D1229" i="12"/>
  <c r="E1229" i="12"/>
  <c r="F1229" i="12"/>
  <c r="G1229" i="12"/>
  <c r="H1229" i="12"/>
  <c r="I1229" i="12"/>
  <c r="J1229" i="12"/>
  <c r="C1230" i="12"/>
  <c r="D1230" i="12"/>
  <c r="E1230" i="12"/>
  <c r="F1230" i="12"/>
  <c r="G1230" i="12"/>
  <c r="H1230" i="12"/>
  <c r="I1230" i="12"/>
  <c r="J1230" i="12"/>
  <c r="C1231" i="12"/>
  <c r="D1231" i="12"/>
  <c r="E1231" i="12"/>
  <c r="F1231" i="12"/>
  <c r="G1231" i="12"/>
  <c r="H1231" i="12"/>
  <c r="I1231" i="12"/>
  <c r="J1231" i="12"/>
  <c r="C1232" i="12"/>
  <c r="D1232" i="12"/>
  <c r="E1232" i="12"/>
  <c r="F1232" i="12"/>
  <c r="G1232" i="12"/>
  <c r="H1232" i="12"/>
  <c r="I1232" i="12"/>
  <c r="J1232" i="12"/>
  <c r="C1233" i="12"/>
  <c r="D1233" i="12"/>
  <c r="E1233" i="12"/>
  <c r="F1233" i="12"/>
  <c r="G1233" i="12"/>
  <c r="H1233" i="12"/>
  <c r="I1233" i="12"/>
  <c r="J1233" i="12"/>
  <c r="C1234" i="12"/>
  <c r="D1234" i="12"/>
  <c r="E1234" i="12"/>
  <c r="F1234" i="12"/>
  <c r="G1234" i="12"/>
  <c r="H1234" i="12"/>
  <c r="I1234" i="12"/>
  <c r="J1234" i="12"/>
  <c r="C1235" i="12"/>
  <c r="D1235" i="12"/>
  <c r="E1235" i="12"/>
  <c r="F1235" i="12"/>
  <c r="G1235" i="12"/>
  <c r="H1235" i="12"/>
  <c r="I1235" i="12"/>
  <c r="J1235" i="12"/>
  <c r="C1236" i="12"/>
  <c r="D1236" i="12"/>
  <c r="E1236" i="12"/>
  <c r="F1236" i="12"/>
  <c r="G1236" i="12"/>
  <c r="H1236" i="12"/>
  <c r="I1236" i="12"/>
  <c r="J1236" i="12"/>
  <c r="C1237" i="12"/>
  <c r="D1237" i="12"/>
  <c r="E1237" i="12"/>
  <c r="F1237" i="12"/>
  <c r="G1237" i="12"/>
  <c r="H1237" i="12"/>
  <c r="I1237" i="12"/>
  <c r="J1237" i="12"/>
  <c r="C1238" i="12"/>
  <c r="D1238" i="12"/>
  <c r="E1238" i="12"/>
  <c r="F1238" i="12"/>
  <c r="G1238" i="12"/>
  <c r="H1238" i="12"/>
  <c r="I1238" i="12"/>
  <c r="J1238" i="12"/>
  <c r="C1239" i="12"/>
  <c r="D1239" i="12"/>
  <c r="E1239" i="12"/>
  <c r="F1239" i="12"/>
  <c r="G1239" i="12"/>
  <c r="H1239" i="12"/>
  <c r="I1239" i="12"/>
  <c r="J1239" i="12"/>
  <c r="C1240" i="12"/>
  <c r="D1240" i="12"/>
  <c r="E1240" i="12"/>
  <c r="F1240" i="12"/>
  <c r="G1240" i="12"/>
  <c r="H1240" i="12"/>
  <c r="I1240" i="12"/>
  <c r="J1240" i="12"/>
  <c r="C1241" i="12"/>
  <c r="D1241" i="12"/>
  <c r="E1241" i="12"/>
  <c r="F1241" i="12"/>
  <c r="G1241" i="12"/>
  <c r="H1241" i="12"/>
  <c r="I1241" i="12"/>
  <c r="J1241" i="12"/>
  <c r="C1242" i="12"/>
  <c r="D1242" i="12"/>
  <c r="E1242" i="12"/>
  <c r="F1242" i="12"/>
  <c r="G1242" i="12"/>
  <c r="H1242" i="12"/>
  <c r="I1242" i="12"/>
  <c r="J1242" i="12"/>
  <c r="C1243" i="12"/>
  <c r="D1243" i="12"/>
  <c r="E1243" i="12"/>
  <c r="F1243" i="12"/>
  <c r="G1243" i="12"/>
  <c r="H1243" i="12"/>
  <c r="I1243" i="12"/>
  <c r="J1243" i="12"/>
  <c r="C1244" i="12"/>
  <c r="D1244" i="12"/>
  <c r="E1244" i="12"/>
  <c r="F1244" i="12"/>
  <c r="G1244" i="12"/>
  <c r="H1244" i="12"/>
  <c r="I1244" i="12"/>
  <c r="J1244" i="12"/>
  <c r="C1245" i="12"/>
  <c r="D1245" i="12"/>
  <c r="E1245" i="12"/>
  <c r="F1245" i="12"/>
  <c r="G1245" i="12"/>
  <c r="H1245" i="12"/>
  <c r="I1245" i="12"/>
  <c r="J1245" i="12"/>
  <c r="C1246" i="12"/>
  <c r="D1246" i="12"/>
  <c r="E1246" i="12"/>
  <c r="F1246" i="12"/>
  <c r="G1246" i="12"/>
  <c r="H1246" i="12"/>
  <c r="I1246" i="12"/>
  <c r="J1246" i="12"/>
  <c r="C1247" i="12"/>
  <c r="D1247" i="12"/>
  <c r="E1247" i="12"/>
  <c r="F1247" i="12"/>
  <c r="G1247" i="12"/>
  <c r="H1247" i="12"/>
  <c r="I1247" i="12"/>
  <c r="J1247" i="12"/>
  <c r="C1248" i="12"/>
  <c r="D1248" i="12"/>
  <c r="E1248" i="12"/>
  <c r="F1248" i="12"/>
  <c r="G1248" i="12"/>
  <c r="H1248" i="12"/>
  <c r="I1248" i="12"/>
  <c r="J1248" i="12"/>
  <c r="C1249" i="12"/>
  <c r="D1249" i="12"/>
  <c r="E1249" i="12"/>
  <c r="F1249" i="12"/>
  <c r="G1249" i="12"/>
  <c r="H1249" i="12"/>
  <c r="I1249" i="12"/>
  <c r="J1249" i="12"/>
  <c r="C1250" i="12"/>
  <c r="D1250" i="12"/>
  <c r="E1250" i="12"/>
  <c r="F1250" i="12"/>
  <c r="G1250" i="12"/>
  <c r="H1250" i="12"/>
  <c r="I1250" i="12"/>
  <c r="J1250" i="12"/>
  <c r="C1251" i="12"/>
  <c r="D1251" i="12"/>
  <c r="E1251" i="12"/>
  <c r="F1251" i="12"/>
  <c r="G1251" i="12"/>
  <c r="H1251" i="12"/>
  <c r="I1251" i="12"/>
  <c r="J1251" i="12"/>
  <c r="C1252" i="12"/>
  <c r="D1252" i="12"/>
  <c r="E1252" i="12"/>
  <c r="F1252" i="12"/>
  <c r="G1252" i="12"/>
  <c r="H1252" i="12"/>
  <c r="I1252" i="12"/>
  <c r="J1252" i="12"/>
  <c r="C1253" i="12"/>
  <c r="D1253" i="12"/>
  <c r="E1253" i="12"/>
  <c r="F1253" i="12"/>
  <c r="G1253" i="12"/>
  <c r="H1253" i="12"/>
  <c r="I1253" i="12"/>
  <c r="J1253" i="12"/>
  <c r="C1254" i="12"/>
  <c r="D1254" i="12"/>
  <c r="E1254" i="12"/>
  <c r="F1254" i="12"/>
  <c r="G1254" i="12"/>
  <c r="H1254" i="12"/>
  <c r="I1254" i="12"/>
  <c r="J1254" i="12"/>
  <c r="C1255" i="12"/>
  <c r="D1255" i="12"/>
  <c r="E1255" i="12"/>
  <c r="F1255" i="12"/>
  <c r="G1255" i="12"/>
  <c r="H1255" i="12"/>
  <c r="I1255" i="12"/>
  <c r="J1255" i="12"/>
  <c r="C1256" i="12"/>
  <c r="D1256" i="12"/>
  <c r="E1256" i="12"/>
  <c r="F1256" i="12"/>
  <c r="G1256" i="12"/>
  <c r="H1256" i="12"/>
  <c r="I1256" i="12"/>
  <c r="J1256" i="12"/>
  <c r="D3" i="12"/>
  <c r="E3" i="12"/>
  <c r="F3" i="12"/>
  <c r="G3" i="12"/>
  <c r="H3" i="12"/>
  <c r="I3" i="12"/>
  <c r="J3" i="12"/>
  <c r="C3" i="12"/>
  <c r="B1256" i="12"/>
  <c r="B1255" i="12"/>
  <c r="B1254" i="12"/>
  <c r="B1253" i="12"/>
  <c r="B1252" i="12"/>
  <c r="B1251" i="12"/>
  <c r="B1250" i="12"/>
  <c r="B1249" i="12"/>
  <c r="B1248" i="12"/>
  <c r="B1247" i="12"/>
  <c r="B1246" i="12"/>
  <c r="B1245" i="12"/>
  <c r="B1244" i="12"/>
  <c r="B1243" i="12"/>
  <c r="B1242" i="12"/>
  <c r="B1241" i="12"/>
  <c r="B1240" i="12"/>
  <c r="B1239" i="12"/>
  <c r="B1238" i="12"/>
  <c r="B1237" i="12"/>
  <c r="B1236" i="12"/>
  <c r="B1235" i="12"/>
  <c r="B1234" i="12"/>
  <c r="B1233" i="12"/>
  <c r="B1232" i="12"/>
  <c r="B1231" i="12"/>
  <c r="B1230" i="12"/>
  <c r="B1229" i="12"/>
  <c r="B1228" i="12"/>
  <c r="B1227" i="12"/>
  <c r="B1226" i="12"/>
  <c r="B1225" i="12"/>
  <c r="B1224" i="12"/>
  <c r="B1223" i="12"/>
  <c r="B1222" i="12"/>
  <c r="B1221" i="12"/>
  <c r="B1220" i="12"/>
  <c r="B1219" i="12"/>
  <c r="B1218" i="12"/>
  <c r="B1217" i="12"/>
  <c r="B1216" i="12"/>
  <c r="B1215" i="12"/>
  <c r="B1214" i="12"/>
  <c r="B1213" i="12"/>
  <c r="B1212" i="12"/>
  <c r="B1211" i="12"/>
  <c r="B1210" i="12"/>
  <c r="B1209" i="12"/>
  <c r="B1208" i="12"/>
  <c r="B1207" i="12"/>
  <c r="B1206" i="12"/>
  <c r="B1205" i="12"/>
  <c r="B1204" i="12"/>
  <c r="B1203" i="12"/>
  <c r="B1202" i="12"/>
  <c r="B1201" i="12"/>
  <c r="B1200" i="12"/>
  <c r="B1199" i="12"/>
  <c r="B1198" i="12"/>
  <c r="B1197" i="12"/>
  <c r="B1196" i="12"/>
  <c r="B1195" i="12"/>
  <c r="B1194" i="12"/>
  <c r="B1193" i="12"/>
  <c r="B1192" i="12"/>
  <c r="B1191" i="12"/>
  <c r="B1190" i="12"/>
  <c r="B1189" i="12"/>
  <c r="B1188" i="12"/>
  <c r="B1187" i="12"/>
  <c r="B1186" i="12"/>
  <c r="B1185" i="12"/>
  <c r="B1184" i="12"/>
  <c r="B1183" i="12"/>
  <c r="B1182" i="12"/>
  <c r="B1181" i="12"/>
  <c r="B1180" i="12"/>
  <c r="B1179" i="12"/>
  <c r="B1178" i="12"/>
  <c r="B1177" i="12"/>
  <c r="B1176" i="12"/>
  <c r="B1175" i="12"/>
  <c r="B1174" i="12"/>
  <c r="B1173" i="12"/>
  <c r="B1172" i="12"/>
  <c r="B1171" i="12"/>
  <c r="B1170" i="12"/>
  <c r="B1169" i="12"/>
  <c r="B1168" i="12"/>
  <c r="B1167" i="12"/>
  <c r="B1166" i="12"/>
  <c r="B1165" i="12"/>
  <c r="B1164" i="12"/>
  <c r="B1163" i="12"/>
  <c r="B1162" i="12"/>
  <c r="B1161" i="12"/>
  <c r="B1160" i="12"/>
  <c r="B1159" i="12"/>
  <c r="B1158" i="12"/>
  <c r="B1157" i="12"/>
  <c r="B1156" i="12"/>
  <c r="B1155" i="12"/>
  <c r="B1154" i="12"/>
  <c r="B1153" i="12"/>
  <c r="B1152" i="12"/>
  <c r="B1151" i="12"/>
  <c r="B1150" i="12"/>
  <c r="B1149" i="12"/>
  <c r="B1148" i="12"/>
  <c r="B1147" i="12"/>
  <c r="B1146" i="12"/>
  <c r="B1145" i="12"/>
  <c r="B1144" i="12"/>
  <c r="B1143" i="12"/>
  <c r="B1142" i="12"/>
  <c r="B1141" i="12"/>
  <c r="B1140" i="12"/>
  <c r="B1139" i="12"/>
  <c r="B1138" i="12"/>
  <c r="B1137" i="12"/>
  <c r="B1136" i="12"/>
  <c r="B1135" i="12"/>
  <c r="B1134" i="12"/>
  <c r="B1133" i="12"/>
  <c r="B1132" i="12"/>
  <c r="B1131" i="12"/>
  <c r="B1130" i="12"/>
  <c r="B1129" i="12"/>
  <c r="B1128" i="12"/>
  <c r="B1127" i="12"/>
  <c r="B1126" i="12"/>
  <c r="B1125" i="12"/>
  <c r="B1124" i="12"/>
  <c r="B1123" i="12"/>
  <c r="B1122" i="12"/>
  <c r="B1121" i="12"/>
  <c r="B1120" i="12"/>
  <c r="B1119" i="12"/>
  <c r="B1118" i="12"/>
  <c r="B1117" i="12"/>
  <c r="B1116" i="12"/>
  <c r="B1115" i="12"/>
  <c r="B1114" i="12"/>
  <c r="B1113" i="12"/>
  <c r="B1112" i="12"/>
  <c r="B1111" i="12"/>
  <c r="B1110" i="12"/>
  <c r="B1109" i="12"/>
  <c r="B1108" i="12"/>
  <c r="B1107" i="12"/>
  <c r="B1106" i="12"/>
  <c r="B1105" i="12"/>
  <c r="B1104" i="12"/>
  <c r="B1103" i="12"/>
  <c r="B1102" i="12"/>
  <c r="B1101" i="12"/>
  <c r="B1100" i="12"/>
  <c r="B1099" i="12"/>
  <c r="B1098" i="12"/>
  <c r="B1097" i="12"/>
  <c r="B1096" i="12"/>
  <c r="B1095" i="12"/>
  <c r="B1094" i="12"/>
  <c r="B1093" i="12"/>
  <c r="B1092" i="12"/>
  <c r="B1091" i="12"/>
  <c r="B1090" i="12"/>
  <c r="B1089" i="12"/>
  <c r="B1088" i="12"/>
  <c r="B1087" i="12"/>
  <c r="B1086" i="12"/>
  <c r="B1085" i="12"/>
  <c r="B1084" i="12"/>
  <c r="B1083" i="12"/>
  <c r="B1082" i="12"/>
  <c r="B1081" i="12"/>
  <c r="B1080" i="12"/>
  <c r="B1079" i="12"/>
  <c r="B1078" i="12"/>
  <c r="B1077" i="12"/>
  <c r="B1076" i="12"/>
  <c r="B1075" i="12"/>
  <c r="B1074" i="12"/>
  <c r="B1073" i="12"/>
  <c r="B1072" i="12"/>
  <c r="B1071" i="12"/>
  <c r="B1070" i="12"/>
  <c r="B1069" i="12"/>
  <c r="B1068" i="12"/>
  <c r="B1067" i="12"/>
  <c r="B1066" i="12"/>
  <c r="B1065" i="12"/>
  <c r="B1064" i="12"/>
  <c r="B1063" i="12"/>
  <c r="B1062" i="12"/>
  <c r="B1061" i="12"/>
  <c r="B1060" i="12"/>
  <c r="B1059" i="12"/>
  <c r="B1058" i="12"/>
  <c r="B1057" i="12"/>
  <c r="B1056" i="12"/>
  <c r="B1055" i="12"/>
  <c r="B1054" i="12"/>
  <c r="B1053" i="12"/>
  <c r="B1052" i="12"/>
  <c r="B1051" i="12"/>
  <c r="B1050" i="12"/>
  <c r="B1049" i="12"/>
  <c r="B1048" i="12"/>
  <c r="B1047" i="12"/>
  <c r="B1046" i="12"/>
  <c r="B1045" i="12"/>
  <c r="B1044" i="12"/>
  <c r="B1043" i="12"/>
  <c r="B1042" i="12"/>
  <c r="B1041" i="12"/>
  <c r="B1040" i="12"/>
  <c r="B1039" i="12"/>
  <c r="B1038" i="12"/>
  <c r="B1037" i="12"/>
  <c r="B1036" i="12"/>
  <c r="B1035" i="12"/>
  <c r="B1034" i="12"/>
  <c r="B1033" i="12"/>
  <c r="B1032" i="12"/>
  <c r="B1031" i="12"/>
  <c r="B1030" i="12"/>
  <c r="B1029" i="12"/>
  <c r="B1028" i="12"/>
  <c r="B1027" i="12"/>
  <c r="B1026" i="12"/>
  <c r="B1025" i="12"/>
  <c r="B1024" i="12"/>
  <c r="B1023" i="12"/>
  <c r="B1022" i="12"/>
  <c r="B1021" i="12"/>
  <c r="B1020" i="12"/>
  <c r="B1019" i="12"/>
  <c r="B1018" i="12"/>
  <c r="B1017" i="12"/>
  <c r="B1016" i="12"/>
  <c r="B1015" i="12"/>
  <c r="B1014" i="12"/>
  <c r="B1013" i="12"/>
  <c r="B1012" i="12"/>
  <c r="B1011" i="12"/>
  <c r="B1010" i="12"/>
  <c r="B1009" i="12"/>
  <c r="B1008" i="12"/>
  <c r="B1007" i="12"/>
  <c r="B1006" i="12"/>
  <c r="B1005" i="12"/>
  <c r="B1004" i="12"/>
  <c r="B1003" i="12"/>
  <c r="B1002" i="12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J1256" i="9"/>
  <c r="I1256" i="9"/>
  <c r="H1256" i="9"/>
  <c r="G1256" i="9"/>
  <c r="F1256" i="9"/>
  <c r="E1256" i="9"/>
  <c r="D1256" i="9"/>
  <c r="C1256" i="9"/>
  <c r="J1255" i="9"/>
  <c r="I1255" i="9"/>
  <c r="H1255" i="9"/>
  <c r="G1255" i="9"/>
  <c r="F1255" i="9"/>
  <c r="E1255" i="9"/>
  <c r="D1255" i="9"/>
  <c r="C1255" i="9"/>
  <c r="J1254" i="9"/>
  <c r="I1254" i="9"/>
  <c r="H1254" i="9"/>
  <c r="G1254" i="9"/>
  <c r="F1254" i="9"/>
  <c r="E1254" i="9"/>
  <c r="D1254" i="9"/>
  <c r="C1254" i="9"/>
  <c r="J1253" i="9"/>
  <c r="I1253" i="9"/>
  <c r="H1253" i="9"/>
  <c r="G1253" i="9"/>
  <c r="F1253" i="9"/>
  <c r="E1253" i="9"/>
  <c r="D1253" i="9"/>
  <c r="C1253" i="9"/>
  <c r="J1252" i="9"/>
  <c r="I1252" i="9"/>
  <c r="H1252" i="9"/>
  <c r="G1252" i="9"/>
  <c r="F1252" i="9"/>
  <c r="E1252" i="9"/>
  <c r="D1252" i="9"/>
  <c r="C1252" i="9"/>
  <c r="J1251" i="9"/>
  <c r="I1251" i="9"/>
  <c r="H1251" i="9"/>
  <c r="G1251" i="9"/>
  <c r="F1251" i="9"/>
  <c r="E1251" i="9"/>
  <c r="D1251" i="9"/>
  <c r="C1251" i="9"/>
  <c r="J1250" i="9"/>
  <c r="I1250" i="9"/>
  <c r="H1250" i="9"/>
  <c r="G1250" i="9"/>
  <c r="F1250" i="9"/>
  <c r="E1250" i="9"/>
  <c r="D1250" i="9"/>
  <c r="C1250" i="9"/>
  <c r="J1249" i="9"/>
  <c r="I1249" i="9"/>
  <c r="H1249" i="9"/>
  <c r="G1249" i="9"/>
  <c r="F1249" i="9"/>
  <c r="E1249" i="9"/>
  <c r="D1249" i="9"/>
  <c r="C1249" i="9"/>
  <c r="J1248" i="9"/>
  <c r="I1248" i="9"/>
  <c r="H1248" i="9"/>
  <c r="G1248" i="9"/>
  <c r="F1248" i="9"/>
  <c r="E1248" i="9"/>
  <c r="D1248" i="9"/>
  <c r="C1248" i="9"/>
  <c r="J1247" i="9"/>
  <c r="I1247" i="9"/>
  <c r="H1247" i="9"/>
  <c r="G1247" i="9"/>
  <c r="F1247" i="9"/>
  <c r="E1247" i="9"/>
  <c r="D1247" i="9"/>
  <c r="C1247" i="9"/>
  <c r="J1246" i="9"/>
  <c r="I1246" i="9"/>
  <c r="H1246" i="9"/>
  <c r="G1246" i="9"/>
  <c r="F1246" i="9"/>
  <c r="E1246" i="9"/>
  <c r="D1246" i="9"/>
  <c r="C1246" i="9"/>
  <c r="J1245" i="9"/>
  <c r="I1245" i="9"/>
  <c r="H1245" i="9"/>
  <c r="G1245" i="9"/>
  <c r="F1245" i="9"/>
  <c r="E1245" i="9"/>
  <c r="D1245" i="9"/>
  <c r="C1245" i="9"/>
  <c r="J1244" i="9"/>
  <c r="I1244" i="9"/>
  <c r="H1244" i="9"/>
  <c r="G1244" i="9"/>
  <c r="F1244" i="9"/>
  <c r="E1244" i="9"/>
  <c r="D1244" i="9"/>
  <c r="C1244" i="9"/>
  <c r="J1243" i="9"/>
  <c r="I1243" i="9"/>
  <c r="H1243" i="9"/>
  <c r="G1243" i="9"/>
  <c r="F1243" i="9"/>
  <c r="E1243" i="9"/>
  <c r="D1243" i="9"/>
  <c r="C1243" i="9"/>
  <c r="J1242" i="9"/>
  <c r="I1242" i="9"/>
  <c r="H1242" i="9"/>
  <c r="G1242" i="9"/>
  <c r="F1242" i="9"/>
  <c r="E1242" i="9"/>
  <c r="D1242" i="9"/>
  <c r="C1242" i="9"/>
  <c r="J1241" i="9"/>
  <c r="I1241" i="9"/>
  <c r="H1241" i="9"/>
  <c r="G1241" i="9"/>
  <c r="F1241" i="9"/>
  <c r="E1241" i="9"/>
  <c r="D1241" i="9"/>
  <c r="C1241" i="9"/>
  <c r="J1240" i="9"/>
  <c r="I1240" i="9"/>
  <c r="H1240" i="9"/>
  <c r="G1240" i="9"/>
  <c r="F1240" i="9"/>
  <c r="E1240" i="9"/>
  <c r="D1240" i="9"/>
  <c r="C1240" i="9"/>
  <c r="J1239" i="9"/>
  <c r="I1239" i="9"/>
  <c r="H1239" i="9"/>
  <c r="G1239" i="9"/>
  <c r="F1239" i="9"/>
  <c r="E1239" i="9"/>
  <c r="D1239" i="9"/>
  <c r="C1239" i="9"/>
  <c r="J1238" i="9"/>
  <c r="I1238" i="9"/>
  <c r="H1238" i="9"/>
  <c r="G1238" i="9"/>
  <c r="F1238" i="9"/>
  <c r="E1238" i="9"/>
  <c r="D1238" i="9"/>
  <c r="C1238" i="9"/>
  <c r="J1237" i="9"/>
  <c r="I1237" i="9"/>
  <c r="H1237" i="9"/>
  <c r="G1237" i="9"/>
  <c r="F1237" i="9"/>
  <c r="E1237" i="9"/>
  <c r="D1237" i="9"/>
  <c r="C1237" i="9"/>
  <c r="J1236" i="9"/>
  <c r="I1236" i="9"/>
  <c r="H1236" i="9"/>
  <c r="G1236" i="9"/>
  <c r="F1236" i="9"/>
  <c r="E1236" i="9"/>
  <c r="D1236" i="9"/>
  <c r="C1236" i="9"/>
  <c r="J1235" i="9"/>
  <c r="I1235" i="9"/>
  <c r="H1235" i="9"/>
  <c r="G1235" i="9"/>
  <c r="F1235" i="9"/>
  <c r="E1235" i="9"/>
  <c r="D1235" i="9"/>
  <c r="C1235" i="9"/>
  <c r="J1234" i="9"/>
  <c r="I1234" i="9"/>
  <c r="H1234" i="9"/>
  <c r="G1234" i="9"/>
  <c r="F1234" i="9"/>
  <c r="E1234" i="9"/>
  <c r="D1234" i="9"/>
  <c r="C1234" i="9"/>
  <c r="J1233" i="9"/>
  <c r="I1233" i="9"/>
  <c r="H1233" i="9"/>
  <c r="G1233" i="9"/>
  <c r="F1233" i="9"/>
  <c r="E1233" i="9"/>
  <c r="D1233" i="9"/>
  <c r="C1233" i="9"/>
  <c r="J1232" i="9"/>
  <c r="I1232" i="9"/>
  <c r="H1232" i="9"/>
  <c r="G1232" i="9"/>
  <c r="F1232" i="9"/>
  <c r="E1232" i="9"/>
  <c r="D1232" i="9"/>
  <c r="C1232" i="9"/>
  <c r="J1231" i="9"/>
  <c r="I1231" i="9"/>
  <c r="H1231" i="9"/>
  <c r="G1231" i="9"/>
  <c r="F1231" i="9"/>
  <c r="E1231" i="9"/>
  <c r="D1231" i="9"/>
  <c r="C1231" i="9"/>
  <c r="J1230" i="9"/>
  <c r="I1230" i="9"/>
  <c r="H1230" i="9"/>
  <c r="G1230" i="9"/>
  <c r="F1230" i="9"/>
  <c r="E1230" i="9"/>
  <c r="D1230" i="9"/>
  <c r="C1230" i="9"/>
  <c r="J1229" i="9"/>
  <c r="I1229" i="9"/>
  <c r="H1229" i="9"/>
  <c r="G1229" i="9"/>
  <c r="F1229" i="9"/>
  <c r="E1229" i="9"/>
  <c r="D1229" i="9"/>
  <c r="C1229" i="9"/>
  <c r="J1228" i="9"/>
  <c r="I1228" i="9"/>
  <c r="H1228" i="9"/>
  <c r="G1228" i="9"/>
  <c r="F1228" i="9"/>
  <c r="E1228" i="9"/>
  <c r="D1228" i="9"/>
  <c r="C1228" i="9"/>
  <c r="J1227" i="9"/>
  <c r="I1227" i="9"/>
  <c r="H1227" i="9"/>
  <c r="G1227" i="9"/>
  <c r="F1227" i="9"/>
  <c r="E1227" i="9"/>
  <c r="D1227" i="9"/>
  <c r="C1227" i="9"/>
  <c r="J1226" i="9"/>
  <c r="I1226" i="9"/>
  <c r="H1226" i="9"/>
  <c r="G1226" i="9"/>
  <c r="F1226" i="9"/>
  <c r="E1226" i="9"/>
  <c r="D1226" i="9"/>
  <c r="C1226" i="9"/>
  <c r="J1225" i="9"/>
  <c r="I1225" i="9"/>
  <c r="H1225" i="9"/>
  <c r="G1225" i="9"/>
  <c r="F1225" i="9"/>
  <c r="E1225" i="9"/>
  <c r="D1225" i="9"/>
  <c r="C1225" i="9"/>
  <c r="J1224" i="9"/>
  <c r="I1224" i="9"/>
  <c r="H1224" i="9"/>
  <c r="G1224" i="9"/>
  <c r="F1224" i="9"/>
  <c r="E1224" i="9"/>
  <c r="D1224" i="9"/>
  <c r="C1224" i="9"/>
  <c r="J1223" i="9"/>
  <c r="I1223" i="9"/>
  <c r="H1223" i="9"/>
  <c r="G1223" i="9"/>
  <c r="F1223" i="9"/>
  <c r="E1223" i="9"/>
  <c r="D1223" i="9"/>
  <c r="C1223" i="9"/>
  <c r="J1222" i="9"/>
  <c r="I1222" i="9"/>
  <c r="H1222" i="9"/>
  <c r="G1222" i="9"/>
  <c r="F1222" i="9"/>
  <c r="E1222" i="9"/>
  <c r="D1222" i="9"/>
  <c r="C1222" i="9"/>
  <c r="J1221" i="9"/>
  <c r="I1221" i="9"/>
  <c r="H1221" i="9"/>
  <c r="G1221" i="9"/>
  <c r="F1221" i="9"/>
  <c r="E1221" i="9"/>
  <c r="D1221" i="9"/>
  <c r="C1221" i="9"/>
  <c r="J1220" i="9"/>
  <c r="I1220" i="9"/>
  <c r="H1220" i="9"/>
  <c r="G1220" i="9"/>
  <c r="F1220" i="9"/>
  <c r="E1220" i="9"/>
  <c r="D1220" i="9"/>
  <c r="C1220" i="9"/>
  <c r="J1219" i="9"/>
  <c r="I1219" i="9"/>
  <c r="H1219" i="9"/>
  <c r="G1219" i="9"/>
  <c r="F1219" i="9"/>
  <c r="E1219" i="9"/>
  <c r="D1219" i="9"/>
  <c r="C1219" i="9"/>
  <c r="J1218" i="9"/>
  <c r="I1218" i="9"/>
  <c r="H1218" i="9"/>
  <c r="G1218" i="9"/>
  <c r="F1218" i="9"/>
  <c r="E1218" i="9"/>
  <c r="D1218" i="9"/>
  <c r="C1218" i="9"/>
  <c r="J1217" i="9"/>
  <c r="I1217" i="9"/>
  <c r="H1217" i="9"/>
  <c r="G1217" i="9"/>
  <c r="F1217" i="9"/>
  <c r="E1217" i="9"/>
  <c r="D1217" i="9"/>
  <c r="C1217" i="9"/>
  <c r="J1216" i="9"/>
  <c r="I1216" i="9"/>
  <c r="H1216" i="9"/>
  <c r="G1216" i="9"/>
  <c r="F1216" i="9"/>
  <c r="E1216" i="9"/>
  <c r="D1216" i="9"/>
  <c r="C1216" i="9"/>
  <c r="J1215" i="9"/>
  <c r="I1215" i="9"/>
  <c r="H1215" i="9"/>
  <c r="G1215" i="9"/>
  <c r="F1215" i="9"/>
  <c r="E1215" i="9"/>
  <c r="D1215" i="9"/>
  <c r="C1215" i="9"/>
  <c r="J1214" i="9"/>
  <c r="I1214" i="9"/>
  <c r="H1214" i="9"/>
  <c r="G1214" i="9"/>
  <c r="F1214" i="9"/>
  <c r="E1214" i="9"/>
  <c r="D1214" i="9"/>
  <c r="C1214" i="9"/>
  <c r="J1213" i="9"/>
  <c r="I1213" i="9"/>
  <c r="H1213" i="9"/>
  <c r="G1213" i="9"/>
  <c r="F1213" i="9"/>
  <c r="E1213" i="9"/>
  <c r="D1213" i="9"/>
  <c r="C1213" i="9"/>
  <c r="J1212" i="9"/>
  <c r="I1212" i="9"/>
  <c r="H1212" i="9"/>
  <c r="G1212" i="9"/>
  <c r="F1212" i="9"/>
  <c r="E1212" i="9"/>
  <c r="D1212" i="9"/>
  <c r="C1212" i="9"/>
  <c r="J1211" i="9"/>
  <c r="I1211" i="9"/>
  <c r="H1211" i="9"/>
  <c r="G1211" i="9"/>
  <c r="F1211" i="9"/>
  <c r="E1211" i="9"/>
  <c r="D1211" i="9"/>
  <c r="C1211" i="9"/>
  <c r="J1210" i="9"/>
  <c r="I1210" i="9"/>
  <c r="H1210" i="9"/>
  <c r="G1210" i="9"/>
  <c r="F1210" i="9"/>
  <c r="E1210" i="9"/>
  <c r="D1210" i="9"/>
  <c r="C1210" i="9"/>
  <c r="J1209" i="9"/>
  <c r="I1209" i="9"/>
  <c r="H1209" i="9"/>
  <c r="G1209" i="9"/>
  <c r="F1209" i="9"/>
  <c r="E1209" i="9"/>
  <c r="D1209" i="9"/>
  <c r="C1209" i="9"/>
  <c r="J1208" i="9"/>
  <c r="I1208" i="9"/>
  <c r="H1208" i="9"/>
  <c r="G1208" i="9"/>
  <c r="F1208" i="9"/>
  <c r="E1208" i="9"/>
  <c r="D1208" i="9"/>
  <c r="C1208" i="9"/>
  <c r="J1207" i="9"/>
  <c r="I1207" i="9"/>
  <c r="H1207" i="9"/>
  <c r="G1207" i="9"/>
  <c r="F1207" i="9"/>
  <c r="E1207" i="9"/>
  <c r="D1207" i="9"/>
  <c r="C1207" i="9"/>
  <c r="J1206" i="9"/>
  <c r="I1206" i="9"/>
  <c r="H1206" i="9"/>
  <c r="G1206" i="9"/>
  <c r="F1206" i="9"/>
  <c r="E1206" i="9"/>
  <c r="D1206" i="9"/>
  <c r="C1206" i="9"/>
  <c r="J1205" i="9"/>
  <c r="I1205" i="9"/>
  <c r="H1205" i="9"/>
  <c r="G1205" i="9"/>
  <c r="F1205" i="9"/>
  <c r="E1205" i="9"/>
  <c r="D1205" i="9"/>
  <c r="C1205" i="9"/>
  <c r="J1204" i="9"/>
  <c r="I1204" i="9"/>
  <c r="H1204" i="9"/>
  <c r="G1204" i="9"/>
  <c r="F1204" i="9"/>
  <c r="E1204" i="9"/>
  <c r="D1204" i="9"/>
  <c r="C1204" i="9"/>
  <c r="J1203" i="9"/>
  <c r="I1203" i="9"/>
  <c r="H1203" i="9"/>
  <c r="G1203" i="9"/>
  <c r="F1203" i="9"/>
  <c r="E1203" i="9"/>
  <c r="D1203" i="9"/>
  <c r="C1203" i="9"/>
  <c r="J1202" i="9"/>
  <c r="I1202" i="9"/>
  <c r="H1202" i="9"/>
  <c r="G1202" i="9"/>
  <c r="F1202" i="9"/>
  <c r="E1202" i="9"/>
  <c r="D1202" i="9"/>
  <c r="C1202" i="9"/>
  <c r="J1201" i="9"/>
  <c r="I1201" i="9"/>
  <c r="H1201" i="9"/>
  <c r="G1201" i="9"/>
  <c r="F1201" i="9"/>
  <c r="E1201" i="9"/>
  <c r="D1201" i="9"/>
  <c r="C1201" i="9"/>
  <c r="J1200" i="9"/>
  <c r="I1200" i="9"/>
  <c r="H1200" i="9"/>
  <c r="G1200" i="9"/>
  <c r="F1200" i="9"/>
  <c r="E1200" i="9"/>
  <c r="D1200" i="9"/>
  <c r="C1200" i="9"/>
  <c r="J1199" i="9"/>
  <c r="I1199" i="9"/>
  <c r="H1199" i="9"/>
  <c r="G1199" i="9"/>
  <c r="F1199" i="9"/>
  <c r="E1199" i="9"/>
  <c r="D1199" i="9"/>
  <c r="C1199" i="9"/>
  <c r="J1198" i="9"/>
  <c r="I1198" i="9"/>
  <c r="H1198" i="9"/>
  <c r="G1198" i="9"/>
  <c r="F1198" i="9"/>
  <c r="E1198" i="9"/>
  <c r="D1198" i="9"/>
  <c r="C1198" i="9"/>
  <c r="J1197" i="9"/>
  <c r="I1197" i="9"/>
  <c r="H1197" i="9"/>
  <c r="G1197" i="9"/>
  <c r="F1197" i="9"/>
  <c r="E1197" i="9"/>
  <c r="D1197" i="9"/>
  <c r="C1197" i="9"/>
  <c r="J1196" i="9"/>
  <c r="I1196" i="9"/>
  <c r="H1196" i="9"/>
  <c r="G1196" i="9"/>
  <c r="F1196" i="9"/>
  <c r="E1196" i="9"/>
  <c r="D1196" i="9"/>
  <c r="C1196" i="9"/>
  <c r="J1195" i="9"/>
  <c r="I1195" i="9"/>
  <c r="H1195" i="9"/>
  <c r="G1195" i="9"/>
  <c r="F1195" i="9"/>
  <c r="E1195" i="9"/>
  <c r="D1195" i="9"/>
  <c r="C1195" i="9"/>
  <c r="J1194" i="9"/>
  <c r="I1194" i="9"/>
  <c r="H1194" i="9"/>
  <c r="G1194" i="9"/>
  <c r="F1194" i="9"/>
  <c r="E1194" i="9"/>
  <c r="D1194" i="9"/>
  <c r="C1194" i="9"/>
  <c r="J1193" i="9"/>
  <c r="I1193" i="9"/>
  <c r="H1193" i="9"/>
  <c r="G1193" i="9"/>
  <c r="F1193" i="9"/>
  <c r="E1193" i="9"/>
  <c r="D1193" i="9"/>
  <c r="C1193" i="9"/>
  <c r="J1192" i="9"/>
  <c r="I1192" i="9"/>
  <c r="H1192" i="9"/>
  <c r="G1192" i="9"/>
  <c r="F1192" i="9"/>
  <c r="E1192" i="9"/>
  <c r="D1192" i="9"/>
  <c r="C1192" i="9"/>
  <c r="J1191" i="9"/>
  <c r="I1191" i="9"/>
  <c r="H1191" i="9"/>
  <c r="G1191" i="9"/>
  <c r="F1191" i="9"/>
  <c r="E1191" i="9"/>
  <c r="D1191" i="9"/>
  <c r="C1191" i="9"/>
  <c r="J1190" i="9"/>
  <c r="I1190" i="9"/>
  <c r="H1190" i="9"/>
  <c r="G1190" i="9"/>
  <c r="F1190" i="9"/>
  <c r="E1190" i="9"/>
  <c r="D1190" i="9"/>
  <c r="C1190" i="9"/>
  <c r="J1189" i="9"/>
  <c r="I1189" i="9"/>
  <c r="H1189" i="9"/>
  <c r="G1189" i="9"/>
  <c r="F1189" i="9"/>
  <c r="E1189" i="9"/>
  <c r="D1189" i="9"/>
  <c r="C1189" i="9"/>
  <c r="J1188" i="9"/>
  <c r="I1188" i="9"/>
  <c r="H1188" i="9"/>
  <c r="G1188" i="9"/>
  <c r="F1188" i="9"/>
  <c r="E1188" i="9"/>
  <c r="D1188" i="9"/>
  <c r="C1188" i="9"/>
  <c r="J1187" i="9"/>
  <c r="I1187" i="9"/>
  <c r="H1187" i="9"/>
  <c r="G1187" i="9"/>
  <c r="F1187" i="9"/>
  <c r="E1187" i="9"/>
  <c r="D1187" i="9"/>
  <c r="C1187" i="9"/>
  <c r="J1186" i="9"/>
  <c r="I1186" i="9"/>
  <c r="H1186" i="9"/>
  <c r="G1186" i="9"/>
  <c r="F1186" i="9"/>
  <c r="E1186" i="9"/>
  <c r="D1186" i="9"/>
  <c r="C1186" i="9"/>
  <c r="J1185" i="9"/>
  <c r="I1185" i="9"/>
  <c r="H1185" i="9"/>
  <c r="G1185" i="9"/>
  <c r="F1185" i="9"/>
  <c r="E1185" i="9"/>
  <c r="D1185" i="9"/>
  <c r="C1185" i="9"/>
  <c r="J1184" i="9"/>
  <c r="I1184" i="9"/>
  <c r="H1184" i="9"/>
  <c r="G1184" i="9"/>
  <c r="F1184" i="9"/>
  <c r="E1184" i="9"/>
  <c r="D1184" i="9"/>
  <c r="C1184" i="9"/>
  <c r="J1183" i="9"/>
  <c r="I1183" i="9"/>
  <c r="H1183" i="9"/>
  <c r="G1183" i="9"/>
  <c r="F1183" i="9"/>
  <c r="E1183" i="9"/>
  <c r="D1183" i="9"/>
  <c r="C1183" i="9"/>
  <c r="J1182" i="9"/>
  <c r="I1182" i="9"/>
  <c r="H1182" i="9"/>
  <c r="G1182" i="9"/>
  <c r="F1182" i="9"/>
  <c r="E1182" i="9"/>
  <c r="D1182" i="9"/>
  <c r="C1182" i="9"/>
  <c r="J1181" i="9"/>
  <c r="I1181" i="9"/>
  <c r="H1181" i="9"/>
  <c r="G1181" i="9"/>
  <c r="F1181" i="9"/>
  <c r="E1181" i="9"/>
  <c r="D1181" i="9"/>
  <c r="C1181" i="9"/>
  <c r="J1180" i="9"/>
  <c r="I1180" i="9"/>
  <c r="H1180" i="9"/>
  <c r="G1180" i="9"/>
  <c r="F1180" i="9"/>
  <c r="E1180" i="9"/>
  <c r="D1180" i="9"/>
  <c r="C1180" i="9"/>
  <c r="J1179" i="9"/>
  <c r="I1179" i="9"/>
  <c r="H1179" i="9"/>
  <c r="G1179" i="9"/>
  <c r="F1179" i="9"/>
  <c r="E1179" i="9"/>
  <c r="D1179" i="9"/>
  <c r="C1179" i="9"/>
  <c r="J1178" i="9"/>
  <c r="I1178" i="9"/>
  <c r="H1178" i="9"/>
  <c r="G1178" i="9"/>
  <c r="F1178" i="9"/>
  <c r="E1178" i="9"/>
  <c r="D1178" i="9"/>
  <c r="C1178" i="9"/>
  <c r="J1177" i="9"/>
  <c r="I1177" i="9"/>
  <c r="H1177" i="9"/>
  <c r="G1177" i="9"/>
  <c r="F1177" i="9"/>
  <c r="E1177" i="9"/>
  <c r="D1177" i="9"/>
  <c r="C1177" i="9"/>
  <c r="J1176" i="9"/>
  <c r="I1176" i="9"/>
  <c r="H1176" i="9"/>
  <c r="G1176" i="9"/>
  <c r="F1176" i="9"/>
  <c r="E1176" i="9"/>
  <c r="D1176" i="9"/>
  <c r="C1176" i="9"/>
  <c r="J1175" i="9"/>
  <c r="I1175" i="9"/>
  <c r="H1175" i="9"/>
  <c r="G1175" i="9"/>
  <c r="F1175" i="9"/>
  <c r="E1175" i="9"/>
  <c r="D1175" i="9"/>
  <c r="C1175" i="9"/>
  <c r="J1174" i="9"/>
  <c r="I1174" i="9"/>
  <c r="H1174" i="9"/>
  <c r="G1174" i="9"/>
  <c r="F1174" i="9"/>
  <c r="E1174" i="9"/>
  <c r="D1174" i="9"/>
  <c r="C1174" i="9"/>
  <c r="J1173" i="9"/>
  <c r="I1173" i="9"/>
  <c r="H1173" i="9"/>
  <c r="G1173" i="9"/>
  <c r="F1173" i="9"/>
  <c r="E1173" i="9"/>
  <c r="D1173" i="9"/>
  <c r="C1173" i="9"/>
  <c r="J1172" i="9"/>
  <c r="I1172" i="9"/>
  <c r="H1172" i="9"/>
  <c r="G1172" i="9"/>
  <c r="F1172" i="9"/>
  <c r="E1172" i="9"/>
  <c r="D1172" i="9"/>
  <c r="C1172" i="9"/>
  <c r="J1171" i="9"/>
  <c r="I1171" i="9"/>
  <c r="H1171" i="9"/>
  <c r="G1171" i="9"/>
  <c r="F1171" i="9"/>
  <c r="E1171" i="9"/>
  <c r="D1171" i="9"/>
  <c r="C1171" i="9"/>
  <c r="J1170" i="9"/>
  <c r="I1170" i="9"/>
  <c r="H1170" i="9"/>
  <c r="G1170" i="9"/>
  <c r="F1170" i="9"/>
  <c r="E1170" i="9"/>
  <c r="D1170" i="9"/>
  <c r="C1170" i="9"/>
  <c r="J1169" i="9"/>
  <c r="I1169" i="9"/>
  <c r="H1169" i="9"/>
  <c r="G1169" i="9"/>
  <c r="F1169" i="9"/>
  <c r="E1169" i="9"/>
  <c r="D1169" i="9"/>
  <c r="C1169" i="9"/>
  <c r="J1168" i="9"/>
  <c r="I1168" i="9"/>
  <c r="H1168" i="9"/>
  <c r="G1168" i="9"/>
  <c r="F1168" i="9"/>
  <c r="E1168" i="9"/>
  <c r="D1168" i="9"/>
  <c r="C1168" i="9"/>
  <c r="J1167" i="9"/>
  <c r="I1167" i="9"/>
  <c r="H1167" i="9"/>
  <c r="G1167" i="9"/>
  <c r="F1167" i="9"/>
  <c r="E1167" i="9"/>
  <c r="D1167" i="9"/>
  <c r="C1167" i="9"/>
  <c r="J1166" i="9"/>
  <c r="I1166" i="9"/>
  <c r="H1166" i="9"/>
  <c r="G1166" i="9"/>
  <c r="F1166" i="9"/>
  <c r="E1166" i="9"/>
  <c r="D1166" i="9"/>
  <c r="C1166" i="9"/>
  <c r="J1165" i="9"/>
  <c r="I1165" i="9"/>
  <c r="H1165" i="9"/>
  <c r="G1165" i="9"/>
  <c r="F1165" i="9"/>
  <c r="E1165" i="9"/>
  <c r="D1165" i="9"/>
  <c r="C1165" i="9"/>
  <c r="J1164" i="9"/>
  <c r="I1164" i="9"/>
  <c r="H1164" i="9"/>
  <c r="G1164" i="9"/>
  <c r="F1164" i="9"/>
  <c r="E1164" i="9"/>
  <c r="D1164" i="9"/>
  <c r="C1164" i="9"/>
  <c r="J1163" i="9"/>
  <c r="I1163" i="9"/>
  <c r="H1163" i="9"/>
  <c r="G1163" i="9"/>
  <c r="F1163" i="9"/>
  <c r="E1163" i="9"/>
  <c r="D1163" i="9"/>
  <c r="C1163" i="9"/>
  <c r="J1162" i="9"/>
  <c r="I1162" i="9"/>
  <c r="H1162" i="9"/>
  <c r="G1162" i="9"/>
  <c r="F1162" i="9"/>
  <c r="E1162" i="9"/>
  <c r="D1162" i="9"/>
  <c r="C1162" i="9"/>
  <c r="J1161" i="9"/>
  <c r="I1161" i="9"/>
  <c r="H1161" i="9"/>
  <c r="G1161" i="9"/>
  <c r="F1161" i="9"/>
  <c r="E1161" i="9"/>
  <c r="D1161" i="9"/>
  <c r="C1161" i="9"/>
  <c r="J1160" i="9"/>
  <c r="I1160" i="9"/>
  <c r="H1160" i="9"/>
  <c r="G1160" i="9"/>
  <c r="F1160" i="9"/>
  <c r="E1160" i="9"/>
  <c r="D1160" i="9"/>
  <c r="C1160" i="9"/>
  <c r="J1159" i="9"/>
  <c r="I1159" i="9"/>
  <c r="H1159" i="9"/>
  <c r="G1159" i="9"/>
  <c r="F1159" i="9"/>
  <c r="E1159" i="9"/>
  <c r="D1159" i="9"/>
  <c r="C1159" i="9"/>
  <c r="J1158" i="9"/>
  <c r="I1158" i="9"/>
  <c r="H1158" i="9"/>
  <c r="G1158" i="9"/>
  <c r="F1158" i="9"/>
  <c r="E1158" i="9"/>
  <c r="D1158" i="9"/>
  <c r="C1158" i="9"/>
  <c r="J1157" i="9"/>
  <c r="I1157" i="9"/>
  <c r="H1157" i="9"/>
  <c r="G1157" i="9"/>
  <c r="F1157" i="9"/>
  <c r="E1157" i="9"/>
  <c r="D1157" i="9"/>
  <c r="C1157" i="9"/>
  <c r="J1156" i="9"/>
  <c r="I1156" i="9"/>
  <c r="H1156" i="9"/>
  <c r="G1156" i="9"/>
  <c r="F1156" i="9"/>
  <c r="E1156" i="9"/>
  <c r="D1156" i="9"/>
  <c r="C1156" i="9"/>
  <c r="J1155" i="9"/>
  <c r="I1155" i="9"/>
  <c r="H1155" i="9"/>
  <c r="G1155" i="9"/>
  <c r="F1155" i="9"/>
  <c r="E1155" i="9"/>
  <c r="D1155" i="9"/>
  <c r="C1155" i="9"/>
  <c r="J1154" i="9"/>
  <c r="I1154" i="9"/>
  <c r="H1154" i="9"/>
  <c r="G1154" i="9"/>
  <c r="F1154" i="9"/>
  <c r="E1154" i="9"/>
  <c r="D1154" i="9"/>
  <c r="C1154" i="9"/>
  <c r="J1153" i="9"/>
  <c r="I1153" i="9"/>
  <c r="H1153" i="9"/>
  <c r="G1153" i="9"/>
  <c r="F1153" i="9"/>
  <c r="E1153" i="9"/>
  <c r="D1153" i="9"/>
  <c r="C1153" i="9"/>
  <c r="J1152" i="9"/>
  <c r="I1152" i="9"/>
  <c r="H1152" i="9"/>
  <c r="G1152" i="9"/>
  <c r="F1152" i="9"/>
  <c r="E1152" i="9"/>
  <c r="D1152" i="9"/>
  <c r="C1152" i="9"/>
  <c r="J1151" i="9"/>
  <c r="I1151" i="9"/>
  <c r="H1151" i="9"/>
  <c r="G1151" i="9"/>
  <c r="F1151" i="9"/>
  <c r="E1151" i="9"/>
  <c r="D1151" i="9"/>
  <c r="C1151" i="9"/>
  <c r="J1150" i="9"/>
  <c r="I1150" i="9"/>
  <c r="H1150" i="9"/>
  <c r="G1150" i="9"/>
  <c r="F1150" i="9"/>
  <c r="E1150" i="9"/>
  <c r="D1150" i="9"/>
  <c r="C1150" i="9"/>
  <c r="J1149" i="9"/>
  <c r="I1149" i="9"/>
  <c r="H1149" i="9"/>
  <c r="G1149" i="9"/>
  <c r="F1149" i="9"/>
  <c r="E1149" i="9"/>
  <c r="D1149" i="9"/>
  <c r="C1149" i="9"/>
  <c r="J1148" i="9"/>
  <c r="I1148" i="9"/>
  <c r="H1148" i="9"/>
  <c r="G1148" i="9"/>
  <c r="F1148" i="9"/>
  <c r="E1148" i="9"/>
  <c r="D1148" i="9"/>
  <c r="C1148" i="9"/>
  <c r="J1147" i="9"/>
  <c r="I1147" i="9"/>
  <c r="H1147" i="9"/>
  <c r="G1147" i="9"/>
  <c r="F1147" i="9"/>
  <c r="E1147" i="9"/>
  <c r="D1147" i="9"/>
  <c r="C1147" i="9"/>
  <c r="J1146" i="9"/>
  <c r="I1146" i="9"/>
  <c r="H1146" i="9"/>
  <c r="G1146" i="9"/>
  <c r="F1146" i="9"/>
  <c r="E1146" i="9"/>
  <c r="D1146" i="9"/>
  <c r="C1146" i="9"/>
  <c r="J1145" i="9"/>
  <c r="I1145" i="9"/>
  <c r="H1145" i="9"/>
  <c r="G1145" i="9"/>
  <c r="F1145" i="9"/>
  <c r="E1145" i="9"/>
  <c r="D1145" i="9"/>
  <c r="C1145" i="9"/>
  <c r="J1144" i="9"/>
  <c r="I1144" i="9"/>
  <c r="H1144" i="9"/>
  <c r="G1144" i="9"/>
  <c r="F1144" i="9"/>
  <c r="E1144" i="9"/>
  <c r="D1144" i="9"/>
  <c r="C1144" i="9"/>
  <c r="J1143" i="9"/>
  <c r="I1143" i="9"/>
  <c r="H1143" i="9"/>
  <c r="G1143" i="9"/>
  <c r="F1143" i="9"/>
  <c r="E1143" i="9"/>
  <c r="D1143" i="9"/>
  <c r="C1143" i="9"/>
  <c r="J1142" i="9"/>
  <c r="I1142" i="9"/>
  <c r="H1142" i="9"/>
  <c r="G1142" i="9"/>
  <c r="F1142" i="9"/>
  <c r="E1142" i="9"/>
  <c r="D1142" i="9"/>
  <c r="C1142" i="9"/>
  <c r="J1141" i="9"/>
  <c r="I1141" i="9"/>
  <c r="H1141" i="9"/>
  <c r="G1141" i="9"/>
  <c r="F1141" i="9"/>
  <c r="E1141" i="9"/>
  <c r="D1141" i="9"/>
  <c r="C1141" i="9"/>
  <c r="J1140" i="9"/>
  <c r="I1140" i="9"/>
  <c r="H1140" i="9"/>
  <c r="G1140" i="9"/>
  <c r="F1140" i="9"/>
  <c r="E1140" i="9"/>
  <c r="D1140" i="9"/>
  <c r="C1140" i="9"/>
  <c r="J1139" i="9"/>
  <c r="I1139" i="9"/>
  <c r="H1139" i="9"/>
  <c r="G1139" i="9"/>
  <c r="F1139" i="9"/>
  <c r="E1139" i="9"/>
  <c r="D1139" i="9"/>
  <c r="C1139" i="9"/>
  <c r="J1138" i="9"/>
  <c r="I1138" i="9"/>
  <c r="H1138" i="9"/>
  <c r="G1138" i="9"/>
  <c r="F1138" i="9"/>
  <c r="E1138" i="9"/>
  <c r="D1138" i="9"/>
  <c r="C1138" i="9"/>
  <c r="J1137" i="9"/>
  <c r="I1137" i="9"/>
  <c r="H1137" i="9"/>
  <c r="G1137" i="9"/>
  <c r="F1137" i="9"/>
  <c r="E1137" i="9"/>
  <c r="D1137" i="9"/>
  <c r="C1137" i="9"/>
  <c r="J1136" i="9"/>
  <c r="I1136" i="9"/>
  <c r="H1136" i="9"/>
  <c r="G1136" i="9"/>
  <c r="F1136" i="9"/>
  <c r="E1136" i="9"/>
  <c r="D1136" i="9"/>
  <c r="C1136" i="9"/>
  <c r="J1135" i="9"/>
  <c r="I1135" i="9"/>
  <c r="H1135" i="9"/>
  <c r="G1135" i="9"/>
  <c r="F1135" i="9"/>
  <c r="E1135" i="9"/>
  <c r="D1135" i="9"/>
  <c r="C1135" i="9"/>
  <c r="J1134" i="9"/>
  <c r="I1134" i="9"/>
  <c r="H1134" i="9"/>
  <c r="G1134" i="9"/>
  <c r="F1134" i="9"/>
  <c r="E1134" i="9"/>
  <c r="D1134" i="9"/>
  <c r="C1134" i="9"/>
  <c r="J1133" i="9"/>
  <c r="I1133" i="9"/>
  <c r="H1133" i="9"/>
  <c r="G1133" i="9"/>
  <c r="F1133" i="9"/>
  <c r="E1133" i="9"/>
  <c r="D1133" i="9"/>
  <c r="C1133" i="9"/>
  <c r="J1132" i="9"/>
  <c r="I1132" i="9"/>
  <c r="H1132" i="9"/>
  <c r="G1132" i="9"/>
  <c r="F1132" i="9"/>
  <c r="E1132" i="9"/>
  <c r="D1132" i="9"/>
  <c r="C1132" i="9"/>
  <c r="J1131" i="9"/>
  <c r="I1131" i="9"/>
  <c r="H1131" i="9"/>
  <c r="G1131" i="9"/>
  <c r="F1131" i="9"/>
  <c r="E1131" i="9"/>
  <c r="D1131" i="9"/>
  <c r="C1131" i="9"/>
  <c r="J1130" i="9"/>
  <c r="I1130" i="9"/>
  <c r="H1130" i="9"/>
  <c r="G1130" i="9"/>
  <c r="F1130" i="9"/>
  <c r="E1130" i="9"/>
  <c r="D1130" i="9"/>
  <c r="C1130" i="9"/>
  <c r="J1129" i="9"/>
  <c r="I1129" i="9"/>
  <c r="H1129" i="9"/>
  <c r="G1129" i="9"/>
  <c r="F1129" i="9"/>
  <c r="E1129" i="9"/>
  <c r="D1129" i="9"/>
  <c r="C1129" i="9"/>
  <c r="J1128" i="9"/>
  <c r="I1128" i="9"/>
  <c r="H1128" i="9"/>
  <c r="G1128" i="9"/>
  <c r="F1128" i="9"/>
  <c r="E1128" i="9"/>
  <c r="D1128" i="9"/>
  <c r="C1128" i="9"/>
  <c r="J1127" i="9"/>
  <c r="I1127" i="9"/>
  <c r="H1127" i="9"/>
  <c r="G1127" i="9"/>
  <c r="F1127" i="9"/>
  <c r="E1127" i="9"/>
  <c r="D1127" i="9"/>
  <c r="C1127" i="9"/>
  <c r="J1126" i="9"/>
  <c r="I1126" i="9"/>
  <c r="H1126" i="9"/>
  <c r="G1126" i="9"/>
  <c r="F1126" i="9"/>
  <c r="E1126" i="9"/>
  <c r="D1126" i="9"/>
  <c r="C1126" i="9"/>
  <c r="J1125" i="9"/>
  <c r="I1125" i="9"/>
  <c r="H1125" i="9"/>
  <c r="G1125" i="9"/>
  <c r="F1125" i="9"/>
  <c r="E1125" i="9"/>
  <c r="D1125" i="9"/>
  <c r="C1125" i="9"/>
  <c r="J1124" i="9"/>
  <c r="I1124" i="9"/>
  <c r="H1124" i="9"/>
  <c r="G1124" i="9"/>
  <c r="F1124" i="9"/>
  <c r="E1124" i="9"/>
  <c r="D1124" i="9"/>
  <c r="C1124" i="9"/>
  <c r="J1123" i="9"/>
  <c r="I1123" i="9"/>
  <c r="H1123" i="9"/>
  <c r="G1123" i="9"/>
  <c r="F1123" i="9"/>
  <c r="E1123" i="9"/>
  <c r="D1123" i="9"/>
  <c r="C1123" i="9"/>
  <c r="J1122" i="9"/>
  <c r="I1122" i="9"/>
  <c r="H1122" i="9"/>
  <c r="G1122" i="9"/>
  <c r="F1122" i="9"/>
  <c r="E1122" i="9"/>
  <c r="D1122" i="9"/>
  <c r="C1122" i="9"/>
  <c r="J1121" i="9"/>
  <c r="I1121" i="9"/>
  <c r="H1121" i="9"/>
  <c r="G1121" i="9"/>
  <c r="F1121" i="9"/>
  <c r="E1121" i="9"/>
  <c r="D1121" i="9"/>
  <c r="C1121" i="9"/>
  <c r="J1120" i="9"/>
  <c r="I1120" i="9"/>
  <c r="H1120" i="9"/>
  <c r="G1120" i="9"/>
  <c r="F1120" i="9"/>
  <c r="E1120" i="9"/>
  <c r="D1120" i="9"/>
  <c r="C1120" i="9"/>
  <c r="J1119" i="9"/>
  <c r="I1119" i="9"/>
  <c r="H1119" i="9"/>
  <c r="G1119" i="9"/>
  <c r="F1119" i="9"/>
  <c r="E1119" i="9"/>
  <c r="D1119" i="9"/>
  <c r="C1119" i="9"/>
  <c r="J1118" i="9"/>
  <c r="I1118" i="9"/>
  <c r="H1118" i="9"/>
  <c r="G1118" i="9"/>
  <c r="F1118" i="9"/>
  <c r="E1118" i="9"/>
  <c r="D1118" i="9"/>
  <c r="C1118" i="9"/>
  <c r="J1117" i="9"/>
  <c r="I1117" i="9"/>
  <c r="H1117" i="9"/>
  <c r="G1117" i="9"/>
  <c r="F1117" i="9"/>
  <c r="E1117" i="9"/>
  <c r="D1117" i="9"/>
  <c r="C1117" i="9"/>
  <c r="J1116" i="9"/>
  <c r="I1116" i="9"/>
  <c r="H1116" i="9"/>
  <c r="G1116" i="9"/>
  <c r="F1116" i="9"/>
  <c r="E1116" i="9"/>
  <c r="D1116" i="9"/>
  <c r="C1116" i="9"/>
  <c r="J1115" i="9"/>
  <c r="I1115" i="9"/>
  <c r="H1115" i="9"/>
  <c r="G1115" i="9"/>
  <c r="F1115" i="9"/>
  <c r="E1115" i="9"/>
  <c r="D1115" i="9"/>
  <c r="C1115" i="9"/>
  <c r="J1114" i="9"/>
  <c r="I1114" i="9"/>
  <c r="H1114" i="9"/>
  <c r="G1114" i="9"/>
  <c r="F1114" i="9"/>
  <c r="E1114" i="9"/>
  <c r="D1114" i="9"/>
  <c r="C1114" i="9"/>
  <c r="J1113" i="9"/>
  <c r="I1113" i="9"/>
  <c r="H1113" i="9"/>
  <c r="G1113" i="9"/>
  <c r="F1113" i="9"/>
  <c r="E1113" i="9"/>
  <c r="D1113" i="9"/>
  <c r="C1113" i="9"/>
  <c r="J1112" i="9"/>
  <c r="I1112" i="9"/>
  <c r="H1112" i="9"/>
  <c r="G1112" i="9"/>
  <c r="F1112" i="9"/>
  <c r="E1112" i="9"/>
  <c r="D1112" i="9"/>
  <c r="C1112" i="9"/>
  <c r="J1111" i="9"/>
  <c r="I1111" i="9"/>
  <c r="H1111" i="9"/>
  <c r="G1111" i="9"/>
  <c r="F1111" i="9"/>
  <c r="E1111" i="9"/>
  <c r="D1111" i="9"/>
  <c r="C1111" i="9"/>
  <c r="J1110" i="9"/>
  <c r="I1110" i="9"/>
  <c r="H1110" i="9"/>
  <c r="G1110" i="9"/>
  <c r="F1110" i="9"/>
  <c r="E1110" i="9"/>
  <c r="D1110" i="9"/>
  <c r="C1110" i="9"/>
  <c r="J1109" i="9"/>
  <c r="I1109" i="9"/>
  <c r="H1109" i="9"/>
  <c r="G1109" i="9"/>
  <c r="F1109" i="9"/>
  <c r="E1109" i="9"/>
  <c r="D1109" i="9"/>
  <c r="C1109" i="9"/>
  <c r="J1108" i="9"/>
  <c r="I1108" i="9"/>
  <c r="H1108" i="9"/>
  <c r="G1108" i="9"/>
  <c r="F1108" i="9"/>
  <c r="E1108" i="9"/>
  <c r="D1108" i="9"/>
  <c r="C1108" i="9"/>
  <c r="J1107" i="9"/>
  <c r="I1107" i="9"/>
  <c r="H1107" i="9"/>
  <c r="G1107" i="9"/>
  <c r="F1107" i="9"/>
  <c r="E1107" i="9"/>
  <c r="D1107" i="9"/>
  <c r="C1107" i="9"/>
  <c r="J1106" i="9"/>
  <c r="I1106" i="9"/>
  <c r="H1106" i="9"/>
  <c r="G1106" i="9"/>
  <c r="F1106" i="9"/>
  <c r="E1106" i="9"/>
  <c r="D1106" i="9"/>
  <c r="C1106" i="9"/>
  <c r="J1105" i="9"/>
  <c r="I1105" i="9"/>
  <c r="H1105" i="9"/>
  <c r="G1105" i="9"/>
  <c r="F1105" i="9"/>
  <c r="E1105" i="9"/>
  <c r="D1105" i="9"/>
  <c r="C1105" i="9"/>
  <c r="J1104" i="9"/>
  <c r="I1104" i="9"/>
  <c r="H1104" i="9"/>
  <c r="G1104" i="9"/>
  <c r="F1104" i="9"/>
  <c r="E1104" i="9"/>
  <c r="D1104" i="9"/>
  <c r="C1104" i="9"/>
  <c r="J1103" i="9"/>
  <c r="I1103" i="9"/>
  <c r="H1103" i="9"/>
  <c r="G1103" i="9"/>
  <c r="F1103" i="9"/>
  <c r="E1103" i="9"/>
  <c r="D1103" i="9"/>
  <c r="C1103" i="9"/>
  <c r="J1102" i="9"/>
  <c r="I1102" i="9"/>
  <c r="H1102" i="9"/>
  <c r="G1102" i="9"/>
  <c r="F1102" i="9"/>
  <c r="E1102" i="9"/>
  <c r="D1102" i="9"/>
  <c r="C1102" i="9"/>
  <c r="J1101" i="9"/>
  <c r="I1101" i="9"/>
  <c r="H1101" i="9"/>
  <c r="G1101" i="9"/>
  <c r="F1101" i="9"/>
  <c r="E1101" i="9"/>
  <c r="D1101" i="9"/>
  <c r="C1101" i="9"/>
  <c r="J1100" i="9"/>
  <c r="I1100" i="9"/>
  <c r="H1100" i="9"/>
  <c r="G1100" i="9"/>
  <c r="F1100" i="9"/>
  <c r="E1100" i="9"/>
  <c r="D1100" i="9"/>
  <c r="C1100" i="9"/>
  <c r="J1099" i="9"/>
  <c r="I1099" i="9"/>
  <c r="H1099" i="9"/>
  <c r="G1099" i="9"/>
  <c r="F1099" i="9"/>
  <c r="E1099" i="9"/>
  <c r="D1099" i="9"/>
  <c r="C1099" i="9"/>
  <c r="J1098" i="9"/>
  <c r="I1098" i="9"/>
  <c r="H1098" i="9"/>
  <c r="G1098" i="9"/>
  <c r="F1098" i="9"/>
  <c r="E1098" i="9"/>
  <c r="D1098" i="9"/>
  <c r="C1098" i="9"/>
  <c r="J1097" i="9"/>
  <c r="I1097" i="9"/>
  <c r="H1097" i="9"/>
  <c r="G1097" i="9"/>
  <c r="F1097" i="9"/>
  <c r="E1097" i="9"/>
  <c r="D1097" i="9"/>
  <c r="C1097" i="9"/>
  <c r="J1096" i="9"/>
  <c r="I1096" i="9"/>
  <c r="H1096" i="9"/>
  <c r="G1096" i="9"/>
  <c r="F1096" i="9"/>
  <c r="E1096" i="9"/>
  <c r="D1096" i="9"/>
  <c r="C1096" i="9"/>
  <c r="J1095" i="9"/>
  <c r="I1095" i="9"/>
  <c r="H1095" i="9"/>
  <c r="G1095" i="9"/>
  <c r="F1095" i="9"/>
  <c r="E1095" i="9"/>
  <c r="D1095" i="9"/>
  <c r="C1095" i="9"/>
  <c r="J1094" i="9"/>
  <c r="I1094" i="9"/>
  <c r="H1094" i="9"/>
  <c r="G1094" i="9"/>
  <c r="F1094" i="9"/>
  <c r="E1094" i="9"/>
  <c r="D1094" i="9"/>
  <c r="C1094" i="9"/>
  <c r="J1093" i="9"/>
  <c r="I1093" i="9"/>
  <c r="H1093" i="9"/>
  <c r="G1093" i="9"/>
  <c r="F1093" i="9"/>
  <c r="E1093" i="9"/>
  <c r="D1093" i="9"/>
  <c r="C1093" i="9"/>
  <c r="J1092" i="9"/>
  <c r="I1092" i="9"/>
  <c r="H1092" i="9"/>
  <c r="G1092" i="9"/>
  <c r="F1092" i="9"/>
  <c r="E1092" i="9"/>
  <c r="D1092" i="9"/>
  <c r="C1092" i="9"/>
  <c r="J1091" i="9"/>
  <c r="I1091" i="9"/>
  <c r="H1091" i="9"/>
  <c r="G1091" i="9"/>
  <c r="F1091" i="9"/>
  <c r="E1091" i="9"/>
  <c r="D1091" i="9"/>
  <c r="C1091" i="9"/>
  <c r="J1090" i="9"/>
  <c r="I1090" i="9"/>
  <c r="H1090" i="9"/>
  <c r="G1090" i="9"/>
  <c r="F1090" i="9"/>
  <c r="E1090" i="9"/>
  <c r="D1090" i="9"/>
  <c r="C1090" i="9"/>
  <c r="J1089" i="9"/>
  <c r="I1089" i="9"/>
  <c r="H1089" i="9"/>
  <c r="G1089" i="9"/>
  <c r="F1089" i="9"/>
  <c r="E1089" i="9"/>
  <c r="D1089" i="9"/>
  <c r="C1089" i="9"/>
  <c r="J1088" i="9"/>
  <c r="I1088" i="9"/>
  <c r="H1088" i="9"/>
  <c r="G1088" i="9"/>
  <c r="F1088" i="9"/>
  <c r="E1088" i="9"/>
  <c r="D1088" i="9"/>
  <c r="C1088" i="9"/>
  <c r="J1087" i="9"/>
  <c r="I1087" i="9"/>
  <c r="H1087" i="9"/>
  <c r="G1087" i="9"/>
  <c r="F1087" i="9"/>
  <c r="E1087" i="9"/>
  <c r="D1087" i="9"/>
  <c r="C1087" i="9"/>
  <c r="J1086" i="9"/>
  <c r="I1086" i="9"/>
  <c r="H1086" i="9"/>
  <c r="G1086" i="9"/>
  <c r="F1086" i="9"/>
  <c r="E1086" i="9"/>
  <c r="D1086" i="9"/>
  <c r="C1086" i="9"/>
  <c r="J1085" i="9"/>
  <c r="I1085" i="9"/>
  <c r="H1085" i="9"/>
  <c r="G1085" i="9"/>
  <c r="F1085" i="9"/>
  <c r="E1085" i="9"/>
  <c r="D1085" i="9"/>
  <c r="C1085" i="9"/>
  <c r="J1084" i="9"/>
  <c r="I1084" i="9"/>
  <c r="H1084" i="9"/>
  <c r="G1084" i="9"/>
  <c r="F1084" i="9"/>
  <c r="E1084" i="9"/>
  <c r="D1084" i="9"/>
  <c r="C1084" i="9"/>
  <c r="J1083" i="9"/>
  <c r="I1083" i="9"/>
  <c r="H1083" i="9"/>
  <c r="G1083" i="9"/>
  <c r="F1083" i="9"/>
  <c r="E1083" i="9"/>
  <c r="D1083" i="9"/>
  <c r="C1083" i="9"/>
  <c r="J1082" i="9"/>
  <c r="I1082" i="9"/>
  <c r="H1082" i="9"/>
  <c r="G1082" i="9"/>
  <c r="F1082" i="9"/>
  <c r="E1082" i="9"/>
  <c r="D1082" i="9"/>
  <c r="C1082" i="9"/>
  <c r="J1081" i="9"/>
  <c r="I1081" i="9"/>
  <c r="H1081" i="9"/>
  <c r="G1081" i="9"/>
  <c r="F1081" i="9"/>
  <c r="E1081" i="9"/>
  <c r="D1081" i="9"/>
  <c r="C1081" i="9"/>
  <c r="J1080" i="9"/>
  <c r="I1080" i="9"/>
  <c r="H1080" i="9"/>
  <c r="G1080" i="9"/>
  <c r="F1080" i="9"/>
  <c r="E1080" i="9"/>
  <c r="D1080" i="9"/>
  <c r="C1080" i="9"/>
  <c r="J1079" i="9"/>
  <c r="I1079" i="9"/>
  <c r="H1079" i="9"/>
  <c r="G1079" i="9"/>
  <c r="F1079" i="9"/>
  <c r="E1079" i="9"/>
  <c r="D1079" i="9"/>
  <c r="C1079" i="9"/>
  <c r="J1078" i="9"/>
  <c r="I1078" i="9"/>
  <c r="H1078" i="9"/>
  <c r="G1078" i="9"/>
  <c r="F1078" i="9"/>
  <c r="E1078" i="9"/>
  <c r="D1078" i="9"/>
  <c r="C1078" i="9"/>
  <c r="J1077" i="9"/>
  <c r="I1077" i="9"/>
  <c r="H1077" i="9"/>
  <c r="G1077" i="9"/>
  <c r="F1077" i="9"/>
  <c r="E1077" i="9"/>
  <c r="D1077" i="9"/>
  <c r="C1077" i="9"/>
  <c r="J1076" i="9"/>
  <c r="I1076" i="9"/>
  <c r="H1076" i="9"/>
  <c r="G1076" i="9"/>
  <c r="F1076" i="9"/>
  <c r="E1076" i="9"/>
  <c r="D1076" i="9"/>
  <c r="C1076" i="9"/>
  <c r="J1075" i="9"/>
  <c r="I1075" i="9"/>
  <c r="H1075" i="9"/>
  <c r="G1075" i="9"/>
  <c r="F1075" i="9"/>
  <c r="E1075" i="9"/>
  <c r="D1075" i="9"/>
  <c r="C1075" i="9"/>
  <c r="J1074" i="9"/>
  <c r="I1074" i="9"/>
  <c r="H1074" i="9"/>
  <c r="G1074" i="9"/>
  <c r="F1074" i="9"/>
  <c r="E1074" i="9"/>
  <c r="D1074" i="9"/>
  <c r="C1074" i="9"/>
  <c r="J1073" i="9"/>
  <c r="I1073" i="9"/>
  <c r="H1073" i="9"/>
  <c r="G1073" i="9"/>
  <c r="F1073" i="9"/>
  <c r="E1073" i="9"/>
  <c r="D1073" i="9"/>
  <c r="C1073" i="9"/>
  <c r="J1072" i="9"/>
  <c r="I1072" i="9"/>
  <c r="H1072" i="9"/>
  <c r="G1072" i="9"/>
  <c r="F1072" i="9"/>
  <c r="E1072" i="9"/>
  <c r="D1072" i="9"/>
  <c r="C1072" i="9"/>
  <c r="J1071" i="9"/>
  <c r="I1071" i="9"/>
  <c r="H1071" i="9"/>
  <c r="G1071" i="9"/>
  <c r="F1071" i="9"/>
  <c r="E1071" i="9"/>
  <c r="D1071" i="9"/>
  <c r="C1071" i="9"/>
  <c r="J1070" i="9"/>
  <c r="I1070" i="9"/>
  <c r="H1070" i="9"/>
  <c r="G1070" i="9"/>
  <c r="F1070" i="9"/>
  <c r="E1070" i="9"/>
  <c r="D1070" i="9"/>
  <c r="C1070" i="9"/>
  <c r="J1069" i="9"/>
  <c r="I1069" i="9"/>
  <c r="H1069" i="9"/>
  <c r="G1069" i="9"/>
  <c r="F1069" i="9"/>
  <c r="E1069" i="9"/>
  <c r="D1069" i="9"/>
  <c r="C1069" i="9"/>
  <c r="J1068" i="9"/>
  <c r="I1068" i="9"/>
  <c r="H1068" i="9"/>
  <c r="G1068" i="9"/>
  <c r="F1068" i="9"/>
  <c r="E1068" i="9"/>
  <c r="D1068" i="9"/>
  <c r="C1068" i="9"/>
  <c r="J1067" i="9"/>
  <c r="I1067" i="9"/>
  <c r="H1067" i="9"/>
  <c r="G1067" i="9"/>
  <c r="F1067" i="9"/>
  <c r="E1067" i="9"/>
  <c r="D1067" i="9"/>
  <c r="C1067" i="9"/>
  <c r="J1066" i="9"/>
  <c r="I1066" i="9"/>
  <c r="H1066" i="9"/>
  <c r="G1066" i="9"/>
  <c r="F1066" i="9"/>
  <c r="E1066" i="9"/>
  <c r="D1066" i="9"/>
  <c r="C1066" i="9"/>
  <c r="J1065" i="9"/>
  <c r="I1065" i="9"/>
  <c r="H1065" i="9"/>
  <c r="G1065" i="9"/>
  <c r="F1065" i="9"/>
  <c r="E1065" i="9"/>
  <c r="D1065" i="9"/>
  <c r="C1065" i="9"/>
  <c r="J1064" i="9"/>
  <c r="I1064" i="9"/>
  <c r="H1064" i="9"/>
  <c r="G1064" i="9"/>
  <c r="F1064" i="9"/>
  <c r="E1064" i="9"/>
  <c r="D1064" i="9"/>
  <c r="C1064" i="9"/>
  <c r="J1063" i="9"/>
  <c r="I1063" i="9"/>
  <c r="H1063" i="9"/>
  <c r="G1063" i="9"/>
  <c r="F1063" i="9"/>
  <c r="E1063" i="9"/>
  <c r="D1063" i="9"/>
  <c r="C1063" i="9"/>
  <c r="J1062" i="9"/>
  <c r="I1062" i="9"/>
  <c r="H1062" i="9"/>
  <c r="G1062" i="9"/>
  <c r="F1062" i="9"/>
  <c r="E1062" i="9"/>
  <c r="D1062" i="9"/>
  <c r="C1062" i="9"/>
  <c r="J1061" i="9"/>
  <c r="I1061" i="9"/>
  <c r="H1061" i="9"/>
  <c r="G1061" i="9"/>
  <c r="F1061" i="9"/>
  <c r="E1061" i="9"/>
  <c r="D1061" i="9"/>
  <c r="C1061" i="9"/>
  <c r="J1060" i="9"/>
  <c r="I1060" i="9"/>
  <c r="H1060" i="9"/>
  <c r="G1060" i="9"/>
  <c r="F1060" i="9"/>
  <c r="E1060" i="9"/>
  <c r="D1060" i="9"/>
  <c r="C1060" i="9"/>
  <c r="J1059" i="9"/>
  <c r="I1059" i="9"/>
  <c r="H1059" i="9"/>
  <c r="G1059" i="9"/>
  <c r="F1059" i="9"/>
  <c r="E1059" i="9"/>
  <c r="D1059" i="9"/>
  <c r="C1059" i="9"/>
  <c r="J1058" i="9"/>
  <c r="I1058" i="9"/>
  <c r="H1058" i="9"/>
  <c r="G1058" i="9"/>
  <c r="F1058" i="9"/>
  <c r="E1058" i="9"/>
  <c r="D1058" i="9"/>
  <c r="C1058" i="9"/>
  <c r="J1057" i="9"/>
  <c r="I1057" i="9"/>
  <c r="H1057" i="9"/>
  <c r="G1057" i="9"/>
  <c r="F1057" i="9"/>
  <c r="E1057" i="9"/>
  <c r="D1057" i="9"/>
  <c r="C1057" i="9"/>
  <c r="J1056" i="9"/>
  <c r="I1056" i="9"/>
  <c r="H1056" i="9"/>
  <c r="G1056" i="9"/>
  <c r="F1056" i="9"/>
  <c r="E1056" i="9"/>
  <c r="D1056" i="9"/>
  <c r="C1056" i="9"/>
  <c r="J1055" i="9"/>
  <c r="I1055" i="9"/>
  <c r="H1055" i="9"/>
  <c r="G1055" i="9"/>
  <c r="F1055" i="9"/>
  <c r="E1055" i="9"/>
  <c r="D1055" i="9"/>
  <c r="C1055" i="9"/>
  <c r="J1054" i="9"/>
  <c r="I1054" i="9"/>
  <c r="H1054" i="9"/>
  <c r="G1054" i="9"/>
  <c r="F1054" i="9"/>
  <c r="E1054" i="9"/>
  <c r="D1054" i="9"/>
  <c r="C1054" i="9"/>
  <c r="J1053" i="9"/>
  <c r="I1053" i="9"/>
  <c r="H1053" i="9"/>
  <c r="G1053" i="9"/>
  <c r="F1053" i="9"/>
  <c r="E1053" i="9"/>
  <c r="D1053" i="9"/>
  <c r="C1053" i="9"/>
  <c r="J1052" i="9"/>
  <c r="I1052" i="9"/>
  <c r="H1052" i="9"/>
  <c r="G1052" i="9"/>
  <c r="F1052" i="9"/>
  <c r="E1052" i="9"/>
  <c r="D1052" i="9"/>
  <c r="C1052" i="9"/>
  <c r="J1051" i="9"/>
  <c r="I1051" i="9"/>
  <c r="H1051" i="9"/>
  <c r="G1051" i="9"/>
  <c r="F1051" i="9"/>
  <c r="E1051" i="9"/>
  <c r="D1051" i="9"/>
  <c r="C1051" i="9"/>
  <c r="J1050" i="9"/>
  <c r="I1050" i="9"/>
  <c r="H1050" i="9"/>
  <c r="G1050" i="9"/>
  <c r="F1050" i="9"/>
  <c r="E1050" i="9"/>
  <c r="D1050" i="9"/>
  <c r="C1050" i="9"/>
  <c r="J1049" i="9"/>
  <c r="I1049" i="9"/>
  <c r="H1049" i="9"/>
  <c r="G1049" i="9"/>
  <c r="F1049" i="9"/>
  <c r="E1049" i="9"/>
  <c r="D1049" i="9"/>
  <c r="C1049" i="9"/>
  <c r="J1048" i="9"/>
  <c r="I1048" i="9"/>
  <c r="H1048" i="9"/>
  <c r="G1048" i="9"/>
  <c r="F1048" i="9"/>
  <c r="E1048" i="9"/>
  <c r="D1048" i="9"/>
  <c r="C1048" i="9"/>
  <c r="J1047" i="9"/>
  <c r="I1047" i="9"/>
  <c r="H1047" i="9"/>
  <c r="G1047" i="9"/>
  <c r="F1047" i="9"/>
  <c r="E1047" i="9"/>
  <c r="D1047" i="9"/>
  <c r="C1047" i="9"/>
  <c r="J1046" i="9"/>
  <c r="I1046" i="9"/>
  <c r="H1046" i="9"/>
  <c r="G1046" i="9"/>
  <c r="F1046" i="9"/>
  <c r="E1046" i="9"/>
  <c r="D1046" i="9"/>
  <c r="C1046" i="9"/>
  <c r="J1045" i="9"/>
  <c r="I1045" i="9"/>
  <c r="H1045" i="9"/>
  <c r="G1045" i="9"/>
  <c r="F1045" i="9"/>
  <c r="E1045" i="9"/>
  <c r="D1045" i="9"/>
  <c r="C1045" i="9"/>
  <c r="J1044" i="9"/>
  <c r="I1044" i="9"/>
  <c r="H1044" i="9"/>
  <c r="G1044" i="9"/>
  <c r="F1044" i="9"/>
  <c r="E1044" i="9"/>
  <c r="D1044" i="9"/>
  <c r="C1044" i="9"/>
  <c r="J1043" i="9"/>
  <c r="I1043" i="9"/>
  <c r="H1043" i="9"/>
  <c r="G1043" i="9"/>
  <c r="F1043" i="9"/>
  <c r="E1043" i="9"/>
  <c r="D1043" i="9"/>
  <c r="C1043" i="9"/>
  <c r="J1042" i="9"/>
  <c r="I1042" i="9"/>
  <c r="H1042" i="9"/>
  <c r="G1042" i="9"/>
  <c r="F1042" i="9"/>
  <c r="E1042" i="9"/>
  <c r="D1042" i="9"/>
  <c r="C1042" i="9"/>
  <c r="J1041" i="9"/>
  <c r="I1041" i="9"/>
  <c r="H1041" i="9"/>
  <c r="G1041" i="9"/>
  <c r="F1041" i="9"/>
  <c r="E1041" i="9"/>
  <c r="D1041" i="9"/>
  <c r="C1041" i="9"/>
  <c r="J1040" i="9"/>
  <c r="I1040" i="9"/>
  <c r="H1040" i="9"/>
  <c r="G1040" i="9"/>
  <c r="F1040" i="9"/>
  <c r="E1040" i="9"/>
  <c r="D1040" i="9"/>
  <c r="C1040" i="9"/>
  <c r="J1039" i="9"/>
  <c r="I1039" i="9"/>
  <c r="H1039" i="9"/>
  <c r="G1039" i="9"/>
  <c r="F1039" i="9"/>
  <c r="E1039" i="9"/>
  <c r="D1039" i="9"/>
  <c r="C1039" i="9"/>
  <c r="J1038" i="9"/>
  <c r="I1038" i="9"/>
  <c r="H1038" i="9"/>
  <c r="G1038" i="9"/>
  <c r="F1038" i="9"/>
  <c r="E1038" i="9"/>
  <c r="D1038" i="9"/>
  <c r="C1038" i="9"/>
  <c r="J1037" i="9"/>
  <c r="I1037" i="9"/>
  <c r="H1037" i="9"/>
  <c r="G1037" i="9"/>
  <c r="F1037" i="9"/>
  <c r="E1037" i="9"/>
  <c r="D1037" i="9"/>
  <c r="C1037" i="9"/>
  <c r="J1036" i="9"/>
  <c r="I1036" i="9"/>
  <c r="H1036" i="9"/>
  <c r="G1036" i="9"/>
  <c r="F1036" i="9"/>
  <c r="E1036" i="9"/>
  <c r="D1036" i="9"/>
  <c r="C1036" i="9"/>
  <c r="J1035" i="9"/>
  <c r="I1035" i="9"/>
  <c r="H1035" i="9"/>
  <c r="G1035" i="9"/>
  <c r="F1035" i="9"/>
  <c r="E1035" i="9"/>
  <c r="D1035" i="9"/>
  <c r="C1035" i="9"/>
  <c r="J1034" i="9"/>
  <c r="I1034" i="9"/>
  <c r="H1034" i="9"/>
  <c r="G1034" i="9"/>
  <c r="F1034" i="9"/>
  <c r="E1034" i="9"/>
  <c r="D1034" i="9"/>
  <c r="C1034" i="9"/>
  <c r="J1033" i="9"/>
  <c r="I1033" i="9"/>
  <c r="H1033" i="9"/>
  <c r="G1033" i="9"/>
  <c r="F1033" i="9"/>
  <c r="E1033" i="9"/>
  <c r="D1033" i="9"/>
  <c r="C1033" i="9"/>
  <c r="J1032" i="9"/>
  <c r="I1032" i="9"/>
  <c r="H1032" i="9"/>
  <c r="G1032" i="9"/>
  <c r="F1032" i="9"/>
  <c r="E1032" i="9"/>
  <c r="D1032" i="9"/>
  <c r="C1032" i="9"/>
  <c r="J1031" i="9"/>
  <c r="I1031" i="9"/>
  <c r="H1031" i="9"/>
  <c r="G1031" i="9"/>
  <c r="F1031" i="9"/>
  <c r="E1031" i="9"/>
  <c r="D1031" i="9"/>
  <c r="C1031" i="9"/>
  <c r="J1030" i="9"/>
  <c r="I1030" i="9"/>
  <c r="H1030" i="9"/>
  <c r="G1030" i="9"/>
  <c r="F1030" i="9"/>
  <c r="E1030" i="9"/>
  <c r="D1030" i="9"/>
  <c r="C1030" i="9"/>
  <c r="J1029" i="9"/>
  <c r="I1029" i="9"/>
  <c r="H1029" i="9"/>
  <c r="G1029" i="9"/>
  <c r="F1029" i="9"/>
  <c r="E1029" i="9"/>
  <c r="D1029" i="9"/>
  <c r="C1029" i="9"/>
  <c r="J1028" i="9"/>
  <c r="I1028" i="9"/>
  <c r="H1028" i="9"/>
  <c r="G1028" i="9"/>
  <c r="F1028" i="9"/>
  <c r="E1028" i="9"/>
  <c r="D1028" i="9"/>
  <c r="C1028" i="9"/>
  <c r="J1027" i="9"/>
  <c r="I1027" i="9"/>
  <c r="H1027" i="9"/>
  <c r="G1027" i="9"/>
  <c r="F1027" i="9"/>
  <c r="E1027" i="9"/>
  <c r="D1027" i="9"/>
  <c r="C1027" i="9"/>
  <c r="J1026" i="9"/>
  <c r="I1026" i="9"/>
  <c r="H1026" i="9"/>
  <c r="G1026" i="9"/>
  <c r="F1026" i="9"/>
  <c r="E1026" i="9"/>
  <c r="D1026" i="9"/>
  <c r="C1026" i="9"/>
  <c r="J1025" i="9"/>
  <c r="I1025" i="9"/>
  <c r="H1025" i="9"/>
  <c r="G1025" i="9"/>
  <c r="F1025" i="9"/>
  <c r="E1025" i="9"/>
  <c r="D1025" i="9"/>
  <c r="C1025" i="9"/>
  <c r="J1024" i="9"/>
  <c r="I1024" i="9"/>
  <c r="H1024" i="9"/>
  <c r="G1024" i="9"/>
  <c r="F1024" i="9"/>
  <c r="E1024" i="9"/>
  <c r="D1024" i="9"/>
  <c r="C1024" i="9"/>
  <c r="J1023" i="9"/>
  <c r="I1023" i="9"/>
  <c r="H1023" i="9"/>
  <c r="G1023" i="9"/>
  <c r="F1023" i="9"/>
  <c r="E1023" i="9"/>
  <c r="D1023" i="9"/>
  <c r="C1023" i="9"/>
  <c r="J1022" i="9"/>
  <c r="I1022" i="9"/>
  <c r="H1022" i="9"/>
  <c r="G1022" i="9"/>
  <c r="F1022" i="9"/>
  <c r="E1022" i="9"/>
  <c r="D1022" i="9"/>
  <c r="C1022" i="9"/>
  <c r="J1021" i="9"/>
  <c r="I1021" i="9"/>
  <c r="H1021" i="9"/>
  <c r="G1021" i="9"/>
  <c r="F1021" i="9"/>
  <c r="E1021" i="9"/>
  <c r="D1021" i="9"/>
  <c r="C1021" i="9"/>
  <c r="J1020" i="9"/>
  <c r="I1020" i="9"/>
  <c r="H1020" i="9"/>
  <c r="G1020" i="9"/>
  <c r="F1020" i="9"/>
  <c r="E1020" i="9"/>
  <c r="D1020" i="9"/>
  <c r="C1020" i="9"/>
  <c r="J1019" i="9"/>
  <c r="I1019" i="9"/>
  <c r="H1019" i="9"/>
  <c r="G1019" i="9"/>
  <c r="F1019" i="9"/>
  <c r="E1019" i="9"/>
  <c r="D1019" i="9"/>
  <c r="C1019" i="9"/>
  <c r="J1018" i="9"/>
  <c r="I1018" i="9"/>
  <c r="H1018" i="9"/>
  <c r="G1018" i="9"/>
  <c r="F1018" i="9"/>
  <c r="E1018" i="9"/>
  <c r="D1018" i="9"/>
  <c r="C1018" i="9"/>
  <c r="J1017" i="9"/>
  <c r="I1017" i="9"/>
  <c r="H1017" i="9"/>
  <c r="G1017" i="9"/>
  <c r="F1017" i="9"/>
  <c r="E1017" i="9"/>
  <c r="D1017" i="9"/>
  <c r="C1017" i="9"/>
  <c r="J1016" i="9"/>
  <c r="I1016" i="9"/>
  <c r="H1016" i="9"/>
  <c r="G1016" i="9"/>
  <c r="F1016" i="9"/>
  <c r="E1016" i="9"/>
  <c r="D1016" i="9"/>
  <c r="C1016" i="9"/>
  <c r="J1015" i="9"/>
  <c r="I1015" i="9"/>
  <c r="H1015" i="9"/>
  <c r="G1015" i="9"/>
  <c r="F1015" i="9"/>
  <c r="E1015" i="9"/>
  <c r="D1015" i="9"/>
  <c r="C1015" i="9"/>
  <c r="J1014" i="9"/>
  <c r="I1014" i="9"/>
  <c r="H1014" i="9"/>
  <c r="G1014" i="9"/>
  <c r="F1014" i="9"/>
  <c r="E1014" i="9"/>
  <c r="D1014" i="9"/>
  <c r="C1014" i="9"/>
  <c r="J1013" i="9"/>
  <c r="I1013" i="9"/>
  <c r="H1013" i="9"/>
  <c r="G1013" i="9"/>
  <c r="F1013" i="9"/>
  <c r="E1013" i="9"/>
  <c r="D1013" i="9"/>
  <c r="C1013" i="9"/>
  <c r="J1012" i="9"/>
  <c r="I1012" i="9"/>
  <c r="H1012" i="9"/>
  <c r="G1012" i="9"/>
  <c r="F1012" i="9"/>
  <c r="E1012" i="9"/>
  <c r="D1012" i="9"/>
  <c r="C1012" i="9"/>
  <c r="J1011" i="9"/>
  <c r="I1011" i="9"/>
  <c r="H1011" i="9"/>
  <c r="G1011" i="9"/>
  <c r="F1011" i="9"/>
  <c r="E1011" i="9"/>
  <c r="D1011" i="9"/>
  <c r="C1011" i="9"/>
  <c r="J1010" i="9"/>
  <c r="I1010" i="9"/>
  <c r="H1010" i="9"/>
  <c r="G1010" i="9"/>
  <c r="F1010" i="9"/>
  <c r="E1010" i="9"/>
  <c r="D1010" i="9"/>
  <c r="C1010" i="9"/>
  <c r="J1009" i="9"/>
  <c r="I1009" i="9"/>
  <c r="H1009" i="9"/>
  <c r="G1009" i="9"/>
  <c r="F1009" i="9"/>
  <c r="E1009" i="9"/>
  <c r="D1009" i="9"/>
  <c r="C1009" i="9"/>
  <c r="J1008" i="9"/>
  <c r="I1008" i="9"/>
  <c r="H1008" i="9"/>
  <c r="G1008" i="9"/>
  <c r="F1008" i="9"/>
  <c r="E1008" i="9"/>
  <c r="D1008" i="9"/>
  <c r="C1008" i="9"/>
  <c r="J1007" i="9"/>
  <c r="I1007" i="9"/>
  <c r="H1007" i="9"/>
  <c r="G1007" i="9"/>
  <c r="F1007" i="9"/>
  <c r="E1007" i="9"/>
  <c r="D1007" i="9"/>
  <c r="C1007" i="9"/>
  <c r="J1006" i="9"/>
  <c r="I1006" i="9"/>
  <c r="H1006" i="9"/>
  <c r="G1006" i="9"/>
  <c r="F1006" i="9"/>
  <c r="E1006" i="9"/>
  <c r="D1006" i="9"/>
  <c r="C1006" i="9"/>
  <c r="J1005" i="9"/>
  <c r="I1005" i="9"/>
  <c r="H1005" i="9"/>
  <c r="G1005" i="9"/>
  <c r="F1005" i="9"/>
  <c r="E1005" i="9"/>
  <c r="D1005" i="9"/>
  <c r="C1005" i="9"/>
  <c r="J1004" i="9"/>
  <c r="I1004" i="9"/>
  <c r="H1004" i="9"/>
  <c r="G1004" i="9"/>
  <c r="F1004" i="9"/>
  <c r="E1004" i="9"/>
  <c r="D1004" i="9"/>
  <c r="C1004" i="9"/>
  <c r="J1003" i="9"/>
  <c r="I1003" i="9"/>
  <c r="H1003" i="9"/>
  <c r="G1003" i="9"/>
  <c r="F1003" i="9"/>
  <c r="E1003" i="9"/>
  <c r="D1003" i="9"/>
  <c r="C1003" i="9"/>
  <c r="J1002" i="9"/>
  <c r="I1002" i="9"/>
  <c r="H1002" i="9"/>
  <c r="G1002" i="9"/>
  <c r="F1002" i="9"/>
  <c r="E1002" i="9"/>
  <c r="D1002" i="9"/>
  <c r="C1002" i="9"/>
  <c r="J1001" i="9"/>
  <c r="I1001" i="9"/>
  <c r="H1001" i="9"/>
  <c r="G1001" i="9"/>
  <c r="F1001" i="9"/>
  <c r="E1001" i="9"/>
  <c r="D1001" i="9"/>
  <c r="C1001" i="9"/>
  <c r="J1000" i="9"/>
  <c r="I1000" i="9"/>
  <c r="H1000" i="9"/>
  <c r="G1000" i="9"/>
  <c r="F1000" i="9"/>
  <c r="E1000" i="9"/>
  <c r="D1000" i="9"/>
  <c r="C1000" i="9"/>
  <c r="J999" i="9"/>
  <c r="I999" i="9"/>
  <c r="H999" i="9"/>
  <c r="G999" i="9"/>
  <c r="F999" i="9"/>
  <c r="E999" i="9"/>
  <c r="D999" i="9"/>
  <c r="C999" i="9"/>
  <c r="J998" i="9"/>
  <c r="I998" i="9"/>
  <c r="H998" i="9"/>
  <c r="G998" i="9"/>
  <c r="F998" i="9"/>
  <c r="E998" i="9"/>
  <c r="D998" i="9"/>
  <c r="C998" i="9"/>
  <c r="J997" i="9"/>
  <c r="I997" i="9"/>
  <c r="H997" i="9"/>
  <c r="G997" i="9"/>
  <c r="F997" i="9"/>
  <c r="E997" i="9"/>
  <c r="D997" i="9"/>
  <c r="C997" i="9"/>
  <c r="J996" i="9"/>
  <c r="I996" i="9"/>
  <c r="H996" i="9"/>
  <c r="G996" i="9"/>
  <c r="F996" i="9"/>
  <c r="E996" i="9"/>
  <c r="D996" i="9"/>
  <c r="C996" i="9"/>
  <c r="J995" i="9"/>
  <c r="I995" i="9"/>
  <c r="H995" i="9"/>
  <c r="G995" i="9"/>
  <c r="F995" i="9"/>
  <c r="E995" i="9"/>
  <c r="D995" i="9"/>
  <c r="C995" i="9"/>
  <c r="J994" i="9"/>
  <c r="I994" i="9"/>
  <c r="H994" i="9"/>
  <c r="G994" i="9"/>
  <c r="F994" i="9"/>
  <c r="E994" i="9"/>
  <c r="D994" i="9"/>
  <c r="C994" i="9"/>
  <c r="J993" i="9"/>
  <c r="I993" i="9"/>
  <c r="H993" i="9"/>
  <c r="G993" i="9"/>
  <c r="F993" i="9"/>
  <c r="E993" i="9"/>
  <c r="D993" i="9"/>
  <c r="C993" i="9"/>
  <c r="J992" i="9"/>
  <c r="I992" i="9"/>
  <c r="H992" i="9"/>
  <c r="G992" i="9"/>
  <c r="F992" i="9"/>
  <c r="E992" i="9"/>
  <c r="D992" i="9"/>
  <c r="C992" i="9"/>
  <c r="J991" i="9"/>
  <c r="I991" i="9"/>
  <c r="H991" i="9"/>
  <c r="G991" i="9"/>
  <c r="F991" i="9"/>
  <c r="E991" i="9"/>
  <c r="D991" i="9"/>
  <c r="C991" i="9"/>
  <c r="J990" i="9"/>
  <c r="I990" i="9"/>
  <c r="H990" i="9"/>
  <c r="G990" i="9"/>
  <c r="F990" i="9"/>
  <c r="E990" i="9"/>
  <c r="D990" i="9"/>
  <c r="C990" i="9"/>
  <c r="J989" i="9"/>
  <c r="I989" i="9"/>
  <c r="H989" i="9"/>
  <c r="G989" i="9"/>
  <c r="F989" i="9"/>
  <c r="E989" i="9"/>
  <c r="D989" i="9"/>
  <c r="C989" i="9"/>
  <c r="J988" i="9"/>
  <c r="I988" i="9"/>
  <c r="H988" i="9"/>
  <c r="G988" i="9"/>
  <c r="F988" i="9"/>
  <c r="E988" i="9"/>
  <c r="D988" i="9"/>
  <c r="C988" i="9"/>
  <c r="J987" i="9"/>
  <c r="I987" i="9"/>
  <c r="H987" i="9"/>
  <c r="G987" i="9"/>
  <c r="F987" i="9"/>
  <c r="E987" i="9"/>
  <c r="D987" i="9"/>
  <c r="C987" i="9"/>
  <c r="J986" i="9"/>
  <c r="I986" i="9"/>
  <c r="H986" i="9"/>
  <c r="G986" i="9"/>
  <c r="F986" i="9"/>
  <c r="E986" i="9"/>
  <c r="D986" i="9"/>
  <c r="C986" i="9"/>
  <c r="J985" i="9"/>
  <c r="I985" i="9"/>
  <c r="H985" i="9"/>
  <c r="G985" i="9"/>
  <c r="F985" i="9"/>
  <c r="E985" i="9"/>
  <c r="D985" i="9"/>
  <c r="C985" i="9"/>
  <c r="J984" i="9"/>
  <c r="I984" i="9"/>
  <c r="H984" i="9"/>
  <c r="G984" i="9"/>
  <c r="F984" i="9"/>
  <c r="E984" i="9"/>
  <c r="D984" i="9"/>
  <c r="C984" i="9"/>
  <c r="J983" i="9"/>
  <c r="I983" i="9"/>
  <c r="H983" i="9"/>
  <c r="G983" i="9"/>
  <c r="F983" i="9"/>
  <c r="E983" i="9"/>
  <c r="D983" i="9"/>
  <c r="C983" i="9"/>
  <c r="J982" i="9"/>
  <c r="I982" i="9"/>
  <c r="H982" i="9"/>
  <c r="G982" i="9"/>
  <c r="F982" i="9"/>
  <c r="E982" i="9"/>
  <c r="D982" i="9"/>
  <c r="C982" i="9"/>
  <c r="J981" i="9"/>
  <c r="I981" i="9"/>
  <c r="H981" i="9"/>
  <c r="G981" i="9"/>
  <c r="F981" i="9"/>
  <c r="E981" i="9"/>
  <c r="D981" i="9"/>
  <c r="C981" i="9"/>
  <c r="J980" i="9"/>
  <c r="I980" i="9"/>
  <c r="H980" i="9"/>
  <c r="G980" i="9"/>
  <c r="F980" i="9"/>
  <c r="E980" i="9"/>
  <c r="D980" i="9"/>
  <c r="C980" i="9"/>
  <c r="J979" i="9"/>
  <c r="I979" i="9"/>
  <c r="H979" i="9"/>
  <c r="G979" i="9"/>
  <c r="F979" i="9"/>
  <c r="E979" i="9"/>
  <c r="D979" i="9"/>
  <c r="C979" i="9"/>
  <c r="J978" i="9"/>
  <c r="I978" i="9"/>
  <c r="H978" i="9"/>
  <c r="G978" i="9"/>
  <c r="F978" i="9"/>
  <c r="E978" i="9"/>
  <c r="D978" i="9"/>
  <c r="C978" i="9"/>
  <c r="J977" i="9"/>
  <c r="I977" i="9"/>
  <c r="H977" i="9"/>
  <c r="G977" i="9"/>
  <c r="F977" i="9"/>
  <c r="E977" i="9"/>
  <c r="D977" i="9"/>
  <c r="C977" i="9"/>
  <c r="J976" i="9"/>
  <c r="I976" i="9"/>
  <c r="H976" i="9"/>
  <c r="G976" i="9"/>
  <c r="F976" i="9"/>
  <c r="E976" i="9"/>
  <c r="D976" i="9"/>
  <c r="C976" i="9"/>
  <c r="J975" i="9"/>
  <c r="I975" i="9"/>
  <c r="H975" i="9"/>
  <c r="G975" i="9"/>
  <c r="F975" i="9"/>
  <c r="E975" i="9"/>
  <c r="D975" i="9"/>
  <c r="C975" i="9"/>
  <c r="J974" i="9"/>
  <c r="I974" i="9"/>
  <c r="H974" i="9"/>
  <c r="G974" i="9"/>
  <c r="F974" i="9"/>
  <c r="E974" i="9"/>
  <c r="D974" i="9"/>
  <c r="C974" i="9"/>
  <c r="J973" i="9"/>
  <c r="I973" i="9"/>
  <c r="H973" i="9"/>
  <c r="G973" i="9"/>
  <c r="F973" i="9"/>
  <c r="E973" i="9"/>
  <c r="D973" i="9"/>
  <c r="C973" i="9"/>
  <c r="J972" i="9"/>
  <c r="I972" i="9"/>
  <c r="H972" i="9"/>
  <c r="G972" i="9"/>
  <c r="F972" i="9"/>
  <c r="E972" i="9"/>
  <c r="D972" i="9"/>
  <c r="C972" i="9"/>
  <c r="J971" i="9"/>
  <c r="I971" i="9"/>
  <c r="H971" i="9"/>
  <c r="G971" i="9"/>
  <c r="F971" i="9"/>
  <c r="E971" i="9"/>
  <c r="D971" i="9"/>
  <c r="C971" i="9"/>
  <c r="J970" i="9"/>
  <c r="I970" i="9"/>
  <c r="H970" i="9"/>
  <c r="G970" i="9"/>
  <c r="F970" i="9"/>
  <c r="E970" i="9"/>
  <c r="D970" i="9"/>
  <c r="C970" i="9"/>
  <c r="J969" i="9"/>
  <c r="I969" i="9"/>
  <c r="H969" i="9"/>
  <c r="G969" i="9"/>
  <c r="F969" i="9"/>
  <c r="E969" i="9"/>
  <c r="D969" i="9"/>
  <c r="C969" i="9"/>
  <c r="J968" i="9"/>
  <c r="I968" i="9"/>
  <c r="H968" i="9"/>
  <c r="G968" i="9"/>
  <c r="F968" i="9"/>
  <c r="E968" i="9"/>
  <c r="D968" i="9"/>
  <c r="C968" i="9"/>
  <c r="J967" i="9"/>
  <c r="I967" i="9"/>
  <c r="H967" i="9"/>
  <c r="G967" i="9"/>
  <c r="F967" i="9"/>
  <c r="E967" i="9"/>
  <c r="D967" i="9"/>
  <c r="C967" i="9"/>
  <c r="J966" i="9"/>
  <c r="I966" i="9"/>
  <c r="H966" i="9"/>
  <c r="G966" i="9"/>
  <c r="F966" i="9"/>
  <c r="E966" i="9"/>
  <c r="D966" i="9"/>
  <c r="C966" i="9"/>
  <c r="J965" i="9"/>
  <c r="I965" i="9"/>
  <c r="H965" i="9"/>
  <c r="G965" i="9"/>
  <c r="F965" i="9"/>
  <c r="E965" i="9"/>
  <c r="D965" i="9"/>
  <c r="C965" i="9"/>
  <c r="J964" i="9"/>
  <c r="I964" i="9"/>
  <c r="H964" i="9"/>
  <c r="G964" i="9"/>
  <c r="F964" i="9"/>
  <c r="E964" i="9"/>
  <c r="D964" i="9"/>
  <c r="C964" i="9"/>
  <c r="J963" i="9"/>
  <c r="I963" i="9"/>
  <c r="H963" i="9"/>
  <c r="G963" i="9"/>
  <c r="F963" i="9"/>
  <c r="E963" i="9"/>
  <c r="D963" i="9"/>
  <c r="C963" i="9"/>
  <c r="J962" i="9"/>
  <c r="I962" i="9"/>
  <c r="H962" i="9"/>
  <c r="G962" i="9"/>
  <c r="F962" i="9"/>
  <c r="E962" i="9"/>
  <c r="D962" i="9"/>
  <c r="C962" i="9"/>
  <c r="J961" i="9"/>
  <c r="I961" i="9"/>
  <c r="H961" i="9"/>
  <c r="G961" i="9"/>
  <c r="F961" i="9"/>
  <c r="E961" i="9"/>
  <c r="D961" i="9"/>
  <c r="C961" i="9"/>
  <c r="J960" i="9"/>
  <c r="I960" i="9"/>
  <c r="H960" i="9"/>
  <c r="G960" i="9"/>
  <c r="F960" i="9"/>
  <c r="E960" i="9"/>
  <c r="D960" i="9"/>
  <c r="C960" i="9"/>
  <c r="J959" i="9"/>
  <c r="I959" i="9"/>
  <c r="H959" i="9"/>
  <c r="G959" i="9"/>
  <c r="F959" i="9"/>
  <c r="E959" i="9"/>
  <c r="D959" i="9"/>
  <c r="C959" i="9"/>
  <c r="J958" i="9"/>
  <c r="I958" i="9"/>
  <c r="H958" i="9"/>
  <c r="G958" i="9"/>
  <c r="F958" i="9"/>
  <c r="E958" i="9"/>
  <c r="D958" i="9"/>
  <c r="C958" i="9"/>
  <c r="J957" i="9"/>
  <c r="I957" i="9"/>
  <c r="H957" i="9"/>
  <c r="G957" i="9"/>
  <c r="F957" i="9"/>
  <c r="E957" i="9"/>
  <c r="D957" i="9"/>
  <c r="C957" i="9"/>
  <c r="J956" i="9"/>
  <c r="I956" i="9"/>
  <c r="H956" i="9"/>
  <c r="G956" i="9"/>
  <c r="F956" i="9"/>
  <c r="E956" i="9"/>
  <c r="D956" i="9"/>
  <c r="C956" i="9"/>
  <c r="J955" i="9"/>
  <c r="I955" i="9"/>
  <c r="H955" i="9"/>
  <c r="G955" i="9"/>
  <c r="F955" i="9"/>
  <c r="E955" i="9"/>
  <c r="D955" i="9"/>
  <c r="C955" i="9"/>
  <c r="J954" i="9"/>
  <c r="I954" i="9"/>
  <c r="H954" i="9"/>
  <c r="G954" i="9"/>
  <c r="F954" i="9"/>
  <c r="E954" i="9"/>
  <c r="D954" i="9"/>
  <c r="C954" i="9"/>
  <c r="J953" i="9"/>
  <c r="I953" i="9"/>
  <c r="H953" i="9"/>
  <c r="G953" i="9"/>
  <c r="F953" i="9"/>
  <c r="E953" i="9"/>
  <c r="D953" i="9"/>
  <c r="C953" i="9"/>
  <c r="J952" i="9"/>
  <c r="I952" i="9"/>
  <c r="H952" i="9"/>
  <c r="G952" i="9"/>
  <c r="F952" i="9"/>
  <c r="E952" i="9"/>
  <c r="D952" i="9"/>
  <c r="C952" i="9"/>
  <c r="J951" i="9"/>
  <c r="I951" i="9"/>
  <c r="H951" i="9"/>
  <c r="G951" i="9"/>
  <c r="F951" i="9"/>
  <c r="E951" i="9"/>
  <c r="D951" i="9"/>
  <c r="C951" i="9"/>
  <c r="J950" i="9"/>
  <c r="I950" i="9"/>
  <c r="H950" i="9"/>
  <c r="G950" i="9"/>
  <c r="F950" i="9"/>
  <c r="E950" i="9"/>
  <c r="D950" i="9"/>
  <c r="C950" i="9"/>
  <c r="J949" i="9"/>
  <c r="I949" i="9"/>
  <c r="H949" i="9"/>
  <c r="G949" i="9"/>
  <c r="F949" i="9"/>
  <c r="E949" i="9"/>
  <c r="D949" i="9"/>
  <c r="C949" i="9"/>
  <c r="J948" i="9"/>
  <c r="I948" i="9"/>
  <c r="H948" i="9"/>
  <c r="G948" i="9"/>
  <c r="F948" i="9"/>
  <c r="E948" i="9"/>
  <c r="D948" i="9"/>
  <c r="C948" i="9"/>
  <c r="J947" i="9"/>
  <c r="I947" i="9"/>
  <c r="H947" i="9"/>
  <c r="G947" i="9"/>
  <c r="F947" i="9"/>
  <c r="E947" i="9"/>
  <c r="D947" i="9"/>
  <c r="C947" i="9"/>
  <c r="J946" i="9"/>
  <c r="I946" i="9"/>
  <c r="H946" i="9"/>
  <c r="G946" i="9"/>
  <c r="F946" i="9"/>
  <c r="E946" i="9"/>
  <c r="D946" i="9"/>
  <c r="C946" i="9"/>
  <c r="J945" i="9"/>
  <c r="I945" i="9"/>
  <c r="H945" i="9"/>
  <c r="G945" i="9"/>
  <c r="F945" i="9"/>
  <c r="E945" i="9"/>
  <c r="D945" i="9"/>
  <c r="C945" i="9"/>
  <c r="J944" i="9"/>
  <c r="I944" i="9"/>
  <c r="H944" i="9"/>
  <c r="G944" i="9"/>
  <c r="F944" i="9"/>
  <c r="E944" i="9"/>
  <c r="D944" i="9"/>
  <c r="C944" i="9"/>
  <c r="J943" i="9"/>
  <c r="I943" i="9"/>
  <c r="H943" i="9"/>
  <c r="G943" i="9"/>
  <c r="F943" i="9"/>
  <c r="E943" i="9"/>
  <c r="D943" i="9"/>
  <c r="C943" i="9"/>
  <c r="J942" i="9"/>
  <c r="I942" i="9"/>
  <c r="H942" i="9"/>
  <c r="G942" i="9"/>
  <c r="F942" i="9"/>
  <c r="E942" i="9"/>
  <c r="D942" i="9"/>
  <c r="C942" i="9"/>
  <c r="J941" i="9"/>
  <c r="I941" i="9"/>
  <c r="H941" i="9"/>
  <c r="G941" i="9"/>
  <c r="F941" i="9"/>
  <c r="E941" i="9"/>
  <c r="D941" i="9"/>
  <c r="C941" i="9"/>
  <c r="J940" i="9"/>
  <c r="I940" i="9"/>
  <c r="H940" i="9"/>
  <c r="G940" i="9"/>
  <c r="F940" i="9"/>
  <c r="E940" i="9"/>
  <c r="D940" i="9"/>
  <c r="C940" i="9"/>
  <c r="J939" i="9"/>
  <c r="I939" i="9"/>
  <c r="H939" i="9"/>
  <c r="G939" i="9"/>
  <c r="F939" i="9"/>
  <c r="E939" i="9"/>
  <c r="D939" i="9"/>
  <c r="C939" i="9"/>
  <c r="J938" i="9"/>
  <c r="I938" i="9"/>
  <c r="H938" i="9"/>
  <c r="G938" i="9"/>
  <c r="F938" i="9"/>
  <c r="E938" i="9"/>
  <c r="D938" i="9"/>
  <c r="C938" i="9"/>
  <c r="J937" i="9"/>
  <c r="I937" i="9"/>
  <c r="H937" i="9"/>
  <c r="G937" i="9"/>
  <c r="F937" i="9"/>
  <c r="E937" i="9"/>
  <c r="D937" i="9"/>
  <c r="C937" i="9"/>
  <c r="J936" i="9"/>
  <c r="I936" i="9"/>
  <c r="H936" i="9"/>
  <c r="G936" i="9"/>
  <c r="F936" i="9"/>
  <c r="E936" i="9"/>
  <c r="D936" i="9"/>
  <c r="C936" i="9"/>
  <c r="J935" i="9"/>
  <c r="I935" i="9"/>
  <c r="H935" i="9"/>
  <c r="G935" i="9"/>
  <c r="F935" i="9"/>
  <c r="E935" i="9"/>
  <c r="D935" i="9"/>
  <c r="C935" i="9"/>
  <c r="J934" i="9"/>
  <c r="I934" i="9"/>
  <c r="H934" i="9"/>
  <c r="G934" i="9"/>
  <c r="F934" i="9"/>
  <c r="E934" i="9"/>
  <c r="D934" i="9"/>
  <c r="C934" i="9"/>
  <c r="J933" i="9"/>
  <c r="I933" i="9"/>
  <c r="H933" i="9"/>
  <c r="G933" i="9"/>
  <c r="F933" i="9"/>
  <c r="E933" i="9"/>
  <c r="D933" i="9"/>
  <c r="C933" i="9"/>
  <c r="J932" i="9"/>
  <c r="I932" i="9"/>
  <c r="H932" i="9"/>
  <c r="G932" i="9"/>
  <c r="F932" i="9"/>
  <c r="E932" i="9"/>
  <c r="D932" i="9"/>
  <c r="C932" i="9"/>
  <c r="J931" i="9"/>
  <c r="I931" i="9"/>
  <c r="H931" i="9"/>
  <c r="G931" i="9"/>
  <c r="F931" i="9"/>
  <c r="E931" i="9"/>
  <c r="D931" i="9"/>
  <c r="C931" i="9"/>
  <c r="J930" i="9"/>
  <c r="I930" i="9"/>
  <c r="H930" i="9"/>
  <c r="G930" i="9"/>
  <c r="F930" i="9"/>
  <c r="E930" i="9"/>
  <c r="D930" i="9"/>
  <c r="C930" i="9"/>
  <c r="J929" i="9"/>
  <c r="I929" i="9"/>
  <c r="H929" i="9"/>
  <c r="G929" i="9"/>
  <c r="F929" i="9"/>
  <c r="E929" i="9"/>
  <c r="D929" i="9"/>
  <c r="C929" i="9"/>
  <c r="J928" i="9"/>
  <c r="I928" i="9"/>
  <c r="H928" i="9"/>
  <c r="G928" i="9"/>
  <c r="F928" i="9"/>
  <c r="E928" i="9"/>
  <c r="D928" i="9"/>
  <c r="C928" i="9"/>
  <c r="J927" i="9"/>
  <c r="I927" i="9"/>
  <c r="H927" i="9"/>
  <c r="G927" i="9"/>
  <c r="F927" i="9"/>
  <c r="E927" i="9"/>
  <c r="D927" i="9"/>
  <c r="C927" i="9"/>
  <c r="J926" i="9"/>
  <c r="I926" i="9"/>
  <c r="H926" i="9"/>
  <c r="G926" i="9"/>
  <c r="F926" i="9"/>
  <c r="E926" i="9"/>
  <c r="D926" i="9"/>
  <c r="C926" i="9"/>
  <c r="J925" i="9"/>
  <c r="I925" i="9"/>
  <c r="H925" i="9"/>
  <c r="G925" i="9"/>
  <c r="F925" i="9"/>
  <c r="E925" i="9"/>
  <c r="D925" i="9"/>
  <c r="C925" i="9"/>
  <c r="J924" i="9"/>
  <c r="I924" i="9"/>
  <c r="H924" i="9"/>
  <c r="G924" i="9"/>
  <c r="F924" i="9"/>
  <c r="E924" i="9"/>
  <c r="D924" i="9"/>
  <c r="C924" i="9"/>
  <c r="J923" i="9"/>
  <c r="I923" i="9"/>
  <c r="H923" i="9"/>
  <c r="G923" i="9"/>
  <c r="F923" i="9"/>
  <c r="E923" i="9"/>
  <c r="D923" i="9"/>
  <c r="C923" i="9"/>
  <c r="J922" i="9"/>
  <c r="I922" i="9"/>
  <c r="H922" i="9"/>
  <c r="G922" i="9"/>
  <c r="F922" i="9"/>
  <c r="E922" i="9"/>
  <c r="D922" i="9"/>
  <c r="C922" i="9"/>
  <c r="J921" i="9"/>
  <c r="I921" i="9"/>
  <c r="H921" i="9"/>
  <c r="G921" i="9"/>
  <c r="F921" i="9"/>
  <c r="E921" i="9"/>
  <c r="D921" i="9"/>
  <c r="C921" i="9"/>
  <c r="J920" i="9"/>
  <c r="I920" i="9"/>
  <c r="H920" i="9"/>
  <c r="G920" i="9"/>
  <c r="F920" i="9"/>
  <c r="E920" i="9"/>
  <c r="D920" i="9"/>
  <c r="C920" i="9"/>
  <c r="J919" i="9"/>
  <c r="I919" i="9"/>
  <c r="H919" i="9"/>
  <c r="G919" i="9"/>
  <c r="F919" i="9"/>
  <c r="E919" i="9"/>
  <c r="D919" i="9"/>
  <c r="C919" i="9"/>
  <c r="J918" i="9"/>
  <c r="I918" i="9"/>
  <c r="H918" i="9"/>
  <c r="G918" i="9"/>
  <c r="F918" i="9"/>
  <c r="E918" i="9"/>
  <c r="D918" i="9"/>
  <c r="C918" i="9"/>
  <c r="J917" i="9"/>
  <c r="I917" i="9"/>
  <c r="H917" i="9"/>
  <c r="G917" i="9"/>
  <c r="F917" i="9"/>
  <c r="E917" i="9"/>
  <c r="D917" i="9"/>
  <c r="C917" i="9"/>
  <c r="J916" i="9"/>
  <c r="I916" i="9"/>
  <c r="H916" i="9"/>
  <c r="G916" i="9"/>
  <c r="F916" i="9"/>
  <c r="E916" i="9"/>
  <c r="D916" i="9"/>
  <c r="C916" i="9"/>
  <c r="J915" i="9"/>
  <c r="I915" i="9"/>
  <c r="H915" i="9"/>
  <c r="G915" i="9"/>
  <c r="F915" i="9"/>
  <c r="E915" i="9"/>
  <c r="D915" i="9"/>
  <c r="C915" i="9"/>
  <c r="J914" i="9"/>
  <c r="I914" i="9"/>
  <c r="H914" i="9"/>
  <c r="G914" i="9"/>
  <c r="F914" i="9"/>
  <c r="E914" i="9"/>
  <c r="D914" i="9"/>
  <c r="C914" i="9"/>
  <c r="J913" i="9"/>
  <c r="I913" i="9"/>
  <c r="H913" i="9"/>
  <c r="G913" i="9"/>
  <c r="F913" i="9"/>
  <c r="E913" i="9"/>
  <c r="D913" i="9"/>
  <c r="C913" i="9"/>
  <c r="J912" i="9"/>
  <c r="I912" i="9"/>
  <c r="H912" i="9"/>
  <c r="G912" i="9"/>
  <c r="F912" i="9"/>
  <c r="E912" i="9"/>
  <c r="D912" i="9"/>
  <c r="C912" i="9"/>
  <c r="J911" i="9"/>
  <c r="I911" i="9"/>
  <c r="H911" i="9"/>
  <c r="G911" i="9"/>
  <c r="F911" i="9"/>
  <c r="E911" i="9"/>
  <c r="D911" i="9"/>
  <c r="C911" i="9"/>
  <c r="J910" i="9"/>
  <c r="I910" i="9"/>
  <c r="H910" i="9"/>
  <c r="G910" i="9"/>
  <c r="F910" i="9"/>
  <c r="E910" i="9"/>
  <c r="D910" i="9"/>
  <c r="C910" i="9"/>
  <c r="J909" i="9"/>
  <c r="I909" i="9"/>
  <c r="H909" i="9"/>
  <c r="G909" i="9"/>
  <c r="F909" i="9"/>
  <c r="E909" i="9"/>
  <c r="D909" i="9"/>
  <c r="C909" i="9"/>
  <c r="J908" i="9"/>
  <c r="I908" i="9"/>
  <c r="H908" i="9"/>
  <c r="G908" i="9"/>
  <c r="F908" i="9"/>
  <c r="E908" i="9"/>
  <c r="D908" i="9"/>
  <c r="C908" i="9"/>
  <c r="J907" i="9"/>
  <c r="I907" i="9"/>
  <c r="H907" i="9"/>
  <c r="G907" i="9"/>
  <c r="F907" i="9"/>
  <c r="E907" i="9"/>
  <c r="D907" i="9"/>
  <c r="C907" i="9"/>
  <c r="J906" i="9"/>
  <c r="I906" i="9"/>
  <c r="H906" i="9"/>
  <c r="G906" i="9"/>
  <c r="F906" i="9"/>
  <c r="E906" i="9"/>
  <c r="D906" i="9"/>
  <c r="C906" i="9"/>
  <c r="J905" i="9"/>
  <c r="I905" i="9"/>
  <c r="H905" i="9"/>
  <c r="G905" i="9"/>
  <c r="F905" i="9"/>
  <c r="E905" i="9"/>
  <c r="D905" i="9"/>
  <c r="C905" i="9"/>
  <c r="J904" i="9"/>
  <c r="I904" i="9"/>
  <c r="H904" i="9"/>
  <c r="G904" i="9"/>
  <c r="F904" i="9"/>
  <c r="E904" i="9"/>
  <c r="D904" i="9"/>
  <c r="C904" i="9"/>
  <c r="J903" i="9"/>
  <c r="I903" i="9"/>
  <c r="H903" i="9"/>
  <c r="G903" i="9"/>
  <c r="F903" i="9"/>
  <c r="E903" i="9"/>
  <c r="D903" i="9"/>
  <c r="C903" i="9"/>
  <c r="J902" i="9"/>
  <c r="I902" i="9"/>
  <c r="H902" i="9"/>
  <c r="G902" i="9"/>
  <c r="F902" i="9"/>
  <c r="E902" i="9"/>
  <c r="D902" i="9"/>
  <c r="C902" i="9"/>
  <c r="J901" i="9"/>
  <c r="I901" i="9"/>
  <c r="H901" i="9"/>
  <c r="G901" i="9"/>
  <c r="F901" i="9"/>
  <c r="E901" i="9"/>
  <c r="D901" i="9"/>
  <c r="C901" i="9"/>
  <c r="J900" i="9"/>
  <c r="I900" i="9"/>
  <c r="H900" i="9"/>
  <c r="G900" i="9"/>
  <c r="F900" i="9"/>
  <c r="E900" i="9"/>
  <c r="D900" i="9"/>
  <c r="C900" i="9"/>
  <c r="J899" i="9"/>
  <c r="I899" i="9"/>
  <c r="H899" i="9"/>
  <c r="G899" i="9"/>
  <c r="F899" i="9"/>
  <c r="E899" i="9"/>
  <c r="D899" i="9"/>
  <c r="C899" i="9"/>
  <c r="J898" i="9"/>
  <c r="I898" i="9"/>
  <c r="H898" i="9"/>
  <c r="G898" i="9"/>
  <c r="F898" i="9"/>
  <c r="E898" i="9"/>
  <c r="D898" i="9"/>
  <c r="C898" i="9"/>
  <c r="J897" i="9"/>
  <c r="I897" i="9"/>
  <c r="H897" i="9"/>
  <c r="G897" i="9"/>
  <c r="F897" i="9"/>
  <c r="E897" i="9"/>
  <c r="D897" i="9"/>
  <c r="C897" i="9"/>
  <c r="J896" i="9"/>
  <c r="I896" i="9"/>
  <c r="H896" i="9"/>
  <c r="G896" i="9"/>
  <c r="F896" i="9"/>
  <c r="E896" i="9"/>
  <c r="D896" i="9"/>
  <c r="C896" i="9"/>
  <c r="J895" i="9"/>
  <c r="I895" i="9"/>
  <c r="H895" i="9"/>
  <c r="G895" i="9"/>
  <c r="F895" i="9"/>
  <c r="E895" i="9"/>
  <c r="D895" i="9"/>
  <c r="C895" i="9"/>
  <c r="J894" i="9"/>
  <c r="I894" i="9"/>
  <c r="H894" i="9"/>
  <c r="G894" i="9"/>
  <c r="F894" i="9"/>
  <c r="E894" i="9"/>
  <c r="D894" i="9"/>
  <c r="C894" i="9"/>
  <c r="J893" i="9"/>
  <c r="I893" i="9"/>
  <c r="H893" i="9"/>
  <c r="G893" i="9"/>
  <c r="F893" i="9"/>
  <c r="E893" i="9"/>
  <c r="D893" i="9"/>
  <c r="C893" i="9"/>
  <c r="J892" i="9"/>
  <c r="I892" i="9"/>
  <c r="H892" i="9"/>
  <c r="G892" i="9"/>
  <c r="F892" i="9"/>
  <c r="E892" i="9"/>
  <c r="D892" i="9"/>
  <c r="C892" i="9"/>
  <c r="J891" i="9"/>
  <c r="I891" i="9"/>
  <c r="H891" i="9"/>
  <c r="G891" i="9"/>
  <c r="F891" i="9"/>
  <c r="E891" i="9"/>
  <c r="D891" i="9"/>
  <c r="C891" i="9"/>
  <c r="J890" i="9"/>
  <c r="I890" i="9"/>
  <c r="H890" i="9"/>
  <c r="G890" i="9"/>
  <c r="F890" i="9"/>
  <c r="E890" i="9"/>
  <c r="D890" i="9"/>
  <c r="C890" i="9"/>
  <c r="J889" i="9"/>
  <c r="I889" i="9"/>
  <c r="H889" i="9"/>
  <c r="G889" i="9"/>
  <c r="F889" i="9"/>
  <c r="E889" i="9"/>
  <c r="D889" i="9"/>
  <c r="C889" i="9"/>
  <c r="J888" i="9"/>
  <c r="I888" i="9"/>
  <c r="H888" i="9"/>
  <c r="G888" i="9"/>
  <c r="F888" i="9"/>
  <c r="E888" i="9"/>
  <c r="D888" i="9"/>
  <c r="C888" i="9"/>
  <c r="J887" i="9"/>
  <c r="I887" i="9"/>
  <c r="H887" i="9"/>
  <c r="G887" i="9"/>
  <c r="F887" i="9"/>
  <c r="E887" i="9"/>
  <c r="D887" i="9"/>
  <c r="C887" i="9"/>
  <c r="J886" i="9"/>
  <c r="I886" i="9"/>
  <c r="H886" i="9"/>
  <c r="G886" i="9"/>
  <c r="F886" i="9"/>
  <c r="E886" i="9"/>
  <c r="D886" i="9"/>
  <c r="C886" i="9"/>
  <c r="J885" i="9"/>
  <c r="I885" i="9"/>
  <c r="H885" i="9"/>
  <c r="G885" i="9"/>
  <c r="F885" i="9"/>
  <c r="E885" i="9"/>
  <c r="D885" i="9"/>
  <c r="C885" i="9"/>
  <c r="J884" i="9"/>
  <c r="I884" i="9"/>
  <c r="H884" i="9"/>
  <c r="G884" i="9"/>
  <c r="F884" i="9"/>
  <c r="E884" i="9"/>
  <c r="D884" i="9"/>
  <c r="C884" i="9"/>
  <c r="J883" i="9"/>
  <c r="I883" i="9"/>
  <c r="H883" i="9"/>
  <c r="G883" i="9"/>
  <c r="F883" i="9"/>
  <c r="E883" i="9"/>
  <c r="D883" i="9"/>
  <c r="C883" i="9"/>
  <c r="J882" i="9"/>
  <c r="I882" i="9"/>
  <c r="H882" i="9"/>
  <c r="G882" i="9"/>
  <c r="F882" i="9"/>
  <c r="E882" i="9"/>
  <c r="D882" i="9"/>
  <c r="C882" i="9"/>
  <c r="J881" i="9"/>
  <c r="I881" i="9"/>
  <c r="H881" i="9"/>
  <c r="G881" i="9"/>
  <c r="F881" i="9"/>
  <c r="E881" i="9"/>
  <c r="D881" i="9"/>
  <c r="C881" i="9"/>
  <c r="J880" i="9"/>
  <c r="I880" i="9"/>
  <c r="H880" i="9"/>
  <c r="G880" i="9"/>
  <c r="F880" i="9"/>
  <c r="E880" i="9"/>
  <c r="D880" i="9"/>
  <c r="C880" i="9"/>
  <c r="J879" i="9"/>
  <c r="I879" i="9"/>
  <c r="H879" i="9"/>
  <c r="G879" i="9"/>
  <c r="F879" i="9"/>
  <c r="E879" i="9"/>
  <c r="D879" i="9"/>
  <c r="C879" i="9"/>
  <c r="J878" i="9"/>
  <c r="I878" i="9"/>
  <c r="H878" i="9"/>
  <c r="G878" i="9"/>
  <c r="F878" i="9"/>
  <c r="E878" i="9"/>
  <c r="D878" i="9"/>
  <c r="C878" i="9"/>
  <c r="J877" i="9"/>
  <c r="I877" i="9"/>
  <c r="H877" i="9"/>
  <c r="G877" i="9"/>
  <c r="F877" i="9"/>
  <c r="E877" i="9"/>
  <c r="D877" i="9"/>
  <c r="C877" i="9"/>
  <c r="J876" i="9"/>
  <c r="I876" i="9"/>
  <c r="H876" i="9"/>
  <c r="G876" i="9"/>
  <c r="F876" i="9"/>
  <c r="E876" i="9"/>
  <c r="D876" i="9"/>
  <c r="C876" i="9"/>
  <c r="J875" i="9"/>
  <c r="I875" i="9"/>
  <c r="H875" i="9"/>
  <c r="G875" i="9"/>
  <c r="F875" i="9"/>
  <c r="E875" i="9"/>
  <c r="D875" i="9"/>
  <c r="C875" i="9"/>
  <c r="J874" i="9"/>
  <c r="I874" i="9"/>
  <c r="H874" i="9"/>
  <c r="G874" i="9"/>
  <c r="F874" i="9"/>
  <c r="E874" i="9"/>
  <c r="D874" i="9"/>
  <c r="C874" i="9"/>
  <c r="J873" i="9"/>
  <c r="I873" i="9"/>
  <c r="H873" i="9"/>
  <c r="G873" i="9"/>
  <c r="F873" i="9"/>
  <c r="E873" i="9"/>
  <c r="D873" i="9"/>
  <c r="C873" i="9"/>
  <c r="J872" i="9"/>
  <c r="I872" i="9"/>
  <c r="H872" i="9"/>
  <c r="G872" i="9"/>
  <c r="F872" i="9"/>
  <c r="E872" i="9"/>
  <c r="D872" i="9"/>
  <c r="C872" i="9"/>
  <c r="J871" i="9"/>
  <c r="I871" i="9"/>
  <c r="H871" i="9"/>
  <c r="G871" i="9"/>
  <c r="F871" i="9"/>
  <c r="E871" i="9"/>
  <c r="D871" i="9"/>
  <c r="C871" i="9"/>
  <c r="J870" i="9"/>
  <c r="I870" i="9"/>
  <c r="H870" i="9"/>
  <c r="G870" i="9"/>
  <c r="F870" i="9"/>
  <c r="E870" i="9"/>
  <c r="D870" i="9"/>
  <c r="C870" i="9"/>
  <c r="J869" i="9"/>
  <c r="I869" i="9"/>
  <c r="H869" i="9"/>
  <c r="G869" i="9"/>
  <c r="F869" i="9"/>
  <c r="E869" i="9"/>
  <c r="D869" i="9"/>
  <c r="C869" i="9"/>
  <c r="J868" i="9"/>
  <c r="I868" i="9"/>
  <c r="H868" i="9"/>
  <c r="G868" i="9"/>
  <c r="F868" i="9"/>
  <c r="E868" i="9"/>
  <c r="D868" i="9"/>
  <c r="C868" i="9"/>
  <c r="J867" i="9"/>
  <c r="I867" i="9"/>
  <c r="H867" i="9"/>
  <c r="G867" i="9"/>
  <c r="F867" i="9"/>
  <c r="E867" i="9"/>
  <c r="D867" i="9"/>
  <c r="C867" i="9"/>
  <c r="J866" i="9"/>
  <c r="I866" i="9"/>
  <c r="H866" i="9"/>
  <c r="G866" i="9"/>
  <c r="F866" i="9"/>
  <c r="E866" i="9"/>
  <c r="D866" i="9"/>
  <c r="C866" i="9"/>
  <c r="J865" i="9"/>
  <c r="I865" i="9"/>
  <c r="H865" i="9"/>
  <c r="G865" i="9"/>
  <c r="F865" i="9"/>
  <c r="E865" i="9"/>
  <c r="D865" i="9"/>
  <c r="C865" i="9"/>
  <c r="J864" i="9"/>
  <c r="I864" i="9"/>
  <c r="H864" i="9"/>
  <c r="G864" i="9"/>
  <c r="F864" i="9"/>
  <c r="E864" i="9"/>
  <c r="D864" i="9"/>
  <c r="C864" i="9"/>
  <c r="J863" i="9"/>
  <c r="I863" i="9"/>
  <c r="H863" i="9"/>
  <c r="G863" i="9"/>
  <c r="F863" i="9"/>
  <c r="E863" i="9"/>
  <c r="D863" i="9"/>
  <c r="C863" i="9"/>
  <c r="J862" i="9"/>
  <c r="I862" i="9"/>
  <c r="H862" i="9"/>
  <c r="G862" i="9"/>
  <c r="F862" i="9"/>
  <c r="E862" i="9"/>
  <c r="D862" i="9"/>
  <c r="C862" i="9"/>
  <c r="J861" i="9"/>
  <c r="I861" i="9"/>
  <c r="H861" i="9"/>
  <c r="G861" i="9"/>
  <c r="F861" i="9"/>
  <c r="E861" i="9"/>
  <c r="D861" i="9"/>
  <c r="C861" i="9"/>
  <c r="J860" i="9"/>
  <c r="I860" i="9"/>
  <c r="H860" i="9"/>
  <c r="G860" i="9"/>
  <c r="F860" i="9"/>
  <c r="E860" i="9"/>
  <c r="D860" i="9"/>
  <c r="C860" i="9"/>
  <c r="J859" i="9"/>
  <c r="I859" i="9"/>
  <c r="H859" i="9"/>
  <c r="G859" i="9"/>
  <c r="F859" i="9"/>
  <c r="E859" i="9"/>
  <c r="D859" i="9"/>
  <c r="C859" i="9"/>
  <c r="J858" i="9"/>
  <c r="I858" i="9"/>
  <c r="H858" i="9"/>
  <c r="G858" i="9"/>
  <c r="F858" i="9"/>
  <c r="E858" i="9"/>
  <c r="D858" i="9"/>
  <c r="C858" i="9"/>
  <c r="J857" i="9"/>
  <c r="I857" i="9"/>
  <c r="H857" i="9"/>
  <c r="G857" i="9"/>
  <c r="F857" i="9"/>
  <c r="E857" i="9"/>
  <c r="D857" i="9"/>
  <c r="C857" i="9"/>
  <c r="J856" i="9"/>
  <c r="I856" i="9"/>
  <c r="H856" i="9"/>
  <c r="G856" i="9"/>
  <c r="F856" i="9"/>
  <c r="E856" i="9"/>
  <c r="D856" i="9"/>
  <c r="C856" i="9"/>
  <c r="J855" i="9"/>
  <c r="I855" i="9"/>
  <c r="H855" i="9"/>
  <c r="G855" i="9"/>
  <c r="F855" i="9"/>
  <c r="E855" i="9"/>
  <c r="D855" i="9"/>
  <c r="C855" i="9"/>
  <c r="J854" i="9"/>
  <c r="I854" i="9"/>
  <c r="H854" i="9"/>
  <c r="G854" i="9"/>
  <c r="F854" i="9"/>
  <c r="E854" i="9"/>
  <c r="D854" i="9"/>
  <c r="C854" i="9"/>
  <c r="J853" i="9"/>
  <c r="I853" i="9"/>
  <c r="H853" i="9"/>
  <c r="G853" i="9"/>
  <c r="F853" i="9"/>
  <c r="E853" i="9"/>
  <c r="D853" i="9"/>
  <c r="C853" i="9"/>
  <c r="J852" i="9"/>
  <c r="I852" i="9"/>
  <c r="H852" i="9"/>
  <c r="G852" i="9"/>
  <c r="F852" i="9"/>
  <c r="E852" i="9"/>
  <c r="D852" i="9"/>
  <c r="C852" i="9"/>
  <c r="J851" i="9"/>
  <c r="I851" i="9"/>
  <c r="H851" i="9"/>
  <c r="G851" i="9"/>
  <c r="F851" i="9"/>
  <c r="E851" i="9"/>
  <c r="D851" i="9"/>
  <c r="C851" i="9"/>
  <c r="J850" i="9"/>
  <c r="I850" i="9"/>
  <c r="H850" i="9"/>
  <c r="G850" i="9"/>
  <c r="F850" i="9"/>
  <c r="E850" i="9"/>
  <c r="D850" i="9"/>
  <c r="C850" i="9"/>
  <c r="J849" i="9"/>
  <c r="I849" i="9"/>
  <c r="H849" i="9"/>
  <c r="G849" i="9"/>
  <c r="F849" i="9"/>
  <c r="E849" i="9"/>
  <c r="D849" i="9"/>
  <c r="C849" i="9"/>
  <c r="J848" i="9"/>
  <c r="I848" i="9"/>
  <c r="H848" i="9"/>
  <c r="G848" i="9"/>
  <c r="F848" i="9"/>
  <c r="E848" i="9"/>
  <c r="D848" i="9"/>
  <c r="C848" i="9"/>
  <c r="J847" i="9"/>
  <c r="I847" i="9"/>
  <c r="H847" i="9"/>
  <c r="G847" i="9"/>
  <c r="F847" i="9"/>
  <c r="E847" i="9"/>
  <c r="D847" i="9"/>
  <c r="C847" i="9"/>
  <c r="J846" i="9"/>
  <c r="I846" i="9"/>
  <c r="H846" i="9"/>
  <c r="G846" i="9"/>
  <c r="F846" i="9"/>
  <c r="E846" i="9"/>
  <c r="D846" i="9"/>
  <c r="C846" i="9"/>
  <c r="J845" i="9"/>
  <c r="I845" i="9"/>
  <c r="H845" i="9"/>
  <c r="G845" i="9"/>
  <c r="F845" i="9"/>
  <c r="E845" i="9"/>
  <c r="D845" i="9"/>
  <c r="C845" i="9"/>
  <c r="J844" i="9"/>
  <c r="I844" i="9"/>
  <c r="H844" i="9"/>
  <c r="G844" i="9"/>
  <c r="F844" i="9"/>
  <c r="E844" i="9"/>
  <c r="D844" i="9"/>
  <c r="C844" i="9"/>
  <c r="J843" i="9"/>
  <c r="I843" i="9"/>
  <c r="H843" i="9"/>
  <c r="G843" i="9"/>
  <c r="F843" i="9"/>
  <c r="E843" i="9"/>
  <c r="D843" i="9"/>
  <c r="C843" i="9"/>
  <c r="J842" i="9"/>
  <c r="I842" i="9"/>
  <c r="H842" i="9"/>
  <c r="G842" i="9"/>
  <c r="F842" i="9"/>
  <c r="E842" i="9"/>
  <c r="D842" i="9"/>
  <c r="C842" i="9"/>
  <c r="J841" i="9"/>
  <c r="I841" i="9"/>
  <c r="H841" i="9"/>
  <c r="G841" i="9"/>
  <c r="F841" i="9"/>
  <c r="E841" i="9"/>
  <c r="D841" i="9"/>
  <c r="C841" i="9"/>
  <c r="J840" i="9"/>
  <c r="I840" i="9"/>
  <c r="H840" i="9"/>
  <c r="G840" i="9"/>
  <c r="F840" i="9"/>
  <c r="E840" i="9"/>
  <c r="D840" i="9"/>
  <c r="C840" i="9"/>
  <c r="J839" i="9"/>
  <c r="I839" i="9"/>
  <c r="H839" i="9"/>
  <c r="G839" i="9"/>
  <c r="F839" i="9"/>
  <c r="E839" i="9"/>
  <c r="D839" i="9"/>
  <c r="C839" i="9"/>
  <c r="J838" i="9"/>
  <c r="I838" i="9"/>
  <c r="H838" i="9"/>
  <c r="G838" i="9"/>
  <c r="F838" i="9"/>
  <c r="E838" i="9"/>
  <c r="D838" i="9"/>
  <c r="C838" i="9"/>
  <c r="J837" i="9"/>
  <c r="I837" i="9"/>
  <c r="H837" i="9"/>
  <c r="G837" i="9"/>
  <c r="F837" i="9"/>
  <c r="E837" i="9"/>
  <c r="D837" i="9"/>
  <c r="C837" i="9"/>
  <c r="J836" i="9"/>
  <c r="I836" i="9"/>
  <c r="H836" i="9"/>
  <c r="G836" i="9"/>
  <c r="F836" i="9"/>
  <c r="E836" i="9"/>
  <c r="D836" i="9"/>
  <c r="C836" i="9"/>
  <c r="J835" i="9"/>
  <c r="I835" i="9"/>
  <c r="H835" i="9"/>
  <c r="G835" i="9"/>
  <c r="F835" i="9"/>
  <c r="E835" i="9"/>
  <c r="D835" i="9"/>
  <c r="C835" i="9"/>
  <c r="J834" i="9"/>
  <c r="I834" i="9"/>
  <c r="H834" i="9"/>
  <c r="G834" i="9"/>
  <c r="F834" i="9"/>
  <c r="E834" i="9"/>
  <c r="D834" i="9"/>
  <c r="C834" i="9"/>
  <c r="J833" i="9"/>
  <c r="I833" i="9"/>
  <c r="H833" i="9"/>
  <c r="G833" i="9"/>
  <c r="F833" i="9"/>
  <c r="E833" i="9"/>
  <c r="D833" i="9"/>
  <c r="C833" i="9"/>
  <c r="J832" i="9"/>
  <c r="I832" i="9"/>
  <c r="H832" i="9"/>
  <c r="G832" i="9"/>
  <c r="F832" i="9"/>
  <c r="E832" i="9"/>
  <c r="D832" i="9"/>
  <c r="C832" i="9"/>
  <c r="J831" i="9"/>
  <c r="I831" i="9"/>
  <c r="H831" i="9"/>
  <c r="G831" i="9"/>
  <c r="F831" i="9"/>
  <c r="E831" i="9"/>
  <c r="D831" i="9"/>
  <c r="C831" i="9"/>
  <c r="J830" i="9"/>
  <c r="I830" i="9"/>
  <c r="H830" i="9"/>
  <c r="G830" i="9"/>
  <c r="F830" i="9"/>
  <c r="E830" i="9"/>
  <c r="D830" i="9"/>
  <c r="C830" i="9"/>
  <c r="J829" i="9"/>
  <c r="I829" i="9"/>
  <c r="H829" i="9"/>
  <c r="G829" i="9"/>
  <c r="F829" i="9"/>
  <c r="E829" i="9"/>
  <c r="D829" i="9"/>
  <c r="C829" i="9"/>
  <c r="J828" i="9"/>
  <c r="I828" i="9"/>
  <c r="H828" i="9"/>
  <c r="G828" i="9"/>
  <c r="F828" i="9"/>
  <c r="E828" i="9"/>
  <c r="D828" i="9"/>
  <c r="C828" i="9"/>
  <c r="J827" i="9"/>
  <c r="I827" i="9"/>
  <c r="H827" i="9"/>
  <c r="G827" i="9"/>
  <c r="F827" i="9"/>
  <c r="E827" i="9"/>
  <c r="D827" i="9"/>
  <c r="C827" i="9"/>
  <c r="J826" i="9"/>
  <c r="I826" i="9"/>
  <c r="H826" i="9"/>
  <c r="G826" i="9"/>
  <c r="F826" i="9"/>
  <c r="E826" i="9"/>
  <c r="D826" i="9"/>
  <c r="C826" i="9"/>
  <c r="J825" i="9"/>
  <c r="I825" i="9"/>
  <c r="H825" i="9"/>
  <c r="G825" i="9"/>
  <c r="F825" i="9"/>
  <c r="E825" i="9"/>
  <c r="D825" i="9"/>
  <c r="C825" i="9"/>
  <c r="J824" i="9"/>
  <c r="I824" i="9"/>
  <c r="H824" i="9"/>
  <c r="G824" i="9"/>
  <c r="F824" i="9"/>
  <c r="E824" i="9"/>
  <c r="D824" i="9"/>
  <c r="C824" i="9"/>
  <c r="J823" i="9"/>
  <c r="I823" i="9"/>
  <c r="H823" i="9"/>
  <c r="G823" i="9"/>
  <c r="F823" i="9"/>
  <c r="E823" i="9"/>
  <c r="D823" i="9"/>
  <c r="C823" i="9"/>
  <c r="J822" i="9"/>
  <c r="I822" i="9"/>
  <c r="H822" i="9"/>
  <c r="G822" i="9"/>
  <c r="F822" i="9"/>
  <c r="E822" i="9"/>
  <c r="D822" i="9"/>
  <c r="C822" i="9"/>
  <c r="J821" i="9"/>
  <c r="I821" i="9"/>
  <c r="H821" i="9"/>
  <c r="G821" i="9"/>
  <c r="F821" i="9"/>
  <c r="E821" i="9"/>
  <c r="D821" i="9"/>
  <c r="C821" i="9"/>
  <c r="J820" i="9"/>
  <c r="I820" i="9"/>
  <c r="H820" i="9"/>
  <c r="G820" i="9"/>
  <c r="F820" i="9"/>
  <c r="E820" i="9"/>
  <c r="D820" i="9"/>
  <c r="C820" i="9"/>
  <c r="J819" i="9"/>
  <c r="I819" i="9"/>
  <c r="H819" i="9"/>
  <c r="G819" i="9"/>
  <c r="F819" i="9"/>
  <c r="E819" i="9"/>
  <c r="D819" i="9"/>
  <c r="C819" i="9"/>
  <c r="J818" i="9"/>
  <c r="I818" i="9"/>
  <c r="H818" i="9"/>
  <c r="G818" i="9"/>
  <c r="F818" i="9"/>
  <c r="E818" i="9"/>
  <c r="D818" i="9"/>
  <c r="C818" i="9"/>
  <c r="J817" i="9"/>
  <c r="I817" i="9"/>
  <c r="H817" i="9"/>
  <c r="G817" i="9"/>
  <c r="F817" i="9"/>
  <c r="E817" i="9"/>
  <c r="D817" i="9"/>
  <c r="C817" i="9"/>
  <c r="J816" i="9"/>
  <c r="I816" i="9"/>
  <c r="H816" i="9"/>
  <c r="G816" i="9"/>
  <c r="F816" i="9"/>
  <c r="E816" i="9"/>
  <c r="D816" i="9"/>
  <c r="C816" i="9"/>
  <c r="J815" i="9"/>
  <c r="I815" i="9"/>
  <c r="H815" i="9"/>
  <c r="G815" i="9"/>
  <c r="F815" i="9"/>
  <c r="E815" i="9"/>
  <c r="D815" i="9"/>
  <c r="C815" i="9"/>
  <c r="J814" i="9"/>
  <c r="I814" i="9"/>
  <c r="H814" i="9"/>
  <c r="G814" i="9"/>
  <c r="F814" i="9"/>
  <c r="E814" i="9"/>
  <c r="D814" i="9"/>
  <c r="C814" i="9"/>
  <c r="J813" i="9"/>
  <c r="I813" i="9"/>
  <c r="H813" i="9"/>
  <c r="G813" i="9"/>
  <c r="F813" i="9"/>
  <c r="E813" i="9"/>
  <c r="D813" i="9"/>
  <c r="C813" i="9"/>
  <c r="J812" i="9"/>
  <c r="I812" i="9"/>
  <c r="H812" i="9"/>
  <c r="G812" i="9"/>
  <c r="F812" i="9"/>
  <c r="E812" i="9"/>
  <c r="D812" i="9"/>
  <c r="C812" i="9"/>
  <c r="J811" i="9"/>
  <c r="I811" i="9"/>
  <c r="H811" i="9"/>
  <c r="G811" i="9"/>
  <c r="F811" i="9"/>
  <c r="E811" i="9"/>
  <c r="D811" i="9"/>
  <c r="C811" i="9"/>
  <c r="J810" i="9"/>
  <c r="I810" i="9"/>
  <c r="H810" i="9"/>
  <c r="G810" i="9"/>
  <c r="F810" i="9"/>
  <c r="E810" i="9"/>
  <c r="D810" i="9"/>
  <c r="C810" i="9"/>
  <c r="J809" i="9"/>
  <c r="I809" i="9"/>
  <c r="H809" i="9"/>
  <c r="G809" i="9"/>
  <c r="F809" i="9"/>
  <c r="E809" i="9"/>
  <c r="D809" i="9"/>
  <c r="C809" i="9"/>
  <c r="J808" i="9"/>
  <c r="I808" i="9"/>
  <c r="H808" i="9"/>
  <c r="G808" i="9"/>
  <c r="F808" i="9"/>
  <c r="E808" i="9"/>
  <c r="D808" i="9"/>
  <c r="C808" i="9"/>
  <c r="J807" i="9"/>
  <c r="I807" i="9"/>
  <c r="H807" i="9"/>
  <c r="G807" i="9"/>
  <c r="F807" i="9"/>
  <c r="E807" i="9"/>
  <c r="D807" i="9"/>
  <c r="C807" i="9"/>
  <c r="J806" i="9"/>
  <c r="I806" i="9"/>
  <c r="H806" i="9"/>
  <c r="G806" i="9"/>
  <c r="F806" i="9"/>
  <c r="E806" i="9"/>
  <c r="D806" i="9"/>
  <c r="C806" i="9"/>
  <c r="J805" i="9"/>
  <c r="I805" i="9"/>
  <c r="H805" i="9"/>
  <c r="G805" i="9"/>
  <c r="F805" i="9"/>
  <c r="E805" i="9"/>
  <c r="D805" i="9"/>
  <c r="C805" i="9"/>
  <c r="J804" i="9"/>
  <c r="I804" i="9"/>
  <c r="H804" i="9"/>
  <c r="G804" i="9"/>
  <c r="F804" i="9"/>
  <c r="E804" i="9"/>
  <c r="D804" i="9"/>
  <c r="C804" i="9"/>
  <c r="J803" i="9"/>
  <c r="I803" i="9"/>
  <c r="H803" i="9"/>
  <c r="G803" i="9"/>
  <c r="F803" i="9"/>
  <c r="E803" i="9"/>
  <c r="D803" i="9"/>
  <c r="C803" i="9"/>
  <c r="J802" i="9"/>
  <c r="I802" i="9"/>
  <c r="H802" i="9"/>
  <c r="G802" i="9"/>
  <c r="F802" i="9"/>
  <c r="E802" i="9"/>
  <c r="D802" i="9"/>
  <c r="C802" i="9"/>
  <c r="J801" i="9"/>
  <c r="I801" i="9"/>
  <c r="H801" i="9"/>
  <c r="G801" i="9"/>
  <c r="F801" i="9"/>
  <c r="E801" i="9"/>
  <c r="D801" i="9"/>
  <c r="C801" i="9"/>
  <c r="J800" i="9"/>
  <c r="I800" i="9"/>
  <c r="H800" i="9"/>
  <c r="G800" i="9"/>
  <c r="F800" i="9"/>
  <c r="E800" i="9"/>
  <c r="D800" i="9"/>
  <c r="C800" i="9"/>
  <c r="J799" i="9"/>
  <c r="I799" i="9"/>
  <c r="H799" i="9"/>
  <c r="G799" i="9"/>
  <c r="F799" i="9"/>
  <c r="E799" i="9"/>
  <c r="D799" i="9"/>
  <c r="C799" i="9"/>
  <c r="J798" i="9"/>
  <c r="I798" i="9"/>
  <c r="H798" i="9"/>
  <c r="G798" i="9"/>
  <c r="F798" i="9"/>
  <c r="E798" i="9"/>
  <c r="D798" i="9"/>
  <c r="C798" i="9"/>
  <c r="J797" i="9"/>
  <c r="I797" i="9"/>
  <c r="H797" i="9"/>
  <c r="G797" i="9"/>
  <c r="F797" i="9"/>
  <c r="E797" i="9"/>
  <c r="D797" i="9"/>
  <c r="C797" i="9"/>
  <c r="J796" i="9"/>
  <c r="I796" i="9"/>
  <c r="H796" i="9"/>
  <c r="G796" i="9"/>
  <c r="F796" i="9"/>
  <c r="E796" i="9"/>
  <c r="D796" i="9"/>
  <c r="C796" i="9"/>
  <c r="J795" i="9"/>
  <c r="I795" i="9"/>
  <c r="H795" i="9"/>
  <c r="G795" i="9"/>
  <c r="F795" i="9"/>
  <c r="E795" i="9"/>
  <c r="D795" i="9"/>
  <c r="C795" i="9"/>
  <c r="J794" i="9"/>
  <c r="I794" i="9"/>
  <c r="H794" i="9"/>
  <c r="G794" i="9"/>
  <c r="F794" i="9"/>
  <c r="E794" i="9"/>
  <c r="D794" i="9"/>
  <c r="C794" i="9"/>
  <c r="J793" i="9"/>
  <c r="I793" i="9"/>
  <c r="H793" i="9"/>
  <c r="G793" i="9"/>
  <c r="F793" i="9"/>
  <c r="E793" i="9"/>
  <c r="D793" i="9"/>
  <c r="C793" i="9"/>
  <c r="J792" i="9"/>
  <c r="I792" i="9"/>
  <c r="H792" i="9"/>
  <c r="G792" i="9"/>
  <c r="F792" i="9"/>
  <c r="E792" i="9"/>
  <c r="D792" i="9"/>
  <c r="C792" i="9"/>
  <c r="J791" i="9"/>
  <c r="I791" i="9"/>
  <c r="H791" i="9"/>
  <c r="G791" i="9"/>
  <c r="F791" i="9"/>
  <c r="E791" i="9"/>
  <c r="D791" i="9"/>
  <c r="C791" i="9"/>
  <c r="J790" i="9"/>
  <c r="I790" i="9"/>
  <c r="H790" i="9"/>
  <c r="G790" i="9"/>
  <c r="F790" i="9"/>
  <c r="E790" i="9"/>
  <c r="D790" i="9"/>
  <c r="C790" i="9"/>
  <c r="J789" i="9"/>
  <c r="I789" i="9"/>
  <c r="H789" i="9"/>
  <c r="G789" i="9"/>
  <c r="F789" i="9"/>
  <c r="E789" i="9"/>
  <c r="D789" i="9"/>
  <c r="C789" i="9"/>
  <c r="J788" i="9"/>
  <c r="I788" i="9"/>
  <c r="H788" i="9"/>
  <c r="G788" i="9"/>
  <c r="F788" i="9"/>
  <c r="E788" i="9"/>
  <c r="D788" i="9"/>
  <c r="C788" i="9"/>
  <c r="J787" i="9"/>
  <c r="I787" i="9"/>
  <c r="H787" i="9"/>
  <c r="G787" i="9"/>
  <c r="F787" i="9"/>
  <c r="E787" i="9"/>
  <c r="D787" i="9"/>
  <c r="C787" i="9"/>
  <c r="J786" i="9"/>
  <c r="I786" i="9"/>
  <c r="H786" i="9"/>
  <c r="G786" i="9"/>
  <c r="F786" i="9"/>
  <c r="E786" i="9"/>
  <c r="D786" i="9"/>
  <c r="C786" i="9"/>
  <c r="J785" i="9"/>
  <c r="I785" i="9"/>
  <c r="H785" i="9"/>
  <c r="G785" i="9"/>
  <c r="F785" i="9"/>
  <c r="E785" i="9"/>
  <c r="D785" i="9"/>
  <c r="C785" i="9"/>
  <c r="J784" i="9"/>
  <c r="I784" i="9"/>
  <c r="H784" i="9"/>
  <c r="G784" i="9"/>
  <c r="F784" i="9"/>
  <c r="E784" i="9"/>
  <c r="D784" i="9"/>
  <c r="C784" i="9"/>
  <c r="J783" i="9"/>
  <c r="I783" i="9"/>
  <c r="H783" i="9"/>
  <c r="G783" i="9"/>
  <c r="F783" i="9"/>
  <c r="E783" i="9"/>
  <c r="D783" i="9"/>
  <c r="C783" i="9"/>
  <c r="J782" i="9"/>
  <c r="I782" i="9"/>
  <c r="H782" i="9"/>
  <c r="G782" i="9"/>
  <c r="F782" i="9"/>
  <c r="E782" i="9"/>
  <c r="D782" i="9"/>
  <c r="C782" i="9"/>
  <c r="J781" i="9"/>
  <c r="I781" i="9"/>
  <c r="H781" i="9"/>
  <c r="G781" i="9"/>
  <c r="F781" i="9"/>
  <c r="E781" i="9"/>
  <c r="D781" i="9"/>
  <c r="C781" i="9"/>
  <c r="J780" i="9"/>
  <c r="I780" i="9"/>
  <c r="H780" i="9"/>
  <c r="G780" i="9"/>
  <c r="F780" i="9"/>
  <c r="E780" i="9"/>
  <c r="D780" i="9"/>
  <c r="C780" i="9"/>
  <c r="J779" i="9"/>
  <c r="I779" i="9"/>
  <c r="H779" i="9"/>
  <c r="G779" i="9"/>
  <c r="F779" i="9"/>
  <c r="E779" i="9"/>
  <c r="D779" i="9"/>
  <c r="C779" i="9"/>
  <c r="J778" i="9"/>
  <c r="I778" i="9"/>
  <c r="H778" i="9"/>
  <c r="G778" i="9"/>
  <c r="F778" i="9"/>
  <c r="E778" i="9"/>
  <c r="D778" i="9"/>
  <c r="C778" i="9"/>
  <c r="J777" i="9"/>
  <c r="I777" i="9"/>
  <c r="H777" i="9"/>
  <c r="G777" i="9"/>
  <c r="F777" i="9"/>
  <c r="E777" i="9"/>
  <c r="D777" i="9"/>
  <c r="C777" i="9"/>
  <c r="J776" i="9"/>
  <c r="I776" i="9"/>
  <c r="H776" i="9"/>
  <c r="G776" i="9"/>
  <c r="F776" i="9"/>
  <c r="E776" i="9"/>
  <c r="D776" i="9"/>
  <c r="C776" i="9"/>
  <c r="J775" i="9"/>
  <c r="I775" i="9"/>
  <c r="H775" i="9"/>
  <c r="G775" i="9"/>
  <c r="F775" i="9"/>
  <c r="E775" i="9"/>
  <c r="D775" i="9"/>
  <c r="C775" i="9"/>
  <c r="J774" i="9"/>
  <c r="I774" i="9"/>
  <c r="H774" i="9"/>
  <c r="G774" i="9"/>
  <c r="F774" i="9"/>
  <c r="E774" i="9"/>
  <c r="D774" i="9"/>
  <c r="C774" i="9"/>
  <c r="J773" i="9"/>
  <c r="I773" i="9"/>
  <c r="H773" i="9"/>
  <c r="G773" i="9"/>
  <c r="F773" i="9"/>
  <c r="E773" i="9"/>
  <c r="D773" i="9"/>
  <c r="C773" i="9"/>
  <c r="J772" i="9"/>
  <c r="I772" i="9"/>
  <c r="H772" i="9"/>
  <c r="G772" i="9"/>
  <c r="F772" i="9"/>
  <c r="E772" i="9"/>
  <c r="D772" i="9"/>
  <c r="C772" i="9"/>
  <c r="J771" i="9"/>
  <c r="I771" i="9"/>
  <c r="H771" i="9"/>
  <c r="G771" i="9"/>
  <c r="F771" i="9"/>
  <c r="E771" i="9"/>
  <c r="D771" i="9"/>
  <c r="C771" i="9"/>
  <c r="J770" i="9"/>
  <c r="I770" i="9"/>
  <c r="H770" i="9"/>
  <c r="G770" i="9"/>
  <c r="F770" i="9"/>
  <c r="E770" i="9"/>
  <c r="D770" i="9"/>
  <c r="C770" i="9"/>
  <c r="J769" i="9"/>
  <c r="I769" i="9"/>
  <c r="H769" i="9"/>
  <c r="G769" i="9"/>
  <c r="F769" i="9"/>
  <c r="E769" i="9"/>
  <c r="D769" i="9"/>
  <c r="C769" i="9"/>
  <c r="J768" i="9"/>
  <c r="I768" i="9"/>
  <c r="H768" i="9"/>
  <c r="G768" i="9"/>
  <c r="F768" i="9"/>
  <c r="E768" i="9"/>
  <c r="D768" i="9"/>
  <c r="C768" i="9"/>
  <c r="J767" i="9"/>
  <c r="I767" i="9"/>
  <c r="H767" i="9"/>
  <c r="G767" i="9"/>
  <c r="F767" i="9"/>
  <c r="E767" i="9"/>
  <c r="D767" i="9"/>
  <c r="C767" i="9"/>
  <c r="J766" i="9"/>
  <c r="I766" i="9"/>
  <c r="H766" i="9"/>
  <c r="G766" i="9"/>
  <c r="F766" i="9"/>
  <c r="E766" i="9"/>
  <c r="D766" i="9"/>
  <c r="C766" i="9"/>
  <c r="J765" i="9"/>
  <c r="I765" i="9"/>
  <c r="H765" i="9"/>
  <c r="G765" i="9"/>
  <c r="F765" i="9"/>
  <c r="E765" i="9"/>
  <c r="D765" i="9"/>
  <c r="C765" i="9"/>
  <c r="J764" i="9"/>
  <c r="I764" i="9"/>
  <c r="H764" i="9"/>
  <c r="G764" i="9"/>
  <c r="F764" i="9"/>
  <c r="E764" i="9"/>
  <c r="D764" i="9"/>
  <c r="C764" i="9"/>
  <c r="J763" i="9"/>
  <c r="I763" i="9"/>
  <c r="H763" i="9"/>
  <c r="G763" i="9"/>
  <c r="F763" i="9"/>
  <c r="E763" i="9"/>
  <c r="D763" i="9"/>
  <c r="C763" i="9"/>
  <c r="J762" i="9"/>
  <c r="I762" i="9"/>
  <c r="H762" i="9"/>
  <c r="G762" i="9"/>
  <c r="F762" i="9"/>
  <c r="E762" i="9"/>
  <c r="D762" i="9"/>
  <c r="C762" i="9"/>
  <c r="J761" i="9"/>
  <c r="I761" i="9"/>
  <c r="H761" i="9"/>
  <c r="G761" i="9"/>
  <c r="F761" i="9"/>
  <c r="E761" i="9"/>
  <c r="D761" i="9"/>
  <c r="C761" i="9"/>
  <c r="J760" i="9"/>
  <c r="I760" i="9"/>
  <c r="H760" i="9"/>
  <c r="G760" i="9"/>
  <c r="F760" i="9"/>
  <c r="E760" i="9"/>
  <c r="D760" i="9"/>
  <c r="C760" i="9"/>
  <c r="J759" i="9"/>
  <c r="I759" i="9"/>
  <c r="H759" i="9"/>
  <c r="G759" i="9"/>
  <c r="F759" i="9"/>
  <c r="E759" i="9"/>
  <c r="D759" i="9"/>
  <c r="C759" i="9"/>
  <c r="J758" i="9"/>
  <c r="I758" i="9"/>
  <c r="H758" i="9"/>
  <c r="G758" i="9"/>
  <c r="F758" i="9"/>
  <c r="E758" i="9"/>
  <c r="D758" i="9"/>
  <c r="C758" i="9"/>
  <c r="J757" i="9"/>
  <c r="I757" i="9"/>
  <c r="H757" i="9"/>
  <c r="G757" i="9"/>
  <c r="F757" i="9"/>
  <c r="E757" i="9"/>
  <c r="D757" i="9"/>
  <c r="C757" i="9"/>
  <c r="J756" i="9"/>
  <c r="I756" i="9"/>
  <c r="H756" i="9"/>
  <c r="G756" i="9"/>
  <c r="F756" i="9"/>
  <c r="E756" i="9"/>
  <c r="D756" i="9"/>
  <c r="C756" i="9"/>
  <c r="J755" i="9"/>
  <c r="I755" i="9"/>
  <c r="H755" i="9"/>
  <c r="G755" i="9"/>
  <c r="F755" i="9"/>
  <c r="E755" i="9"/>
  <c r="D755" i="9"/>
  <c r="C755" i="9"/>
  <c r="J754" i="9"/>
  <c r="I754" i="9"/>
  <c r="H754" i="9"/>
  <c r="G754" i="9"/>
  <c r="F754" i="9"/>
  <c r="E754" i="9"/>
  <c r="D754" i="9"/>
  <c r="C754" i="9"/>
  <c r="J753" i="9"/>
  <c r="I753" i="9"/>
  <c r="H753" i="9"/>
  <c r="G753" i="9"/>
  <c r="F753" i="9"/>
  <c r="E753" i="9"/>
  <c r="D753" i="9"/>
  <c r="C753" i="9"/>
  <c r="J752" i="9"/>
  <c r="I752" i="9"/>
  <c r="H752" i="9"/>
  <c r="G752" i="9"/>
  <c r="F752" i="9"/>
  <c r="E752" i="9"/>
  <c r="D752" i="9"/>
  <c r="C752" i="9"/>
  <c r="J751" i="9"/>
  <c r="I751" i="9"/>
  <c r="H751" i="9"/>
  <c r="G751" i="9"/>
  <c r="F751" i="9"/>
  <c r="E751" i="9"/>
  <c r="D751" i="9"/>
  <c r="C751" i="9"/>
  <c r="J750" i="9"/>
  <c r="I750" i="9"/>
  <c r="H750" i="9"/>
  <c r="G750" i="9"/>
  <c r="F750" i="9"/>
  <c r="E750" i="9"/>
  <c r="D750" i="9"/>
  <c r="C750" i="9"/>
  <c r="J749" i="9"/>
  <c r="I749" i="9"/>
  <c r="H749" i="9"/>
  <c r="G749" i="9"/>
  <c r="F749" i="9"/>
  <c r="E749" i="9"/>
  <c r="D749" i="9"/>
  <c r="C749" i="9"/>
  <c r="J748" i="9"/>
  <c r="I748" i="9"/>
  <c r="H748" i="9"/>
  <c r="G748" i="9"/>
  <c r="F748" i="9"/>
  <c r="E748" i="9"/>
  <c r="D748" i="9"/>
  <c r="C748" i="9"/>
  <c r="J747" i="9"/>
  <c r="I747" i="9"/>
  <c r="H747" i="9"/>
  <c r="G747" i="9"/>
  <c r="F747" i="9"/>
  <c r="E747" i="9"/>
  <c r="D747" i="9"/>
  <c r="C747" i="9"/>
  <c r="J746" i="9"/>
  <c r="I746" i="9"/>
  <c r="H746" i="9"/>
  <c r="G746" i="9"/>
  <c r="F746" i="9"/>
  <c r="E746" i="9"/>
  <c r="D746" i="9"/>
  <c r="C746" i="9"/>
  <c r="J745" i="9"/>
  <c r="I745" i="9"/>
  <c r="H745" i="9"/>
  <c r="G745" i="9"/>
  <c r="F745" i="9"/>
  <c r="E745" i="9"/>
  <c r="D745" i="9"/>
  <c r="C745" i="9"/>
  <c r="J744" i="9"/>
  <c r="I744" i="9"/>
  <c r="H744" i="9"/>
  <c r="G744" i="9"/>
  <c r="F744" i="9"/>
  <c r="E744" i="9"/>
  <c r="D744" i="9"/>
  <c r="C744" i="9"/>
  <c r="J743" i="9"/>
  <c r="I743" i="9"/>
  <c r="H743" i="9"/>
  <c r="G743" i="9"/>
  <c r="F743" i="9"/>
  <c r="E743" i="9"/>
  <c r="D743" i="9"/>
  <c r="C743" i="9"/>
  <c r="J742" i="9"/>
  <c r="I742" i="9"/>
  <c r="H742" i="9"/>
  <c r="G742" i="9"/>
  <c r="F742" i="9"/>
  <c r="E742" i="9"/>
  <c r="D742" i="9"/>
  <c r="C742" i="9"/>
  <c r="J741" i="9"/>
  <c r="I741" i="9"/>
  <c r="H741" i="9"/>
  <c r="G741" i="9"/>
  <c r="F741" i="9"/>
  <c r="E741" i="9"/>
  <c r="D741" i="9"/>
  <c r="C741" i="9"/>
  <c r="J740" i="9"/>
  <c r="I740" i="9"/>
  <c r="H740" i="9"/>
  <c r="G740" i="9"/>
  <c r="F740" i="9"/>
  <c r="E740" i="9"/>
  <c r="D740" i="9"/>
  <c r="C740" i="9"/>
  <c r="J739" i="9"/>
  <c r="I739" i="9"/>
  <c r="H739" i="9"/>
  <c r="G739" i="9"/>
  <c r="F739" i="9"/>
  <c r="E739" i="9"/>
  <c r="D739" i="9"/>
  <c r="C739" i="9"/>
  <c r="J738" i="9"/>
  <c r="I738" i="9"/>
  <c r="H738" i="9"/>
  <c r="G738" i="9"/>
  <c r="F738" i="9"/>
  <c r="E738" i="9"/>
  <c r="D738" i="9"/>
  <c r="C738" i="9"/>
  <c r="J737" i="9"/>
  <c r="I737" i="9"/>
  <c r="H737" i="9"/>
  <c r="G737" i="9"/>
  <c r="F737" i="9"/>
  <c r="E737" i="9"/>
  <c r="D737" i="9"/>
  <c r="C737" i="9"/>
  <c r="J736" i="9"/>
  <c r="I736" i="9"/>
  <c r="H736" i="9"/>
  <c r="G736" i="9"/>
  <c r="F736" i="9"/>
  <c r="E736" i="9"/>
  <c r="D736" i="9"/>
  <c r="C736" i="9"/>
  <c r="J735" i="9"/>
  <c r="I735" i="9"/>
  <c r="H735" i="9"/>
  <c r="G735" i="9"/>
  <c r="F735" i="9"/>
  <c r="E735" i="9"/>
  <c r="D735" i="9"/>
  <c r="C735" i="9"/>
  <c r="J734" i="9"/>
  <c r="I734" i="9"/>
  <c r="H734" i="9"/>
  <c r="G734" i="9"/>
  <c r="F734" i="9"/>
  <c r="E734" i="9"/>
  <c r="D734" i="9"/>
  <c r="C734" i="9"/>
  <c r="J733" i="9"/>
  <c r="I733" i="9"/>
  <c r="H733" i="9"/>
  <c r="G733" i="9"/>
  <c r="F733" i="9"/>
  <c r="E733" i="9"/>
  <c r="D733" i="9"/>
  <c r="C733" i="9"/>
  <c r="J732" i="9"/>
  <c r="I732" i="9"/>
  <c r="H732" i="9"/>
  <c r="G732" i="9"/>
  <c r="F732" i="9"/>
  <c r="E732" i="9"/>
  <c r="D732" i="9"/>
  <c r="C732" i="9"/>
  <c r="J731" i="9"/>
  <c r="I731" i="9"/>
  <c r="H731" i="9"/>
  <c r="G731" i="9"/>
  <c r="F731" i="9"/>
  <c r="E731" i="9"/>
  <c r="D731" i="9"/>
  <c r="C731" i="9"/>
  <c r="J730" i="9"/>
  <c r="I730" i="9"/>
  <c r="H730" i="9"/>
  <c r="G730" i="9"/>
  <c r="F730" i="9"/>
  <c r="E730" i="9"/>
  <c r="D730" i="9"/>
  <c r="C730" i="9"/>
  <c r="J729" i="9"/>
  <c r="I729" i="9"/>
  <c r="H729" i="9"/>
  <c r="G729" i="9"/>
  <c r="F729" i="9"/>
  <c r="E729" i="9"/>
  <c r="D729" i="9"/>
  <c r="C729" i="9"/>
  <c r="J728" i="9"/>
  <c r="I728" i="9"/>
  <c r="H728" i="9"/>
  <c r="G728" i="9"/>
  <c r="F728" i="9"/>
  <c r="E728" i="9"/>
  <c r="D728" i="9"/>
  <c r="C728" i="9"/>
  <c r="J727" i="9"/>
  <c r="I727" i="9"/>
  <c r="H727" i="9"/>
  <c r="G727" i="9"/>
  <c r="F727" i="9"/>
  <c r="E727" i="9"/>
  <c r="D727" i="9"/>
  <c r="C727" i="9"/>
  <c r="J726" i="9"/>
  <c r="I726" i="9"/>
  <c r="H726" i="9"/>
  <c r="G726" i="9"/>
  <c r="F726" i="9"/>
  <c r="E726" i="9"/>
  <c r="D726" i="9"/>
  <c r="C726" i="9"/>
  <c r="J725" i="9"/>
  <c r="I725" i="9"/>
  <c r="H725" i="9"/>
  <c r="G725" i="9"/>
  <c r="F725" i="9"/>
  <c r="E725" i="9"/>
  <c r="D725" i="9"/>
  <c r="C725" i="9"/>
  <c r="J724" i="9"/>
  <c r="I724" i="9"/>
  <c r="H724" i="9"/>
  <c r="G724" i="9"/>
  <c r="F724" i="9"/>
  <c r="E724" i="9"/>
  <c r="D724" i="9"/>
  <c r="C724" i="9"/>
  <c r="J723" i="9"/>
  <c r="I723" i="9"/>
  <c r="H723" i="9"/>
  <c r="G723" i="9"/>
  <c r="F723" i="9"/>
  <c r="E723" i="9"/>
  <c r="D723" i="9"/>
  <c r="C723" i="9"/>
  <c r="J722" i="9"/>
  <c r="I722" i="9"/>
  <c r="H722" i="9"/>
  <c r="G722" i="9"/>
  <c r="F722" i="9"/>
  <c r="E722" i="9"/>
  <c r="D722" i="9"/>
  <c r="C722" i="9"/>
  <c r="J721" i="9"/>
  <c r="I721" i="9"/>
  <c r="H721" i="9"/>
  <c r="G721" i="9"/>
  <c r="F721" i="9"/>
  <c r="E721" i="9"/>
  <c r="D721" i="9"/>
  <c r="C721" i="9"/>
  <c r="J720" i="9"/>
  <c r="I720" i="9"/>
  <c r="H720" i="9"/>
  <c r="G720" i="9"/>
  <c r="F720" i="9"/>
  <c r="E720" i="9"/>
  <c r="D720" i="9"/>
  <c r="C720" i="9"/>
  <c r="J719" i="9"/>
  <c r="I719" i="9"/>
  <c r="H719" i="9"/>
  <c r="G719" i="9"/>
  <c r="F719" i="9"/>
  <c r="E719" i="9"/>
  <c r="D719" i="9"/>
  <c r="C719" i="9"/>
  <c r="J718" i="9"/>
  <c r="I718" i="9"/>
  <c r="H718" i="9"/>
  <c r="G718" i="9"/>
  <c r="F718" i="9"/>
  <c r="E718" i="9"/>
  <c r="D718" i="9"/>
  <c r="C718" i="9"/>
  <c r="J717" i="9"/>
  <c r="I717" i="9"/>
  <c r="H717" i="9"/>
  <c r="G717" i="9"/>
  <c r="F717" i="9"/>
  <c r="E717" i="9"/>
  <c r="D717" i="9"/>
  <c r="C717" i="9"/>
  <c r="J716" i="9"/>
  <c r="I716" i="9"/>
  <c r="H716" i="9"/>
  <c r="G716" i="9"/>
  <c r="F716" i="9"/>
  <c r="E716" i="9"/>
  <c r="D716" i="9"/>
  <c r="C716" i="9"/>
  <c r="J715" i="9"/>
  <c r="I715" i="9"/>
  <c r="H715" i="9"/>
  <c r="G715" i="9"/>
  <c r="F715" i="9"/>
  <c r="E715" i="9"/>
  <c r="D715" i="9"/>
  <c r="C715" i="9"/>
  <c r="J714" i="9"/>
  <c r="I714" i="9"/>
  <c r="H714" i="9"/>
  <c r="G714" i="9"/>
  <c r="F714" i="9"/>
  <c r="E714" i="9"/>
  <c r="D714" i="9"/>
  <c r="C714" i="9"/>
  <c r="J713" i="9"/>
  <c r="I713" i="9"/>
  <c r="H713" i="9"/>
  <c r="G713" i="9"/>
  <c r="F713" i="9"/>
  <c r="E713" i="9"/>
  <c r="D713" i="9"/>
  <c r="C713" i="9"/>
  <c r="J712" i="9"/>
  <c r="I712" i="9"/>
  <c r="H712" i="9"/>
  <c r="G712" i="9"/>
  <c r="F712" i="9"/>
  <c r="E712" i="9"/>
  <c r="D712" i="9"/>
  <c r="C712" i="9"/>
  <c r="J711" i="9"/>
  <c r="I711" i="9"/>
  <c r="H711" i="9"/>
  <c r="G711" i="9"/>
  <c r="F711" i="9"/>
  <c r="E711" i="9"/>
  <c r="D711" i="9"/>
  <c r="C711" i="9"/>
  <c r="J710" i="9"/>
  <c r="I710" i="9"/>
  <c r="H710" i="9"/>
  <c r="G710" i="9"/>
  <c r="F710" i="9"/>
  <c r="E710" i="9"/>
  <c r="D710" i="9"/>
  <c r="C710" i="9"/>
  <c r="J709" i="9"/>
  <c r="I709" i="9"/>
  <c r="H709" i="9"/>
  <c r="G709" i="9"/>
  <c r="F709" i="9"/>
  <c r="E709" i="9"/>
  <c r="D709" i="9"/>
  <c r="C709" i="9"/>
  <c r="J708" i="9"/>
  <c r="I708" i="9"/>
  <c r="H708" i="9"/>
  <c r="G708" i="9"/>
  <c r="F708" i="9"/>
  <c r="E708" i="9"/>
  <c r="D708" i="9"/>
  <c r="C708" i="9"/>
  <c r="J707" i="9"/>
  <c r="I707" i="9"/>
  <c r="H707" i="9"/>
  <c r="G707" i="9"/>
  <c r="F707" i="9"/>
  <c r="E707" i="9"/>
  <c r="D707" i="9"/>
  <c r="C707" i="9"/>
  <c r="J706" i="9"/>
  <c r="I706" i="9"/>
  <c r="H706" i="9"/>
  <c r="G706" i="9"/>
  <c r="F706" i="9"/>
  <c r="E706" i="9"/>
  <c r="D706" i="9"/>
  <c r="C706" i="9"/>
  <c r="J705" i="9"/>
  <c r="I705" i="9"/>
  <c r="H705" i="9"/>
  <c r="G705" i="9"/>
  <c r="F705" i="9"/>
  <c r="E705" i="9"/>
  <c r="D705" i="9"/>
  <c r="C705" i="9"/>
  <c r="J704" i="9"/>
  <c r="I704" i="9"/>
  <c r="H704" i="9"/>
  <c r="G704" i="9"/>
  <c r="F704" i="9"/>
  <c r="E704" i="9"/>
  <c r="D704" i="9"/>
  <c r="C704" i="9"/>
  <c r="J703" i="9"/>
  <c r="I703" i="9"/>
  <c r="H703" i="9"/>
  <c r="G703" i="9"/>
  <c r="F703" i="9"/>
  <c r="E703" i="9"/>
  <c r="D703" i="9"/>
  <c r="C703" i="9"/>
  <c r="J702" i="9"/>
  <c r="I702" i="9"/>
  <c r="H702" i="9"/>
  <c r="G702" i="9"/>
  <c r="F702" i="9"/>
  <c r="E702" i="9"/>
  <c r="D702" i="9"/>
  <c r="C702" i="9"/>
  <c r="J701" i="9"/>
  <c r="I701" i="9"/>
  <c r="H701" i="9"/>
  <c r="G701" i="9"/>
  <c r="F701" i="9"/>
  <c r="E701" i="9"/>
  <c r="D701" i="9"/>
  <c r="C701" i="9"/>
  <c r="J700" i="9"/>
  <c r="I700" i="9"/>
  <c r="H700" i="9"/>
  <c r="G700" i="9"/>
  <c r="F700" i="9"/>
  <c r="E700" i="9"/>
  <c r="D700" i="9"/>
  <c r="C700" i="9"/>
  <c r="J699" i="9"/>
  <c r="I699" i="9"/>
  <c r="H699" i="9"/>
  <c r="G699" i="9"/>
  <c r="F699" i="9"/>
  <c r="E699" i="9"/>
  <c r="D699" i="9"/>
  <c r="C699" i="9"/>
  <c r="J698" i="9"/>
  <c r="I698" i="9"/>
  <c r="H698" i="9"/>
  <c r="G698" i="9"/>
  <c r="F698" i="9"/>
  <c r="E698" i="9"/>
  <c r="D698" i="9"/>
  <c r="C698" i="9"/>
  <c r="J697" i="9"/>
  <c r="I697" i="9"/>
  <c r="H697" i="9"/>
  <c r="G697" i="9"/>
  <c r="F697" i="9"/>
  <c r="E697" i="9"/>
  <c r="D697" i="9"/>
  <c r="C697" i="9"/>
  <c r="J696" i="9"/>
  <c r="I696" i="9"/>
  <c r="H696" i="9"/>
  <c r="G696" i="9"/>
  <c r="F696" i="9"/>
  <c r="E696" i="9"/>
  <c r="D696" i="9"/>
  <c r="C696" i="9"/>
  <c r="J695" i="9"/>
  <c r="I695" i="9"/>
  <c r="H695" i="9"/>
  <c r="G695" i="9"/>
  <c r="F695" i="9"/>
  <c r="E695" i="9"/>
  <c r="D695" i="9"/>
  <c r="C695" i="9"/>
  <c r="J694" i="9"/>
  <c r="I694" i="9"/>
  <c r="H694" i="9"/>
  <c r="G694" i="9"/>
  <c r="F694" i="9"/>
  <c r="E694" i="9"/>
  <c r="D694" i="9"/>
  <c r="C694" i="9"/>
  <c r="J693" i="9"/>
  <c r="I693" i="9"/>
  <c r="H693" i="9"/>
  <c r="G693" i="9"/>
  <c r="F693" i="9"/>
  <c r="E693" i="9"/>
  <c r="D693" i="9"/>
  <c r="C693" i="9"/>
  <c r="J692" i="9"/>
  <c r="I692" i="9"/>
  <c r="H692" i="9"/>
  <c r="G692" i="9"/>
  <c r="F692" i="9"/>
  <c r="E692" i="9"/>
  <c r="D692" i="9"/>
  <c r="C692" i="9"/>
  <c r="J691" i="9"/>
  <c r="I691" i="9"/>
  <c r="H691" i="9"/>
  <c r="G691" i="9"/>
  <c r="F691" i="9"/>
  <c r="E691" i="9"/>
  <c r="D691" i="9"/>
  <c r="C691" i="9"/>
  <c r="J690" i="9"/>
  <c r="I690" i="9"/>
  <c r="H690" i="9"/>
  <c r="G690" i="9"/>
  <c r="F690" i="9"/>
  <c r="E690" i="9"/>
  <c r="D690" i="9"/>
  <c r="C690" i="9"/>
  <c r="J689" i="9"/>
  <c r="I689" i="9"/>
  <c r="H689" i="9"/>
  <c r="G689" i="9"/>
  <c r="F689" i="9"/>
  <c r="E689" i="9"/>
  <c r="D689" i="9"/>
  <c r="C689" i="9"/>
  <c r="J688" i="9"/>
  <c r="I688" i="9"/>
  <c r="H688" i="9"/>
  <c r="G688" i="9"/>
  <c r="F688" i="9"/>
  <c r="E688" i="9"/>
  <c r="D688" i="9"/>
  <c r="C688" i="9"/>
  <c r="J687" i="9"/>
  <c r="I687" i="9"/>
  <c r="H687" i="9"/>
  <c r="G687" i="9"/>
  <c r="F687" i="9"/>
  <c r="E687" i="9"/>
  <c r="D687" i="9"/>
  <c r="C687" i="9"/>
  <c r="J686" i="9"/>
  <c r="I686" i="9"/>
  <c r="H686" i="9"/>
  <c r="G686" i="9"/>
  <c r="F686" i="9"/>
  <c r="E686" i="9"/>
  <c r="D686" i="9"/>
  <c r="C686" i="9"/>
  <c r="J685" i="9"/>
  <c r="I685" i="9"/>
  <c r="H685" i="9"/>
  <c r="G685" i="9"/>
  <c r="F685" i="9"/>
  <c r="E685" i="9"/>
  <c r="D685" i="9"/>
  <c r="C685" i="9"/>
  <c r="J684" i="9"/>
  <c r="I684" i="9"/>
  <c r="H684" i="9"/>
  <c r="G684" i="9"/>
  <c r="F684" i="9"/>
  <c r="E684" i="9"/>
  <c r="D684" i="9"/>
  <c r="C684" i="9"/>
  <c r="J683" i="9"/>
  <c r="I683" i="9"/>
  <c r="H683" i="9"/>
  <c r="G683" i="9"/>
  <c r="F683" i="9"/>
  <c r="E683" i="9"/>
  <c r="D683" i="9"/>
  <c r="C683" i="9"/>
  <c r="J682" i="9"/>
  <c r="I682" i="9"/>
  <c r="H682" i="9"/>
  <c r="G682" i="9"/>
  <c r="F682" i="9"/>
  <c r="E682" i="9"/>
  <c r="D682" i="9"/>
  <c r="C682" i="9"/>
  <c r="J681" i="9"/>
  <c r="I681" i="9"/>
  <c r="H681" i="9"/>
  <c r="G681" i="9"/>
  <c r="F681" i="9"/>
  <c r="E681" i="9"/>
  <c r="D681" i="9"/>
  <c r="C681" i="9"/>
  <c r="J680" i="9"/>
  <c r="I680" i="9"/>
  <c r="H680" i="9"/>
  <c r="G680" i="9"/>
  <c r="F680" i="9"/>
  <c r="E680" i="9"/>
  <c r="D680" i="9"/>
  <c r="C680" i="9"/>
  <c r="J679" i="9"/>
  <c r="I679" i="9"/>
  <c r="H679" i="9"/>
  <c r="G679" i="9"/>
  <c r="F679" i="9"/>
  <c r="E679" i="9"/>
  <c r="D679" i="9"/>
  <c r="C679" i="9"/>
  <c r="J678" i="9"/>
  <c r="I678" i="9"/>
  <c r="H678" i="9"/>
  <c r="G678" i="9"/>
  <c r="F678" i="9"/>
  <c r="E678" i="9"/>
  <c r="D678" i="9"/>
  <c r="C678" i="9"/>
  <c r="J677" i="9"/>
  <c r="I677" i="9"/>
  <c r="H677" i="9"/>
  <c r="G677" i="9"/>
  <c r="F677" i="9"/>
  <c r="E677" i="9"/>
  <c r="D677" i="9"/>
  <c r="C677" i="9"/>
  <c r="J676" i="9"/>
  <c r="I676" i="9"/>
  <c r="H676" i="9"/>
  <c r="G676" i="9"/>
  <c r="F676" i="9"/>
  <c r="E676" i="9"/>
  <c r="D676" i="9"/>
  <c r="C676" i="9"/>
  <c r="J675" i="9"/>
  <c r="I675" i="9"/>
  <c r="H675" i="9"/>
  <c r="G675" i="9"/>
  <c r="F675" i="9"/>
  <c r="E675" i="9"/>
  <c r="D675" i="9"/>
  <c r="C675" i="9"/>
  <c r="J674" i="9"/>
  <c r="I674" i="9"/>
  <c r="H674" i="9"/>
  <c r="G674" i="9"/>
  <c r="F674" i="9"/>
  <c r="E674" i="9"/>
  <c r="D674" i="9"/>
  <c r="C674" i="9"/>
  <c r="J673" i="9"/>
  <c r="I673" i="9"/>
  <c r="H673" i="9"/>
  <c r="G673" i="9"/>
  <c r="F673" i="9"/>
  <c r="E673" i="9"/>
  <c r="D673" i="9"/>
  <c r="C673" i="9"/>
  <c r="J672" i="9"/>
  <c r="I672" i="9"/>
  <c r="H672" i="9"/>
  <c r="G672" i="9"/>
  <c r="F672" i="9"/>
  <c r="E672" i="9"/>
  <c r="D672" i="9"/>
  <c r="C672" i="9"/>
  <c r="J671" i="9"/>
  <c r="I671" i="9"/>
  <c r="H671" i="9"/>
  <c r="G671" i="9"/>
  <c r="F671" i="9"/>
  <c r="E671" i="9"/>
  <c r="D671" i="9"/>
  <c r="C671" i="9"/>
  <c r="J670" i="9"/>
  <c r="I670" i="9"/>
  <c r="H670" i="9"/>
  <c r="G670" i="9"/>
  <c r="F670" i="9"/>
  <c r="E670" i="9"/>
  <c r="D670" i="9"/>
  <c r="C670" i="9"/>
  <c r="J669" i="9"/>
  <c r="I669" i="9"/>
  <c r="H669" i="9"/>
  <c r="G669" i="9"/>
  <c r="F669" i="9"/>
  <c r="E669" i="9"/>
  <c r="D669" i="9"/>
  <c r="C669" i="9"/>
  <c r="J668" i="9"/>
  <c r="I668" i="9"/>
  <c r="H668" i="9"/>
  <c r="G668" i="9"/>
  <c r="F668" i="9"/>
  <c r="E668" i="9"/>
  <c r="D668" i="9"/>
  <c r="C668" i="9"/>
  <c r="J667" i="9"/>
  <c r="I667" i="9"/>
  <c r="H667" i="9"/>
  <c r="G667" i="9"/>
  <c r="F667" i="9"/>
  <c r="E667" i="9"/>
  <c r="D667" i="9"/>
  <c r="C667" i="9"/>
  <c r="J666" i="9"/>
  <c r="I666" i="9"/>
  <c r="H666" i="9"/>
  <c r="G666" i="9"/>
  <c r="F666" i="9"/>
  <c r="E666" i="9"/>
  <c r="D666" i="9"/>
  <c r="C666" i="9"/>
  <c r="J665" i="9"/>
  <c r="I665" i="9"/>
  <c r="H665" i="9"/>
  <c r="G665" i="9"/>
  <c r="F665" i="9"/>
  <c r="E665" i="9"/>
  <c r="D665" i="9"/>
  <c r="C665" i="9"/>
  <c r="J664" i="9"/>
  <c r="I664" i="9"/>
  <c r="H664" i="9"/>
  <c r="G664" i="9"/>
  <c r="F664" i="9"/>
  <c r="E664" i="9"/>
  <c r="D664" i="9"/>
  <c r="C664" i="9"/>
  <c r="J663" i="9"/>
  <c r="I663" i="9"/>
  <c r="H663" i="9"/>
  <c r="G663" i="9"/>
  <c r="F663" i="9"/>
  <c r="E663" i="9"/>
  <c r="D663" i="9"/>
  <c r="C663" i="9"/>
  <c r="J662" i="9"/>
  <c r="I662" i="9"/>
  <c r="H662" i="9"/>
  <c r="G662" i="9"/>
  <c r="F662" i="9"/>
  <c r="E662" i="9"/>
  <c r="D662" i="9"/>
  <c r="C662" i="9"/>
  <c r="J661" i="9"/>
  <c r="I661" i="9"/>
  <c r="H661" i="9"/>
  <c r="G661" i="9"/>
  <c r="F661" i="9"/>
  <c r="E661" i="9"/>
  <c r="D661" i="9"/>
  <c r="C661" i="9"/>
  <c r="J660" i="9"/>
  <c r="I660" i="9"/>
  <c r="H660" i="9"/>
  <c r="G660" i="9"/>
  <c r="F660" i="9"/>
  <c r="E660" i="9"/>
  <c r="D660" i="9"/>
  <c r="C660" i="9"/>
  <c r="J659" i="9"/>
  <c r="I659" i="9"/>
  <c r="H659" i="9"/>
  <c r="G659" i="9"/>
  <c r="F659" i="9"/>
  <c r="E659" i="9"/>
  <c r="D659" i="9"/>
  <c r="C659" i="9"/>
  <c r="J658" i="9"/>
  <c r="I658" i="9"/>
  <c r="H658" i="9"/>
  <c r="G658" i="9"/>
  <c r="F658" i="9"/>
  <c r="E658" i="9"/>
  <c r="D658" i="9"/>
  <c r="C658" i="9"/>
  <c r="J657" i="9"/>
  <c r="I657" i="9"/>
  <c r="H657" i="9"/>
  <c r="G657" i="9"/>
  <c r="F657" i="9"/>
  <c r="E657" i="9"/>
  <c r="D657" i="9"/>
  <c r="C657" i="9"/>
  <c r="J656" i="9"/>
  <c r="I656" i="9"/>
  <c r="H656" i="9"/>
  <c r="G656" i="9"/>
  <c r="F656" i="9"/>
  <c r="E656" i="9"/>
  <c r="D656" i="9"/>
  <c r="C656" i="9"/>
  <c r="J655" i="9"/>
  <c r="I655" i="9"/>
  <c r="H655" i="9"/>
  <c r="G655" i="9"/>
  <c r="F655" i="9"/>
  <c r="E655" i="9"/>
  <c r="D655" i="9"/>
  <c r="C655" i="9"/>
  <c r="J654" i="9"/>
  <c r="I654" i="9"/>
  <c r="H654" i="9"/>
  <c r="G654" i="9"/>
  <c r="F654" i="9"/>
  <c r="E654" i="9"/>
  <c r="D654" i="9"/>
  <c r="C654" i="9"/>
  <c r="J653" i="9"/>
  <c r="I653" i="9"/>
  <c r="H653" i="9"/>
  <c r="G653" i="9"/>
  <c r="F653" i="9"/>
  <c r="E653" i="9"/>
  <c r="D653" i="9"/>
  <c r="C653" i="9"/>
  <c r="J652" i="9"/>
  <c r="I652" i="9"/>
  <c r="H652" i="9"/>
  <c r="G652" i="9"/>
  <c r="F652" i="9"/>
  <c r="E652" i="9"/>
  <c r="D652" i="9"/>
  <c r="C652" i="9"/>
  <c r="J651" i="9"/>
  <c r="I651" i="9"/>
  <c r="H651" i="9"/>
  <c r="G651" i="9"/>
  <c r="F651" i="9"/>
  <c r="E651" i="9"/>
  <c r="D651" i="9"/>
  <c r="C651" i="9"/>
  <c r="J650" i="9"/>
  <c r="I650" i="9"/>
  <c r="H650" i="9"/>
  <c r="G650" i="9"/>
  <c r="F650" i="9"/>
  <c r="E650" i="9"/>
  <c r="D650" i="9"/>
  <c r="C650" i="9"/>
  <c r="J649" i="9"/>
  <c r="I649" i="9"/>
  <c r="H649" i="9"/>
  <c r="G649" i="9"/>
  <c r="F649" i="9"/>
  <c r="E649" i="9"/>
  <c r="D649" i="9"/>
  <c r="C649" i="9"/>
  <c r="J648" i="9"/>
  <c r="I648" i="9"/>
  <c r="H648" i="9"/>
  <c r="G648" i="9"/>
  <c r="F648" i="9"/>
  <c r="E648" i="9"/>
  <c r="D648" i="9"/>
  <c r="C648" i="9"/>
  <c r="J647" i="9"/>
  <c r="I647" i="9"/>
  <c r="H647" i="9"/>
  <c r="G647" i="9"/>
  <c r="F647" i="9"/>
  <c r="E647" i="9"/>
  <c r="D647" i="9"/>
  <c r="C647" i="9"/>
  <c r="J646" i="9"/>
  <c r="I646" i="9"/>
  <c r="H646" i="9"/>
  <c r="G646" i="9"/>
  <c r="F646" i="9"/>
  <c r="E646" i="9"/>
  <c r="D646" i="9"/>
  <c r="C646" i="9"/>
  <c r="J645" i="9"/>
  <c r="I645" i="9"/>
  <c r="H645" i="9"/>
  <c r="G645" i="9"/>
  <c r="F645" i="9"/>
  <c r="E645" i="9"/>
  <c r="D645" i="9"/>
  <c r="C645" i="9"/>
  <c r="J644" i="9"/>
  <c r="I644" i="9"/>
  <c r="H644" i="9"/>
  <c r="G644" i="9"/>
  <c r="F644" i="9"/>
  <c r="E644" i="9"/>
  <c r="D644" i="9"/>
  <c r="C644" i="9"/>
  <c r="J643" i="9"/>
  <c r="I643" i="9"/>
  <c r="H643" i="9"/>
  <c r="G643" i="9"/>
  <c r="F643" i="9"/>
  <c r="E643" i="9"/>
  <c r="D643" i="9"/>
  <c r="C643" i="9"/>
  <c r="J642" i="9"/>
  <c r="I642" i="9"/>
  <c r="H642" i="9"/>
  <c r="G642" i="9"/>
  <c r="F642" i="9"/>
  <c r="E642" i="9"/>
  <c r="D642" i="9"/>
  <c r="C642" i="9"/>
  <c r="J641" i="9"/>
  <c r="I641" i="9"/>
  <c r="H641" i="9"/>
  <c r="G641" i="9"/>
  <c r="F641" i="9"/>
  <c r="E641" i="9"/>
  <c r="D641" i="9"/>
  <c r="C641" i="9"/>
  <c r="J640" i="9"/>
  <c r="I640" i="9"/>
  <c r="H640" i="9"/>
  <c r="G640" i="9"/>
  <c r="F640" i="9"/>
  <c r="E640" i="9"/>
  <c r="D640" i="9"/>
  <c r="C640" i="9"/>
  <c r="J639" i="9"/>
  <c r="I639" i="9"/>
  <c r="H639" i="9"/>
  <c r="G639" i="9"/>
  <c r="F639" i="9"/>
  <c r="E639" i="9"/>
  <c r="D639" i="9"/>
  <c r="C639" i="9"/>
  <c r="J638" i="9"/>
  <c r="I638" i="9"/>
  <c r="H638" i="9"/>
  <c r="G638" i="9"/>
  <c r="F638" i="9"/>
  <c r="E638" i="9"/>
  <c r="D638" i="9"/>
  <c r="C638" i="9"/>
  <c r="J637" i="9"/>
  <c r="I637" i="9"/>
  <c r="H637" i="9"/>
  <c r="G637" i="9"/>
  <c r="F637" i="9"/>
  <c r="E637" i="9"/>
  <c r="D637" i="9"/>
  <c r="C637" i="9"/>
  <c r="J636" i="9"/>
  <c r="I636" i="9"/>
  <c r="H636" i="9"/>
  <c r="G636" i="9"/>
  <c r="F636" i="9"/>
  <c r="E636" i="9"/>
  <c r="D636" i="9"/>
  <c r="C636" i="9"/>
  <c r="J635" i="9"/>
  <c r="I635" i="9"/>
  <c r="H635" i="9"/>
  <c r="G635" i="9"/>
  <c r="F635" i="9"/>
  <c r="E635" i="9"/>
  <c r="D635" i="9"/>
  <c r="C635" i="9"/>
  <c r="J634" i="9"/>
  <c r="I634" i="9"/>
  <c r="H634" i="9"/>
  <c r="G634" i="9"/>
  <c r="F634" i="9"/>
  <c r="E634" i="9"/>
  <c r="D634" i="9"/>
  <c r="C634" i="9"/>
  <c r="J633" i="9"/>
  <c r="I633" i="9"/>
  <c r="H633" i="9"/>
  <c r="G633" i="9"/>
  <c r="F633" i="9"/>
  <c r="E633" i="9"/>
  <c r="D633" i="9"/>
  <c r="C633" i="9"/>
  <c r="J632" i="9"/>
  <c r="I632" i="9"/>
  <c r="H632" i="9"/>
  <c r="G632" i="9"/>
  <c r="F632" i="9"/>
  <c r="E632" i="9"/>
  <c r="D632" i="9"/>
  <c r="C632" i="9"/>
  <c r="J631" i="9"/>
  <c r="I631" i="9"/>
  <c r="H631" i="9"/>
  <c r="G631" i="9"/>
  <c r="F631" i="9"/>
  <c r="E631" i="9"/>
  <c r="D631" i="9"/>
  <c r="C631" i="9"/>
  <c r="J630" i="9"/>
  <c r="I630" i="9"/>
  <c r="H630" i="9"/>
  <c r="G630" i="9"/>
  <c r="F630" i="9"/>
  <c r="E630" i="9"/>
  <c r="D630" i="9"/>
  <c r="C630" i="9"/>
  <c r="J629" i="9"/>
  <c r="I629" i="9"/>
  <c r="H629" i="9"/>
  <c r="G629" i="9"/>
  <c r="F629" i="9"/>
  <c r="E629" i="9"/>
  <c r="D629" i="9"/>
  <c r="C629" i="9"/>
  <c r="J628" i="9"/>
  <c r="I628" i="9"/>
  <c r="H628" i="9"/>
  <c r="G628" i="9"/>
  <c r="F628" i="9"/>
  <c r="E628" i="9"/>
  <c r="D628" i="9"/>
  <c r="C628" i="9"/>
  <c r="J627" i="9"/>
  <c r="I627" i="9"/>
  <c r="H627" i="9"/>
  <c r="G627" i="9"/>
  <c r="F627" i="9"/>
  <c r="E627" i="9"/>
  <c r="D627" i="9"/>
  <c r="C627" i="9"/>
  <c r="J626" i="9"/>
  <c r="I626" i="9"/>
  <c r="H626" i="9"/>
  <c r="G626" i="9"/>
  <c r="F626" i="9"/>
  <c r="E626" i="9"/>
  <c r="D626" i="9"/>
  <c r="C626" i="9"/>
  <c r="J625" i="9"/>
  <c r="I625" i="9"/>
  <c r="H625" i="9"/>
  <c r="G625" i="9"/>
  <c r="F625" i="9"/>
  <c r="E625" i="9"/>
  <c r="D625" i="9"/>
  <c r="C625" i="9"/>
  <c r="J624" i="9"/>
  <c r="I624" i="9"/>
  <c r="H624" i="9"/>
  <c r="G624" i="9"/>
  <c r="F624" i="9"/>
  <c r="E624" i="9"/>
  <c r="D624" i="9"/>
  <c r="C624" i="9"/>
  <c r="J623" i="9"/>
  <c r="I623" i="9"/>
  <c r="H623" i="9"/>
  <c r="G623" i="9"/>
  <c r="F623" i="9"/>
  <c r="E623" i="9"/>
  <c r="D623" i="9"/>
  <c r="C623" i="9"/>
  <c r="J622" i="9"/>
  <c r="I622" i="9"/>
  <c r="H622" i="9"/>
  <c r="G622" i="9"/>
  <c r="F622" i="9"/>
  <c r="E622" i="9"/>
  <c r="D622" i="9"/>
  <c r="C622" i="9"/>
  <c r="J621" i="9"/>
  <c r="I621" i="9"/>
  <c r="H621" i="9"/>
  <c r="G621" i="9"/>
  <c r="F621" i="9"/>
  <c r="E621" i="9"/>
  <c r="D621" i="9"/>
  <c r="C621" i="9"/>
  <c r="J620" i="9"/>
  <c r="I620" i="9"/>
  <c r="H620" i="9"/>
  <c r="G620" i="9"/>
  <c r="F620" i="9"/>
  <c r="E620" i="9"/>
  <c r="D620" i="9"/>
  <c r="C620" i="9"/>
  <c r="J619" i="9"/>
  <c r="I619" i="9"/>
  <c r="H619" i="9"/>
  <c r="G619" i="9"/>
  <c r="F619" i="9"/>
  <c r="E619" i="9"/>
  <c r="D619" i="9"/>
  <c r="C619" i="9"/>
  <c r="J618" i="9"/>
  <c r="I618" i="9"/>
  <c r="H618" i="9"/>
  <c r="G618" i="9"/>
  <c r="F618" i="9"/>
  <c r="E618" i="9"/>
  <c r="D618" i="9"/>
  <c r="C618" i="9"/>
  <c r="J617" i="9"/>
  <c r="I617" i="9"/>
  <c r="H617" i="9"/>
  <c r="G617" i="9"/>
  <c r="F617" i="9"/>
  <c r="E617" i="9"/>
  <c r="D617" i="9"/>
  <c r="C617" i="9"/>
  <c r="J616" i="9"/>
  <c r="I616" i="9"/>
  <c r="H616" i="9"/>
  <c r="G616" i="9"/>
  <c r="F616" i="9"/>
  <c r="E616" i="9"/>
  <c r="D616" i="9"/>
  <c r="C616" i="9"/>
  <c r="J615" i="9"/>
  <c r="I615" i="9"/>
  <c r="H615" i="9"/>
  <c r="G615" i="9"/>
  <c r="F615" i="9"/>
  <c r="E615" i="9"/>
  <c r="D615" i="9"/>
  <c r="C615" i="9"/>
  <c r="J614" i="9"/>
  <c r="I614" i="9"/>
  <c r="H614" i="9"/>
  <c r="G614" i="9"/>
  <c r="F614" i="9"/>
  <c r="E614" i="9"/>
  <c r="D614" i="9"/>
  <c r="C614" i="9"/>
  <c r="J613" i="9"/>
  <c r="I613" i="9"/>
  <c r="H613" i="9"/>
  <c r="G613" i="9"/>
  <c r="F613" i="9"/>
  <c r="E613" i="9"/>
  <c r="D613" i="9"/>
  <c r="C613" i="9"/>
  <c r="J612" i="9"/>
  <c r="I612" i="9"/>
  <c r="H612" i="9"/>
  <c r="G612" i="9"/>
  <c r="F612" i="9"/>
  <c r="E612" i="9"/>
  <c r="D612" i="9"/>
  <c r="C612" i="9"/>
  <c r="J611" i="9"/>
  <c r="I611" i="9"/>
  <c r="H611" i="9"/>
  <c r="G611" i="9"/>
  <c r="F611" i="9"/>
  <c r="E611" i="9"/>
  <c r="D611" i="9"/>
  <c r="C611" i="9"/>
  <c r="J610" i="9"/>
  <c r="I610" i="9"/>
  <c r="H610" i="9"/>
  <c r="G610" i="9"/>
  <c r="F610" i="9"/>
  <c r="E610" i="9"/>
  <c r="D610" i="9"/>
  <c r="C610" i="9"/>
  <c r="J609" i="9"/>
  <c r="I609" i="9"/>
  <c r="H609" i="9"/>
  <c r="G609" i="9"/>
  <c r="F609" i="9"/>
  <c r="E609" i="9"/>
  <c r="D609" i="9"/>
  <c r="C609" i="9"/>
  <c r="J608" i="9"/>
  <c r="I608" i="9"/>
  <c r="H608" i="9"/>
  <c r="G608" i="9"/>
  <c r="F608" i="9"/>
  <c r="E608" i="9"/>
  <c r="D608" i="9"/>
  <c r="C608" i="9"/>
  <c r="J607" i="9"/>
  <c r="I607" i="9"/>
  <c r="H607" i="9"/>
  <c r="G607" i="9"/>
  <c r="F607" i="9"/>
  <c r="E607" i="9"/>
  <c r="D607" i="9"/>
  <c r="C607" i="9"/>
  <c r="J606" i="9"/>
  <c r="I606" i="9"/>
  <c r="H606" i="9"/>
  <c r="G606" i="9"/>
  <c r="F606" i="9"/>
  <c r="E606" i="9"/>
  <c r="D606" i="9"/>
  <c r="C606" i="9"/>
  <c r="J605" i="9"/>
  <c r="I605" i="9"/>
  <c r="H605" i="9"/>
  <c r="G605" i="9"/>
  <c r="F605" i="9"/>
  <c r="E605" i="9"/>
  <c r="D605" i="9"/>
  <c r="C605" i="9"/>
  <c r="J604" i="9"/>
  <c r="I604" i="9"/>
  <c r="H604" i="9"/>
  <c r="G604" i="9"/>
  <c r="F604" i="9"/>
  <c r="E604" i="9"/>
  <c r="D604" i="9"/>
  <c r="C604" i="9"/>
  <c r="J603" i="9"/>
  <c r="I603" i="9"/>
  <c r="H603" i="9"/>
  <c r="G603" i="9"/>
  <c r="F603" i="9"/>
  <c r="E603" i="9"/>
  <c r="D603" i="9"/>
  <c r="C603" i="9"/>
  <c r="J602" i="9"/>
  <c r="I602" i="9"/>
  <c r="H602" i="9"/>
  <c r="G602" i="9"/>
  <c r="F602" i="9"/>
  <c r="E602" i="9"/>
  <c r="D602" i="9"/>
  <c r="C602" i="9"/>
  <c r="J601" i="9"/>
  <c r="I601" i="9"/>
  <c r="H601" i="9"/>
  <c r="G601" i="9"/>
  <c r="F601" i="9"/>
  <c r="E601" i="9"/>
  <c r="D601" i="9"/>
  <c r="C601" i="9"/>
  <c r="J600" i="9"/>
  <c r="I600" i="9"/>
  <c r="H600" i="9"/>
  <c r="G600" i="9"/>
  <c r="F600" i="9"/>
  <c r="E600" i="9"/>
  <c r="D600" i="9"/>
  <c r="C600" i="9"/>
  <c r="J599" i="9"/>
  <c r="I599" i="9"/>
  <c r="H599" i="9"/>
  <c r="G599" i="9"/>
  <c r="F599" i="9"/>
  <c r="E599" i="9"/>
  <c r="D599" i="9"/>
  <c r="C599" i="9"/>
  <c r="J598" i="9"/>
  <c r="I598" i="9"/>
  <c r="H598" i="9"/>
  <c r="G598" i="9"/>
  <c r="F598" i="9"/>
  <c r="E598" i="9"/>
  <c r="D598" i="9"/>
  <c r="C598" i="9"/>
  <c r="J597" i="9"/>
  <c r="I597" i="9"/>
  <c r="H597" i="9"/>
  <c r="G597" i="9"/>
  <c r="F597" i="9"/>
  <c r="E597" i="9"/>
  <c r="D597" i="9"/>
  <c r="C597" i="9"/>
  <c r="J596" i="9"/>
  <c r="I596" i="9"/>
  <c r="H596" i="9"/>
  <c r="G596" i="9"/>
  <c r="F596" i="9"/>
  <c r="E596" i="9"/>
  <c r="D596" i="9"/>
  <c r="C596" i="9"/>
  <c r="J595" i="9"/>
  <c r="I595" i="9"/>
  <c r="H595" i="9"/>
  <c r="G595" i="9"/>
  <c r="F595" i="9"/>
  <c r="E595" i="9"/>
  <c r="D595" i="9"/>
  <c r="C595" i="9"/>
  <c r="J594" i="9"/>
  <c r="I594" i="9"/>
  <c r="H594" i="9"/>
  <c r="G594" i="9"/>
  <c r="F594" i="9"/>
  <c r="E594" i="9"/>
  <c r="D594" i="9"/>
  <c r="C594" i="9"/>
  <c r="J593" i="9"/>
  <c r="I593" i="9"/>
  <c r="H593" i="9"/>
  <c r="G593" i="9"/>
  <c r="F593" i="9"/>
  <c r="E593" i="9"/>
  <c r="D593" i="9"/>
  <c r="C593" i="9"/>
  <c r="J592" i="9"/>
  <c r="I592" i="9"/>
  <c r="H592" i="9"/>
  <c r="G592" i="9"/>
  <c r="F592" i="9"/>
  <c r="E592" i="9"/>
  <c r="D592" i="9"/>
  <c r="C592" i="9"/>
  <c r="J591" i="9"/>
  <c r="I591" i="9"/>
  <c r="H591" i="9"/>
  <c r="G591" i="9"/>
  <c r="F591" i="9"/>
  <c r="E591" i="9"/>
  <c r="D591" i="9"/>
  <c r="C591" i="9"/>
  <c r="J590" i="9"/>
  <c r="I590" i="9"/>
  <c r="H590" i="9"/>
  <c r="G590" i="9"/>
  <c r="F590" i="9"/>
  <c r="E590" i="9"/>
  <c r="D590" i="9"/>
  <c r="C590" i="9"/>
  <c r="J589" i="9"/>
  <c r="I589" i="9"/>
  <c r="H589" i="9"/>
  <c r="G589" i="9"/>
  <c r="F589" i="9"/>
  <c r="E589" i="9"/>
  <c r="D589" i="9"/>
  <c r="C589" i="9"/>
  <c r="J588" i="9"/>
  <c r="I588" i="9"/>
  <c r="H588" i="9"/>
  <c r="G588" i="9"/>
  <c r="F588" i="9"/>
  <c r="E588" i="9"/>
  <c r="D588" i="9"/>
  <c r="C588" i="9"/>
  <c r="J587" i="9"/>
  <c r="I587" i="9"/>
  <c r="H587" i="9"/>
  <c r="G587" i="9"/>
  <c r="F587" i="9"/>
  <c r="E587" i="9"/>
  <c r="D587" i="9"/>
  <c r="C587" i="9"/>
  <c r="J586" i="9"/>
  <c r="I586" i="9"/>
  <c r="H586" i="9"/>
  <c r="G586" i="9"/>
  <c r="F586" i="9"/>
  <c r="E586" i="9"/>
  <c r="D586" i="9"/>
  <c r="C586" i="9"/>
  <c r="J585" i="9"/>
  <c r="I585" i="9"/>
  <c r="H585" i="9"/>
  <c r="G585" i="9"/>
  <c r="F585" i="9"/>
  <c r="E585" i="9"/>
  <c r="D585" i="9"/>
  <c r="C585" i="9"/>
  <c r="J584" i="9"/>
  <c r="I584" i="9"/>
  <c r="H584" i="9"/>
  <c r="G584" i="9"/>
  <c r="F584" i="9"/>
  <c r="E584" i="9"/>
  <c r="D584" i="9"/>
  <c r="C584" i="9"/>
  <c r="J583" i="9"/>
  <c r="I583" i="9"/>
  <c r="H583" i="9"/>
  <c r="G583" i="9"/>
  <c r="F583" i="9"/>
  <c r="E583" i="9"/>
  <c r="D583" i="9"/>
  <c r="C583" i="9"/>
  <c r="J582" i="9"/>
  <c r="I582" i="9"/>
  <c r="H582" i="9"/>
  <c r="G582" i="9"/>
  <c r="F582" i="9"/>
  <c r="E582" i="9"/>
  <c r="D582" i="9"/>
  <c r="C582" i="9"/>
  <c r="J581" i="9"/>
  <c r="I581" i="9"/>
  <c r="H581" i="9"/>
  <c r="G581" i="9"/>
  <c r="F581" i="9"/>
  <c r="E581" i="9"/>
  <c r="D581" i="9"/>
  <c r="C581" i="9"/>
  <c r="J580" i="9"/>
  <c r="I580" i="9"/>
  <c r="H580" i="9"/>
  <c r="G580" i="9"/>
  <c r="F580" i="9"/>
  <c r="E580" i="9"/>
  <c r="D580" i="9"/>
  <c r="C580" i="9"/>
  <c r="J579" i="9"/>
  <c r="I579" i="9"/>
  <c r="H579" i="9"/>
  <c r="G579" i="9"/>
  <c r="F579" i="9"/>
  <c r="E579" i="9"/>
  <c r="D579" i="9"/>
  <c r="C579" i="9"/>
  <c r="J578" i="9"/>
  <c r="I578" i="9"/>
  <c r="H578" i="9"/>
  <c r="G578" i="9"/>
  <c r="F578" i="9"/>
  <c r="E578" i="9"/>
  <c r="D578" i="9"/>
  <c r="C578" i="9"/>
  <c r="J577" i="9"/>
  <c r="I577" i="9"/>
  <c r="H577" i="9"/>
  <c r="G577" i="9"/>
  <c r="F577" i="9"/>
  <c r="E577" i="9"/>
  <c r="D577" i="9"/>
  <c r="C577" i="9"/>
  <c r="J576" i="9"/>
  <c r="I576" i="9"/>
  <c r="H576" i="9"/>
  <c r="G576" i="9"/>
  <c r="F576" i="9"/>
  <c r="E576" i="9"/>
  <c r="D576" i="9"/>
  <c r="C576" i="9"/>
  <c r="J575" i="9"/>
  <c r="I575" i="9"/>
  <c r="H575" i="9"/>
  <c r="G575" i="9"/>
  <c r="F575" i="9"/>
  <c r="E575" i="9"/>
  <c r="D575" i="9"/>
  <c r="C575" i="9"/>
  <c r="J574" i="9"/>
  <c r="I574" i="9"/>
  <c r="H574" i="9"/>
  <c r="G574" i="9"/>
  <c r="F574" i="9"/>
  <c r="E574" i="9"/>
  <c r="D574" i="9"/>
  <c r="C574" i="9"/>
  <c r="J573" i="9"/>
  <c r="I573" i="9"/>
  <c r="H573" i="9"/>
  <c r="G573" i="9"/>
  <c r="F573" i="9"/>
  <c r="E573" i="9"/>
  <c r="D573" i="9"/>
  <c r="C573" i="9"/>
  <c r="J572" i="9"/>
  <c r="I572" i="9"/>
  <c r="H572" i="9"/>
  <c r="G572" i="9"/>
  <c r="F572" i="9"/>
  <c r="E572" i="9"/>
  <c r="D572" i="9"/>
  <c r="C572" i="9"/>
  <c r="J571" i="9"/>
  <c r="I571" i="9"/>
  <c r="H571" i="9"/>
  <c r="G571" i="9"/>
  <c r="F571" i="9"/>
  <c r="E571" i="9"/>
  <c r="D571" i="9"/>
  <c r="C571" i="9"/>
  <c r="J570" i="9"/>
  <c r="I570" i="9"/>
  <c r="H570" i="9"/>
  <c r="G570" i="9"/>
  <c r="F570" i="9"/>
  <c r="E570" i="9"/>
  <c r="D570" i="9"/>
  <c r="C570" i="9"/>
  <c r="J569" i="9"/>
  <c r="I569" i="9"/>
  <c r="H569" i="9"/>
  <c r="G569" i="9"/>
  <c r="F569" i="9"/>
  <c r="E569" i="9"/>
  <c r="D569" i="9"/>
  <c r="C569" i="9"/>
  <c r="J568" i="9"/>
  <c r="I568" i="9"/>
  <c r="H568" i="9"/>
  <c r="G568" i="9"/>
  <c r="F568" i="9"/>
  <c r="E568" i="9"/>
  <c r="D568" i="9"/>
  <c r="C568" i="9"/>
  <c r="J567" i="9"/>
  <c r="I567" i="9"/>
  <c r="H567" i="9"/>
  <c r="G567" i="9"/>
  <c r="F567" i="9"/>
  <c r="E567" i="9"/>
  <c r="D567" i="9"/>
  <c r="C567" i="9"/>
  <c r="J566" i="9"/>
  <c r="I566" i="9"/>
  <c r="H566" i="9"/>
  <c r="G566" i="9"/>
  <c r="F566" i="9"/>
  <c r="E566" i="9"/>
  <c r="D566" i="9"/>
  <c r="C566" i="9"/>
  <c r="J565" i="9"/>
  <c r="I565" i="9"/>
  <c r="H565" i="9"/>
  <c r="G565" i="9"/>
  <c r="F565" i="9"/>
  <c r="E565" i="9"/>
  <c r="D565" i="9"/>
  <c r="C565" i="9"/>
  <c r="J564" i="9"/>
  <c r="I564" i="9"/>
  <c r="H564" i="9"/>
  <c r="G564" i="9"/>
  <c r="F564" i="9"/>
  <c r="E564" i="9"/>
  <c r="D564" i="9"/>
  <c r="C564" i="9"/>
  <c r="J563" i="9"/>
  <c r="I563" i="9"/>
  <c r="H563" i="9"/>
  <c r="G563" i="9"/>
  <c r="F563" i="9"/>
  <c r="E563" i="9"/>
  <c r="D563" i="9"/>
  <c r="C563" i="9"/>
  <c r="J562" i="9"/>
  <c r="I562" i="9"/>
  <c r="H562" i="9"/>
  <c r="G562" i="9"/>
  <c r="F562" i="9"/>
  <c r="E562" i="9"/>
  <c r="D562" i="9"/>
  <c r="C562" i="9"/>
  <c r="J561" i="9"/>
  <c r="I561" i="9"/>
  <c r="H561" i="9"/>
  <c r="G561" i="9"/>
  <c r="F561" i="9"/>
  <c r="E561" i="9"/>
  <c r="D561" i="9"/>
  <c r="C561" i="9"/>
  <c r="J560" i="9"/>
  <c r="I560" i="9"/>
  <c r="H560" i="9"/>
  <c r="G560" i="9"/>
  <c r="F560" i="9"/>
  <c r="E560" i="9"/>
  <c r="D560" i="9"/>
  <c r="C560" i="9"/>
  <c r="J559" i="9"/>
  <c r="I559" i="9"/>
  <c r="H559" i="9"/>
  <c r="G559" i="9"/>
  <c r="F559" i="9"/>
  <c r="E559" i="9"/>
  <c r="D559" i="9"/>
  <c r="C559" i="9"/>
  <c r="J558" i="9"/>
  <c r="I558" i="9"/>
  <c r="H558" i="9"/>
  <c r="G558" i="9"/>
  <c r="F558" i="9"/>
  <c r="E558" i="9"/>
  <c r="D558" i="9"/>
  <c r="C558" i="9"/>
  <c r="J557" i="9"/>
  <c r="I557" i="9"/>
  <c r="H557" i="9"/>
  <c r="G557" i="9"/>
  <c r="F557" i="9"/>
  <c r="E557" i="9"/>
  <c r="D557" i="9"/>
  <c r="C557" i="9"/>
  <c r="J556" i="9"/>
  <c r="I556" i="9"/>
  <c r="H556" i="9"/>
  <c r="G556" i="9"/>
  <c r="F556" i="9"/>
  <c r="E556" i="9"/>
  <c r="D556" i="9"/>
  <c r="C556" i="9"/>
  <c r="J555" i="9"/>
  <c r="I555" i="9"/>
  <c r="H555" i="9"/>
  <c r="G555" i="9"/>
  <c r="F555" i="9"/>
  <c r="E555" i="9"/>
  <c r="D555" i="9"/>
  <c r="C555" i="9"/>
  <c r="J554" i="9"/>
  <c r="I554" i="9"/>
  <c r="H554" i="9"/>
  <c r="G554" i="9"/>
  <c r="F554" i="9"/>
  <c r="E554" i="9"/>
  <c r="D554" i="9"/>
  <c r="C554" i="9"/>
  <c r="J553" i="9"/>
  <c r="I553" i="9"/>
  <c r="H553" i="9"/>
  <c r="G553" i="9"/>
  <c r="F553" i="9"/>
  <c r="E553" i="9"/>
  <c r="D553" i="9"/>
  <c r="C553" i="9"/>
  <c r="J552" i="9"/>
  <c r="I552" i="9"/>
  <c r="H552" i="9"/>
  <c r="G552" i="9"/>
  <c r="F552" i="9"/>
  <c r="E552" i="9"/>
  <c r="D552" i="9"/>
  <c r="C552" i="9"/>
  <c r="J551" i="9"/>
  <c r="I551" i="9"/>
  <c r="H551" i="9"/>
  <c r="G551" i="9"/>
  <c r="F551" i="9"/>
  <c r="E551" i="9"/>
  <c r="D551" i="9"/>
  <c r="C551" i="9"/>
  <c r="J550" i="9"/>
  <c r="I550" i="9"/>
  <c r="H550" i="9"/>
  <c r="G550" i="9"/>
  <c r="F550" i="9"/>
  <c r="E550" i="9"/>
  <c r="D550" i="9"/>
  <c r="C550" i="9"/>
  <c r="J549" i="9"/>
  <c r="I549" i="9"/>
  <c r="H549" i="9"/>
  <c r="G549" i="9"/>
  <c r="F549" i="9"/>
  <c r="E549" i="9"/>
  <c r="D549" i="9"/>
  <c r="C549" i="9"/>
  <c r="J548" i="9"/>
  <c r="I548" i="9"/>
  <c r="H548" i="9"/>
  <c r="G548" i="9"/>
  <c r="F548" i="9"/>
  <c r="E548" i="9"/>
  <c r="D548" i="9"/>
  <c r="C548" i="9"/>
  <c r="J547" i="9"/>
  <c r="I547" i="9"/>
  <c r="H547" i="9"/>
  <c r="G547" i="9"/>
  <c r="F547" i="9"/>
  <c r="E547" i="9"/>
  <c r="D547" i="9"/>
  <c r="C547" i="9"/>
  <c r="J546" i="9"/>
  <c r="I546" i="9"/>
  <c r="H546" i="9"/>
  <c r="G546" i="9"/>
  <c r="F546" i="9"/>
  <c r="E546" i="9"/>
  <c r="D546" i="9"/>
  <c r="C546" i="9"/>
  <c r="J545" i="9"/>
  <c r="I545" i="9"/>
  <c r="H545" i="9"/>
  <c r="G545" i="9"/>
  <c r="F545" i="9"/>
  <c r="E545" i="9"/>
  <c r="D545" i="9"/>
  <c r="C545" i="9"/>
  <c r="J544" i="9"/>
  <c r="I544" i="9"/>
  <c r="H544" i="9"/>
  <c r="G544" i="9"/>
  <c r="F544" i="9"/>
  <c r="E544" i="9"/>
  <c r="D544" i="9"/>
  <c r="C544" i="9"/>
  <c r="J543" i="9"/>
  <c r="I543" i="9"/>
  <c r="H543" i="9"/>
  <c r="G543" i="9"/>
  <c r="F543" i="9"/>
  <c r="E543" i="9"/>
  <c r="D543" i="9"/>
  <c r="C543" i="9"/>
  <c r="J542" i="9"/>
  <c r="I542" i="9"/>
  <c r="H542" i="9"/>
  <c r="G542" i="9"/>
  <c r="F542" i="9"/>
  <c r="E542" i="9"/>
  <c r="D542" i="9"/>
  <c r="C542" i="9"/>
  <c r="J541" i="9"/>
  <c r="I541" i="9"/>
  <c r="H541" i="9"/>
  <c r="G541" i="9"/>
  <c r="F541" i="9"/>
  <c r="E541" i="9"/>
  <c r="D541" i="9"/>
  <c r="C541" i="9"/>
  <c r="J540" i="9"/>
  <c r="I540" i="9"/>
  <c r="H540" i="9"/>
  <c r="G540" i="9"/>
  <c r="F540" i="9"/>
  <c r="E540" i="9"/>
  <c r="D540" i="9"/>
  <c r="C540" i="9"/>
  <c r="J539" i="9"/>
  <c r="I539" i="9"/>
  <c r="H539" i="9"/>
  <c r="G539" i="9"/>
  <c r="F539" i="9"/>
  <c r="E539" i="9"/>
  <c r="D539" i="9"/>
  <c r="C539" i="9"/>
  <c r="J538" i="9"/>
  <c r="I538" i="9"/>
  <c r="H538" i="9"/>
  <c r="G538" i="9"/>
  <c r="F538" i="9"/>
  <c r="E538" i="9"/>
  <c r="D538" i="9"/>
  <c r="C538" i="9"/>
  <c r="J537" i="9"/>
  <c r="I537" i="9"/>
  <c r="H537" i="9"/>
  <c r="G537" i="9"/>
  <c r="F537" i="9"/>
  <c r="E537" i="9"/>
  <c r="D537" i="9"/>
  <c r="C537" i="9"/>
  <c r="J536" i="9"/>
  <c r="I536" i="9"/>
  <c r="H536" i="9"/>
  <c r="G536" i="9"/>
  <c r="F536" i="9"/>
  <c r="E536" i="9"/>
  <c r="D536" i="9"/>
  <c r="C536" i="9"/>
  <c r="J535" i="9"/>
  <c r="I535" i="9"/>
  <c r="H535" i="9"/>
  <c r="G535" i="9"/>
  <c r="F535" i="9"/>
  <c r="E535" i="9"/>
  <c r="D535" i="9"/>
  <c r="C535" i="9"/>
  <c r="J534" i="9"/>
  <c r="I534" i="9"/>
  <c r="H534" i="9"/>
  <c r="G534" i="9"/>
  <c r="F534" i="9"/>
  <c r="E534" i="9"/>
  <c r="D534" i="9"/>
  <c r="C534" i="9"/>
  <c r="J533" i="9"/>
  <c r="I533" i="9"/>
  <c r="H533" i="9"/>
  <c r="G533" i="9"/>
  <c r="F533" i="9"/>
  <c r="E533" i="9"/>
  <c r="D533" i="9"/>
  <c r="C533" i="9"/>
  <c r="J532" i="9"/>
  <c r="I532" i="9"/>
  <c r="H532" i="9"/>
  <c r="G532" i="9"/>
  <c r="F532" i="9"/>
  <c r="E532" i="9"/>
  <c r="D532" i="9"/>
  <c r="C532" i="9"/>
  <c r="J531" i="9"/>
  <c r="I531" i="9"/>
  <c r="H531" i="9"/>
  <c r="G531" i="9"/>
  <c r="F531" i="9"/>
  <c r="E531" i="9"/>
  <c r="D531" i="9"/>
  <c r="C531" i="9"/>
  <c r="J530" i="9"/>
  <c r="I530" i="9"/>
  <c r="H530" i="9"/>
  <c r="G530" i="9"/>
  <c r="F530" i="9"/>
  <c r="E530" i="9"/>
  <c r="D530" i="9"/>
  <c r="C530" i="9"/>
  <c r="J529" i="9"/>
  <c r="I529" i="9"/>
  <c r="H529" i="9"/>
  <c r="G529" i="9"/>
  <c r="F529" i="9"/>
  <c r="E529" i="9"/>
  <c r="D529" i="9"/>
  <c r="C529" i="9"/>
  <c r="J528" i="9"/>
  <c r="I528" i="9"/>
  <c r="H528" i="9"/>
  <c r="G528" i="9"/>
  <c r="F528" i="9"/>
  <c r="E528" i="9"/>
  <c r="D528" i="9"/>
  <c r="C528" i="9"/>
  <c r="J527" i="9"/>
  <c r="I527" i="9"/>
  <c r="H527" i="9"/>
  <c r="G527" i="9"/>
  <c r="F527" i="9"/>
  <c r="E527" i="9"/>
  <c r="D527" i="9"/>
  <c r="C527" i="9"/>
  <c r="J526" i="9"/>
  <c r="I526" i="9"/>
  <c r="H526" i="9"/>
  <c r="G526" i="9"/>
  <c r="F526" i="9"/>
  <c r="E526" i="9"/>
  <c r="D526" i="9"/>
  <c r="C526" i="9"/>
  <c r="J525" i="9"/>
  <c r="I525" i="9"/>
  <c r="H525" i="9"/>
  <c r="G525" i="9"/>
  <c r="F525" i="9"/>
  <c r="E525" i="9"/>
  <c r="D525" i="9"/>
  <c r="C525" i="9"/>
  <c r="J524" i="9"/>
  <c r="I524" i="9"/>
  <c r="H524" i="9"/>
  <c r="G524" i="9"/>
  <c r="F524" i="9"/>
  <c r="E524" i="9"/>
  <c r="D524" i="9"/>
  <c r="C524" i="9"/>
  <c r="J523" i="9"/>
  <c r="I523" i="9"/>
  <c r="H523" i="9"/>
  <c r="G523" i="9"/>
  <c r="F523" i="9"/>
  <c r="E523" i="9"/>
  <c r="D523" i="9"/>
  <c r="C523" i="9"/>
  <c r="J522" i="9"/>
  <c r="I522" i="9"/>
  <c r="H522" i="9"/>
  <c r="G522" i="9"/>
  <c r="F522" i="9"/>
  <c r="E522" i="9"/>
  <c r="D522" i="9"/>
  <c r="C522" i="9"/>
  <c r="J521" i="9"/>
  <c r="I521" i="9"/>
  <c r="H521" i="9"/>
  <c r="G521" i="9"/>
  <c r="F521" i="9"/>
  <c r="E521" i="9"/>
  <c r="D521" i="9"/>
  <c r="C521" i="9"/>
  <c r="J520" i="9"/>
  <c r="I520" i="9"/>
  <c r="H520" i="9"/>
  <c r="G520" i="9"/>
  <c r="F520" i="9"/>
  <c r="E520" i="9"/>
  <c r="D520" i="9"/>
  <c r="C520" i="9"/>
  <c r="J519" i="9"/>
  <c r="I519" i="9"/>
  <c r="H519" i="9"/>
  <c r="G519" i="9"/>
  <c r="F519" i="9"/>
  <c r="E519" i="9"/>
  <c r="D519" i="9"/>
  <c r="C519" i="9"/>
  <c r="J518" i="9"/>
  <c r="I518" i="9"/>
  <c r="H518" i="9"/>
  <c r="G518" i="9"/>
  <c r="F518" i="9"/>
  <c r="E518" i="9"/>
  <c r="D518" i="9"/>
  <c r="C518" i="9"/>
  <c r="J517" i="9"/>
  <c r="I517" i="9"/>
  <c r="H517" i="9"/>
  <c r="G517" i="9"/>
  <c r="F517" i="9"/>
  <c r="E517" i="9"/>
  <c r="D517" i="9"/>
  <c r="C517" i="9"/>
  <c r="J516" i="9"/>
  <c r="I516" i="9"/>
  <c r="H516" i="9"/>
  <c r="G516" i="9"/>
  <c r="F516" i="9"/>
  <c r="E516" i="9"/>
  <c r="D516" i="9"/>
  <c r="C516" i="9"/>
  <c r="J515" i="9"/>
  <c r="I515" i="9"/>
  <c r="H515" i="9"/>
  <c r="G515" i="9"/>
  <c r="F515" i="9"/>
  <c r="E515" i="9"/>
  <c r="D515" i="9"/>
  <c r="C515" i="9"/>
  <c r="J514" i="9"/>
  <c r="I514" i="9"/>
  <c r="H514" i="9"/>
  <c r="G514" i="9"/>
  <c r="F514" i="9"/>
  <c r="E514" i="9"/>
  <c r="D514" i="9"/>
  <c r="C514" i="9"/>
  <c r="J513" i="9"/>
  <c r="I513" i="9"/>
  <c r="H513" i="9"/>
  <c r="G513" i="9"/>
  <c r="F513" i="9"/>
  <c r="E513" i="9"/>
  <c r="D513" i="9"/>
  <c r="C513" i="9"/>
  <c r="J512" i="9"/>
  <c r="I512" i="9"/>
  <c r="H512" i="9"/>
  <c r="G512" i="9"/>
  <c r="F512" i="9"/>
  <c r="E512" i="9"/>
  <c r="D512" i="9"/>
  <c r="C512" i="9"/>
  <c r="J511" i="9"/>
  <c r="I511" i="9"/>
  <c r="H511" i="9"/>
  <c r="G511" i="9"/>
  <c r="F511" i="9"/>
  <c r="E511" i="9"/>
  <c r="D511" i="9"/>
  <c r="C511" i="9"/>
  <c r="J510" i="9"/>
  <c r="I510" i="9"/>
  <c r="H510" i="9"/>
  <c r="G510" i="9"/>
  <c r="F510" i="9"/>
  <c r="E510" i="9"/>
  <c r="D510" i="9"/>
  <c r="C510" i="9"/>
  <c r="J509" i="9"/>
  <c r="I509" i="9"/>
  <c r="H509" i="9"/>
  <c r="G509" i="9"/>
  <c r="F509" i="9"/>
  <c r="E509" i="9"/>
  <c r="D509" i="9"/>
  <c r="C509" i="9"/>
  <c r="J508" i="9"/>
  <c r="I508" i="9"/>
  <c r="H508" i="9"/>
  <c r="G508" i="9"/>
  <c r="F508" i="9"/>
  <c r="E508" i="9"/>
  <c r="D508" i="9"/>
  <c r="C508" i="9"/>
  <c r="J507" i="9"/>
  <c r="I507" i="9"/>
  <c r="H507" i="9"/>
  <c r="G507" i="9"/>
  <c r="F507" i="9"/>
  <c r="E507" i="9"/>
  <c r="D507" i="9"/>
  <c r="C507" i="9"/>
  <c r="J506" i="9"/>
  <c r="I506" i="9"/>
  <c r="H506" i="9"/>
  <c r="G506" i="9"/>
  <c r="F506" i="9"/>
  <c r="E506" i="9"/>
  <c r="D506" i="9"/>
  <c r="C506" i="9"/>
  <c r="J505" i="9"/>
  <c r="I505" i="9"/>
  <c r="H505" i="9"/>
  <c r="G505" i="9"/>
  <c r="F505" i="9"/>
  <c r="E505" i="9"/>
  <c r="D505" i="9"/>
  <c r="C505" i="9"/>
  <c r="J504" i="9"/>
  <c r="I504" i="9"/>
  <c r="H504" i="9"/>
  <c r="G504" i="9"/>
  <c r="F504" i="9"/>
  <c r="E504" i="9"/>
  <c r="D504" i="9"/>
  <c r="C504" i="9"/>
  <c r="J503" i="9"/>
  <c r="I503" i="9"/>
  <c r="H503" i="9"/>
  <c r="G503" i="9"/>
  <c r="F503" i="9"/>
  <c r="E503" i="9"/>
  <c r="D503" i="9"/>
  <c r="C503" i="9"/>
  <c r="J502" i="9"/>
  <c r="I502" i="9"/>
  <c r="H502" i="9"/>
  <c r="G502" i="9"/>
  <c r="F502" i="9"/>
  <c r="E502" i="9"/>
  <c r="D502" i="9"/>
  <c r="C502" i="9"/>
  <c r="J501" i="9"/>
  <c r="I501" i="9"/>
  <c r="H501" i="9"/>
  <c r="G501" i="9"/>
  <c r="F501" i="9"/>
  <c r="E501" i="9"/>
  <c r="D501" i="9"/>
  <c r="C501" i="9"/>
  <c r="J500" i="9"/>
  <c r="I500" i="9"/>
  <c r="H500" i="9"/>
  <c r="G500" i="9"/>
  <c r="F500" i="9"/>
  <c r="E500" i="9"/>
  <c r="D500" i="9"/>
  <c r="C500" i="9"/>
  <c r="J499" i="9"/>
  <c r="I499" i="9"/>
  <c r="H499" i="9"/>
  <c r="G499" i="9"/>
  <c r="F499" i="9"/>
  <c r="E499" i="9"/>
  <c r="D499" i="9"/>
  <c r="C499" i="9"/>
  <c r="J498" i="9"/>
  <c r="I498" i="9"/>
  <c r="H498" i="9"/>
  <c r="G498" i="9"/>
  <c r="F498" i="9"/>
  <c r="E498" i="9"/>
  <c r="D498" i="9"/>
  <c r="C498" i="9"/>
  <c r="J497" i="9"/>
  <c r="I497" i="9"/>
  <c r="H497" i="9"/>
  <c r="G497" i="9"/>
  <c r="F497" i="9"/>
  <c r="E497" i="9"/>
  <c r="D497" i="9"/>
  <c r="C497" i="9"/>
  <c r="J496" i="9"/>
  <c r="I496" i="9"/>
  <c r="H496" i="9"/>
  <c r="G496" i="9"/>
  <c r="F496" i="9"/>
  <c r="E496" i="9"/>
  <c r="D496" i="9"/>
  <c r="C496" i="9"/>
  <c r="J495" i="9"/>
  <c r="I495" i="9"/>
  <c r="H495" i="9"/>
  <c r="G495" i="9"/>
  <c r="F495" i="9"/>
  <c r="E495" i="9"/>
  <c r="D495" i="9"/>
  <c r="C495" i="9"/>
  <c r="J494" i="9"/>
  <c r="I494" i="9"/>
  <c r="H494" i="9"/>
  <c r="G494" i="9"/>
  <c r="F494" i="9"/>
  <c r="E494" i="9"/>
  <c r="D494" i="9"/>
  <c r="C494" i="9"/>
  <c r="J493" i="9"/>
  <c r="I493" i="9"/>
  <c r="H493" i="9"/>
  <c r="G493" i="9"/>
  <c r="F493" i="9"/>
  <c r="E493" i="9"/>
  <c r="D493" i="9"/>
  <c r="C493" i="9"/>
  <c r="J492" i="9"/>
  <c r="I492" i="9"/>
  <c r="H492" i="9"/>
  <c r="G492" i="9"/>
  <c r="F492" i="9"/>
  <c r="E492" i="9"/>
  <c r="D492" i="9"/>
  <c r="C492" i="9"/>
  <c r="J491" i="9"/>
  <c r="I491" i="9"/>
  <c r="H491" i="9"/>
  <c r="G491" i="9"/>
  <c r="F491" i="9"/>
  <c r="E491" i="9"/>
  <c r="D491" i="9"/>
  <c r="C491" i="9"/>
  <c r="J490" i="9"/>
  <c r="I490" i="9"/>
  <c r="H490" i="9"/>
  <c r="G490" i="9"/>
  <c r="F490" i="9"/>
  <c r="E490" i="9"/>
  <c r="D490" i="9"/>
  <c r="C490" i="9"/>
  <c r="J489" i="9"/>
  <c r="I489" i="9"/>
  <c r="H489" i="9"/>
  <c r="G489" i="9"/>
  <c r="F489" i="9"/>
  <c r="E489" i="9"/>
  <c r="D489" i="9"/>
  <c r="C489" i="9"/>
  <c r="J488" i="9"/>
  <c r="I488" i="9"/>
  <c r="H488" i="9"/>
  <c r="G488" i="9"/>
  <c r="F488" i="9"/>
  <c r="E488" i="9"/>
  <c r="D488" i="9"/>
  <c r="C488" i="9"/>
  <c r="J487" i="9"/>
  <c r="I487" i="9"/>
  <c r="H487" i="9"/>
  <c r="G487" i="9"/>
  <c r="F487" i="9"/>
  <c r="E487" i="9"/>
  <c r="D487" i="9"/>
  <c r="C487" i="9"/>
  <c r="J486" i="9"/>
  <c r="I486" i="9"/>
  <c r="H486" i="9"/>
  <c r="G486" i="9"/>
  <c r="F486" i="9"/>
  <c r="E486" i="9"/>
  <c r="D486" i="9"/>
  <c r="C486" i="9"/>
  <c r="J485" i="9"/>
  <c r="I485" i="9"/>
  <c r="H485" i="9"/>
  <c r="G485" i="9"/>
  <c r="F485" i="9"/>
  <c r="E485" i="9"/>
  <c r="D485" i="9"/>
  <c r="C485" i="9"/>
  <c r="J484" i="9"/>
  <c r="I484" i="9"/>
  <c r="H484" i="9"/>
  <c r="G484" i="9"/>
  <c r="F484" i="9"/>
  <c r="E484" i="9"/>
  <c r="D484" i="9"/>
  <c r="C484" i="9"/>
  <c r="J483" i="9"/>
  <c r="I483" i="9"/>
  <c r="H483" i="9"/>
  <c r="G483" i="9"/>
  <c r="F483" i="9"/>
  <c r="E483" i="9"/>
  <c r="D483" i="9"/>
  <c r="C483" i="9"/>
  <c r="J482" i="9"/>
  <c r="I482" i="9"/>
  <c r="H482" i="9"/>
  <c r="G482" i="9"/>
  <c r="F482" i="9"/>
  <c r="E482" i="9"/>
  <c r="D482" i="9"/>
  <c r="C482" i="9"/>
  <c r="J481" i="9"/>
  <c r="I481" i="9"/>
  <c r="H481" i="9"/>
  <c r="G481" i="9"/>
  <c r="F481" i="9"/>
  <c r="E481" i="9"/>
  <c r="D481" i="9"/>
  <c r="C481" i="9"/>
  <c r="J480" i="9"/>
  <c r="I480" i="9"/>
  <c r="H480" i="9"/>
  <c r="G480" i="9"/>
  <c r="F480" i="9"/>
  <c r="E480" i="9"/>
  <c r="D480" i="9"/>
  <c r="C480" i="9"/>
  <c r="J479" i="9"/>
  <c r="I479" i="9"/>
  <c r="H479" i="9"/>
  <c r="G479" i="9"/>
  <c r="F479" i="9"/>
  <c r="E479" i="9"/>
  <c r="D479" i="9"/>
  <c r="C479" i="9"/>
  <c r="J478" i="9"/>
  <c r="I478" i="9"/>
  <c r="H478" i="9"/>
  <c r="G478" i="9"/>
  <c r="F478" i="9"/>
  <c r="E478" i="9"/>
  <c r="D478" i="9"/>
  <c r="C478" i="9"/>
  <c r="J477" i="9"/>
  <c r="I477" i="9"/>
  <c r="H477" i="9"/>
  <c r="G477" i="9"/>
  <c r="F477" i="9"/>
  <c r="E477" i="9"/>
  <c r="D477" i="9"/>
  <c r="C477" i="9"/>
  <c r="J476" i="9"/>
  <c r="I476" i="9"/>
  <c r="H476" i="9"/>
  <c r="G476" i="9"/>
  <c r="F476" i="9"/>
  <c r="E476" i="9"/>
  <c r="D476" i="9"/>
  <c r="C476" i="9"/>
  <c r="J475" i="9"/>
  <c r="I475" i="9"/>
  <c r="H475" i="9"/>
  <c r="G475" i="9"/>
  <c r="F475" i="9"/>
  <c r="E475" i="9"/>
  <c r="D475" i="9"/>
  <c r="C475" i="9"/>
  <c r="J474" i="9"/>
  <c r="I474" i="9"/>
  <c r="H474" i="9"/>
  <c r="G474" i="9"/>
  <c r="F474" i="9"/>
  <c r="E474" i="9"/>
  <c r="D474" i="9"/>
  <c r="C474" i="9"/>
  <c r="J473" i="9"/>
  <c r="I473" i="9"/>
  <c r="H473" i="9"/>
  <c r="G473" i="9"/>
  <c r="F473" i="9"/>
  <c r="E473" i="9"/>
  <c r="D473" i="9"/>
  <c r="C473" i="9"/>
  <c r="J472" i="9"/>
  <c r="I472" i="9"/>
  <c r="H472" i="9"/>
  <c r="G472" i="9"/>
  <c r="F472" i="9"/>
  <c r="E472" i="9"/>
  <c r="D472" i="9"/>
  <c r="C472" i="9"/>
  <c r="J471" i="9"/>
  <c r="I471" i="9"/>
  <c r="H471" i="9"/>
  <c r="G471" i="9"/>
  <c r="F471" i="9"/>
  <c r="E471" i="9"/>
  <c r="D471" i="9"/>
  <c r="C471" i="9"/>
  <c r="J470" i="9"/>
  <c r="I470" i="9"/>
  <c r="H470" i="9"/>
  <c r="G470" i="9"/>
  <c r="F470" i="9"/>
  <c r="E470" i="9"/>
  <c r="D470" i="9"/>
  <c r="C470" i="9"/>
  <c r="J469" i="9"/>
  <c r="I469" i="9"/>
  <c r="H469" i="9"/>
  <c r="G469" i="9"/>
  <c r="F469" i="9"/>
  <c r="E469" i="9"/>
  <c r="D469" i="9"/>
  <c r="C469" i="9"/>
  <c r="J468" i="9"/>
  <c r="I468" i="9"/>
  <c r="H468" i="9"/>
  <c r="G468" i="9"/>
  <c r="F468" i="9"/>
  <c r="E468" i="9"/>
  <c r="D468" i="9"/>
  <c r="C468" i="9"/>
  <c r="J467" i="9"/>
  <c r="I467" i="9"/>
  <c r="H467" i="9"/>
  <c r="G467" i="9"/>
  <c r="F467" i="9"/>
  <c r="E467" i="9"/>
  <c r="D467" i="9"/>
  <c r="C467" i="9"/>
  <c r="J466" i="9"/>
  <c r="I466" i="9"/>
  <c r="H466" i="9"/>
  <c r="G466" i="9"/>
  <c r="F466" i="9"/>
  <c r="E466" i="9"/>
  <c r="D466" i="9"/>
  <c r="C466" i="9"/>
  <c r="J465" i="9"/>
  <c r="I465" i="9"/>
  <c r="H465" i="9"/>
  <c r="G465" i="9"/>
  <c r="F465" i="9"/>
  <c r="E465" i="9"/>
  <c r="D465" i="9"/>
  <c r="C465" i="9"/>
  <c r="J464" i="9"/>
  <c r="I464" i="9"/>
  <c r="H464" i="9"/>
  <c r="G464" i="9"/>
  <c r="F464" i="9"/>
  <c r="E464" i="9"/>
  <c r="D464" i="9"/>
  <c r="C464" i="9"/>
  <c r="J463" i="9"/>
  <c r="I463" i="9"/>
  <c r="H463" i="9"/>
  <c r="G463" i="9"/>
  <c r="F463" i="9"/>
  <c r="E463" i="9"/>
  <c r="D463" i="9"/>
  <c r="C463" i="9"/>
  <c r="J462" i="9"/>
  <c r="I462" i="9"/>
  <c r="H462" i="9"/>
  <c r="G462" i="9"/>
  <c r="F462" i="9"/>
  <c r="E462" i="9"/>
  <c r="D462" i="9"/>
  <c r="C462" i="9"/>
  <c r="J461" i="9"/>
  <c r="I461" i="9"/>
  <c r="H461" i="9"/>
  <c r="G461" i="9"/>
  <c r="F461" i="9"/>
  <c r="E461" i="9"/>
  <c r="D461" i="9"/>
  <c r="C461" i="9"/>
  <c r="J460" i="9"/>
  <c r="I460" i="9"/>
  <c r="H460" i="9"/>
  <c r="G460" i="9"/>
  <c r="F460" i="9"/>
  <c r="E460" i="9"/>
  <c r="D460" i="9"/>
  <c r="C460" i="9"/>
  <c r="J459" i="9"/>
  <c r="I459" i="9"/>
  <c r="H459" i="9"/>
  <c r="G459" i="9"/>
  <c r="F459" i="9"/>
  <c r="E459" i="9"/>
  <c r="D459" i="9"/>
  <c r="C459" i="9"/>
  <c r="J458" i="9"/>
  <c r="I458" i="9"/>
  <c r="H458" i="9"/>
  <c r="G458" i="9"/>
  <c r="F458" i="9"/>
  <c r="E458" i="9"/>
  <c r="D458" i="9"/>
  <c r="C458" i="9"/>
  <c r="J457" i="9"/>
  <c r="I457" i="9"/>
  <c r="H457" i="9"/>
  <c r="G457" i="9"/>
  <c r="F457" i="9"/>
  <c r="E457" i="9"/>
  <c r="D457" i="9"/>
  <c r="C457" i="9"/>
  <c r="J456" i="9"/>
  <c r="I456" i="9"/>
  <c r="H456" i="9"/>
  <c r="G456" i="9"/>
  <c r="F456" i="9"/>
  <c r="E456" i="9"/>
  <c r="D456" i="9"/>
  <c r="C456" i="9"/>
  <c r="J455" i="9"/>
  <c r="I455" i="9"/>
  <c r="H455" i="9"/>
  <c r="G455" i="9"/>
  <c r="F455" i="9"/>
  <c r="E455" i="9"/>
  <c r="D455" i="9"/>
  <c r="C455" i="9"/>
  <c r="J454" i="9"/>
  <c r="I454" i="9"/>
  <c r="H454" i="9"/>
  <c r="G454" i="9"/>
  <c r="F454" i="9"/>
  <c r="E454" i="9"/>
  <c r="D454" i="9"/>
  <c r="C454" i="9"/>
  <c r="J453" i="9"/>
  <c r="I453" i="9"/>
  <c r="H453" i="9"/>
  <c r="G453" i="9"/>
  <c r="F453" i="9"/>
  <c r="E453" i="9"/>
  <c r="D453" i="9"/>
  <c r="C453" i="9"/>
  <c r="J452" i="9"/>
  <c r="I452" i="9"/>
  <c r="H452" i="9"/>
  <c r="G452" i="9"/>
  <c r="F452" i="9"/>
  <c r="E452" i="9"/>
  <c r="D452" i="9"/>
  <c r="C452" i="9"/>
  <c r="J451" i="9"/>
  <c r="I451" i="9"/>
  <c r="H451" i="9"/>
  <c r="G451" i="9"/>
  <c r="F451" i="9"/>
  <c r="E451" i="9"/>
  <c r="D451" i="9"/>
  <c r="C451" i="9"/>
  <c r="J450" i="9"/>
  <c r="I450" i="9"/>
  <c r="H450" i="9"/>
  <c r="G450" i="9"/>
  <c r="F450" i="9"/>
  <c r="E450" i="9"/>
  <c r="D450" i="9"/>
  <c r="C450" i="9"/>
  <c r="J449" i="9"/>
  <c r="I449" i="9"/>
  <c r="H449" i="9"/>
  <c r="G449" i="9"/>
  <c r="F449" i="9"/>
  <c r="E449" i="9"/>
  <c r="D449" i="9"/>
  <c r="C449" i="9"/>
  <c r="J448" i="9"/>
  <c r="I448" i="9"/>
  <c r="H448" i="9"/>
  <c r="G448" i="9"/>
  <c r="F448" i="9"/>
  <c r="E448" i="9"/>
  <c r="D448" i="9"/>
  <c r="C448" i="9"/>
  <c r="J447" i="9"/>
  <c r="I447" i="9"/>
  <c r="H447" i="9"/>
  <c r="G447" i="9"/>
  <c r="F447" i="9"/>
  <c r="E447" i="9"/>
  <c r="D447" i="9"/>
  <c r="C447" i="9"/>
  <c r="J446" i="9"/>
  <c r="I446" i="9"/>
  <c r="H446" i="9"/>
  <c r="G446" i="9"/>
  <c r="F446" i="9"/>
  <c r="E446" i="9"/>
  <c r="D446" i="9"/>
  <c r="C446" i="9"/>
  <c r="J445" i="9"/>
  <c r="I445" i="9"/>
  <c r="H445" i="9"/>
  <c r="G445" i="9"/>
  <c r="F445" i="9"/>
  <c r="E445" i="9"/>
  <c r="D445" i="9"/>
  <c r="C445" i="9"/>
  <c r="J444" i="9"/>
  <c r="I444" i="9"/>
  <c r="H444" i="9"/>
  <c r="G444" i="9"/>
  <c r="F444" i="9"/>
  <c r="E444" i="9"/>
  <c r="D444" i="9"/>
  <c r="C444" i="9"/>
  <c r="J443" i="9"/>
  <c r="I443" i="9"/>
  <c r="H443" i="9"/>
  <c r="G443" i="9"/>
  <c r="F443" i="9"/>
  <c r="E443" i="9"/>
  <c r="D443" i="9"/>
  <c r="C443" i="9"/>
  <c r="J442" i="9"/>
  <c r="I442" i="9"/>
  <c r="H442" i="9"/>
  <c r="G442" i="9"/>
  <c r="F442" i="9"/>
  <c r="E442" i="9"/>
  <c r="D442" i="9"/>
  <c r="C442" i="9"/>
  <c r="J441" i="9"/>
  <c r="I441" i="9"/>
  <c r="H441" i="9"/>
  <c r="G441" i="9"/>
  <c r="F441" i="9"/>
  <c r="E441" i="9"/>
  <c r="D441" i="9"/>
  <c r="C441" i="9"/>
  <c r="J440" i="9"/>
  <c r="I440" i="9"/>
  <c r="H440" i="9"/>
  <c r="G440" i="9"/>
  <c r="F440" i="9"/>
  <c r="E440" i="9"/>
  <c r="D440" i="9"/>
  <c r="C440" i="9"/>
  <c r="J439" i="9"/>
  <c r="I439" i="9"/>
  <c r="H439" i="9"/>
  <c r="G439" i="9"/>
  <c r="F439" i="9"/>
  <c r="E439" i="9"/>
  <c r="D439" i="9"/>
  <c r="C439" i="9"/>
  <c r="J438" i="9"/>
  <c r="I438" i="9"/>
  <c r="H438" i="9"/>
  <c r="G438" i="9"/>
  <c r="F438" i="9"/>
  <c r="E438" i="9"/>
  <c r="D438" i="9"/>
  <c r="C438" i="9"/>
  <c r="J437" i="9"/>
  <c r="I437" i="9"/>
  <c r="H437" i="9"/>
  <c r="G437" i="9"/>
  <c r="F437" i="9"/>
  <c r="E437" i="9"/>
  <c r="D437" i="9"/>
  <c r="C437" i="9"/>
  <c r="J436" i="9"/>
  <c r="I436" i="9"/>
  <c r="H436" i="9"/>
  <c r="G436" i="9"/>
  <c r="F436" i="9"/>
  <c r="E436" i="9"/>
  <c r="D436" i="9"/>
  <c r="C436" i="9"/>
  <c r="J435" i="9"/>
  <c r="I435" i="9"/>
  <c r="H435" i="9"/>
  <c r="G435" i="9"/>
  <c r="F435" i="9"/>
  <c r="E435" i="9"/>
  <c r="D435" i="9"/>
  <c r="C435" i="9"/>
  <c r="J434" i="9"/>
  <c r="I434" i="9"/>
  <c r="H434" i="9"/>
  <c r="G434" i="9"/>
  <c r="F434" i="9"/>
  <c r="E434" i="9"/>
  <c r="D434" i="9"/>
  <c r="C434" i="9"/>
  <c r="J433" i="9"/>
  <c r="I433" i="9"/>
  <c r="H433" i="9"/>
  <c r="G433" i="9"/>
  <c r="F433" i="9"/>
  <c r="E433" i="9"/>
  <c r="D433" i="9"/>
  <c r="C433" i="9"/>
  <c r="J432" i="9"/>
  <c r="I432" i="9"/>
  <c r="H432" i="9"/>
  <c r="G432" i="9"/>
  <c r="F432" i="9"/>
  <c r="E432" i="9"/>
  <c r="D432" i="9"/>
  <c r="C432" i="9"/>
  <c r="J431" i="9"/>
  <c r="I431" i="9"/>
  <c r="H431" i="9"/>
  <c r="G431" i="9"/>
  <c r="F431" i="9"/>
  <c r="E431" i="9"/>
  <c r="D431" i="9"/>
  <c r="C431" i="9"/>
  <c r="J430" i="9"/>
  <c r="I430" i="9"/>
  <c r="H430" i="9"/>
  <c r="G430" i="9"/>
  <c r="F430" i="9"/>
  <c r="E430" i="9"/>
  <c r="D430" i="9"/>
  <c r="C430" i="9"/>
  <c r="J429" i="9"/>
  <c r="I429" i="9"/>
  <c r="H429" i="9"/>
  <c r="G429" i="9"/>
  <c r="F429" i="9"/>
  <c r="E429" i="9"/>
  <c r="D429" i="9"/>
  <c r="C429" i="9"/>
  <c r="J428" i="9"/>
  <c r="I428" i="9"/>
  <c r="H428" i="9"/>
  <c r="G428" i="9"/>
  <c r="F428" i="9"/>
  <c r="E428" i="9"/>
  <c r="D428" i="9"/>
  <c r="C428" i="9"/>
  <c r="J427" i="9"/>
  <c r="I427" i="9"/>
  <c r="H427" i="9"/>
  <c r="G427" i="9"/>
  <c r="F427" i="9"/>
  <c r="E427" i="9"/>
  <c r="D427" i="9"/>
  <c r="C427" i="9"/>
  <c r="J426" i="9"/>
  <c r="I426" i="9"/>
  <c r="H426" i="9"/>
  <c r="G426" i="9"/>
  <c r="F426" i="9"/>
  <c r="E426" i="9"/>
  <c r="D426" i="9"/>
  <c r="C426" i="9"/>
  <c r="J425" i="9"/>
  <c r="I425" i="9"/>
  <c r="H425" i="9"/>
  <c r="G425" i="9"/>
  <c r="F425" i="9"/>
  <c r="E425" i="9"/>
  <c r="D425" i="9"/>
  <c r="C425" i="9"/>
  <c r="J424" i="9"/>
  <c r="I424" i="9"/>
  <c r="H424" i="9"/>
  <c r="G424" i="9"/>
  <c r="F424" i="9"/>
  <c r="E424" i="9"/>
  <c r="D424" i="9"/>
  <c r="C424" i="9"/>
  <c r="J423" i="9"/>
  <c r="I423" i="9"/>
  <c r="H423" i="9"/>
  <c r="G423" i="9"/>
  <c r="F423" i="9"/>
  <c r="E423" i="9"/>
  <c r="D423" i="9"/>
  <c r="C423" i="9"/>
  <c r="J422" i="9"/>
  <c r="I422" i="9"/>
  <c r="H422" i="9"/>
  <c r="G422" i="9"/>
  <c r="F422" i="9"/>
  <c r="E422" i="9"/>
  <c r="D422" i="9"/>
  <c r="C422" i="9"/>
  <c r="J421" i="9"/>
  <c r="I421" i="9"/>
  <c r="H421" i="9"/>
  <c r="G421" i="9"/>
  <c r="F421" i="9"/>
  <c r="E421" i="9"/>
  <c r="D421" i="9"/>
  <c r="C421" i="9"/>
  <c r="J420" i="9"/>
  <c r="I420" i="9"/>
  <c r="H420" i="9"/>
  <c r="G420" i="9"/>
  <c r="F420" i="9"/>
  <c r="E420" i="9"/>
  <c r="D420" i="9"/>
  <c r="C420" i="9"/>
  <c r="J419" i="9"/>
  <c r="I419" i="9"/>
  <c r="H419" i="9"/>
  <c r="G419" i="9"/>
  <c r="F419" i="9"/>
  <c r="E419" i="9"/>
  <c r="D419" i="9"/>
  <c r="C419" i="9"/>
  <c r="J418" i="9"/>
  <c r="I418" i="9"/>
  <c r="H418" i="9"/>
  <c r="G418" i="9"/>
  <c r="F418" i="9"/>
  <c r="E418" i="9"/>
  <c r="D418" i="9"/>
  <c r="C418" i="9"/>
  <c r="J417" i="9"/>
  <c r="I417" i="9"/>
  <c r="H417" i="9"/>
  <c r="G417" i="9"/>
  <c r="F417" i="9"/>
  <c r="E417" i="9"/>
  <c r="D417" i="9"/>
  <c r="C417" i="9"/>
  <c r="J416" i="9"/>
  <c r="I416" i="9"/>
  <c r="H416" i="9"/>
  <c r="G416" i="9"/>
  <c r="F416" i="9"/>
  <c r="E416" i="9"/>
  <c r="D416" i="9"/>
  <c r="C416" i="9"/>
  <c r="J415" i="9"/>
  <c r="I415" i="9"/>
  <c r="H415" i="9"/>
  <c r="G415" i="9"/>
  <c r="F415" i="9"/>
  <c r="E415" i="9"/>
  <c r="D415" i="9"/>
  <c r="C415" i="9"/>
  <c r="J414" i="9"/>
  <c r="I414" i="9"/>
  <c r="H414" i="9"/>
  <c r="G414" i="9"/>
  <c r="F414" i="9"/>
  <c r="E414" i="9"/>
  <c r="D414" i="9"/>
  <c r="C414" i="9"/>
  <c r="J413" i="9"/>
  <c r="I413" i="9"/>
  <c r="H413" i="9"/>
  <c r="G413" i="9"/>
  <c r="F413" i="9"/>
  <c r="E413" i="9"/>
  <c r="D413" i="9"/>
  <c r="C413" i="9"/>
  <c r="J412" i="9"/>
  <c r="I412" i="9"/>
  <c r="H412" i="9"/>
  <c r="G412" i="9"/>
  <c r="F412" i="9"/>
  <c r="E412" i="9"/>
  <c r="D412" i="9"/>
  <c r="C412" i="9"/>
  <c r="J411" i="9"/>
  <c r="I411" i="9"/>
  <c r="H411" i="9"/>
  <c r="G411" i="9"/>
  <c r="F411" i="9"/>
  <c r="E411" i="9"/>
  <c r="D411" i="9"/>
  <c r="C411" i="9"/>
  <c r="J410" i="9"/>
  <c r="I410" i="9"/>
  <c r="H410" i="9"/>
  <c r="G410" i="9"/>
  <c r="F410" i="9"/>
  <c r="E410" i="9"/>
  <c r="D410" i="9"/>
  <c r="C410" i="9"/>
  <c r="J409" i="9"/>
  <c r="I409" i="9"/>
  <c r="H409" i="9"/>
  <c r="G409" i="9"/>
  <c r="F409" i="9"/>
  <c r="E409" i="9"/>
  <c r="D409" i="9"/>
  <c r="C409" i="9"/>
  <c r="J408" i="9"/>
  <c r="I408" i="9"/>
  <c r="H408" i="9"/>
  <c r="G408" i="9"/>
  <c r="F408" i="9"/>
  <c r="E408" i="9"/>
  <c r="D408" i="9"/>
  <c r="C408" i="9"/>
  <c r="J407" i="9"/>
  <c r="I407" i="9"/>
  <c r="H407" i="9"/>
  <c r="G407" i="9"/>
  <c r="F407" i="9"/>
  <c r="E407" i="9"/>
  <c r="D407" i="9"/>
  <c r="C407" i="9"/>
  <c r="J406" i="9"/>
  <c r="I406" i="9"/>
  <c r="H406" i="9"/>
  <c r="G406" i="9"/>
  <c r="F406" i="9"/>
  <c r="E406" i="9"/>
  <c r="D406" i="9"/>
  <c r="C406" i="9"/>
  <c r="J405" i="9"/>
  <c r="I405" i="9"/>
  <c r="H405" i="9"/>
  <c r="G405" i="9"/>
  <c r="F405" i="9"/>
  <c r="E405" i="9"/>
  <c r="D405" i="9"/>
  <c r="C405" i="9"/>
  <c r="J404" i="9"/>
  <c r="I404" i="9"/>
  <c r="H404" i="9"/>
  <c r="G404" i="9"/>
  <c r="F404" i="9"/>
  <c r="E404" i="9"/>
  <c r="D404" i="9"/>
  <c r="C404" i="9"/>
  <c r="J403" i="9"/>
  <c r="I403" i="9"/>
  <c r="H403" i="9"/>
  <c r="G403" i="9"/>
  <c r="F403" i="9"/>
  <c r="E403" i="9"/>
  <c r="D403" i="9"/>
  <c r="C403" i="9"/>
  <c r="J402" i="9"/>
  <c r="I402" i="9"/>
  <c r="H402" i="9"/>
  <c r="G402" i="9"/>
  <c r="F402" i="9"/>
  <c r="E402" i="9"/>
  <c r="D402" i="9"/>
  <c r="C402" i="9"/>
  <c r="J401" i="9"/>
  <c r="I401" i="9"/>
  <c r="H401" i="9"/>
  <c r="G401" i="9"/>
  <c r="F401" i="9"/>
  <c r="E401" i="9"/>
  <c r="D401" i="9"/>
  <c r="C401" i="9"/>
  <c r="J400" i="9"/>
  <c r="I400" i="9"/>
  <c r="H400" i="9"/>
  <c r="G400" i="9"/>
  <c r="F400" i="9"/>
  <c r="E400" i="9"/>
  <c r="D400" i="9"/>
  <c r="C400" i="9"/>
  <c r="J399" i="9"/>
  <c r="I399" i="9"/>
  <c r="H399" i="9"/>
  <c r="G399" i="9"/>
  <c r="F399" i="9"/>
  <c r="E399" i="9"/>
  <c r="D399" i="9"/>
  <c r="C399" i="9"/>
  <c r="J398" i="9"/>
  <c r="I398" i="9"/>
  <c r="H398" i="9"/>
  <c r="G398" i="9"/>
  <c r="F398" i="9"/>
  <c r="E398" i="9"/>
  <c r="D398" i="9"/>
  <c r="C398" i="9"/>
  <c r="J397" i="9"/>
  <c r="I397" i="9"/>
  <c r="H397" i="9"/>
  <c r="G397" i="9"/>
  <c r="F397" i="9"/>
  <c r="E397" i="9"/>
  <c r="D397" i="9"/>
  <c r="C397" i="9"/>
  <c r="J396" i="9"/>
  <c r="I396" i="9"/>
  <c r="H396" i="9"/>
  <c r="G396" i="9"/>
  <c r="F396" i="9"/>
  <c r="E396" i="9"/>
  <c r="D396" i="9"/>
  <c r="C396" i="9"/>
  <c r="J395" i="9"/>
  <c r="I395" i="9"/>
  <c r="H395" i="9"/>
  <c r="G395" i="9"/>
  <c r="F395" i="9"/>
  <c r="E395" i="9"/>
  <c r="D395" i="9"/>
  <c r="C395" i="9"/>
  <c r="J394" i="9"/>
  <c r="I394" i="9"/>
  <c r="H394" i="9"/>
  <c r="G394" i="9"/>
  <c r="F394" i="9"/>
  <c r="E394" i="9"/>
  <c r="D394" i="9"/>
  <c r="C394" i="9"/>
  <c r="J393" i="9"/>
  <c r="I393" i="9"/>
  <c r="H393" i="9"/>
  <c r="G393" i="9"/>
  <c r="F393" i="9"/>
  <c r="E393" i="9"/>
  <c r="D393" i="9"/>
  <c r="C393" i="9"/>
  <c r="J392" i="9"/>
  <c r="I392" i="9"/>
  <c r="H392" i="9"/>
  <c r="G392" i="9"/>
  <c r="F392" i="9"/>
  <c r="E392" i="9"/>
  <c r="D392" i="9"/>
  <c r="C392" i="9"/>
  <c r="J391" i="9"/>
  <c r="I391" i="9"/>
  <c r="H391" i="9"/>
  <c r="G391" i="9"/>
  <c r="F391" i="9"/>
  <c r="E391" i="9"/>
  <c r="D391" i="9"/>
  <c r="C391" i="9"/>
  <c r="J390" i="9"/>
  <c r="I390" i="9"/>
  <c r="H390" i="9"/>
  <c r="G390" i="9"/>
  <c r="F390" i="9"/>
  <c r="E390" i="9"/>
  <c r="D390" i="9"/>
  <c r="C390" i="9"/>
  <c r="J389" i="9"/>
  <c r="I389" i="9"/>
  <c r="H389" i="9"/>
  <c r="G389" i="9"/>
  <c r="F389" i="9"/>
  <c r="E389" i="9"/>
  <c r="D389" i="9"/>
  <c r="C389" i="9"/>
  <c r="J388" i="9"/>
  <c r="I388" i="9"/>
  <c r="H388" i="9"/>
  <c r="G388" i="9"/>
  <c r="F388" i="9"/>
  <c r="E388" i="9"/>
  <c r="D388" i="9"/>
  <c r="C388" i="9"/>
  <c r="J387" i="9"/>
  <c r="I387" i="9"/>
  <c r="H387" i="9"/>
  <c r="G387" i="9"/>
  <c r="F387" i="9"/>
  <c r="E387" i="9"/>
  <c r="D387" i="9"/>
  <c r="C387" i="9"/>
  <c r="J386" i="9"/>
  <c r="I386" i="9"/>
  <c r="H386" i="9"/>
  <c r="G386" i="9"/>
  <c r="F386" i="9"/>
  <c r="E386" i="9"/>
  <c r="D386" i="9"/>
  <c r="C386" i="9"/>
  <c r="J385" i="9"/>
  <c r="I385" i="9"/>
  <c r="H385" i="9"/>
  <c r="G385" i="9"/>
  <c r="F385" i="9"/>
  <c r="E385" i="9"/>
  <c r="D385" i="9"/>
  <c r="C385" i="9"/>
  <c r="J384" i="9"/>
  <c r="I384" i="9"/>
  <c r="H384" i="9"/>
  <c r="G384" i="9"/>
  <c r="F384" i="9"/>
  <c r="E384" i="9"/>
  <c r="D384" i="9"/>
  <c r="C384" i="9"/>
  <c r="J383" i="9"/>
  <c r="I383" i="9"/>
  <c r="H383" i="9"/>
  <c r="G383" i="9"/>
  <c r="F383" i="9"/>
  <c r="E383" i="9"/>
  <c r="D383" i="9"/>
  <c r="C383" i="9"/>
  <c r="J382" i="9"/>
  <c r="I382" i="9"/>
  <c r="H382" i="9"/>
  <c r="G382" i="9"/>
  <c r="F382" i="9"/>
  <c r="E382" i="9"/>
  <c r="D382" i="9"/>
  <c r="C382" i="9"/>
  <c r="J381" i="9"/>
  <c r="I381" i="9"/>
  <c r="H381" i="9"/>
  <c r="G381" i="9"/>
  <c r="F381" i="9"/>
  <c r="E381" i="9"/>
  <c r="D381" i="9"/>
  <c r="C381" i="9"/>
  <c r="J380" i="9"/>
  <c r="I380" i="9"/>
  <c r="H380" i="9"/>
  <c r="G380" i="9"/>
  <c r="F380" i="9"/>
  <c r="E380" i="9"/>
  <c r="D380" i="9"/>
  <c r="C380" i="9"/>
  <c r="J379" i="9"/>
  <c r="I379" i="9"/>
  <c r="H379" i="9"/>
  <c r="G379" i="9"/>
  <c r="F379" i="9"/>
  <c r="E379" i="9"/>
  <c r="D379" i="9"/>
  <c r="C379" i="9"/>
  <c r="J378" i="9"/>
  <c r="I378" i="9"/>
  <c r="H378" i="9"/>
  <c r="G378" i="9"/>
  <c r="F378" i="9"/>
  <c r="E378" i="9"/>
  <c r="D378" i="9"/>
  <c r="C378" i="9"/>
  <c r="J377" i="9"/>
  <c r="I377" i="9"/>
  <c r="H377" i="9"/>
  <c r="G377" i="9"/>
  <c r="F377" i="9"/>
  <c r="E377" i="9"/>
  <c r="D377" i="9"/>
  <c r="C377" i="9"/>
  <c r="J376" i="9"/>
  <c r="I376" i="9"/>
  <c r="H376" i="9"/>
  <c r="G376" i="9"/>
  <c r="F376" i="9"/>
  <c r="E376" i="9"/>
  <c r="D376" i="9"/>
  <c r="C376" i="9"/>
  <c r="J375" i="9"/>
  <c r="I375" i="9"/>
  <c r="H375" i="9"/>
  <c r="G375" i="9"/>
  <c r="F375" i="9"/>
  <c r="E375" i="9"/>
  <c r="D375" i="9"/>
  <c r="C375" i="9"/>
  <c r="J374" i="9"/>
  <c r="I374" i="9"/>
  <c r="H374" i="9"/>
  <c r="G374" i="9"/>
  <c r="F374" i="9"/>
  <c r="E374" i="9"/>
  <c r="D374" i="9"/>
  <c r="C374" i="9"/>
  <c r="J373" i="9"/>
  <c r="I373" i="9"/>
  <c r="H373" i="9"/>
  <c r="G373" i="9"/>
  <c r="F373" i="9"/>
  <c r="E373" i="9"/>
  <c r="D373" i="9"/>
  <c r="C373" i="9"/>
  <c r="J372" i="9"/>
  <c r="I372" i="9"/>
  <c r="H372" i="9"/>
  <c r="G372" i="9"/>
  <c r="F372" i="9"/>
  <c r="E372" i="9"/>
  <c r="D372" i="9"/>
  <c r="C372" i="9"/>
  <c r="J371" i="9"/>
  <c r="I371" i="9"/>
  <c r="H371" i="9"/>
  <c r="G371" i="9"/>
  <c r="F371" i="9"/>
  <c r="E371" i="9"/>
  <c r="D371" i="9"/>
  <c r="C371" i="9"/>
  <c r="J370" i="9"/>
  <c r="I370" i="9"/>
  <c r="H370" i="9"/>
  <c r="G370" i="9"/>
  <c r="F370" i="9"/>
  <c r="E370" i="9"/>
  <c r="D370" i="9"/>
  <c r="C370" i="9"/>
  <c r="J369" i="9"/>
  <c r="I369" i="9"/>
  <c r="H369" i="9"/>
  <c r="G369" i="9"/>
  <c r="F369" i="9"/>
  <c r="E369" i="9"/>
  <c r="D369" i="9"/>
  <c r="C369" i="9"/>
  <c r="J368" i="9"/>
  <c r="I368" i="9"/>
  <c r="H368" i="9"/>
  <c r="G368" i="9"/>
  <c r="F368" i="9"/>
  <c r="E368" i="9"/>
  <c r="D368" i="9"/>
  <c r="C368" i="9"/>
  <c r="J367" i="9"/>
  <c r="I367" i="9"/>
  <c r="H367" i="9"/>
  <c r="G367" i="9"/>
  <c r="F367" i="9"/>
  <c r="E367" i="9"/>
  <c r="D367" i="9"/>
  <c r="C367" i="9"/>
  <c r="J366" i="9"/>
  <c r="I366" i="9"/>
  <c r="H366" i="9"/>
  <c r="G366" i="9"/>
  <c r="F366" i="9"/>
  <c r="E366" i="9"/>
  <c r="D366" i="9"/>
  <c r="C366" i="9"/>
  <c r="J365" i="9"/>
  <c r="I365" i="9"/>
  <c r="H365" i="9"/>
  <c r="G365" i="9"/>
  <c r="F365" i="9"/>
  <c r="E365" i="9"/>
  <c r="D365" i="9"/>
  <c r="C365" i="9"/>
  <c r="J364" i="9"/>
  <c r="I364" i="9"/>
  <c r="H364" i="9"/>
  <c r="G364" i="9"/>
  <c r="F364" i="9"/>
  <c r="E364" i="9"/>
  <c r="D364" i="9"/>
  <c r="C364" i="9"/>
  <c r="J363" i="9"/>
  <c r="I363" i="9"/>
  <c r="H363" i="9"/>
  <c r="G363" i="9"/>
  <c r="F363" i="9"/>
  <c r="E363" i="9"/>
  <c r="D363" i="9"/>
  <c r="C363" i="9"/>
  <c r="J362" i="9"/>
  <c r="I362" i="9"/>
  <c r="H362" i="9"/>
  <c r="G362" i="9"/>
  <c r="F362" i="9"/>
  <c r="E362" i="9"/>
  <c r="D362" i="9"/>
  <c r="C362" i="9"/>
  <c r="J361" i="9"/>
  <c r="I361" i="9"/>
  <c r="H361" i="9"/>
  <c r="G361" i="9"/>
  <c r="F361" i="9"/>
  <c r="E361" i="9"/>
  <c r="D361" i="9"/>
  <c r="C361" i="9"/>
  <c r="J360" i="9"/>
  <c r="I360" i="9"/>
  <c r="H360" i="9"/>
  <c r="G360" i="9"/>
  <c r="F360" i="9"/>
  <c r="E360" i="9"/>
  <c r="D360" i="9"/>
  <c r="C360" i="9"/>
  <c r="J359" i="9"/>
  <c r="I359" i="9"/>
  <c r="H359" i="9"/>
  <c r="G359" i="9"/>
  <c r="F359" i="9"/>
  <c r="E359" i="9"/>
  <c r="D359" i="9"/>
  <c r="C359" i="9"/>
  <c r="J358" i="9"/>
  <c r="I358" i="9"/>
  <c r="H358" i="9"/>
  <c r="G358" i="9"/>
  <c r="F358" i="9"/>
  <c r="E358" i="9"/>
  <c r="D358" i="9"/>
  <c r="C358" i="9"/>
  <c r="J357" i="9"/>
  <c r="I357" i="9"/>
  <c r="H357" i="9"/>
  <c r="G357" i="9"/>
  <c r="F357" i="9"/>
  <c r="E357" i="9"/>
  <c r="D357" i="9"/>
  <c r="C357" i="9"/>
  <c r="J356" i="9"/>
  <c r="I356" i="9"/>
  <c r="H356" i="9"/>
  <c r="G356" i="9"/>
  <c r="F356" i="9"/>
  <c r="E356" i="9"/>
  <c r="D356" i="9"/>
  <c r="C356" i="9"/>
  <c r="J355" i="9"/>
  <c r="I355" i="9"/>
  <c r="H355" i="9"/>
  <c r="G355" i="9"/>
  <c r="F355" i="9"/>
  <c r="E355" i="9"/>
  <c r="D355" i="9"/>
  <c r="C355" i="9"/>
  <c r="J354" i="9"/>
  <c r="I354" i="9"/>
  <c r="H354" i="9"/>
  <c r="G354" i="9"/>
  <c r="F354" i="9"/>
  <c r="E354" i="9"/>
  <c r="D354" i="9"/>
  <c r="C354" i="9"/>
  <c r="J353" i="9"/>
  <c r="I353" i="9"/>
  <c r="H353" i="9"/>
  <c r="G353" i="9"/>
  <c r="F353" i="9"/>
  <c r="E353" i="9"/>
  <c r="D353" i="9"/>
  <c r="C353" i="9"/>
  <c r="J352" i="9"/>
  <c r="I352" i="9"/>
  <c r="H352" i="9"/>
  <c r="G352" i="9"/>
  <c r="F352" i="9"/>
  <c r="E352" i="9"/>
  <c r="D352" i="9"/>
  <c r="C352" i="9"/>
  <c r="J351" i="9"/>
  <c r="I351" i="9"/>
  <c r="H351" i="9"/>
  <c r="G351" i="9"/>
  <c r="F351" i="9"/>
  <c r="E351" i="9"/>
  <c r="D351" i="9"/>
  <c r="C351" i="9"/>
  <c r="J350" i="9"/>
  <c r="I350" i="9"/>
  <c r="H350" i="9"/>
  <c r="G350" i="9"/>
  <c r="F350" i="9"/>
  <c r="E350" i="9"/>
  <c r="D350" i="9"/>
  <c r="C350" i="9"/>
  <c r="J349" i="9"/>
  <c r="I349" i="9"/>
  <c r="H349" i="9"/>
  <c r="G349" i="9"/>
  <c r="F349" i="9"/>
  <c r="E349" i="9"/>
  <c r="D349" i="9"/>
  <c r="C349" i="9"/>
  <c r="J348" i="9"/>
  <c r="I348" i="9"/>
  <c r="H348" i="9"/>
  <c r="G348" i="9"/>
  <c r="F348" i="9"/>
  <c r="E348" i="9"/>
  <c r="D348" i="9"/>
  <c r="C348" i="9"/>
  <c r="J347" i="9"/>
  <c r="I347" i="9"/>
  <c r="H347" i="9"/>
  <c r="G347" i="9"/>
  <c r="F347" i="9"/>
  <c r="E347" i="9"/>
  <c r="D347" i="9"/>
  <c r="C347" i="9"/>
  <c r="J346" i="9"/>
  <c r="I346" i="9"/>
  <c r="H346" i="9"/>
  <c r="G346" i="9"/>
  <c r="F346" i="9"/>
  <c r="E346" i="9"/>
  <c r="D346" i="9"/>
  <c r="C346" i="9"/>
  <c r="J345" i="9"/>
  <c r="I345" i="9"/>
  <c r="H345" i="9"/>
  <c r="G345" i="9"/>
  <c r="F345" i="9"/>
  <c r="E345" i="9"/>
  <c r="D345" i="9"/>
  <c r="C345" i="9"/>
  <c r="J344" i="9"/>
  <c r="I344" i="9"/>
  <c r="H344" i="9"/>
  <c r="G344" i="9"/>
  <c r="F344" i="9"/>
  <c r="E344" i="9"/>
  <c r="D344" i="9"/>
  <c r="C344" i="9"/>
  <c r="J343" i="9"/>
  <c r="I343" i="9"/>
  <c r="H343" i="9"/>
  <c r="G343" i="9"/>
  <c r="F343" i="9"/>
  <c r="E343" i="9"/>
  <c r="D343" i="9"/>
  <c r="C343" i="9"/>
  <c r="J342" i="9"/>
  <c r="I342" i="9"/>
  <c r="H342" i="9"/>
  <c r="G342" i="9"/>
  <c r="F342" i="9"/>
  <c r="E342" i="9"/>
  <c r="D342" i="9"/>
  <c r="C342" i="9"/>
  <c r="J341" i="9"/>
  <c r="I341" i="9"/>
  <c r="H341" i="9"/>
  <c r="G341" i="9"/>
  <c r="F341" i="9"/>
  <c r="E341" i="9"/>
  <c r="D341" i="9"/>
  <c r="C341" i="9"/>
  <c r="J340" i="9"/>
  <c r="I340" i="9"/>
  <c r="H340" i="9"/>
  <c r="G340" i="9"/>
  <c r="F340" i="9"/>
  <c r="E340" i="9"/>
  <c r="D340" i="9"/>
  <c r="C340" i="9"/>
  <c r="J339" i="9"/>
  <c r="I339" i="9"/>
  <c r="H339" i="9"/>
  <c r="G339" i="9"/>
  <c r="F339" i="9"/>
  <c r="E339" i="9"/>
  <c r="D339" i="9"/>
  <c r="C339" i="9"/>
  <c r="J338" i="9"/>
  <c r="I338" i="9"/>
  <c r="H338" i="9"/>
  <c r="G338" i="9"/>
  <c r="F338" i="9"/>
  <c r="E338" i="9"/>
  <c r="D338" i="9"/>
  <c r="C338" i="9"/>
  <c r="J337" i="9"/>
  <c r="I337" i="9"/>
  <c r="H337" i="9"/>
  <c r="G337" i="9"/>
  <c r="F337" i="9"/>
  <c r="E337" i="9"/>
  <c r="D337" i="9"/>
  <c r="C337" i="9"/>
  <c r="J336" i="9"/>
  <c r="I336" i="9"/>
  <c r="H336" i="9"/>
  <c r="G336" i="9"/>
  <c r="F336" i="9"/>
  <c r="E336" i="9"/>
  <c r="D336" i="9"/>
  <c r="C336" i="9"/>
  <c r="J335" i="9"/>
  <c r="I335" i="9"/>
  <c r="H335" i="9"/>
  <c r="G335" i="9"/>
  <c r="F335" i="9"/>
  <c r="E335" i="9"/>
  <c r="D335" i="9"/>
  <c r="C335" i="9"/>
  <c r="J334" i="9"/>
  <c r="I334" i="9"/>
  <c r="H334" i="9"/>
  <c r="G334" i="9"/>
  <c r="F334" i="9"/>
  <c r="E334" i="9"/>
  <c r="D334" i="9"/>
  <c r="C334" i="9"/>
  <c r="J333" i="9"/>
  <c r="I333" i="9"/>
  <c r="H333" i="9"/>
  <c r="G333" i="9"/>
  <c r="F333" i="9"/>
  <c r="E333" i="9"/>
  <c r="D333" i="9"/>
  <c r="C333" i="9"/>
  <c r="J332" i="9"/>
  <c r="I332" i="9"/>
  <c r="H332" i="9"/>
  <c r="G332" i="9"/>
  <c r="F332" i="9"/>
  <c r="E332" i="9"/>
  <c r="D332" i="9"/>
  <c r="C332" i="9"/>
  <c r="J331" i="9"/>
  <c r="I331" i="9"/>
  <c r="H331" i="9"/>
  <c r="G331" i="9"/>
  <c r="F331" i="9"/>
  <c r="E331" i="9"/>
  <c r="D331" i="9"/>
  <c r="C331" i="9"/>
  <c r="J330" i="9"/>
  <c r="I330" i="9"/>
  <c r="H330" i="9"/>
  <c r="G330" i="9"/>
  <c r="F330" i="9"/>
  <c r="E330" i="9"/>
  <c r="D330" i="9"/>
  <c r="C330" i="9"/>
  <c r="J329" i="9"/>
  <c r="I329" i="9"/>
  <c r="H329" i="9"/>
  <c r="G329" i="9"/>
  <c r="F329" i="9"/>
  <c r="E329" i="9"/>
  <c r="D329" i="9"/>
  <c r="C329" i="9"/>
  <c r="J328" i="9"/>
  <c r="I328" i="9"/>
  <c r="H328" i="9"/>
  <c r="G328" i="9"/>
  <c r="F328" i="9"/>
  <c r="E328" i="9"/>
  <c r="D328" i="9"/>
  <c r="C328" i="9"/>
  <c r="J327" i="9"/>
  <c r="I327" i="9"/>
  <c r="H327" i="9"/>
  <c r="G327" i="9"/>
  <c r="F327" i="9"/>
  <c r="E327" i="9"/>
  <c r="D327" i="9"/>
  <c r="C327" i="9"/>
  <c r="J326" i="9"/>
  <c r="I326" i="9"/>
  <c r="H326" i="9"/>
  <c r="G326" i="9"/>
  <c r="F326" i="9"/>
  <c r="E326" i="9"/>
  <c r="D326" i="9"/>
  <c r="C326" i="9"/>
  <c r="J325" i="9"/>
  <c r="I325" i="9"/>
  <c r="H325" i="9"/>
  <c r="G325" i="9"/>
  <c r="F325" i="9"/>
  <c r="E325" i="9"/>
  <c r="D325" i="9"/>
  <c r="C325" i="9"/>
  <c r="J324" i="9"/>
  <c r="I324" i="9"/>
  <c r="H324" i="9"/>
  <c r="G324" i="9"/>
  <c r="F324" i="9"/>
  <c r="E324" i="9"/>
  <c r="D324" i="9"/>
  <c r="C324" i="9"/>
  <c r="J323" i="9"/>
  <c r="I323" i="9"/>
  <c r="H323" i="9"/>
  <c r="G323" i="9"/>
  <c r="F323" i="9"/>
  <c r="E323" i="9"/>
  <c r="D323" i="9"/>
  <c r="C323" i="9"/>
  <c r="J322" i="9"/>
  <c r="I322" i="9"/>
  <c r="H322" i="9"/>
  <c r="G322" i="9"/>
  <c r="F322" i="9"/>
  <c r="E322" i="9"/>
  <c r="D322" i="9"/>
  <c r="C322" i="9"/>
  <c r="J321" i="9"/>
  <c r="I321" i="9"/>
  <c r="H321" i="9"/>
  <c r="G321" i="9"/>
  <c r="F321" i="9"/>
  <c r="E321" i="9"/>
  <c r="D321" i="9"/>
  <c r="C321" i="9"/>
  <c r="J320" i="9"/>
  <c r="I320" i="9"/>
  <c r="H320" i="9"/>
  <c r="G320" i="9"/>
  <c r="F320" i="9"/>
  <c r="E320" i="9"/>
  <c r="D320" i="9"/>
  <c r="C320" i="9"/>
  <c r="J319" i="9"/>
  <c r="I319" i="9"/>
  <c r="H319" i="9"/>
  <c r="G319" i="9"/>
  <c r="F319" i="9"/>
  <c r="E319" i="9"/>
  <c r="D319" i="9"/>
  <c r="C319" i="9"/>
  <c r="J318" i="9"/>
  <c r="I318" i="9"/>
  <c r="H318" i="9"/>
  <c r="G318" i="9"/>
  <c r="F318" i="9"/>
  <c r="E318" i="9"/>
  <c r="D318" i="9"/>
  <c r="C318" i="9"/>
  <c r="J317" i="9"/>
  <c r="I317" i="9"/>
  <c r="H317" i="9"/>
  <c r="G317" i="9"/>
  <c r="F317" i="9"/>
  <c r="E317" i="9"/>
  <c r="D317" i="9"/>
  <c r="C317" i="9"/>
  <c r="J316" i="9"/>
  <c r="I316" i="9"/>
  <c r="H316" i="9"/>
  <c r="G316" i="9"/>
  <c r="F316" i="9"/>
  <c r="E316" i="9"/>
  <c r="D316" i="9"/>
  <c r="C316" i="9"/>
  <c r="J315" i="9"/>
  <c r="I315" i="9"/>
  <c r="H315" i="9"/>
  <c r="G315" i="9"/>
  <c r="F315" i="9"/>
  <c r="E315" i="9"/>
  <c r="D315" i="9"/>
  <c r="C315" i="9"/>
  <c r="J314" i="9"/>
  <c r="I314" i="9"/>
  <c r="H314" i="9"/>
  <c r="G314" i="9"/>
  <c r="F314" i="9"/>
  <c r="E314" i="9"/>
  <c r="D314" i="9"/>
  <c r="C314" i="9"/>
  <c r="J313" i="9"/>
  <c r="I313" i="9"/>
  <c r="H313" i="9"/>
  <c r="G313" i="9"/>
  <c r="F313" i="9"/>
  <c r="E313" i="9"/>
  <c r="D313" i="9"/>
  <c r="C313" i="9"/>
  <c r="J312" i="9"/>
  <c r="I312" i="9"/>
  <c r="H312" i="9"/>
  <c r="G312" i="9"/>
  <c r="F312" i="9"/>
  <c r="E312" i="9"/>
  <c r="D312" i="9"/>
  <c r="C312" i="9"/>
  <c r="J311" i="9"/>
  <c r="I311" i="9"/>
  <c r="H311" i="9"/>
  <c r="G311" i="9"/>
  <c r="F311" i="9"/>
  <c r="E311" i="9"/>
  <c r="D311" i="9"/>
  <c r="C311" i="9"/>
  <c r="J310" i="9"/>
  <c r="I310" i="9"/>
  <c r="H310" i="9"/>
  <c r="G310" i="9"/>
  <c r="F310" i="9"/>
  <c r="E310" i="9"/>
  <c r="D310" i="9"/>
  <c r="C310" i="9"/>
  <c r="J309" i="9"/>
  <c r="I309" i="9"/>
  <c r="H309" i="9"/>
  <c r="G309" i="9"/>
  <c r="F309" i="9"/>
  <c r="E309" i="9"/>
  <c r="D309" i="9"/>
  <c r="C309" i="9"/>
  <c r="J308" i="9"/>
  <c r="I308" i="9"/>
  <c r="H308" i="9"/>
  <c r="G308" i="9"/>
  <c r="F308" i="9"/>
  <c r="E308" i="9"/>
  <c r="D308" i="9"/>
  <c r="C308" i="9"/>
  <c r="J307" i="9"/>
  <c r="I307" i="9"/>
  <c r="H307" i="9"/>
  <c r="G307" i="9"/>
  <c r="F307" i="9"/>
  <c r="E307" i="9"/>
  <c r="D307" i="9"/>
  <c r="C307" i="9"/>
  <c r="J306" i="9"/>
  <c r="I306" i="9"/>
  <c r="H306" i="9"/>
  <c r="G306" i="9"/>
  <c r="F306" i="9"/>
  <c r="E306" i="9"/>
  <c r="D306" i="9"/>
  <c r="C306" i="9"/>
  <c r="J305" i="9"/>
  <c r="I305" i="9"/>
  <c r="H305" i="9"/>
  <c r="G305" i="9"/>
  <c r="F305" i="9"/>
  <c r="E305" i="9"/>
  <c r="D305" i="9"/>
  <c r="C305" i="9"/>
  <c r="J304" i="9"/>
  <c r="I304" i="9"/>
  <c r="H304" i="9"/>
  <c r="G304" i="9"/>
  <c r="F304" i="9"/>
  <c r="E304" i="9"/>
  <c r="D304" i="9"/>
  <c r="C304" i="9"/>
  <c r="J303" i="9"/>
  <c r="I303" i="9"/>
  <c r="H303" i="9"/>
  <c r="G303" i="9"/>
  <c r="F303" i="9"/>
  <c r="E303" i="9"/>
  <c r="D303" i="9"/>
  <c r="C303" i="9"/>
  <c r="J302" i="9"/>
  <c r="I302" i="9"/>
  <c r="H302" i="9"/>
  <c r="G302" i="9"/>
  <c r="F302" i="9"/>
  <c r="E302" i="9"/>
  <c r="D302" i="9"/>
  <c r="C302" i="9"/>
  <c r="J301" i="9"/>
  <c r="I301" i="9"/>
  <c r="H301" i="9"/>
  <c r="G301" i="9"/>
  <c r="F301" i="9"/>
  <c r="E301" i="9"/>
  <c r="D301" i="9"/>
  <c r="C301" i="9"/>
  <c r="J300" i="9"/>
  <c r="I300" i="9"/>
  <c r="H300" i="9"/>
  <c r="G300" i="9"/>
  <c r="F300" i="9"/>
  <c r="E300" i="9"/>
  <c r="D300" i="9"/>
  <c r="C300" i="9"/>
  <c r="J299" i="9"/>
  <c r="I299" i="9"/>
  <c r="H299" i="9"/>
  <c r="G299" i="9"/>
  <c r="F299" i="9"/>
  <c r="E299" i="9"/>
  <c r="D299" i="9"/>
  <c r="C299" i="9"/>
  <c r="J298" i="9"/>
  <c r="I298" i="9"/>
  <c r="H298" i="9"/>
  <c r="G298" i="9"/>
  <c r="F298" i="9"/>
  <c r="E298" i="9"/>
  <c r="D298" i="9"/>
  <c r="C298" i="9"/>
  <c r="J297" i="9"/>
  <c r="I297" i="9"/>
  <c r="H297" i="9"/>
  <c r="G297" i="9"/>
  <c r="F297" i="9"/>
  <c r="E297" i="9"/>
  <c r="D297" i="9"/>
  <c r="C297" i="9"/>
  <c r="J296" i="9"/>
  <c r="I296" i="9"/>
  <c r="H296" i="9"/>
  <c r="G296" i="9"/>
  <c r="F296" i="9"/>
  <c r="E296" i="9"/>
  <c r="D296" i="9"/>
  <c r="C296" i="9"/>
  <c r="J295" i="9"/>
  <c r="I295" i="9"/>
  <c r="H295" i="9"/>
  <c r="G295" i="9"/>
  <c r="F295" i="9"/>
  <c r="E295" i="9"/>
  <c r="D295" i="9"/>
  <c r="C295" i="9"/>
  <c r="J294" i="9"/>
  <c r="I294" i="9"/>
  <c r="H294" i="9"/>
  <c r="G294" i="9"/>
  <c r="F294" i="9"/>
  <c r="E294" i="9"/>
  <c r="D294" i="9"/>
  <c r="C294" i="9"/>
  <c r="J293" i="9"/>
  <c r="I293" i="9"/>
  <c r="H293" i="9"/>
  <c r="G293" i="9"/>
  <c r="F293" i="9"/>
  <c r="E293" i="9"/>
  <c r="D293" i="9"/>
  <c r="C293" i="9"/>
  <c r="J292" i="9"/>
  <c r="I292" i="9"/>
  <c r="H292" i="9"/>
  <c r="G292" i="9"/>
  <c r="F292" i="9"/>
  <c r="E292" i="9"/>
  <c r="D292" i="9"/>
  <c r="C292" i="9"/>
  <c r="J291" i="9"/>
  <c r="I291" i="9"/>
  <c r="H291" i="9"/>
  <c r="G291" i="9"/>
  <c r="F291" i="9"/>
  <c r="E291" i="9"/>
  <c r="D291" i="9"/>
  <c r="C291" i="9"/>
  <c r="J290" i="9"/>
  <c r="I290" i="9"/>
  <c r="H290" i="9"/>
  <c r="G290" i="9"/>
  <c r="F290" i="9"/>
  <c r="E290" i="9"/>
  <c r="D290" i="9"/>
  <c r="C290" i="9"/>
  <c r="J289" i="9"/>
  <c r="I289" i="9"/>
  <c r="H289" i="9"/>
  <c r="G289" i="9"/>
  <c r="F289" i="9"/>
  <c r="E289" i="9"/>
  <c r="D289" i="9"/>
  <c r="C289" i="9"/>
  <c r="J288" i="9"/>
  <c r="I288" i="9"/>
  <c r="H288" i="9"/>
  <c r="G288" i="9"/>
  <c r="F288" i="9"/>
  <c r="E288" i="9"/>
  <c r="D288" i="9"/>
  <c r="C288" i="9"/>
  <c r="J287" i="9"/>
  <c r="I287" i="9"/>
  <c r="H287" i="9"/>
  <c r="G287" i="9"/>
  <c r="F287" i="9"/>
  <c r="E287" i="9"/>
  <c r="D287" i="9"/>
  <c r="C287" i="9"/>
  <c r="J286" i="9"/>
  <c r="I286" i="9"/>
  <c r="H286" i="9"/>
  <c r="G286" i="9"/>
  <c r="F286" i="9"/>
  <c r="E286" i="9"/>
  <c r="D286" i="9"/>
  <c r="C286" i="9"/>
  <c r="J285" i="9"/>
  <c r="I285" i="9"/>
  <c r="H285" i="9"/>
  <c r="G285" i="9"/>
  <c r="F285" i="9"/>
  <c r="E285" i="9"/>
  <c r="D285" i="9"/>
  <c r="C285" i="9"/>
  <c r="J284" i="9"/>
  <c r="I284" i="9"/>
  <c r="H284" i="9"/>
  <c r="G284" i="9"/>
  <c r="F284" i="9"/>
  <c r="E284" i="9"/>
  <c r="D284" i="9"/>
  <c r="C284" i="9"/>
  <c r="J283" i="9"/>
  <c r="I283" i="9"/>
  <c r="H283" i="9"/>
  <c r="G283" i="9"/>
  <c r="F283" i="9"/>
  <c r="E283" i="9"/>
  <c r="D283" i="9"/>
  <c r="C283" i="9"/>
  <c r="J282" i="9"/>
  <c r="I282" i="9"/>
  <c r="H282" i="9"/>
  <c r="G282" i="9"/>
  <c r="F282" i="9"/>
  <c r="E282" i="9"/>
  <c r="D282" i="9"/>
  <c r="C282" i="9"/>
  <c r="J281" i="9"/>
  <c r="I281" i="9"/>
  <c r="H281" i="9"/>
  <c r="G281" i="9"/>
  <c r="F281" i="9"/>
  <c r="E281" i="9"/>
  <c r="D281" i="9"/>
  <c r="C281" i="9"/>
  <c r="J280" i="9"/>
  <c r="I280" i="9"/>
  <c r="H280" i="9"/>
  <c r="G280" i="9"/>
  <c r="F280" i="9"/>
  <c r="E280" i="9"/>
  <c r="D280" i="9"/>
  <c r="C280" i="9"/>
  <c r="J279" i="9"/>
  <c r="I279" i="9"/>
  <c r="H279" i="9"/>
  <c r="G279" i="9"/>
  <c r="F279" i="9"/>
  <c r="E279" i="9"/>
  <c r="D279" i="9"/>
  <c r="C279" i="9"/>
  <c r="J278" i="9"/>
  <c r="I278" i="9"/>
  <c r="H278" i="9"/>
  <c r="G278" i="9"/>
  <c r="F278" i="9"/>
  <c r="E278" i="9"/>
  <c r="D278" i="9"/>
  <c r="C278" i="9"/>
  <c r="J277" i="9"/>
  <c r="I277" i="9"/>
  <c r="H277" i="9"/>
  <c r="G277" i="9"/>
  <c r="F277" i="9"/>
  <c r="E277" i="9"/>
  <c r="D277" i="9"/>
  <c r="C277" i="9"/>
  <c r="J276" i="9"/>
  <c r="I276" i="9"/>
  <c r="H276" i="9"/>
  <c r="G276" i="9"/>
  <c r="F276" i="9"/>
  <c r="E276" i="9"/>
  <c r="D276" i="9"/>
  <c r="C276" i="9"/>
  <c r="J275" i="9"/>
  <c r="I275" i="9"/>
  <c r="H275" i="9"/>
  <c r="G275" i="9"/>
  <c r="F275" i="9"/>
  <c r="E275" i="9"/>
  <c r="D275" i="9"/>
  <c r="C275" i="9"/>
  <c r="J274" i="9"/>
  <c r="I274" i="9"/>
  <c r="H274" i="9"/>
  <c r="G274" i="9"/>
  <c r="F274" i="9"/>
  <c r="E274" i="9"/>
  <c r="D274" i="9"/>
  <c r="C274" i="9"/>
  <c r="J273" i="9"/>
  <c r="I273" i="9"/>
  <c r="H273" i="9"/>
  <c r="G273" i="9"/>
  <c r="F273" i="9"/>
  <c r="E273" i="9"/>
  <c r="D273" i="9"/>
  <c r="C273" i="9"/>
  <c r="J272" i="9"/>
  <c r="I272" i="9"/>
  <c r="H272" i="9"/>
  <c r="G272" i="9"/>
  <c r="F272" i="9"/>
  <c r="E272" i="9"/>
  <c r="D272" i="9"/>
  <c r="C272" i="9"/>
  <c r="J271" i="9"/>
  <c r="I271" i="9"/>
  <c r="H271" i="9"/>
  <c r="G271" i="9"/>
  <c r="F271" i="9"/>
  <c r="E271" i="9"/>
  <c r="D271" i="9"/>
  <c r="C271" i="9"/>
  <c r="J270" i="9"/>
  <c r="I270" i="9"/>
  <c r="H270" i="9"/>
  <c r="G270" i="9"/>
  <c r="F270" i="9"/>
  <c r="E270" i="9"/>
  <c r="D270" i="9"/>
  <c r="C270" i="9"/>
  <c r="J269" i="9"/>
  <c r="I269" i="9"/>
  <c r="H269" i="9"/>
  <c r="G269" i="9"/>
  <c r="F269" i="9"/>
  <c r="E269" i="9"/>
  <c r="D269" i="9"/>
  <c r="C269" i="9"/>
  <c r="J268" i="9"/>
  <c r="I268" i="9"/>
  <c r="H268" i="9"/>
  <c r="G268" i="9"/>
  <c r="F268" i="9"/>
  <c r="E268" i="9"/>
  <c r="D268" i="9"/>
  <c r="C268" i="9"/>
  <c r="J267" i="9"/>
  <c r="I267" i="9"/>
  <c r="H267" i="9"/>
  <c r="G267" i="9"/>
  <c r="F267" i="9"/>
  <c r="E267" i="9"/>
  <c r="D267" i="9"/>
  <c r="C267" i="9"/>
  <c r="J266" i="9"/>
  <c r="I266" i="9"/>
  <c r="H266" i="9"/>
  <c r="G266" i="9"/>
  <c r="F266" i="9"/>
  <c r="E266" i="9"/>
  <c r="D266" i="9"/>
  <c r="C266" i="9"/>
  <c r="J265" i="9"/>
  <c r="I265" i="9"/>
  <c r="H265" i="9"/>
  <c r="G265" i="9"/>
  <c r="F265" i="9"/>
  <c r="E265" i="9"/>
  <c r="D265" i="9"/>
  <c r="C265" i="9"/>
  <c r="J264" i="9"/>
  <c r="I264" i="9"/>
  <c r="H264" i="9"/>
  <c r="G264" i="9"/>
  <c r="F264" i="9"/>
  <c r="E264" i="9"/>
  <c r="D264" i="9"/>
  <c r="C264" i="9"/>
  <c r="J263" i="9"/>
  <c r="I263" i="9"/>
  <c r="H263" i="9"/>
  <c r="G263" i="9"/>
  <c r="F263" i="9"/>
  <c r="E263" i="9"/>
  <c r="D263" i="9"/>
  <c r="C263" i="9"/>
  <c r="J262" i="9"/>
  <c r="I262" i="9"/>
  <c r="H262" i="9"/>
  <c r="G262" i="9"/>
  <c r="F262" i="9"/>
  <c r="E262" i="9"/>
  <c r="D262" i="9"/>
  <c r="C262" i="9"/>
  <c r="J261" i="9"/>
  <c r="I261" i="9"/>
  <c r="H261" i="9"/>
  <c r="G261" i="9"/>
  <c r="F261" i="9"/>
  <c r="E261" i="9"/>
  <c r="D261" i="9"/>
  <c r="C261" i="9"/>
  <c r="J260" i="9"/>
  <c r="I260" i="9"/>
  <c r="H260" i="9"/>
  <c r="G260" i="9"/>
  <c r="F260" i="9"/>
  <c r="E260" i="9"/>
  <c r="D260" i="9"/>
  <c r="C260" i="9"/>
  <c r="J259" i="9"/>
  <c r="I259" i="9"/>
  <c r="H259" i="9"/>
  <c r="G259" i="9"/>
  <c r="F259" i="9"/>
  <c r="E259" i="9"/>
  <c r="D259" i="9"/>
  <c r="C259" i="9"/>
  <c r="J258" i="9"/>
  <c r="I258" i="9"/>
  <c r="H258" i="9"/>
  <c r="G258" i="9"/>
  <c r="F258" i="9"/>
  <c r="E258" i="9"/>
  <c r="D258" i="9"/>
  <c r="C258" i="9"/>
  <c r="J257" i="9"/>
  <c r="I257" i="9"/>
  <c r="H257" i="9"/>
  <c r="G257" i="9"/>
  <c r="F257" i="9"/>
  <c r="E257" i="9"/>
  <c r="D257" i="9"/>
  <c r="C257" i="9"/>
  <c r="J256" i="9"/>
  <c r="I256" i="9"/>
  <c r="H256" i="9"/>
  <c r="G256" i="9"/>
  <c r="F256" i="9"/>
  <c r="E256" i="9"/>
  <c r="D256" i="9"/>
  <c r="C256" i="9"/>
  <c r="J255" i="9"/>
  <c r="I255" i="9"/>
  <c r="H255" i="9"/>
  <c r="G255" i="9"/>
  <c r="F255" i="9"/>
  <c r="E255" i="9"/>
  <c r="D255" i="9"/>
  <c r="C255" i="9"/>
  <c r="J254" i="9"/>
  <c r="I254" i="9"/>
  <c r="H254" i="9"/>
  <c r="G254" i="9"/>
  <c r="F254" i="9"/>
  <c r="E254" i="9"/>
  <c r="D254" i="9"/>
  <c r="C254" i="9"/>
  <c r="J253" i="9"/>
  <c r="I253" i="9"/>
  <c r="H253" i="9"/>
  <c r="G253" i="9"/>
  <c r="F253" i="9"/>
  <c r="E253" i="9"/>
  <c r="D253" i="9"/>
  <c r="C253" i="9"/>
  <c r="J252" i="9"/>
  <c r="I252" i="9"/>
  <c r="H252" i="9"/>
  <c r="G252" i="9"/>
  <c r="F252" i="9"/>
  <c r="E252" i="9"/>
  <c r="D252" i="9"/>
  <c r="C252" i="9"/>
  <c r="J251" i="9"/>
  <c r="I251" i="9"/>
  <c r="H251" i="9"/>
  <c r="G251" i="9"/>
  <c r="F251" i="9"/>
  <c r="E251" i="9"/>
  <c r="D251" i="9"/>
  <c r="C251" i="9"/>
  <c r="J250" i="9"/>
  <c r="I250" i="9"/>
  <c r="H250" i="9"/>
  <c r="G250" i="9"/>
  <c r="F250" i="9"/>
  <c r="E250" i="9"/>
  <c r="D250" i="9"/>
  <c r="C250" i="9"/>
  <c r="J249" i="9"/>
  <c r="I249" i="9"/>
  <c r="H249" i="9"/>
  <c r="G249" i="9"/>
  <c r="F249" i="9"/>
  <c r="E249" i="9"/>
  <c r="D249" i="9"/>
  <c r="C249" i="9"/>
  <c r="J248" i="9"/>
  <c r="I248" i="9"/>
  <c r="H248" i="9"/>
  <c r="G248" i="9"/>
  <c r="F248" i="9"/>
  <c r="E248" i="9"/>
  <c r="D248" i="9"/>
  <c r="C248" i="9"/>
  <c r="J247" i="9"/>
  <c r="I247" i="9"/>
  <c r="H247" i="9"/>
  <c r="G247" i="9"/>
  <c r="F247" i="9"/>
  <c r="E247" i="9"/>
  <c r="D247" i="9"/>
  <c r="C247" i="9"/>
  <c r="J246" i="9"/>
  <c r="I246" i="9"/>
  <c r="H246" i="9"/>
  <c r="G246" i="9"/>
  <c r="F246" i="9"/>
  <c r="E246" i="9"/>
  <c r="D246" i="9"/>
  <c r="C246" i="9"/>
  <c r="J245" i="9"/>
  <c r="I245" i="9"/>
  <c r="H245" i="9"/>
  <c r="G245" i="9"/>
  <c r="F245" i="9"/>
  <c r="E245" i="9"/>
  <c r="D245" i="9"/>
  <c r="C245" i="9"/>
  <c r="J244" i="9"/>
  <c r="I244" i="9"/>
  <c r="H244" i="9"/>
  <c r="G244" i="9"/>
  <c r="F244" i="9"/>
  <c r="E244" i="9"/>
  <c r="D244" i="9"/>
  <c r="C244" i="9"/>
  <c r="J243" i="9"/>
  <c r="I243" i="9"/>
  <c r="H243" i="9"/>
  <c r="G243" i="9"/>
  <c r="F243" i="9"/>
  <c r="E243" i="9"/>
  <c r="D243" i="9"/>
  <c r="C243" i="9"/>
  <c r="J242" i="9"/>
  <c r="I242" i="9"/>
  <c r="H242" i="9"/>
  <c r="G242" i="9"/>
  <c r="F242" i="9"/>
  <c r="E242" i="9"/>
  <c r="D242" i="9"/>
  <c r="C242" i="9"/>
  <c r="J241" i="9"/>
  <c r="I241" i="9"/>
  <c r="H241" i="9"/>
  <c r="G241" i="9"/>
  <c r="F241" i="9"/>
  <c r="E241" i="9"/>
  <c r="D241" i="9"/>
  <c r="C241" i="9"/>
  <c r="J240" i="9"/>
  <c r="I240" i="9"/>
  <c r="H240" i="9"/>
  <c r="G240" i="9"/>
  <c r="F240" i="9"/>
  <c r="E240" i="9"/>
  <c r="D240" i="9"/>
  <c r="C240" i="9"/>
  <c r="J239" i="9"/>
  <c r="I239" i="9"/>
  <c r="H239" i="9"/>
  <c r="G239" i="9"/>
  <c r="F239" i="9"/>
  <c r="E239" i="9"/>
  <c r="D239" i="9"/>
  <c r="C239" i="9"/>
  <c r="J238" i="9"/>
  <c r="I238" i="9"/>
  <c r="H238" i="9"/>
  <c r="G238" i="9"/>
  <c r="F238" i="9"/>
  <c r="E238" i="9"/>
  <c r="D238" i="9"/>
  <c r="C238" i="9"/>
  <c r="J237" i="9"/>
  <c r="I237" i="9"/>
  <c r="H237" i="9"/>
  <c r="G237" i="9"/>
  <c r="F237" i="9"/>
  <c r="E237" i="9"/>
  <c r="D237" i="9"/>
  <c r="C237" i="9"/>
  <c r="J236" i="9"/>
  <c r="I236" i="9"/>
  <c r="H236" i="9"/>
  <c r="G236" i="9"/>
  <c r="F236" i="9"/>
  <c r="E236" i="9"/>
  <c r="D236" i="9"/>
  <c r="C236" i="9"/>
  <c r="J235" i="9"/>
  <c r="I235" i="9"/>
  <c r="H235" i="9"/>
  <c r="G235" i="9"/>
  <c r="F235" i="9"/>
  <c r="E235" i="9"/>
  <c r="D235" i="9"/>
  <c r="C235" i="9"/>
  <c r="J234" i="9"/>
  <c r="I234" i="9"/>
  <c r="H234" i="9"/>
  <c r="G234" i="9"/>
  <c r="F234" i="9"/>
  <c r="E234" i="9"/>
  <c r="D234" i="9"/>
  <c r="C234" i="9"/>
  <c r="J233" i="9"/>
  <c r="I233" i="9"/>
  <c r="H233" i="9"/>
  <c r="G233" i="9"/>
  <c r="F233" i="9"/>
  <c r="E233" i="9"/>
  <c r="D233" i="9"/>
  <c r="C233" i="9"/>
  <c r="J232" i="9"/>
  <c r="I232" i="9"/>
  <c r="H232" i="9"/>
  <c r="G232" i="9"/>
  <c r="F232" i="9"/>
  <c r="E232" i="9"/>
  <c r="D232" i="9"/>
  <c r="C232" i="9"/>
  <c r="J231" i="9"/>
  <c r="I231" i="9"/>
  <c r="H231" i="9"/>
  <c r="G231" i="9"/>
  <c r="F231" i="9"/>
  <c r="E231" i="9"/>
  <c r="D231" i="9"/>
  <c r="C231" i="9"/>
  <c r="J230" i="9"/>
  <c r="I230" i="9"/>
  <c r="H230" i="9"/>
  <c r="G230" i="9"/>
  <c r="F230" i="9"/>
  <c r="E230" i="9"/>
  <c r="D230" i="9"/>
  <c r="C230" i="9"/>
  <c r="J229" i="9"/>
  <c r="I229" i="9"/>
  <c r="H229" i="9"/>
  <c r="G229" i="9"/>
  <c r="F229" i="9"/>
  <c r="E229" i="9"/>
  <c r="D229" i="9"/>
  <c r="C229" i="9"/>
  <c r="J228" i="9"/>
  <c r="I228" i="9"/>
  <c r="H228" i="9"/>
  <c r="G228" i="9"/>
  <c r="F228" i="9"/>
  <c r="E228" i="9"/>
  <c r="D228" i="9"/>
  <c r="C228" i="9"/>
  <c r="J227" i="9"/>
  <c r="I227" i="9"/>
  <c r="H227" i="9"/>
  <c r="G227" i="9"/>
  <c r="F227" i="9"/>
  <c r="E227" i="9"/>
  <c r="D227" i="9"/>
  <c r="C227" i="9"/>
  <c r="J226" i="9"/>
  <c r="I226" i="9"/>
  <c r="H226" i="9"/>
  <c r="G226" i="9"/>
  <c r="F226" i="9"/>
  <c r="E226" i="9"/>
  <c r="D226" i="9"/>
  <c r="C226" i="9"/>
  <c r="J225" i="9"/>
  <c r="I225" i="9"/>
  <c r="H225" i="9"/>
  <c r="G225" i="9"/>
  <c r="F225" i="9"/>
  <c r="E225" i="9"/>
  <c r="D225" i="9"/>
  <c r="C225" i="9"/>
  <c r="J224" i="9"/>
  <c r="I224" i="9"/>
  <c r="H224" i="9"/>
  <c r="G224" i="9"/>
  <c r="F224" i="9"/>
  <c r="E224" i="9"/>
  <c r="D224" i="9"/>
  <c r="C224" i="9"/>
  <c r="J223" i="9"/>
  <c r="I223" i="9"/>
  <c r="H223" i="9"/>
  <c r="G223" i="9"/>
  <c r="F223" i="9"/>
  <c r="E223" i="9"/>
  <c r="D223" i="9"/>
  <c r="C223" i="9"/>
  <c r="J222" i="9"/>
  <c r="I222" i="9"/>
  <c r="H222" i="9"/>
  <c r="G222" i="9"/>
  <c r="F222" i="9"/>
  <c r="E222" i="9"/>
  <c r="D222" i="9"/>
  <c r="C222" i="9"/>
  <c r="J221" i="9"/>
  <c r="I221" i="9"/>
  <c r="H221" i="9"/>
  <c r="G221" i="9"/>
  <c r="F221" i="9"/>
  <c r="E221" i="9"/>
  <c r="D221" i="9"/>
  <c r="C221" i="9"/>
  <c r="J220" i="9"/>
  <c r="I220" i="9"/>
  <c r="H220" i="9"/>
  <c r="G220" i="9"/>
  <c r="F220" i="9"/>
  <c r="E220" i="9"/>
  <c r="D220" i="9"/>
  <c r="C220" i="9"/>
  <c r="J219" i="9"/>
  <c r="I219" i="9"/>
  <c r="H219" i="9"/>
  <c r="G219" i="9"/>
  <c r="F219" i="9"/>
  <c r="E219" i="9"/>
  <c r="D219" i="9"/>
  <c r="C219" i="9"/>
  <c r="J218" i="9"/>
  <c r="I218" i="9"/>
  <c r="H218" i="9"/>
  <c r="G218" i="9"/>
  <c r="F218" i="9"/>
  <c r="E218" i="9"/>
  <c r="D218" i="9"/>
  <c r="C218" i="9"/>
  <c r="J217" i="9"/>
  <c r="I217" i="9"/>
  <c r="H217" i="9"/>
  <c r="G217" i="9"/>
  <c r="F217" i="9"/>
  <c r="E217" i="9"/>
  <c r="D217" i="9"/>
  <c r="C217" i="9"/>
  <c r="J216" i="9"/>
  <c r="I216" i="9"/>
  <c r="H216" i="9"/>
  <c r="G216" i="9"/>
  <c r="F216" i="9"/>
  <c r="E216" i="9"/>
  <c r="D216" i="9"/>
  <c r="C216" i="9"/>
  <c r="J215" i="9"/>
  <c r="I215" i="9"/>
  <c r="H215" i="9"/>
  <c r="G215" i="9"/>
  <c r="F215" i="9"/>
  <c r="E215" i="9"/>
  <c r="D215" i="9"/>
  <c r="C215" i="9"/>
  <c r="J214" i="9"/>
  <c r="I214" i="9"/>
  <c r="H214" i="9"/>
  <c r="G214" i="9"/>
  <c r="F214" i="9"/>
  <c r="E214" i="9"/>
  <c r="D214" i="9"/>
  <c r="C214" i="9"/>
  <c r="J213" i="9"/>
  <c r="I213" i="9"/>
  <c r="H213" i="9"/>
  <c r="G213" i="9"/>
  <c r="F213" i="9"/>
  <c r="E213" i="9"/>
  <c r="D213" i="9"/>
  <c r="C213" i="9"/>
  <c r="J212" i="9"/>
  <c r="I212" i="9"/>
  <c r="H212" i="9"/>
  <c r="G212" i="9"/>
  <c r="F212" i="9"/>
  <c r="E212" i="9"/>
  <c r="D212" i="9"/>
  <c r="C212" i="9"/>
  <c r="J211" i="9"/>
  <c r="I211" i="9"/>
  <c r="H211" i="9"/>
  <c r="G211" i="9"/>
  <c r="F211" i="9"/>
  <c r="E211" i="9"/>
  <c r="D211" i="9"/>
  <c r="C211" i="9"/>
  <c r="J210" i="9"/>
  <c r="I210" i="9"/>
  <c r="H210" i="9"/>
  <c r="G210" i="9"/>
  <c r="F210" i="9"/>
  <c r="E210" i="9"/>
  <c r="D210" i="9"/>
  <c r="C210" i="9"/>
  <c r="J209" i="9"/>
  <c r="I209" i="9"/>
  <c r="H209" i="9"/>
  <c r="G209" i="9"/>
  <c r="F209" i="9"/>
  <c r="E209" i="9"/>
  <c r="D209" i="9"/>
  <c r="C209" i="9"/>
  <c r="J208" i="9"/>
  <c r="I208" i="9"/>
  <c r="H208" i="9"/>
  <c r="G208" i="9"/>
  <c r="F208" i="9"/>
  <c r="E208" i="9"/>
  <c r="D208" i="9"/>
  <c r="C208" i="9"/>
  <c r="J207" i="9"/>
  <c r="I207" i="9"/>
  <c r="H207" i="9"/>
  <c r="G207" i="9"/>
  <c r="F207" i="9"/>
  <c r="E207" i="9"/>
  <c r="D207" i="9"/>
  <c r="C207" i="9"/>
  <c r="J206" i="9"/>
  <c r="I206" i="9"/>
  <c r="H206" i="9"/>
  <c r="G206" i="9"/>
  <c r="F206" i="9"/>
  <c r="E206" i="9"/>
  <c r="D206" i="9"/>
  <c r="C206" i="9"/>
  <c r="J205" i="9"/>
  <c r="I205" i="9"/>
  <c r="H205" i="9"/>
  <c r="G205" i="9"/>
  <c r="F205" i="9"/>
  <c r="E205" i="9"/>
  <c r="D205" i="9"/>
  <c r="C205" i="9"/>
  <c r="J204" i="9"/>
  <c r="I204" i="9"/>
  <c r="H204" i="9"/>
  <c r="G204" i="9"/>
  <c r="F204" i="9"/>
  <c r="E204" i="9"/>
  <c r="D204" i="9"/>
  <c r="C204" i="9"/>
  <c r="J203" i="9"/>
  <c r="I203" i="9"/>
  <c r="H203" i="9"/>
  <c r="G203" i="9"/>
  <c r="F203" i="9"/>
  <c r="E203" i="9"/>
  <c r="D203" i="9"/>
  <c r="C203" i="9"/>
  <c r="J202" i="9"/>
  <c r="I202" i="9"/>
  <c r="H202" i="9"/>
  <c r="G202" i="9"/>
  <c r="F202" i="9"/>
  <c r="E202" i="9"/>
  <c r="D202" i="9"/>
  <c r="C202" i="9"/>
  <c r="J201" i="9"/>
  <c r="I201" i="9"/>
  <c r="H201" i="9"/>
  <c r="G201" i="9"/>
  <c r="F201" i="9"/>
  <c r="E201" i="9"/>
  <c r="D201" i="9"/>
  <c r="C201" i="9"/>
  <c r="J200" i="9"/>
  <c r="I200" i="9"/>
  <c r="H200" i="9"/>
  <c r="G200" i="9"/>
  <c r="F200" i="9"/>
  <c r="E200" i="9"/>
  <c r="D200" i="9"/>
  <c r="C200" i="9"/>
  <c r="J199" i="9"/>
  <c r="I199" i="9"/>
  <c r="H199" i="9"/>
  <c r="G199" i="9"/>
  <c r="F199" i="9"/>
  <c r="E199" i="9"/>
  <c r="D199" i="9"/>
  <c r="C199" i="9"/>
  <c r="J198" i="9"/>
  <c r="I198" i="9"/>
  <c r="H198" i="9"/>
  <c r="G198" i="9"/>
  <c r="F198" i="9"/>
  <c r="E198" i="9"/>
  <c r="D198" i="9"/>
  <c r="C198" i="9"/>
  <c r="J197" i="9"/>
  <c r="I197" i="9"/>
  <c r="H197" i="9"/>
  <c r="G197" i="9"/>
  <c r="F197" i="9"/>
  <c r="E197" i="9"/>
  <c r="D197" i="9"/>
  <c r="C197" i="9"/>
  <c r="J196" i="9"/>
  <c r="I196" i="9"/>
  <c r="H196" i="9"/>
  <c r="G196" i="9"/>
  <c r="F196" i="9"/>
  <c r="E196" i="9"/>
  <c r="D196" i="9"/>
  <c r="C196" i="9"/>
  <c r="J195" i="9"/>
  <c r="I195" i="9"/>
  <c r="H195" i="9"/>
  <c r="G195" i="9"/>
  <c r="F195" i="9"/>
  <c r="E195" i="9"/>
  <c r="D195" i="9"/>
  <c r="C195" i="9"/>
  <c r="J194" i="9"/>
  <c r="I194" i="9"/>
  <c r="H194" i="9"/>
  <c r="G194" i="9"/>
  <c r="F194" i="9"/>
  <c r="E194" i="9"/>
  <c r="D194" i="9"/>
  <c r="C194" i="9"/>
  <c r="J193" i="9"/>
  <c r="I193" i="9"/>
  <c r="H193" i="9"/>
  <c r="G193" i="9"/>
  <c r="F193" i="9"/>
  <c r="E193" i="9"/>
  <c r="D193" i="9"/>
  <c r="C193" i="9"/>
  <c r="J192" i="9"/>
  <c r="I192" i="9"/>
  <c r="H192" i="9"/>
  <c r="G192" i="9"/>
  <c r="F192" i="9"/>
  <c r="E192" i="9"/>
  <c r="D192" i="9"/>
  <c r="C192" i="9"/>
  <c r="J191" i="9"/>
  <c r="I191" i="9"/>
  <c r="H191" i="9"/>
  <c r="G191" i="9"/>
  <c r="F191" i="9"/>
  <c r="E191" i="9"/>
  <c r="D191" i="9"/>
  <c r="C191" i="9"/>
  <c r="J190" i="9"/>
  <c r="I190" i="9"/>
  <c r="H190" i="9"/>
  <c r="G190" i="9"/>
  <c r="F190" i="9"/>
  <c r="E190" i="9"/>
  <c r="D190" i="9"/>
  <c r="C190" i="9"/>
  <c r="J189" i="9"/>
  <c r="I189" i="9"/>
  <c r="H189" i="9"/>
  <c r="G189" i="9"/>
  <c r="F189" i="9"/>
  <c r="E189" i="9"/>
  <c r="D189" i="9"/>
  <c r="C189" i="9"/>
  <c r="J188" i="9"/>
  <c r="I188" i="9"/>
  <c r="H188" i="9"/>
  <c r="G188" i="9"/>
  <c r="F188" i="9"/>
  <c r="E188" i="9"/>
  <c r="D188" i="9"/>
  <c r="C188" i="9"/>
  <c r="J187" i="9"/>
  <c r="I187" i="9"/>
  <c r="H187" i="9"/>
  <c r="G187" i="9"/>
  <c r="F187" i="9"/>
  <c r="E187" i="9"/>
  <c r="D187" i="9"/>
  <c r="C187" i="9"/>
  <c r="J186" i="9"/>
  <c r="I186" i="9"/>
  <c r="H186" i="9"/>
  <c r="G186" i="9"/>
  <c r="F186" i="9"/>
  <c r="E186" i="9"/>
  <c r="D186" i="9"/>
  <c r="C186" i="9"/>
  <c r="J185" i="9"/>
  <c r="I185" i="9"/>
  <c r="H185" i="9"/>
  <c r="G185" i="9"/>
  <c r="F185" i="9"/>
  <c r="E185" i="9"/>
  <c r="D185" i="9"/>
  <c r="C185" i="9"/>
  <c r="J184" i="9"/>
  <c r="I184" i="9"/>
  <c r="H184" i="9"/>
  <c r="G184" i="9"/>
  <c r="F184" i="9"/>
  <c r="E184" i="9"/>
  <c r="D184" i="9"/>
  <c r="C184" i="9"/>
  <c r="J183" i="9"/>
  <c r="I183" i="9"/>
  <c r="H183" i="9"/>
  <c r="G183" i="9"/>
  <c r="F183" i="9"/>
  <c r="E183" i="9"/>
  <c r="D183" i="9"/>
  <c r="C183" i="9"/>
  <c r="J182" i="9"/>
  <c r="I182" i="9"/>
  <c r="H182" i="9"/>
  <c r="G182" i="9"/>
  <c r="F182" i="9"/>
  <c r="E182" i="9"/>
  <c r="D182" i="9"/>
  <c r="C182" i="9"/>
  <c r="J181" i="9"/>
  <c r="I181" i="9"/>
  <c r="H181" i="9"/>
  <c r="G181" i="9"/>
  <c r="F181" i="9"/>
  <c r="E181" i="9"/>
  <c r="D181" i="9"/>
  <c r="C181" i="9"/>
  <c r="J180" i="9"/>
  <c r="I180" i="9"/>
  <c r="H180" i="9"/>
  <c r="G180" i="9"/>
  <c r="F180" i="9"/>
  <c r="E180" i="9"/>
  <c r="D180" i="9"/>
  <c r="C180" i="9"/>
  <c r="J179" i="9"/>
  <c r="I179" i="9"/>
  <c r="H179" i="9"/>
  <c r="G179" i="9"/>
  <c r="F179" i="9"/>
  <c r="E179" i="9"/>
  <c r="D179" i="9"/>
  <c r="C179" i="9"/>
  <c r="J178" i="9"/>
  <c r="I178" i="9"/>
  <c r="H178" i="9"/>
  <c r="G178" i="9"/>
  <c r="F178" i="9"/>
  <c r="E178" i="9"/>
  <c r="D178" i="9"/>
  <c r="C178" i="9"/>
  <c r="J177" i="9"/>
  <c r="I177" i="9"/>
  <c r="H177" i="9"/>
  <c r="G177" i="9"/>
  <c r="F177" i="9"/>
  <c r="E177" i="9"/>
  <c r="D177" i="9"/>
  <c r="C177" i="9"/>
  <c r="J176" i="9"/>
  <c r="I176" i="9"/>
  <c r="H176" i="9"/>
  <c r="G176" i="9"/>
  <c r="F176" i="9"/>
  <c r="E176" i="9"/>
  <c r="D176" i="9"/>
  <c r="C176" i="9"/>
  <c r="J175" i="9"/>
  <c r="I175" i="9"/>
  <c r="H175" i="9"/>
  <c r="G175" i="9"/>
  <c r="F175" i="9"/>
  <c r="E175" i="9"/>
  <c r="D175" i="9"/>
  <c r="C175" i="9"/>
  <c r="J174" i="9"/>
  <c r="I174" i="9"/>
  <c r="H174" i="9"/>
  <c r="G174" i="9"/>
  <c r="F174" i="9"/>
  <c r="E174" i="9"/>
  <c r="D174" i="9"/>
  <c r="C174" i="9"/>
  <c r="J173" i="9"/>
  <c r="I173" i="9"/>
  <c r="H173" i="9"/>
  <c r="G173" i="9"/>
  <c r="F173" i="9"/>
  <c r="E173" i="9"/>
  <c r="D173" i="9"/>
  <c r="C173" i="9"/>
  <c r="J172" i="9"/>
  <c r="I172" i="9"/>
  <c r="H172" i="9"/>
  <c r="G172" i="9"/>
  <c r="F172" i="9"/>
  <c r="E172" i="9"/>
  <c r="D172" i="9"/>
  <c r="C172" i="9"/>
  <c r="J171" i="9"/>
  <c r="I171" i="9"/>
  <c r="H171" i="9"/>
  <c r="G171" i="9"/>
  <c r="F171" i="9"/>
  <c r="E171" i="9"/>
  <c r="D171" i="9"/>
  <c r="C171" i="9"/>
  <c r="J170" i="9"/>
  <c r="I170" i="9"/>
  <c r="H170" i="9"/>
  <c r="G170" i="9"/>
  <c r="F170" i="9"/>
  <c r="E170" i="9"/>
  <c r="D170" i="9"/>
  <c r="C170" i="9"/>
  <c r="J169" i="9"/>
  <c r="I169" i="9"/>
  <c r="H169" i="9"/>
  <c r="G169" i="9"/>
  <c r="F169" i="9"/>
  <c r="E169" i="9"/>
  <c r="D169" i="9"/>
  <c r="C169" i="9"/>
  <c r="J168" i="9"/>
  <c r="I168" i="9"/>
  <c r="H168" i="9"/>
  <c r="G168" i="9"/>
  <c r="F168" i="9"/>
  <c r="E168" i="9"/>
  <c r="D168" i="9"/>
  <c r="C168" i="9"/>
  <c r="J167" i="9"/>
  <c r="I167" i="9"/>
  <c r="H167" i="9"/>
  <c r="G167" i="9"/>
  <c r="F167" i="9"/>
  <c r="E167" i="9"/>
  <c r="D167" i="9"/>
  <c r="C167" i="9"/>
  <c r="J166" i="9"/>
  <c r="I166" i="9"/>
  <c r="H166" i="9"/>
  <c r="G166" i="9"/>
  <c r="F166" i="9"/>
  <c r="E166" i="9"/>
  <c r="D166" i="9"/>
  <c r="C166" i="9"/>
  <c r="J165" i="9"/>
  <c r="I165" i="9"/>
  <c r="H165" i="9"/>
  <c r="G165" i="9"/>
  <c r="F165" i="9"/>
  <c r="E165" i="9"/>
  <c r="D165" i="9"/>
  <c r="C165" i="9"/>
  <c r="J164" i="9"/>
  <c r="I164" i="9"/>
  <c r="H164" i="9"/>
  <c r="G164" i="9"/>
  <c r="F164" i="9"/>
  <c r="E164" i="9"/>
  <c r="D164" i="9"/>
  <c r="C164" i="9"/>
  <c r="J163" i="9"/>
  <c r="I163" i="9"/>
  <c r="H163" i="9"/>
  <c r="G163" i="9"/>
  <c r="F163" i="9"/>
  <c r="E163" i="9"/>
  <c r="D163" i="9"/>
  <c r="C163" i="9"/>
  <c r="J162" i="9"/>
  <c r="I162" i="9"/>
  <c r="H162" i="9"/>
  <c r="G162" i="9"/>
  <c r="F162" i="9"/>
  <c r="E162" i="9"/>
  <c r="D162" i="9"/>
  <c r="C162" i="9"/>
  <c r="J161" i="9"/>
  <c r="I161" i="9"/>
  <c r="H161" i="9"/>
  <c r="G161" i="9"/>
  <c r="F161" i="9"/>
  <c r="E161" i="9"/>
  <c r="D161" i="9"/>
  <c r="C161" i="9"/>
  <c r="J160" i="9"/>
  <c r="I160" i="9"/>
  <c r="H160" i="9"/>
  <c r="G160" i="9"/>
  <c r="F160" i="9"/>
  <c r="E160" i="9"/>
  <c r="D160" i="9"/>
  <c r="C160" i="9"/>
  <c r="J159" i="9"/>
  <c r="I159" i="9"/>
  <c r="H159" i="9"/>
  <c r="G159" i="9"/>
  <c r="F159" i="9"/>
  <c r="E159" i="9"/>
  <c r="D159" i="9"/>
  <c r="C159" i="9"/>
  <c r="J158" i="9"/>
  <c r="I158" i="9"/>
  <c r="H158" i="9"/>
  <c r="G158" i="9"/>
  <c r="F158" i="9"/>
  <c r="E158" i="9"/>
  <c r="D158" i="9"/>
  <c r="C158" i="9"/>
  <c r="J157" i="9"/>
  <c r="I157" i="9"/>
  <c r="H157" i="9"/>
  <c r="G157" i="9"/>
  <c r="F157" i="9"/>
  <c r="E157" i="9"/>
  <c r="D157" i="9"/>
  <c r="C157" i="9"/>
  <c r="J156" i="9"/>
  <c r="I156" i="9"/>
  <c r="H156" i="9"/>
  <c r="G156" i="9"/>
  <c r="F156" i="9"/>
  <c r="E156" i="9"/>
  <c r="D156" i="9"/>
  <c r="C156" i="9"/>
  <c r="J155" i="9"/>
  <c r="I155" i="9"/>
  <c r="H155" i="9"/>
  <c r="G155" i="9"/>
  <c r="F155" i="9"/>
  <c r="E155" i="9"/>
  <c r="D155" i="9"/>
  <c r="C155" i="9"/>
  <c r="J154" i="9"/>
  <c r="I154" i="9"/>
  <c r="H154" i="9"/>
  <c r="G154" i="9"/>
  <c r="F154" i="9"/>
  <c r="E154" i="9"/>
  <c r="D154" i="9"/>
  <c r="C154" i="9"/>
  <c r="J153" i="9"/>
  <c r="I153" i="9"/>
  <c r="H153" i="9"/>
  <c r="G153" i="9"/>
  <c r="F153" i="9"/>
  <c r="E153" i="9"/>
  <c r="D153" i="9"/>
  <c r="C153" i="9"/>
  <c r="J152" i="9"/>
  <c r="I152" i="9"/>
  <c r="H152" i="9"/>
  <c r="G152" i="9"/>
  <c r="F152" i="9"/>
  <c r="E152" i="9"/>
  <c r="D152" i="9"/>
  <c r="C152" i="9"/>
  <c r="J151" i="9"/>
  <c r="I151" i="9"/>
  <c r="H151" i="9"/>
  <c r="G151" i="9"/>
  <c r="F151" i="9"/>
  <c r="E151" i="9"/>
  <c r="D151" i="9"/>
  <c r="C151" i="9"/>
  <c r="J150" i="9"/>
  <c r="I150" i="9"/>
  <c r="H150" i="9"/>
  <c r="G150" i="9"/>
  <c r="F150" i="9"/>
  <c r="E150" i="9"/>
  <c r="D150" i="9"/>
  <c r="C150" i="9"/>
  <c r="J149" i="9"/>
  <c r="I149" i="9"/>
  <c r="H149" i="9"/>
  <c r="G149" i="9"/>
  <c r="F149" i="9"/>
  <c r="E149" i="9"/>
  <c r="D149" i="9"/>
  <c r="C149" i="9"/>
  <c r="J148" i="9"/>
  <c r="I148" i="9"/>
  <c r="H148" i="9"/>
  <c r="G148" i="9"/>
  <c r="F148" i="9"/>
  <c r="E148" i="9"/>
  <c r="D148" i="9"/>
  <c r="C148" i="9"/>
  <c r="J147" i="9"/>
  <c r="I147" i="9"/>
  <c r="H147" i="9"/>
  <c r="G147" i="9"/>
  <c r="F147" i="9"/>
  <c r="E147" i="9"/>
  <c r="D147" i="9"/>
  <c r="C147" i="9"/>
  <c r="J146" i="9"/>
  <c r="I146" i="9"/>
  <c r="H146" i="9"/>
  <c r="G146" i="9"/>
  <c r="F146" i="9"/>
  <c r="E146" i="9"/>
  <c r="D146" i="9"/>
  <c r="C146" i="9"/>
  <c r="J145" i="9"/>
  <c r="I145" i="9"/>
  <c r="H145" i="9"/>
  <c r="G145" i="9"/>
  <c r="F145" i="9"/>
  <c r="E145" i="9"/>
  <c r="D145" i="9"/>
  <c r="C145" i="9"/>
  <c r="J144" i="9"/>
  <c r="I144" i="9"/>
  <c r="H144" i="9"/>
  <c r="G144" i="9"/>
  <c r="F144" i="9"/>
  <c r="E144" i="9"/>
  <c r="D144" i="9"/>
  <c r="C144" i="9"/>
  <c r="J143" i="9"/>
  <c r="I143" i="9"/>
  <c r="H143" i="9"/>
  <c r="G143" i="9"/>
  <c r="F143" i="9"/>
  <c r="E143" i="9"/>
  <c r="D143" i="9"/>
  <c r="C143" i="9"/>
  <c r="J142" i="9"/>
  <c r="I142" i="9"/>
  <c r="H142" i="9"/>
  <c r="G142" i="9"/>
  <c r="F142" i="9"/>
  <c r="E142" i="9"/>
  <c r="D142" i="9"/>
  <c r="C142" i="9"/>
  <c r="J141" i="9"/>
  <c r="I141" i="9"/>
  <c r="H141" i="9"/>
  <c r="G141" i="9"/>
  <c r="F141" i="9"/>
  <c r="E141" i="9"/>
  <c r="D141" i="9"/>
  <c r="C141" i="9"/>
  <c r="J140" i="9"/>
  <c r="I140" i="9"/>
  <c r="H140" i="9"/>
  <c r="G140" i="9"/>
  <c r="F140" i="9"/>
  <c r="E140" i="9"/>
  <c r="D140" i="9"/>
  <c r="C140" i="9"/>
  <c r="J139" i="9"/>
  <c r="I139" i="9"/>
  <c r="H139" i="9"/>
  <c r="G139" i="9"/>
  <c r="F139" i="9"/>
  <c r="E139" i="9"/>
  <c r="D139" i="9"/>
  <c r="C139" i="9"/>
  <c r="J138" i="9"/>
  <c r="I138" i="9"/>
  <c r="H138" i="9"/>
  <c r="G138" i="9"/>
  <c r="F138" i="9"/>
  <c r="E138" i="9"/>
  <c r="D138" i="9"/>
  <c r="C138" i="9"/>
  <c r="J137" i="9"/>
  <c r="I137" i="9"/>
  <c r="H137" i="9"/>
  <c r="G137" i="9"/>
  <c r="F137" i="9"/>
  <c r="E137" i="9"/>
  <c r="D137" i="9"/>
  <c r="C137" i="9"/>
  <c r="J136" i="9"/>
  <c r="I136" i="9"/>
  <c r="H136" i="9"/>
  <c r="G136" i="9"/>
  <c r="F136" i="9"/>
  <c r="E136" i="9"/>
  <c r="D136" i="9"/>
  <c r="C136" i="9"/>
  <c r="J135" i="9"/>
  <c r="I135" i="9"/>
  <c r="H135" i="9"/>
  <c r="G135" i="9"/>
  <c r="F135" i="9"/>
  <c r="E135" i="9"/>
  <c r="D135" i="9"/>
  <c r="C135" i="9"/>
  <c r="J134" i="9"/>
  <c r="I134" i="9"/>
  <c r="H134" i="9"/>
  <c r="G134" i="9"/>
  <c r="F134" i="9"/>
  <c r="E134" i="9"/>
  <c r="D134" i="9"/>
  <c r="C134" i="9"/>
  <c r="J133" i="9"/>
  <c r="I133" i="9"/>
  <c r="H133" i="9"/>
  <c r="G133" i="9"/>
  <c r="F133" i="9"/>
  <c r="E133" i="9"/>
  <c r="D133" i="9"/>
  <c r="C133" i="9"/>
  <c r="J132" i="9"/>
  <c r="I132" i="9"/>
  <c r="H132" i="9"/>
  <c r="G132" i="9"/>
  <c r="F132" i="9"/>
  <c r="E132" i="9"/>
  <c r="D132" i="9"/>
  <c r="C132" i="9"/>
  <c r="J131" i="9"/>
  <c r="I131" i="9"/>
  <c r="H131" i="9"/>
  <c r="G131" i="9"/>
  <c r="F131" i="9"/>
  <c r="E131" i="9"/>
  <c r="D131" i="9"/>
  <c r="C131" i="9"/>
  <c r="J130" i="9"/>
  <c r="I130" i="9"/>
  <c r="H130" i="9"/>
  <c r="G130" i="9"/>
  <c r="F130" i="9"/>
  <c r="E130" i="9"/>
  <c r="D130" i="9"/>
  <c r="C130" i="9"/>
  <c r="J129" i="9"/>
  <c r="I129" i="9"/>
  <c r="H129" i="9"/>
  <c r="G129" i="9"/>
  <c r="F129" i="9"/>
  <c r="E129" i="9"/>
  <c r="D129" i="9"/>
  <c r="C129" i="9"/>
  <c r="J128" i="9"/>
  <c r="I128" i="9"/>
  <c r="H128" i="9"/>
  <c r="G128" i="9"/>
  <c r="F128" i="9"/>
  <c r="E128" i="9"/>
  <c r="D128" i="9"/>
  <c r="C128" i="9"/>
  <c r="J127" i="9"/>
  <c r="I127" i="9"/>
  <c r="H127" i="9"/>
  <c r="G127" i="9"/>
  <c r="F127" i="9"/>
  <c r="E127" i="9"/>
  <c r="D127" i="9"/>
  <c r="C127" i="9"/>
  <c r="J126" i="9"/>
  <c r="I126" i="9"/>
  <c r="H126" i="9"/>
  <c r="G126" i="9"/>
  <c r="F126" i="9"/>
  <c r="E126" i="9"/>
  <c r="D126" i="9"/>
  <c r="C126" i="9"/>
  <c r="J125" i="9"/>
  <c r="I125" i="9"/>
  <c r="H125" i="9"/>
  <c r="G125" i="9"/>
  <c r="F125" i="9"/>
  <c r="E125" i="9"/>
  <c r="D125" i="9"/>
  <c r="C125" i="9"/>
  <c r="J124" i="9"/>
  <c r="I124" i="9"/>
  <c r="H124" i="9"/>
  <c r="G124" i="9"/>
  <c r="F124" i="9"/>
  <c r="E124" i="9"/>
  <c r="D124" i="9"/>
  <c r="C124" i="9"/>
  <c r="J123" i="9"/>
  <c r="I123" i="9"/>
  <c r="H123" i="9"/>
  <c r="G123" i="9"/>
  <c r="F123" i="9"/>
  <c r="E123" i="9"/>
  <c r="D123" i="9"/>
  <c r="C123" i="9"/>
  <c r="J122" i="9"/>
  <c r="I122" i="9"/>
  <c r="H122" i="9"/>
  <c r="G122" i="9"/>
  <c r="F122" i="9"/>
  <c r="E122" i="9"/>
  <c r="D122" i="9"/>
  <c r="C122" i="9"/>
  <c r="J121" i="9"/>
  <c r="I121" i="9"/>
  <c r="H121" i="9"/>
  <c r="G121" i="9"/>
  <c r="F121" i="9"/>
  <c r="E121" i="9"/>
  <c r="D121" i="9"/>
  <c r="C121" i="9"/>
  <c r="J120" i="9"/>
  <c r="I120" i="9"/>
  <c r="H120" i="9"/>
  <c r="G120" i="9"/>
  <c r="F120" i="9"/>
  <c r="E120" i="9"/>
  <c r="D120" i="9"/>
  <c r="C120" i="9"/>
  <c r="J119" i="9"/>
  <c r="I119" i="9"/>
  <c r="H119" i="9"/>
  <c r="G119" i="9"/>
  <c r="F119" i="9"/>
  <c r="E119" i="9"/>
  <c r="D119" i="9"/>
  <c r="C119" i="9"/>
  <c r="J118" i="9"/>
  <c r="I118" i="9"/>
  <c r="H118" i="9"/>
  <c r="G118" i="9"/>
  <c r="F118" i="9"/>
  <c r="E118" i="9"/>
  <c r="D118" i="9"/>
  <c r="C118" i="9"/>
  <c r="J117" i="9"/>
  <c r="I117" i="9"/>
  <c r="H117" i="9"/>
  <c r="G117" i="9"/>
  <c r="F117" i="9"/>
  <c r="E117" i="9"/>
  <c r="D117" i="9"/>
  <c r="C117" i="9"/>
  <c r="J116" i="9"/>
  <c r="I116" i="9"/>
  <c r="H116" i="9"/>
  <c r="G116" i="9"/>
  <c r="F116" i="9"/>
  <c r="E116" i="9"/>
  <c r="D116" i="9"/>
  <c r="C116" i="9"/>
  <c r="J115" i="9"/>
  <c r="I115" i="9"/>
  <c r="H115" i="9"/>
  <c r="G115" i="9"/>
  <c r="F115" i="9"/>
  <c r="E115" i="9"/>
  <c r="D115" i="9"/>
  <c r="C115" i="9"/>
  <c r="J114" i="9"/>
  <c r="I114" i="9"/>
  <c r="H114" i="9"/>
  <c r="G114" i="9"/>
  <c r="F114" i="9"/>
  <c r="E114" i="9"/>
  <c r="D114" i="9"/>
  <c r="C114" i="9"/>
  <c r="J113" i="9"/>
  <c r="I113" i="9"/>
  <c r="H113" i="9"/>
  <c r="G113" i="9"/>
  <c r="F113" i="9"/>
  <c r="E113" i="9"/>
  <c r="D113" i="9"/>
  <c r="C113" i="9"/>
  <c r="J112" i="9"/>
  <c r="I112" i="9"/>
  <c r="H112" i="9"/>
  <c r="G112" i="9"/>
  <c r="F112" i="9"/>
  <c r="E112" i="9"/>
  <c r="D112" i="9"/>
  <c r="C112" i="9"/>
  <c r="J111" i="9"/>
  <c r="I111" i="9"/>
  <c r="H111" i="9"/>
  <c r="G111" i="9"/>
  <c r="F111" i="9"/>
  <c r="E111" i="9"/>
  <c r="D111" i="9"/>
  <c r="C111" i="9"/>
  <c r="J110" i="9"/>
  <c r="I110" i="9"/>
  <c r="H110" i="9"/>
  <c r="G110" i="9"/>
  <c r="F110" i="9"/>
  <c r="E110" i="9"/>
  <c r="D110" i="9"/>
  <c r="C110" i="9"/>
  <c r="J109" i="9"/>
  <c r="I109" i="9"/>
  <c r="H109" i="9"/>
  <c r="G109" i="9"/>
  <c r="F109" i="9"/>
  <c r="E109" i="9"/>
  <c r="D109" i="9"/>
  <c r="C109" i="9"/>
  <c r="J108" i="9"/>
  <c r="I108" i="9"/>
  <c r="H108" i="9"/>
  <c r="G108" i="9"/>
  <c r="F108" i="9"/>
  <c r="E108" i="9"/>
  <c r="D108" i="9"/>
  <c r="C108" i="9"/>
  <c r="J107" i="9"/>
  <c r="I107" i="9"/>
  <c r="H107" i="9"/>
  <c r="G107" i="9"/>
  <c r="F107" i="9"/>
  <c r="E107" i="9"/>
  <c r="D107" i="9"/>
  <c r="C107" i="9"/>
  <c r="J106" i="9"/>
  <c r="I106" i="9"/>
  <c r="H106" i="9"/>
  <c r="G106" i="9"/>
  <c r="F106" i="9"/>
  <c r="E106" i="9"/>
  <c r="D106" i="9"/>
  <c r="C106" i="9"/>
  <c r="J105" i="9"/>
  <c r="I105" i="9"/>
  <c r="H105" i="9"/>
  <c r="G105" i="9"/>
  <c r="F105" i="9"/>
  <c r="E105" i="9"/>
  <c r="D105" i="9"/>
  <c r="C105" i="9"/>
  <c r="J104" i="9"/>
  <c r="I104" i="9"/>
  <c r="H104" i="9"/>
  <c r="G104" i="9"/>
  <c r="F104" i="9"/>
  <c r="E104" i="9"/>
  <c r="D104" i="9"/>
  <c r="C104" i="9"/>
  <c r="J103" i="9"/>
  <c r="I103" i="9"/>
  <c r="H103" i="9"/>
  <c r="G103" i="9"/>
  <c r="F103" i="9"/>
  <c r="E103" i="9"/>
  <c r="D103" i="9"/>
  <c r="C103" i="9"/>
  <c r="J102" i="9"/>
  <c r="I102" i="9"/>
  <c r="H102" i="9"/>
  <c r="G102" i="9"/>
  <c r="F102" i="9"/>
  <c r="E102" i="9"/>
  <c r="D102" i="9"/>
  <c r="C102" i="9"/>
  <c r="J101" i="9"/>
  <c r="I101" i="9"/>
  <c r="H101" i="9"/>
  <c r="G101" i="9"/>
  <c r="F101" i="9"/>
  <c r="E101" i="9"/>
  <c r="D101" i="9"/>
  <c r="C101" i="9"/>
  <c r="J100" i="9"/>
  <c r="I100" i="9"/>
  <c r="H100" i="9"/>
  <c r="G100" i="9"/>
  <c r="F100" i="9"/>
  <c r="E100" i="9"/>
  <c r="D100" i="9"/>
  <c r="C100" i="9"/>
  <c r="J99" i="9"/>
  <c r="I99" i="9"/>
  <c r="H99" i="9"/>
  <c r="G99" i="9"/>
  <c r="F99" i="9"/>
  <c r="E99" i="9"/>
  <c r="D99" i="9"/>
  <c r="C99" i="9"/>
  <c r="J98" i="9"/>
  <c r="I98" i="9"/>
  <c r="H98" i="9"/>
  <c r="G98" i="9"/>
  <c r="F98" i="9"/>
  <c r="E98" i="9"/>
  <c r="D98" i="9"/>
  <c r="C98" i="9"/>
  <c r="J97" i="9"/>
  <c r="I97" i="9"/>
  <c r="H97" i="9"/>
  <c r="G97" i="9"/>
  <c r="F97" i="9"/>
  <c r="E97" i="9"/>
  <c r="D97" i="9"/>
  <c r="C97" i="9"/>
  <c r="J96" i="9"/>
  <c r="I96" i="9"/>
  <c r="H96" i="9"/>
  <c r="G96" i="9"/>
  <c r="F96" i="9"/>
  <c r="E96" i="9"/>
  <c r="D96" i="9"/>
  <c r="C96" i="9"/>
  <c r="J95" i="9"/>
  <c r="I95" i="9"/>
  <c r="H95" i="9"/>
  <c r="G95" i="9"/>
  <c r="F95" i="9"/>
  <c r="E95" i="9"/>
  <c r="D95" i="9"/>
  <c r="C95" i="9"/>
  <c r="J94" i="9"/>
  <c r="I94" i="9"/>
  <c r="H94" i="9"/>
  <c r="G94" i="9"/>
  <c r="F94" i="9"/>
  <c r="E94" i="9"/>
  <c r="D94" i="9"/>
  <c r="C94" i="9"/>
  <c r="J93" i="9"/>
  <c r="I93" i="9"/>
  <c r="H93" i="9"/>
  <c r="G93" i="9"/>
  <c r="F93" i="9"/>
  <c r="E93" i="9"/>
  <c r="D93" i="9"/>
  <c r="C93" i="9"/>
  <c r="J92" i="9"/>
  <c r="I92" i="9"/>
  <c r="H92" i="9"/>
  <c r="G92" i="9"/>
  <c r="F92" i="9"/>
  <c r="E92" i="9"/>
  <c r="D92" i="9"/>
  <c r="C92" i="9"/>
  <c r="J91" i="9"/>
  <c r="I91" i="9"/>
  <c r="H91" i="9"/>
  <c r="G91" i="9"/>
  <c r="F91" i="9"/>
  <c r="E91" i="9"/>
  <c r="D91" i="9"/>
  <c r="C91" i="9"/>
  <c r="J90" i="9"/>
  <c r="I90" i="9"/>
  <c r="H90" i="9"/>
  <c r="G90" i="9"/>
  <c r="F90" i="9"/>
  <c r="E90" i="9"/>
  <c r="D90" i="9"/>
  <c r="C90" i="9"/>
  <c r="J89" i="9"/>
  <c r="I89" i="9"/>
  <c r="H89" i="9"/>
  <c r="G89" i="9"/>
  <c r="F89" i="9"/>
  <c r="E89" i="9"/>
  <c r="D89" i="9"/>
  <c r="C89" i="9"/>
  <c r="J88" i="9"/>
  <c r="I88" i="9"/>
  <c r="H88" i="9"/>
  <c r="G88" i="9"/>
  <c r="F88" i="9"/>
  <c r="E88" i="9"/>
  <c r="D88" i="9"/>
  <c r="C88" i="9"/>
  <c r="J87" i="9"/>
  <c r="I87" i="9"/>
  <c r="H87" i="9"/>
  <c r="G87" i="9"/>
  <c r="F87" i="9"/>
  <c r="E87" i="9"/>
  <c r="D87" i="9"/>
  <c r="C87" i="9"/>
  <c r="J86" i="9"/>
  <c r="I86" i="9"/>
  <c r="H86" i="9"/>
  <c r="G86" i="9"/>
  <c r="F86" i="9"/>
  <c r="E86" i="9"/>
  <c r="D86" i="9"/>
  <c r="C86" i="9"/>
  <c r="J85" i="9"/>
  <c r="I85" i="9"/>
  <c r="H85" i="9"/>
  <c r="G85" i="9"/>
  <c r="F85" i="9"/>
  <c r="E85" i="9"/>
  <c r="D85" i="9"/>
  <c r="C85" i="9"/>
  <c r="J84" i="9"/>
  <c r="I84" i="9"/>
  <c r="H84" i="9"/>
  <c r="G84" i="9"/>
  <c r="F84" i="9"/>
  <c r="E84" i="9"/>
  <c r="D84" i="9"/>
  <c r="C84" i="9"/>
  <c r="J83" i="9"/>
  <c r="I83" i="9"/>
  <c r="H83" i="9"/>
  <c r="G83" i="9"/>
  <c r="F83" i="9"/>
  <c r="E83" i="9"/>
  <c r="D83" i="9"/>
  <c r="C83" i="9"/>
  <c r="J82" i="9"/>
  <c r="I82" i="9"/>
  <c r="H82" i="9"/>
  <c r="G82" i="9"/>
  <c r="F82" i="9"/>
  <c r="E82" i="9"/>
  <c r="D82" i="9"/>
  <c r="C82" i="9"/>
  <c r="J81" i="9"/>
  <c r="I81" i="9"/>
  <c r="H81" i="9"/>
  <c r="G81" i="9"/>
  <c r="F81" i="9"/>
  <c r="E81" i="9"/>
  <c r="D81" i="9"/>
  <c r="C81" i="9"/>
  <c r="J80" i="9"/>
  <c r="I80" i="9"/>
  <c r="H80" i="9"/>
  <c r="G80" i="9"/>
  <c r="F80" i="9"/>
  <c r="E80" i="9"/>
  <c r="D80" i="9"/>
  <c r="C80" i="9"/>
  <c r="J79" i="9"/>
  <c r="I79" i="9"/>
  <c r="H79" i="9"/>
  <c r="G79" i="9"/>
  <c r="F79" i="9"/>
  <c r="E79" i="9"/>
  <c r="D79" i="9"/>
  <c r="C79" i="9"/>
  <c r="J78" i="9"/>
  <c r="I78" i="9"/>
  <c r="H78" i="9"/>
  <c r="G78" i="9"/>
  <c r="F78" i="9"/>
  <c r="E78" i="9"/>
  <c r="D78" i="9"/>
  <c r="C78" i="9"/>
  <c r="J77" i="9"/>
  <c r="I77" i="9"/>
  <c r="H77" i="9"/>
  <c r="G77" i="9"/>
  <c r="F77" i="9"/>
  <c r="E77" i="9"/>
  <c r="D77" i="9"/>
  <c r="C77" i="9"/>
  <c r="J76" i="9"/>
  <c r="I76" i="9"/>
  <c r="H76" i="9"/>
  <c r="G76" i="9"/>
  <c r="F76" i="9"/>
  <c r="E76" i="9"/>
  <c r="D76" i="9"/>
  <c r="C76" i="9"/>
  <c r="J75" i="9"/>
  <c r="I75" i="9"/>
  <c r="H75" i="9"/>
  <c r="G75" i="9"/>
  <c r="F75" i="9"/>
  <c r="E75" i="9"/>
  <c r="D75" i="9"/>
  <c r="C75" i="9"/>
  <c r="J74" i="9"/>
  <c r="I74" i="9"/>
  <c r="H74" i="9"/>
  <c r="G74" i="9"/>
  <c r="F74" i="9"/>
  <c r="E74" i="9"/>
  <c r="D74" i="9"/>
  <c r="C74" i="9"/>
  <c r="J73" i="9"/>
  <c r="I73" i="9"/>
  <c r="H73" i="9"/>
  <c r="G73" i="9"/>
  <c r="F73" i="9"/>
  <c r="E73" i="9"/>
  <c r="D73" i="9"/>
  <c r="C73" i="9"/>
  <c r="J72" i="9"/>
  <c r="I72" i="9"/>
  <c r="H72" i="9"/>
  <c r="G72" i="9"/>
  <c r="F72" i="9"/>
  <c r="E72" i="9"/>
  <c r="D72" i="9"/>
  <c r="C72" i="9"/>
  <c r="J71" i="9"/>
  <c r="I71" i="9"/>
  <c r="H71" i="9"/>
  <c r="G71" i="9"/>
  <c r="F71" i="9"/>
  <c r="E71" i="9"/>
  <c r="D71" i="9"/>
  <c r="C71" i="9"/>
  <c r="J70" i="9"/>
  <c r="I70" i="9"/>
  <c r="H70" i="9"/>
  <c r="G70" i="9"/>
  <c r="F70" i="9"/>
  <c r="E70" i="9"/>
  <c r="D70" i="9"/>
  <c r="C70" i="9"/>
  <c r="J69" i="9"/>
  <c r="I69" i="9"/>
  <c r="H69" i="9"/>
  <c r="G69" i="9"/>
  <c r="F69" i="9"/>
  <c r="E69" i="9"/>
  <c r="D69" i="9"/>
  <c r="C69" i="9"/>
  <c r="J68" i="9"/>
  <c r="I68" i="9"/>
  <c r="H68" i="9"/>
  <c r="G68" i="9"/>
  <c r="F68" i="9"/>
  <c r="E68" i="9"/>
  <c r="D68" i="9"/>
  <c r="C68" i="9"/>
  <c r="J67" i="9"/>
  <c r="I67" i="9"/>
  <c r="H67" i="9"/>
  <c r="G67" i="9"/>
  <c r="F67" i="9"/>
  <c r="E67" i="9"/>
  <c r="D67" i="9"/>
  <c r="C67" i="9"/>
  <c r="J66" i="9"/>
  <c r="I66" i="9"/>
  <c r="H66" i="9"/>
  <c r="G66" i="9"/>
  <c r="F66" i="9"/>
  <c r="E66" i="9"/>
  <c r="D66" i="9"/>
  <c r="C66" i="9"/>
  <c r="J65" i="9"/>
  <c r="I65" i="9"/>
  <c r="H65" i="9"/>
  <c r="G65" i="9"/>
  <c r="F65" i="9"/>
  <c r="E65" i="9"/>
  <c r="D65" i="9"/>
  <c r="C65" i="9"/>
  <c r="J64" i="9"/>
  <c r="I64" i="9"/>
  <c r="H64" i="9"/>
  <c r="G64" i="9"/>
  <c r="F64" i="9"/>
  <c r="E64" i="9"/>
  <c r="D64" i="9"/>
  <c r="C64" i="9"/>
  <c r="J63" i="9"/>
  <c r="I63" i="9"/>
  <c r="H63" i="9"/>
  <c r="G63" i="9"/>
  <c r="F63" i="9"/>
  <c r="E63" i="9"/>
  <c r="D63" i="9"/>
  <c r="C63" i="9"/>
  <c r="J62" i="9"/>
  <c r="I62" i="9"/>
  <c r="H62" i="9"/>
  <c r="G62" i="9"/>
  <c r="F62" i="9"/>
  <c r="E62" i="9"/>
  <c r="D62" i="9"/>
  <c r="C62" i="9"/>
  <c r="J61" i="9"/>
  <c r="I61" i="9"/>
  <c r="H61" i="9"/>
  <c r="G61" i="9"/>
  <c r="F61" i="9"/>
  <c r="E61" i="9"/>
  <c r="D61" i="9"/>
  <c r="C61" i="9"/>
  <c r="J60" i="9"/>
  <c r="I60" i="9"/>
  <c r="H60" i="9"/>
  <c r="G60" i="9"/>
  <c r="F60" i="9"/>
  <c r="E60" i="9"/>
  <c r="D60" i="9"/>
  <c r="C60" i="9"/>
  <c r="J59" i="9"/>
  <c r="I59" i="9"/>
  <c r="H59" i="9"/>
  <c r="G59" i="9"/>
  <c r="F59" i="9"/>
  <c r="E59" i="9"/>
  <c r="D59" i="9"/>
  <c r="C59" i="9"/>
  <c r="J58" i="9"/>
  <c r="I58" i="9"/>
  <c r="H58" i="9"/>
  <c r="G58" i="9"/>
  <c r="F58" i="9"/>
  <c r="E58" i="9"/>
  <c r="D58" i="9"/>
  <c r="C58" i="9"/>
  <c r="J57" i="9"/>
  <c r="I57" i="9"/>
  <c r="H57" i="9"/>
  <c r="G57" i="9"/>
  <c r="F57" i="9"/>
  <c r="E57" i="9"/>
  <c r="D57" i="9"/>
  <c r="C57" i="9"/>
  <c r="J56" i="9"/>
  <c r="I56" i="9"/>
  <c r="H56" i="9"/>
  <c r="G56" i="9"/>
  <c r="F56" i="9"/>
  <c r="E56" i="9"/>
  <c r="D56" i="9"/>
  <c r="C56" i="9"/>
  <c r="J55" i="9"/>
  <c r="I55" i="9"/>
  <c r="H55" i="9"/>
  <c r="G55" i="9"/>
  <c r="F55" i="9"/>
  <c r="E55" i="9"/>
  <c r="D55" i="9"/>
  <c r="C55" i="9"/>
  <c r="J54" i="9"/>
  <c r="I54" i="9"/>
  <c r="H54" i="9"/>
  <c r="G54" i="9"/>
  <c r="F54" i="9"/>
  <c r="E54" i="9"/>
  <c r="D54" i="9"/>
  <c r="C54" i="9"/>
  <c r="J53" i="9"/>
  <c r="I53" i="9"/>
  <c r="H53" i="9"/>
  <c r="G53" i="9"/>
  <c r="F53" i="9"/>
  <c r="E53" i="9"/>
  <c r="D53" i="9"/>
  <c r="C53" i="9"/>
  <c r="J52" i="9"/>
  <c r="I52" i="9"/>
  <c r="H52" i="9"/>
  <c r="G52" i="9"/>
  <c r="F52" i="9"/>
  <c r="E52" i="9"/>
  <c r="D52" i="9"/>
  <c r="C52" i="9"/>
  <c r="J51" i="9"/>
  <c r="I51" i="9"/>
  <c r="H51" i="9"/>
  <c r="G51" i="9"/>
  <c r="F51" i="9"/>
  <c r="E51" i="9"/>
  <c r="D51" i="9"/>
  <c r="C51" i="9"/>
  <c r="J50" i="9"/>
  <c r="I50" i="9"/>
  <c r="H50" i="9"/>
  <c r="G50" i="9"/>
  <c r="F50" i="9"/>
  <c r="E50" i="9"/>
  <c r="D50" i="9"/>
  <c r="C50" i="9"/>
  <c r="J49" i="9"/>
  <c r="I49" i="9"/>
  <c r="H49" i="9"/>
  <c r="G49" i="9"/>
  <c r="F49" i="9"/>
  <c r="E49" i="9"/>
  <c r="D49" i="9"/>
  <c r="C49" i="9"/>
  <c r="J48" i="9"/>
  <c r="I48" i="9"/>
  <c r="H48" i="9"/>
  <c r="G48" i="9"/>
  <c r="F48" i="9"/>
  <c r="E48" i="9"/>
  <c r="D48" i="9"/>
  <c r="C48" i="9"/>
  <c r="J47" i="9"/>
  <c r="I47" i="9"/>
  <c r="H47" i="9"/>
  <c r="G47" i="9"/>
  <c r="F47" i="9"/>
  <c r="E47" i="9"/>
  <c r="D47" i="9"/>
  <c r="C47" i="9"/>
  <c r="J46" i="9"/>
  <c r="I46" i="9"/>
  <c r="H46" i="9"/>
  <c r="G46" i="9"/>
  <c r="F46" i="9"/>
  <c r="E46" i="9"/>
  <c r="D46" i="9"/>
  <c r="C46" i="9"/>
  <c r="J45" i="9"/>
  <c r="I45" i="9"/>
  <c r="H45" i="9"/>
  <c r="G45" i="9"/>
  <c r="F45" i="9"/>
  <c r="E45" i="9"/>
  <c r="D45" i="9"/>
  <c r="C45" i="9"/>
  <c r="J44" i="9"/>
  <c r="I44" i="9"/>
  <c r="H44" i="9"/>
  <c r="G44" i="9"/>
  <c r="F44" i="9"/>
  <c r="E44" i="9"/>
  <c r="D44" i="9"/>
  <c r="C44" i="9"/>
  <c r="J43" i="9"/>
  <c r="I43" i="9"/>
  <c r="H43" i="9"/>
  <c r="G43" i="9"/>
  <c r="F43" i="9"/>
  <c r="E43" i="9"/>
  <c r="D43" i="9"/>
  <c r="C43" i="9"/>
  <c r="J42" i="9"/>
  <c r="I42" i="9"/>
  <c r="H42" i="9"/>
  <c r="G42" i="9"/>
  <c r="F42" i="9"/>
  <c r="E42" i="9"/>
  <c r="D42" i="9"/>
  <c r="C42" i="9"/>
  <c r="J41" i="9"/>
  <c r="I41" i="9"/>
  <c r="H41" i="9"/>
  <c r="G41" i="9"/>
  <c r="F41" i="9"/>
  <c r="E41" i="9"/>
  <c r="D41" i="9"/>
  <c r="C41" i="9"/>
  <c r="J40" i="9"/>
  <c r="I40" i="9"/>
  <c r="H40" i="9"/>
  <c r="G40" i="9"/>
  <c r="F40" i="9"/>
  <c r="E40" i="9"/>
  <c r="D40" i="9"/>
  <c r="C40" i="9"/>
  <c r="J39" i="9"/>
  <c r="I39" i="9"/>
  <c r="H39" i="9"/>
  <c r="G39" i="9"/>
  <c r="F39" i="9"/>
  <c r="E39" i="9"/>
  <c r="D39" i="9"/>
  <c r="C39" i="9"/>
  <c r="J38" i="9"/>
  <c r="I38" i="9"/>
  <c r="H38" i="9"/>
  <c r="G38" i="9"/>
  <c r="F38" i="9"/>
  <c r="E38" i="9"/>
  <c r="D38" i="9"/>
  <c r="C38" i="9"/>
  <c r="J37" i="9"/>
  <c r="I37" i="9"/>
  <c r="H37" i="9"/>
  <c r="G37" i="9"/>
  <c r="F37" i="9"/>
  <c r="E37" i="9"/>
  <c r="D37" i="9"/>
  <c r="C37" i="9"/>
  <c r="J36" i="9"/>
  <c r="I36" i="9"/>
  <c r="H36" i="9"/>
  <c r="G36" i="9"/>
  <c r="F36" i="9"/>
  <c r="E36" i="9"/>
  <c r="D36" i="9"/>
  <c r="C36" i="9"/>
  <c r="J35" i="9"/>
  <c r="I35" i="9"/>
  <c r="H35" i="9"/>
  <c r="G35" i="9"/>
  <c r="F35" i="9"/>
  <c r="E35" i="9"/>
  <c r="D35" i="9"/>
  <c r="C35" i="9"/>
  <c r="J34" i="9"/>
  <c r="I34" i="9"/>
  <c r="H34" i="9"/>
  <c r="G34" i="9"/>
  <c r="F34" i="9"/>
  <c r="E34" i="9"/>
  <c r="D34" i="9"/>
  <c r="C34" i="9"/>
  <c r="J33" i="9"/>
  <c r="I33" i="9"/>
  <c r="H33" i="9"/>
  <c r="G33" i="9"/>
  <c r="F33" i="9"/>
  <c r="E33" i="9"/>
  <c r="D33" i="9"/>
  <c r="C33" i="9"/>
  <c r="J32" i="9"/>
  <c r="I32" i="9"/>
  <c r="H32" i="9"/>
  <c r="G32" i="9"/>
  <c r="F32" i="9"/>
  <c r="E32" i="9"/>
  <c r="D32" i="9"/>
  <c r="C32" i="9"/>
  <c r="J31" i="9"/>
  <c r="I31" i="9"/>
  <c r="H31" i="9"/>
  <c r="G31" i="9"/>
  <c r="F31" i="9"/>
  <c r="E31" i="9"/>
  <c r="D31" i="9"/>
  <c r="C31" i="9"/>
  <c r="J30" i="9"/>
  <c r="I30" i="9"/>
  <c r="H30" i="9"/>
  <c r="G30" i="9"/>
  <c r="F30" i="9"/>
  <c r="E30" i="9"/>
  <c r="D30" i="9"/>
  <c r="C30" i="9"/>
  <c r="J29" i="9"/>
  <c r="I29" i="9"/>
  <c r="H29" i="9"/>
  <c r="G29" i="9"/>
  <c r="F29" i="9"/>
  <c r="E29" i="9"/>
  <c r="D29" i="9"/>
  <c r="C29" i="9"/>
  <c r="J28" i="9"/>
  <c r="I28" i="9"/>
  <c r="H28" i="9"/>
  <c r="G28" i="9"/>
  <c r="F28" i="9"/>
  <c r="E28" i="9"/>
  <c r="D28" i="9"/>
  <c r="C28" i="9"/>
  <c r="J27" i="9"/>
  <c r="I27" i="9"/>
  <c r="H27" i="9"/>
  <c r="G27" i="9"/>
  <c r="F27" i="9"/>
  <c r="E27" i="9"/>
  <c r="D27" i="9"/>
  <c r="C27" i="9"/>
  <c r="J26" i="9"/>
  <c r="I26" i="9"/>
  <c r="H26" i="9"/>
  <c r="G26" i="9"/>
  <c r="F26" i="9"/>
  <c r="E26" i="9"/>
  <c r="D26" i="9"/>
  <c r="C26" i="9"/>
  <c r="J25" i="9"/>
  <c r="I25" i="9"/>
  <c r="H25" i="9"/>
  <c r="G25" i="9"/>
  <c r="F25" i="9"/>
  <c r="E25" i="9"/>
  <c r="D25" i="9"/>
  <c r="C25" i="9"/>
  <c r="J24" i="9"/>
  <c r="I24" i="9"/>
  <c r="H24" i="9"/>
  <c r="G24" i="9"/>
  <c r="F24" i="9"/>
  <c r="E24" i="9"/>
  <c r="D24" i="9"/>
  <c r="C24" i="9"/>
  <c r="J23" i="9"/>
  <c r="I23" i="9"/>
  <c r="H23" i="9"/>
  <c r="G23" i="9"/>
  <c r="F23" i="9"/>
  <c r="E23" i="9"/>
  <c r="D23" i="9"/>
  <c r="C23" i="9"/>
  <c r="J22" i="9"/>
  <c r="I22" i="9"/>
  <c r="H22" i="9"/>
  <c r="G22" i="9"/>
  <c r="F22" i="9"/>
  <c r="E22" i="9"/>
  <c r="D22" i="9"/>
  <c r="C22" i="9"/>
  <c r="J21" i="9"/>
  <c r="I21" i="9"/>
  <c r="H21" i="9"/>
  <c r="G21" i="9"/>
  <c r="F21" i="9"/>
  <c r="E21" i="9"/>
  <c r="D21" i="9"/>
  <c r="C21" i="9"/>
  <c r="J20" i="9"/>
  <c r="I20" i="9"/>
  <c r="H20" i="9"/>
  <c r="G20" i="9"/>
  <c r="F20" i="9"/>
  <c r="E20" i="9"/>
  <c r="D20" i="9"/>
  <c r="C20" i="9"/>
  <c r="J19" i="9"/>
  <c r="I19" i="9"/>
  <c r="H19" i="9"/>
  <c r="G19" i="9"/>
  <c r="F19" i="9"/>
  <c r="E19" i="9"/>
  <c r="D19" i="9"/>
  <c r="C19" i="9"/>
  <c r="J18" i="9"/>
  <c r="I18" i="9"/>
  <c r="H18" i="9"/>
  <c r="G18" i="9"/>
  <c r="F18" i="9"/>
  <c r="E18" i="9"/>
  <c r="D18" i="9"/>
  <c r="C18" i="9"/>
  <c r="J17" i="9"/>
  <c r="I17" i="9"/>
  <c r="H17" i="9"/>
  <c r="G17" i="9"/>
  <c r="F17" i="9"/>
  <c r="E17" i="9"/>
  <c r="D17" i="9"/>
  <c r="C17" i="9"/>
  <c r="J16" i="9"/>
  <c r="I16" i="9"/>
  <c r="H16" i="9"/>
  <c r="G16" i="9"/>
  <c r="F16" i="9"/>
  <c r="E16" i="9"/>
  <c r="D16" i="9"/>
  <c r="C16" i="9"/>
  <c r="J15" i="9"/>
  <c r="I15" i="9"/>
  <c r="H15" i="9"/>
  <c r="G15" i="9"/>
  <c r="F15" i="9"/>
  <c r="E15" i="9"/>
  <c r="D15" i="9"/>
  <c r="C15" i="9"/>
  <c r="J14" i="9"/>
  <c r="I14" i="9"/>
  <c r="H14" i="9"/>
  <c r="G14" i="9"/>
  <c r="F14" i="9"/>
  <c r="E14" i="9"/>
  <c r="D14" i="9"/>
  <c r="C14" i="9"/>
  <c r="J13" i="9"/>
  <c r="I13" i="9"/>
  <c r="H13" i="9"/>
  <c r="G13" i="9"/>
  <c r="F13" i="9"/>
  <c r="E13" i="9"/>
  <c r="D13" i="9"/>
  <c r="C13" i="9"/>
  <c r="J12" i="9"/>
  <c r="I12" i="9"/>
  <c r="H12" i="9"/>
  <c r="G12" i="9"/>
  <c r="F12" i="9"/>
  <c r="E12" i="9"/>
  <c r="D12" i="9"/>
  <c r="C12" i="9"/>
  <c r="J11" i="9"/>
  <c r="I11" i="9"/>
  <c r="H11" i="9"/>
  <c r="G11" i="9"/>
  <c r="F11" i="9"/>
  <c r="E11" i="9"/>
  <c r="D11" i="9"/>
  <c r="C11" i="9"/>
  <c r="J10" i="9"/>
  <c r="I10" i="9"/>
  <c r="H10" i="9"/>
  <c r="G10" i="9"/>
  <c r="F10" i="9"/>
  <c r="E10" i="9"/>
  <c r="D10" i="9"/>
  <c r="C10" i="9"/>
  <c r="J9" i="9"/>
  <c r="I9" i="9"/>
  <c r="H9" i="9"/>
  <c r="G9" i="9"/>
  <c r="F9" i="9"/>
  <c r="E9" i="9"/>
  <c r="D9" i="9"/>
  <c r="C9" i="9"/>
  <c r="J8" i="9"/>
  <c r="I8" i="9"/>
  <c r="H8" i="9"/>
  <c r="G8" i="9"/>
  <c r="F8" i="9"/>
  <c r="E8" i="9"/>
  <c r="D8" i="9"/>
  <c r="C8" i="9"/>
  <c r="J7" i="9"/>
  <c r="I7" i="9"/>
  <c r="H7" i="9"/>
  <c r="G7" i="9"/>
  <c r="F7" i="9"/>
  <c r="E7" i="9"/>
  <c r="D7" i="9"/>
  <c r="C7" i="9"/>
  <c r="J6" i="9"/>
  <c r="I6" i="9"/>
  <c r="H6" i="9"/>
  <c r="G6" i="9"/>
  <c r="F6" i="9"/>
  <c r="E6" i="9"/>
  <c r="D6" i="9"/>
  <c r="C6" i="9"/>
  <c r="J5" i="9"/>
  <c r="I5" i="9"/>
  <c r="H5" i="9"/>
  <c r="G5" i="9"/>
  <c r="F5" i="9"/>
  <c r="E5" i="9"/>
  <c r="D5" i="9"/>
  <c r="C5" i="9"/>
  <c r="J4" i="9"/>
  <c r="I4" i="9"/>
  <c r="H4" i="9"/>
  <c r="G4" i="9"/>
  <c r="F4" i="9"/>
  <c r="E4" i="9"/>
  <c r="D4" i="9"/>
  <c r="C4" i="9"/>
  <c r="J3" i="9"/>
  <c r="I3" i="9"/>
  <c r="H3" i="9"/>
  <c r="G3" i="9"/>
  <c r="F3" i="9"/>
  <c r="E3" i="9"/>
  <c r="D3" i="9"/>
  <c r="C3" i="9"/>
  <c r="J2" i="9"/>
  <c r="I2" i="9"/>
  <c r="H2" i="9"/>
  <c r="G2" i="9"/>
  <c r="F2" i="9"/>
  <c r="E2" i="9"/>
  <c r="D2" i="9"/>
  <c r="C2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C22" i="13" l="1"/>
  <c r="E9" i="13"/>
  <c r="E5" i="13"/>
  <c r="E7" i="13"/>
  <c r="B47" i="13"/>
  <c r="B51" i="13" l="1" a="1"/>
  <c r="B51" i="13" s="1"/>
  <c r="B52" i="13" s="1"/>
  <c r="B53" i="13" s="1"/>
  <c r="B4" i="14" s="1"/>
  <c r="B42" i="15" s="1"/>
  <c r="B61" i="13"/>
  <c r="B3" i="14" s="1"/>
  <c r="B23" i="15" s="1"/>
  <c r="C2" i="14"/>
  <c r="C3" i="14" s="1"/>
  <c r="B46" i="13"/>
  <c r="B6" i="14" l="1"/>
  <c r="B61" i="15" s="1"/>
  <c r="B2" i="14"/>
  <c r="B22" i="15" s="1"/>
</calcChain>
</file>

<file path=xl/sharedStrings.xml><?xml version="1.0" encoding="utf-8"?>
<sst xmlns="http://schemas.openxmlformats.org/spreadsheetml/2006/main" count="11486" uniqueCount="44">
  <si>
    <t>AAPL</t>
  </si>
  <si>
    <t>Date</t>
  </si>
  <si>
    <t>Stock Name</t>
  </si>
  <si>
    <t>Close</t>
  </si>
  <si>
    <t>NVDA</t>
  </si>
  <si>
    <t>MSFT</t>
  </si>
  <si>
    <t>AMD</t>
  </si>
  <si>
    <t>AMZN</t>
  </si>
  <si>
    <t>TSLA</t>
  </si>
  <si>
    <t>GOOGL</t>
  </si>
  <si>
    <t>META</t>
  </si>
  <si>
    <t>Index Name</t>
  </si>
  <si>
    <t>Nasdaq</t>
  </si>
  <si>
    <t>10Y Govt. Bomd</t>
  </si>
  <si>
    <t>Stock/Indicies</t>
  </si>
  <si>
    <t>Return</t>
  </si>
  <si>
    <t>Portfolio</t>
  </si>
  <si>
    <t>Index</t>
  </si>
  <si>
    <t>Risk</t>
  </si>
  <si>
    <t>Beta</t>
  </si>
  <si>
    <t>CAPM</t>
  </si>
  <si>
    <t>Variance</t>
  </si>
  <si>
    <t>Avg Daily Return</t>
  </si>
  <si>
    <t>Annual Return</t>
  </si>
  <si>
    <t>Volatility</t>
  </si>
  <si>
    <t>Sharpe</t>
  </si>
  <si>
    <t>Weights</t>
  </si>
  <si>
    <t>Total</t>
  </si>
  <si>
    <t>Investment</t>
  </si>
  <si>
    <t>Correlation</t>
  </si>
  <si>
    <t>Co-variance</t>
  </si>
  <si>
    <t>Annual Risk</t>
  </si>
  <si>
    <t>Portfolio Beta</t>
  </si>
  <si>
    <t>beta</t>
  </si>
  <si>
    <t>Asset</t>
  </si>
  <si>
    <t>Risk(%)</t>
  </si>
  <si>
    <t>Metric</t>
  </si>
  <si>
    <t>Historical Return(%)</t>
  </si>
  <si>
    <t>CAPM Return(%)</t>
  </si>
  <si>
    <t>Historical return(%)</t>
  </si>
  <si>
    <t>Annual Risk (%)</t>
  </si>
  <si>
    <t>Sharpe Ratio</t>
  </si>
  <si>
    <t>Portfolio mix</t>
  </si>
  <si>
    <t>NASDAQ Portfolio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</si>
</sst>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%"/>
    <numFmt numFmtId="166" formatCode="0.0000%"/>
    <numFmt numFmtId="167" formatCode="0.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2" fontId="2" fillId="2" borderId="0" xfId="0" applyNumberFormat="1" applyFont="1" applyFill="1"/>
    <xf numFmtId="10" fontId="2" fillId="2" borderId="0" xfId="1" applyNumberFormat="1" applyFont="1" applyFill="1"/>
    <xf numFmtId="0" fontId="3" fillId="2" borderId="0" xfId="0" applyFont="1" applyFill="1" applyAlignment="1">
      <alignment horizontal="center" vertical="center"/>
    </xf>
    <xf numFmtId="10" fontId="2" fillId="2" borderId="0" xfId="0" applyNumberFormat="1" applyFont="1" applyFill="1"/>
    <xf numFmtId="2" fontId="2" fillId="2" borderId="0" xfId="1" applyNumberFormat="1" applyFont="1" applyFill="1"/>
    <xf numFmtId="0" fontId="3" fillId="2" borderId="0" xfId="0" applyFont="1" applyFill="1"/>
    <xf numFmtId="2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1" applyNumberFormat="1" applyFont="1" applyFill="1"/>
    <xf numFmtId="167" fontId="2" fillId="2" borderId="0" xfId="1" applyNumberFormat="1" applyFont="1" applyFill="1"/>
    <xf numFmtId="166" fontId="2" fillId="2" borderId="0" xfId="1" applyNumberFormat="1" applyFont="1" applyFill="1"/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</a:t>
            </a:r>
            <a:r>
              <a:rPr lang="en-IN" baseline="0"/>
              <a:t>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56D-4509-B49A-194C78DAFA7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6BBFEB-43D2-425C-8809-09E487CE326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56D-4509-B49A-194C78DAFA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9CDA4F-EA42-42A3-9A40-D9B80948E00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56D-4509-B49A-194C78DAFA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DashBoard!$B$2:$C$2</c:f>
              <c:numCache>
                <c:formatCode>0.00%</c:formatCode>
                <c:ptCount val="2"/>
                <c:pt idx="0">
                  <c:v>0.3226</c:v>
                </c:pt>
                <c:pt idx="1">
                  <c:v>0.22670000000000001</c:v>
                </c:pt>
              </c:numCache>
            </c:numRef>
          </c:xVal>
          <c:yVal>
            <c:numRef>
              <c:f>DashBoard!$B$3:$C$3</c:f>
              <c:numCache>
                <c:formatCode>0.00%</c:formatCode>
                <c:ptCount val="2"/>
                <c:pt idx="0">
                  <c:v>0.39529999999999998</c:v>
                </c:pt>
                <c:pt idx="1">
                  <c:v>0.1585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DashBoard!$B$1:$C$1</c15:f>
                <c15:dlblRangeCache>
                  <c:ptCount val="2"/>
                  <c:pt idx="0">
                    <c:v>Portfolio</c:v>
                  </c:pt>
                  <c:pt idx="1">
                    <c:v>Index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56D-4509-B49A-194C78DAF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6304"/>
        <c:axId val="501202464"/>
      </c:scatterChart>
      <c:valAx>
        <c:axId val="50120630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2464"/>
        <c:crosses val="autoZero"/>
        <c:crossBetween val="midCat"/>
      </c:valAx>
      <c:valAx>
        <c:axId val="5012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Historical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Portfolio vs Index Returns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DashBoard!$A$22</c:f>
              <c:strCache>
                <c:ptCount val="1"/>
                <c:pt idx="0">
                  <c:v>Historical return(%)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DashBoard!$B$22:$C$22</c:f>
              <c:numCache>
                <c:formatCode>0.00%</c:formatCode>
                <c:ptCount val="2"/>
                <c:pt idx="0">
                  <c:v>0.39533607436197593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A-4819-9373-D0B462A658C9}"/>
            </c:ext>
          </c:extLst>
        </c:ser>
        <c:ser>
          <c:idx val="1"/>
          <c:order val="1"/>
          <c:tx>
            <c:strRef>
              <c:f>DashBoard!$A$23</c:f>
              <c:strCache>
                <c:ptCount val="1"/>
                <c:pt idx="0">
                  <c:v>CAPM Return(%)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DashBoard!$B$23:$C$23</c:f>
              <c:numCache>
                <c:formatCode>0.00%</c:formatCode>
                <c:ptCount val="2"/>
                <c:pt idx="0">
                  <c:v>0.20011855670257678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A-4819-9373-D0B462A65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225984"/>
        <c:axId val="501221664"/>
      </c:barChart>
      <c:catAx>
        <c:axId val="50122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1664"/>
        <c:crosses val="autoZero"/>
        <c:auto val="1"/>
        <c:lblAlgn val="ctr"/>
        <c:lblOffset val="100"/>
        <c:noMultiLvlLbl val="0"/>
      </c:catAx>
      <c:valAx>
        <c:axId val="5012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Annual Risk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F8-421D-B5CB-A9625FFDFE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DashBoard!$A$42:$A$43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DashBoard!$B$42:$B$43</c:f>
              <c:numCache>
                <c:formatCode>0.00%</c:formatCode>
                <c:ptCount val="2"/>
                <c:pt idx="0">
                  <c:v>0.32256812061784995</c:v>
                </c:pt>
                <c:pt idx="1">
                  <c:v>0.22667214695570731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8-421D-B5CB-A9625FFDF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7104"/>
        <c:axId val="149354704"/>
      </c:barChart>
      <c:catAx>
        <c:axId val="1493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4704"/>
        <c:crosses val="autoZero"/>
        <c:auto val="1"/>
        <c:lblAlgn val="ctr"/>
        <c:lblOffset val="100"/>
        <c:noMultiLvlLbl val="0"/>
      </c:catAx>
      <c:valAx>
        <c:axId val="1493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7D-435E-91C1-715F0D20CFCE}"/>
              </c:ext>
            </c:extLst>
          </c:dPt>
          <c:cat>
            <c:strRef>
              <c:f>DashBoard!$A$61:$A$62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DashBoard!$B$61:$B$62</c:f>
              <c:numCache>
                <c:formatCode>0.00</c:formatCode>
                <c:ptCount val="2"/>
                <c:pt idx="0">
                  <c:v>1.0947643359349208</c:v>
                </c:pt>
                <c:pt idx="1">
                  <c:v>0.51299156327439988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D-435E-91C1-715F0D20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02128"/>
        <c:axId val="167702608"/>
      </c:barChart>
      <c:catAx>
        <c:axId val="16770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608"/>
        <c:crosses val="autoZero"/>
        <c:auto val="1"/>
        <c:lblAlgn val="ctr"/>
        <c:lblOffset val="100"/>
        <c:noMultiLvlLbl val="0"/>
      </c:catAx>
      <c:valAx>
        <c:axId val="1677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Portfolio</a:t>
            </a:r>
            <a:r>
              <a:rPr lang="en-IN" baseline="0"/>
              <a:t> Mix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3-4686-9A03-CA2570D85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3-4686-9A03-CA2570D855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53-4686-9A03-CA2570D855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53-4686-9A03-CA2570D855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53-4686-9A03-CA2570D855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53-4686-9A03-CA2570D8555C}"/>
              </c:ext>
            </c:extLst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EC-47E4-A420-20D1D71503A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53-4686-9A03-CA2570D855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DashBoard!$A$82:$A$89</c:f>
              <c:strCache>
                <c:ptCount val="8"/>
                <c:pt idx="0">
                  <c:v>AAPL</c:v>
                </c:pt>
                <c:pt idx="1">
                  <c:v>MSFT</c:v>
                </c:pt>
                <c:pt idx="2">
                  <c:v>NVDA</c:v>
                </c:pt>
                <c:pt idx="3">
                  <c:v>AMD</c:v>
                </c:pt>
                <c:pt idx="4">
                  <c:v>AMZN</c:v>
                </c:pt>
                <c:pt idx="5">
                  <c:v>TSLA</c:v>
                </c:pt>
                <c:pt idx="6">
                  <c:v>GOOGL</c:v>
                </c:pt>
                <c:pt idx="7">
                  <c:v>META</c:v>
                </c:pt>
              </c:strCache>
            </c:strRef>
          </c:cat>
          <c:val>
            <c:numRef>
              <c:f>DashBoard!$B$82:$B$89</c:f>
              <c:numCache>
                <c:formatCode>0.00</c:formatCode>
                <c:ptCount val="8"/>
                <c:pt idx="0">
                  <c:v>8.3333333333333329E-2</c:v>
                </c:pt>
                <c:pt idx="1">
                  <c:v>0.125</c:v>
                </c:pt>
                <c:pt idx="2">
                  <c:v>0.20833333333333334</c:v>
                </c:pt>
                <c:pt idx="3">
                  <c:v>4.1666666666666664E-2</c:v>
                </c:pt>
                <c:pt idx="4">
                  <c:v>0.25</c:v>
                </c:pt>
                <c:pt idx="5">
                  <c:v>0.125</c:v>
                </c:pt>
                <c:pt idx="6">
                  <c:v>6.25E-2</c:v>
                </c:pt>
                <c:pt idx="7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C-47E4-A420-20D1D7150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Risk</a:t>
            </a:r>
            <a:r>
              <a:rPr lang="en-IN" b="1" baseline="0"/>
              <a:t>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BF0-4C1B-8BFC-90DFCAF80470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D6383AE-AF7C-4264-A240-1F35BAF60DF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solidFill>
                    <a:srgbClr val="00206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BF0-4C1B-8BFC-90DFCAF8047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50EA57-981E-4296-ABF4-05BB25F8C67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BF0-4C1B-8BFC-90DFCAF804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DashBoard!$B$2:$C$2</c:f>
              <c:numCache>
                <c:formatCode>0.00%</c:formatCode>
                <c:ptCount val="2"/>
                <c:pt idx="0">
                  <c:v>0.3226</c:v>
                </c:pt>
                <c:pt idx="1">
                  <c:v>0.22670000000000001</c:v>
                </c:pt>
              </c:numCache>
            </c:numRef>
          </c:xVal>
          <c:yVal>
            <c:numRef>
              <c:f>DashBoard!$B$3:$C$3</c:f>
              <c:numCache>
                <c:formatCode>0.00%</c:formatCode>
                <c:ptCount val="2"/>
                <c:pt idx="0">
                  <c:v>0.39529999999999998</c:v>
                </c:pt>
                <c:pt idx="1">
                  <c:v>0.1585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DashBoard!$B$1:$C$1</c15:f>
                <c15:dlblRangeCache>
                  <c:ptCount val="2"/>
                  <c:pt idx="0">
                    <c:v>Portfolio</c:v>
                  </c:pt>
                  <c:pt idx="1">
                    <c:v>Index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1BF0-4C1B-8BFC-90DFCAF80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6304"/>
        <c:axId val="501202464"/>
      </c:scatterChart>
      <c:valAx>
        <c:axId val="50120630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2464"/>
        <c:crosses val="autoZero"/>
        <c:crossBetween val="midCat"/>
      </c:valAx>
      <c:valAx>
        <c:axId val="50120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Historical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0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Portfolio vs Index Returns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DashBoard!$A$22</c:f>
              <c:strCache>
                <c:ptCount val="1"/>
                <c:pt idx="0">
                  <c:v>Historical return(%)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DashBoard!$B$22:$C$22</c:f>
              <c:numCache>
                <c:formatCode>0.00%</c:formatCode>
                <c:ptCount val="2"/>
                <c:pt idx="0">
                  <c:v>0.39533607436197593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1-46F2-BCC8-E12F8DE96EF5}"/>
            </c:ext>
          </c:extLst>
        </c:ser>
        <c:ser>
          <c:idx val="1"/>
          <c:order val="1"/>
          <c:tx>
            <c:strRef>
              <c:f>DashBoard!$A$23</c:f>
              <c:strCache>
                <c:ptCount val="1"/>
                <c:pt idx="0">
                  <c:v>CAPM Return(%)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DashBoard!$B$21:$C$21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DashBoard!$B$23:$C$23</c:f>
              <c:numCache>
                <c:formatCode>0.00%</c:formatCode>
                <c:ptCount val="2"/>
                <c:pt idx="0">
                  <c:v>0.20011855670257678</c:v>
                </c:pt>
                <c:pt idx="1">
                  <c:v>0.15848089901757278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1-46F2-BCC8-E12F8DE96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225984"/>
        <c:axId val="501221664"/>
      </c:barChart>
      <c:catAx>
        <c:axId val="50122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1664"/>
        <c:crosses val="autoZero"/>
        <c:auto val="1"/>
        <c:lblAlgn val="ctr"/>
        <c:lblOffset val="100"/>
        <c:noMultiLvlLbl val="0"/>
      </c:catAx>
      <c:valAx>
        <c:axId val="5012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Return</a:t>
                </a:r>
                <a:r>
                  <a:rPr lang="en-IN" baseline="0"/>
                  <a:t>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DashBoard!$B$41</c:f>
              <c:strCache>
                <c:ptCount val="1"/>
                <c:pt idx="0">
                  <c:v>Annual Risk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E0-40D5-A6AB-204C96CCC2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DashBoard!$A$42:$A$43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DashBoard!$B$42:$B$43</c:f>
              <c:numCache>
                <c:formatCode>0.00%</c:formatCode>
                <c:ptCount val="2"/>
                <c:pt idx="0">
                  <c:v>0.32256812061784995</c:v>
                </c:pt>
                <c:pt idx="1">
                  <c:v>0.22667214695570731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E0-40D5-A6AB-204C96CCC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7104"/>
        <c:axId val="149354704"/>
      </c:barChart>
      <c:catAx>
        <c:axId val="14935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4704"/>
        <c:crosses val="autoZero"/>
        <c:auto val="1"/>
        <c:lblAlgn val="ctr"/>
        <c:lblOffset val="100"/>
        <c:noMultiLvlLbl val="0"/>
      </c:catAx>
      <c:valAx>
        <c:axId val="1493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Portfolio</a:t>
            </a:r>
            <a:r>
              <a:rPr lang="en-IN" b="1" baseline="0"/>
              <a:t> Mix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6C-4E1A-B99C-958A5FD70C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6C-4E1A-B99C-958A5FD70C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6C-4E1A-B99C-958A5FD70C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6C-4E1A-B99C-958A5FD70C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6C-4E1A-B99C-958A5FD70C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6C-4E1A-B99C-958A5FD70C7C}"/>
              </c:ext>
            </c:extLst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A6C-4E1A-B99C-958A5FD70C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A6C-4E1A-B99C-958A5FD70C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DashBoard!$A$82:$A$89</c:f>
              <c:strCache>
                <c:ptCount val="8"/>
                <c:pt idx="0">
                  <c:v>AAPL</c:v>
                </c:pt>
                <c:pt idx="1">
                  <c:v>MSFT</c:v>
                </c:pt>
                <c:pt idx="2">
                  <c:v>NVDA</c:v>
                </c:pt>
                <c:pt idx="3">
                  <c:v>AMD</c:v>
                </c:pt>
                <c:pt idx="4">
                  <c:v>AMZN</c:v>
                </c:pt>
                <c:pt idx="5">
                  <c:v>TSLA</c:v>
                </c:pt>
                <c:pt idx="6">
                  <c:v>GOOGL</c:v>
                </c:pt>
                <c:pt idx="7">
                  <c:v>META</c:v>
                </c:pt>
              </c:strCache>
            </c:strRef>
          </c:cat>
          <c:val>
            <c:numRef>
              <c:f>DashBoard!$B$82:$B$89</c:f>
              <c:numCache>
                <c:formatCode>0.00</c:formatCode>
                <c:ptCount val="8"/>
                <c:pt idx="0">
                  <c:v>8.3333333333333329E-2</c:v>
                </c:pt>
                <c:pt idx="1">
                  <c:v>0.125</c:v>
                </c:pt>
                <c:pt idx="2">
                  <c:v>0.20833333333333334</c:v>
                </c:pt>
                <c:pt idx="3">
                  <c:v>4.1666666666666664E-2</c:v>
                </c:pt>
                <c:pt idx="4">
                  <c:v>0.25</c:v>
                </c:pt>
                <c:pt idx="5">
                  <c:v>0.125</c:v>
                </c:pt>
                <c:pt idx="6">
                  <c:v>6.25E-2</c:v>
                </c:pt>
                <c:pt idx="7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6C-4E1A-B99C-958A5FD7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Sharpe Ratio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1-4DA9-B725-E01F442FF056}"/>
              </c:ext>
            </c:extLst>
          </c:dPt>
          <c:cat>
            <c:strRef>
              <c:f>DashBoard!$A$61:$A$62</c:f>
              <c:strCache>
                <c:ptCount val="2"/>
                <c:pt idx="0">
                  <c:v>Portfolio</c:v>
                </c:pt>
                <c:pt idx="1">
                  <c:v>Index</c:v>
                </c:pt>
              </c:strCache>
            </c:strRef>
          </c:cat>
          <c:val>
            <c:numRef>
              <c:f>DashBoard!$B$61:$B$62</c:f>
              <c:numCache>
                <c:formatCode>0.00</c:formatCode>
                <c:ptCount val="2"/>
                <c:pt idx="0">
                  <c:v>1.0947643359349208</c:v>
                </c:pt>
                <c:pt idx="1">
                  <c:v>0.51299156327439988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1-4DA9-B725-E01F442FF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02128"/>
        <c:axId val="167702608"/>
      </c:barChart>
      <c:catAx>
        <c:axId val="16770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608"/>
        <c:crosses val="autoZero"/>
        <c:auto val="1"/>
        <c:lblAlgn val="ctr"/>
        <c:lblOffset val="100"/>
        <c:noMultiLvlLbl val="0"/>
      </c:catAx>
      <c:valAx>
        <c:axId val="16770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0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3810</xdr:rowOff>
    </xdr:from>
    <xdr:to>
      <xdr:col>7</xdr:col>
      <xdr:colOff>327660</xdr:colOff>
      <xdr:row>19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2CD293-659B-7727-BAD8-D5655D3B0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19050</xdr:rowOff>
    </xdr:from>
    <xdr:to>
      <xdr:col>6</xdr:col>
      <xdr:colOff>373380</xdr:colOff>
      <xdr:row>39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D40819-8CB1-4F4E-7EB8-B5B3BA827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44</xdr:row>
      <xdr:rowOff>30480</xdr:rowOff>
    </xdr:from>
    <xdr:to>
      <xdr:col>6</xdr:col>
      <xdr:colOff>205740</xdr:colOff>
      <xdr:row>57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697621-ACF2-4784-4645-27FDF4F27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62</xdr:row>
      <xdr:rowOff>179070</xdr:rowOff>
    </xdr:from>
    <xdr:to>
      <xdr:col>6</xdr:col>
      <xdr:colOff>243840</xdr:colOff>
      <xdr:row>77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41B321-34AA-A857-8F84-B24CC525E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90</xdr:row>
      <xdr:rowOff>87924</xdr:rowOff>
    </xdr:from>
    <xdr:to>
      <xdr:col>6</xdr:col>
      <xdr:colOff>169985</xdr:colOff>
      <xdr:row>103</xdr:row>
      <xdr:rowOff>148592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9781A7-2F01-87E1-DBF5-58D0A16DD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579120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236C70-8602-4EDF-8A01-346E6E141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533400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56993D-8A7C-4754-BF57-2A0580D2E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19</xdr:col>
      <xdr:colOff>228600</xdr:colOff>
      <xdr:row>35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71BC94-5962-43EA-80B7-73519233B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19</xdr:col>
      <xdr:colOff>205740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71F671-3C28-40A1-9E18-5FB1E9F77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381000</xdr:colOff>
      <xdr:row>40</xdr:row>
      <xdr:rowOff>60960</xdr:rowOff>
    </xdr:from>
    <xdr:to>
      <xdr:col>14</xdr:col>
      <xdr:colOff>419100</xdr:colOff>
      <xdr:row>57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B4BFDA-FCD0-4C70-B96B-B90E25CA4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7A55-A5DD-4586-A598-CB3FAEC0EF37}">
  <sheetPr codeName="Sheet1"/>
  <dimension ref="A1:C1256"/>
  <sheetViews>
    <sheetView workbookViewId="0">
      <selection activeCell="E6" sqref="E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0</v>
      </c>
      <c r="C2" s="3">
        <v>125.979</v>
      </c>
    </row>
    <row r="3" spans="1:3" x14ac:dyDescent="0.2">
      <c r="A3" s="2">
        <v>44201</v>
      </c>
      <c r="B3" s="1" t="s">
        <v>0</v>
      </c>
      <c r="C3" s="3">
        <v>127.52</v>
      </c>
    </row>
    <row r="4" spans="1:3" x14ac:dyDescent="0.2">
      <c r="A4" s="2">
        <v>44202</v>
      </c>
      <c r="B4" s="1" t="s">
        <v>0</v>
      </c>
      <c r="C4" s="3">
        <v>123.249</v>
      </c>
    </row>
    <row r="5" spans="1:3" x14ac:dyDescent="0.2">
      <c r="A5" s="2">
        <v>44203</v>
      </c>
      <c r="B5" s="1" t="s">
        <v>0</v>
      </c>
      <c r="C5" s="3">
        <v>127.43300000000001</v>
      </c>
    </row>
    <row r="6" spans="1:3" x14ac:dyDescent="0.2">
      <c r="A6" s="2">
        <v>44204</v>
      </c>
      <c r="B6" s="1" t="s">
        <v>0</v>
      </c>
      <c r="C6" s="3">
        <v>128.542</v>
      </c>
    </row>
    <row r="7" spans="1:3" x14ac:dyDescent="0.2">
      <c r="A7" s="2">
        <v>44207</v>
      </c>
      <c r="B7" s="1" t="s">
        <v>0</v>
      </c>
      <c r="C7" s="3">
        <v>125.557</v>
      </c>
    </row>
    <row r="8" spans="1:3" x14ac:dyDescent="0.2">
      <c r="A8" s="2">
        <v>44208</v>
      </c>
      <c r="B8" s="1" t="s">
        <v>0</v>
      </c>
      <c r="C8" s="3">
        <v>125.38</v>
      </c>
    </row>
    <row r="9" spans="1:3" x14ac:dyDescent="0.2">
      <c r="A9" s="2">
        <v>44209</v>
      </c>
      <c r="B9" s="1" t="s">
        <v>0</v>
      </c>
      <c r="C9" s="3">
        <v>127.40300000000001</v>
      </c>
    </row>
    <row r="10" spans="1:3" x14ac:dyDescent="0.2">
      <c r="A10" s="2">
        <v>44210</v>
      </c>
      <c r="B10" s="1" t="s">
        <v>0</v>
      </c>
      <c r="C10" s="3">
        <v>125.489</v>
      </c>
    </row>
    <row r="11" spans="1:3" x14ac:dyDescent="0.2">
      <c r="A11" s="2">
        <v>44211</v>
      </c>
      <c r="B11" s="1" t="s">
        <v>0</v>
      </c>
      <c r="C11" s="3">
        <v>123.758</v>
      </c>
    </row>
    <row r="12" spans="1:3" x14ac:dyDescent="0.2">
      <c r="A12" s="2">
        <v>44215</v>
      </c>
      <c r="B12" s="1" t="s">
        <v>0</v>
      </c>
      <c r="C12" s="3">
        <v>124.426</v>
      </c>
    </row>
    <row r="13" spans="1:3" x14ac:dyDescent="0.2">
      <c r="A13" s="2">
        <v>44216</v>
      </c>
      <c r="B13" s="1" t="s">
        <v>0</v>
      </c>
      <c r="C13" s="3">
        <v>128.52199999999999</v>
      </c>
    </row>
    <row r="14" spans="1:3" x14ac:dyDescent="0.2">
      <c r="A14" s="2">
        <v>44217</v>
      </c>
      <c r="B14" s="1" t="s">
        <v>0</v>
      </c>
      <c r="C14" s="3">
        <v>133.249</v>
      </c>
    </row>
    <row r="15" spans="1:3" x14ac:dyDescent="0.2">
      <c r="A15" s="2">
        <v>44218</v>
      </c>
      <c r="B15" s="1" t="s">
        <v>0</v>
      </c>
      <c r="C15" s="3">
        <v>135.36799999999999</v>
      </c>
    </row>
    <row r="16" spans="1:3" x14ac:dyDescent="0.2">
      <c r="A16" s="2">
        <v>44221</v>
      </c>
      <c r="B16" s="1" t="s">
        <v>0</v>
      </c>
      <c r="C16" s="3">
        <v>139.13</v>
      </c>
    </row>
    <row r="17" spans="1:3" x14ac:dyDescent="0.2">
      <c r="A17" s="2">
        <v>44222</v>
      </c>
      <c r="B17" s="1" t="s">
        <v>0</v>
      </c>
      <c r="C17" s="3">
        <v>139.36699999999999</v>
      </c>
    </row>
    <row r="18" spans="1:3" x14ac:dyDescent="0.2">
      <c r="A18" s="2">
        <v>44223</v>
      </c>
      <c r="B18" s="1" t="s">
        <v>0</v>
      </c>
      <c r="C18" s="3">
        <v>138.28399999999999</v>
      </c>
    </row>
    <row r="19" spans="1:3" x14ac:dyDescent="0.2">
      <c r="A19" s="2">
        <v>44224</v>
      </c>
      <c r="B19" s="1" t="s">
        <v>0</v>
      </c>
      <c r="C19" s="3">
        <v>133.464</v>
      </c>
    </row>
    <row r="20" spans="1:3" x14ac:dyDescent="0.2">
      <c r="A20" s="2">
        <v>44225</v>
      </c>
      <c r="B20" s="1" t="s">
        <v>0</v>
      </c>
      <c r="C20" s="3">
        <v>128.45400000000001</v>
      </c>
    </row>
    <row r="21" spans="1:3" x14ac:dyDescent="0.2">
      <c r="A21" s="2">
        <v>44228</v>
      </c>
      <c r="B21" s="1" t="s">
        <v>0</v>
      </c>
      <c r="C21" s="3">
        <v>130.57599999999999</v>
      </c>
    </row>
    <row r="22" spans="1:3" x14ac:dyDescent="0.2">
      <c r="A22" s="2">
        <v>44229</v>
      </c>
      <c r="B22" s="1" t="s">
        <v>0</v>
      </c>
      <c r="C22" s="3">
        <v>131.40199999999999</v>
      </c>
    </row>
    <row r="23" spans="1:3" x14ac:dyDescent="0.2">
      <c r="A23" s="2">
        <v>44230</v>
      </c>
      <c r="B23" s="1" t="s">
        <v>0</v>
      </c>
      <c r="C23" s="3">
        <v>130.37899999999999</v>
      </c>
    </row>
    <row r="24" spans="1:3" x14ac:dyDescent="0.2">
      <c r="A24" s="2">
        <v>44231</v>
      </c>
      <c r="B24" s="1" t="s">
        <v>0</v>
      </c>
      <c r="C24" s="3">
        <v>133.74600000000001</v>
      </c>
    </row>
    <row r="25" spans="1:3" x14ac:dyDescent="0.2">
      <c r="A25" s="2">
        <v>44232</v>
      </c>
      <c r="B25" s="1" t="s">
        <v>0</v>
      </c>
      <c r="C25" s="3">
        <v>133.33699999999999</v>
      </c>
    </row>
    <row r="26" spans="1:3" x14ac:dyDescent="0.2">
      <c r="A26" s="2">
        <v>44235</v>
      </c>
      <c r="B26" s="1" t="s">
        <v>0</v>
      </c>
      <c r="C26" s="3">
        <v>133.482</v>
      </c>
    </row>
    <row r="27" spans="1:3" x14ac:dyDescent="0.2">
      <c r="A27" s="2">
        <v>44236</v>
      </c>
      <c r="B27" s="1" t="s">
        <v>0</v>
      </c>
      <c r="C27" s="3">
        <v>132.59899999999999</v>
      </c>
    </row>
    <row r="28" spans="1:3" x14ac:dyDescent="0.2">
      <c r="A28" s="2">
        <v>44237</v>
      </c>
      <c r="B28" s="1" t="s">
        <v>0</v>
      </c>
      <c r="C28" s="3">
        <v>131.99</v>
      </c>
    </row>
    <row r="29" spans="1:3" x14ac:dyDescent="0.2">
      <c r="A29" s="2">
        <v>44238</v>
      </c>
      <c r="B29" s="1" t="s">
        <v>0</v>
      </c>
      <c r="C29" s="3">
        <v>131.73500000000001</v>
      </c>
    </row>
    <row r="30" spans="1:3" x14ac:dyDescent="0.2">
      <c r="A30" s="2">
        <v>44239</v>
      </c>
      <c r="B30" s="1" t="s">
        <v>0</v>
      </c>
      <c r="C30" s="3">
        <v>131.97</v>
      </c>
    </row>
    <row r="31" spans="1:3" x14ac:dyDescent="0.2">
      <c r="A31" s="2">
        <v>44243</v>
      </c>
      <c r="B31" s="1" t="s">
        <v>0</v>
      </c>
      <c r="C31" s="3">
        <v>129.84800000000001</v>
      </c>
    </row>
    <row r="32" spans="1:3" x14ac:dyDescent="0.2">
      <c r="A32" s="2">
        <v>44244</v>
      </c>
      <c r="B32" s="1" t="s">
        <v>0</v>
      </c>
      <c r="C32" s="3">
        <v>127.55</v>
      </c>
    </row>
    <row r="33" spans="1:3" x14ac:dyDescent="0.2">
      <c r="A33" s="2">
        <v>44245</v>
      </c>
      <c r="B33" s="1" t="s">
        <v>0</v>
      </c>
      <c r="C33" s="3">
        <v>126.458</v>
      </c>
    </row>
    <row r="34" spans="1:3" x14ac:dyDescent="0.2">
      <c r="A34" s="2">
        <v>44246</v>
      </c>
      <c r="B34" s="1" t="s">
        <v>0</v>
      </c>
      <c r="C34" s="3">
        <v>126.61799999999999</v>
      </c>
    </row>
    <row r="35" spans="1:3" x14ac:dyDescent="0.2">
      <c r="A35" s="2">
        <v>44249</v>
      </c>
      <c r="B35" s="1" t="s">
        <v>0</v>
      </c>
      <c r="C35" s="3">
        <v>122.845</v>
      </c>
    </row>
    <row r="36" spans="1:3" x14ac:dyDescent="0.2">
      <c r="A36" s="2">
        <v>44250</v>
      </c>
      <c r="B36" s="1" t="s">
        <v>0</v>
      </c>
      <c r="C36" s="3">
        <v>122.709</v>
      </c>
    </row>
    <row r="37" spans="1:3" x14ac:dyDescent="0.2">
      <c r="A37" s="2">
        <v>44251</v>
      </c>
      <c r="B37" s="1" t="s">
        <v>0</v>
      </c>
      <c r="C37" s="3">
        <v>122.20699999999999</v>
      </c>
    </row>
    <row r="38" spans="1:3" x14ac:dyDescent="0.2">
      <c r="A38" s="2">
        <v>44252</v>
      </c>
      <c r="B38" s="1" t="s">
        <v>0</v>
      </c>
      <c r="C38" s="3">
        <v>117.94499999999999</v>
      </c>
    </row>
    <row r="39" spans="1:3" x14ac:dyDescent="0.2">
      <c r="A39" s="2">
        <v>44253</v>
      </c>
      <c r="B39" s="1" t="s">
        <v>0</v>
      </c>
      <c r="C39" s="3">
        <v>118.212</v>
      </c>
    </row>
    <row r="40" spans="1:3" x14ac:dyDescent="0.2">
      <c r="A40" s="2">
        <v>44256</v>
      </c>
      <c r="B40" s="1" t="s">
        <v>0</v>
      </c>
      <c r="C40" s="3">
        <v>124.574</v>
      </c>
    </row>
    <row r="41" spans="1:3" x14ac:dyDescent="0.2">
      <c r="A41" s="2">
        <v>44257</v>
      </c>
      <c r="B41" s="1" t="s">
        <v>0</v>
      </c>
      <c r="C41" s="3">
        <v>121.982</v>
      </c>
    </row>
    <row r="42" spans="1:3" x14ac:dyDescent="0.2">
      <c r="A42" s="2">
        <v>44258</v>
      </c>
      <c r="B42" s="1" t="s">
        <v>0</v>
      </c>
      <c r="C42" s="3">
        <v>118.998</v>
      </c>
    </row>
    <row r="43" spans="1:3" x14ac:dyDescent="0.2">
      <c r="A43" s="2">
        <v>44259</v>
      </c>
      <c r="B43" s="1" t="s">
        <v>0</v>
      </c>
      <c r="C43" s="3">
        <v>117.121</v>
      </c>
    </row>
    <row r="44" spans="1:3" x14ac:dyDescent="0.2">
      <c r="A44" s="2">
        <v>44260</v>
      </c>
      <c r="B44" s="1" t="s">
        <v>0</v>
      </c>
      <c r="C44" s="3">
        <v>118.367</v>
      </c>
    </row>
    <row r="45" spans="1:3" x14ac:dyDescent="0.2">
      <c r="A45" s="2">
        <v>44263</v>
      </c>
      <c r="B45" s="1" t="s">
        <v>0</v>
      </c>
      <c r="C45" s="3">
        <v>113.437</v>
      </c>
    </row>
    <row r="46" spans="1:3" x14ac:dyDescent="0.2">
      <c r="A46" s="2">
        <v>44264</v>
      </c>
      <c r="B46" s="1" t="s">
        <v>0</v>
      </c>
      <c r="C46" s="3">
        <v>118.045</v>
      </c>
    </row>
    <row r="47" spans="1:3" x14ac:dyDescent="0.2">
      <c r="A47" s="2">
        <v>44265</v>
      </c>
      <c r="B47" s="1" t="s">
        <v>0</v>
      </c>
      <c r="C47" s="3">
        <v>116.983</v>
      </c>
    </row>
    <row r="48" spans="1:3" x14ac:dyDescent="0.2">
      <c r="A48" s="2">
        <v>44266</v>
      </c>
      <c r="B48" s="1" t="s">
        <v>0</v>
      </c>
      <c r="C48" s="3">
        <v>118.901</v>
      </c>
    </row>
    <row r="49" spans="1:3" x14ac:dyDescent="0.2">
      <c r="A49" s="2">
        <v>44267</v>
      </c>
      <c r="B49" s="1" t="s">
        <v>0</v>
      </c>
      <c r="C49" s="3">
        <v>117.985</v>
      </c>
    </row>
    <row r="50" spans="1:3" x14ac:dyDescent="0.2">
      <c r="A50" s="2">
        <v>44270</v>
      </c>
      <c r="B50" s="1" t="s">
        <v>0</v>
      </c>
      <c r="C50" s="3">
        <v>120.872</v>
      </c>
    </row>
    <row r="51" spans="1:3" x14ac:dyDescent="0.2">
      <c r="A51" s="2">
        <v>44271</v>
      </c>
      <c r="B51" s="1" t="s">
        <v>0</v>
      </c>
      <c r="C51" s="3">
        <v>122.425</v>
      </c>
    </row>
    <row r="52" spans="1:3" x14ac:dyDescent="0.2">
      <c r="A52" s="2">
        <v>44272</v>
      </c>
      <c r="B52" s="1" t="s">
        <v>0</v>
      </c>
      <c r="C52" s="3">
        <v>121.629</v>
      </c>
    </row>
    <row r="53" spans="1:3" x14ac:dyDescent="0.2">
      <c r="A53" s="2">
        <v>44273</v>
      </c>
      <c r="B53" s="1" t="s">
        <v>0</v>
      </c>
      <c r="C53" s="3">
        <v>117.504</v>
      </c>
    </row>
    <row r="54" spans="1:3" x14ac:dyDescent="0.2">
      <c r="A54" s="2">
        <v>44274</v>
      </c>
      <c r="B54" s="1" t="s">
        <v>0</v>
      </c>
      <c r="C54" s="3">
        <v>116.983</v>
      </c>
    </row>
    <row r="55" spans="1:3" x14ac:dyDescent="0.2">
      <c r="A55" s="2">
        <v>44277</v>
      </c>
      <c r="B55" s="1" t="s">
        <v>0</v>
      </c>
      <c r="C55" s="3">
        <v>120.292</v>
      </c>
    </row>
    <row r="56" spans="1:3" x14ac:dyDescent="0.2">
      <c r="A56" s="2">
        <v>44278</v>
      </c>
      <c r="B56" s="1" t="s">
        <v>0</v>
      </c>
      <c r="C56" s="3">
        <v>119.45699999999999</v>
      </c>
    </row>
    <row r="57" spans="1:3" x14ac:dyDescent="0.2">
      <c r="A57" s="2">
        <v>44279</v>
      </c>
      <c r="B57" s="1" t="s">
        <v>0</v>
      </c>
      <c r="C57" s="3">
        <v>117.08199999999999</v>
      </c>
    </row>
    <row r="58" spans="1:3" x14ac:dyDescent="0.2">
      <c r="A58" s="2">
        <v>44280</v>
      </c>
      <c r="B58" s="1" t="s">
        <v>0</v>
      </c>
      <c r="C58" s="3">
        <v>117.562</v>
      </c>
    </row>
    <row r="59" spans="1:3" x14ac:dyDescent="0.2">
      <c r="A59" s="2">
        <v>44281</v>
      </c>
      <c r="B59" s="1" t="s">
        <v>0</v>
      </c>
      <c r="C59" s="3">
        <v>118.16200000000001</v>
      </c>
    </row>
    <row r="60" spans="1:3" x14ac:dyDescent="0.2">
      <c r="A60" s="2">
        <v>44284</v>
      </c>
      <c r="B60" s="1" t="s">
        <v>0</v>
      </c>
      <c r="C60" s="3">
        <v>118.337</v>
      </c>
    </row>
    <row r="61" spans="1:3" x14ac:dyDescent="0.2">
      <c r="A61" s="2">
        <v>44285</v>
      </c>
      <c r="B61" s="1" t="s">
        <v>0</v>
      </c>
      <c r="C61" s="3">
        <v>116.904</v>
      </c>
    </row>
    <row r="62" spans="1:3" x14ac:dyDescent="0.2">
      <c r="A62" s="2">
        <v>44286</v>
      </c>
      <c r="B62" s="1" t="s">
        <v>0</v>
      </c>
      <c r="C62" s="3">
        <v>119.08499999999999</v>
      </c>
    </row>
    <row r="63" spans="1:3" x14ac:dyDescent="0.2">
      <c r="A63" s="2">
        <v>44287</v>
      </c>
      <c r="B63" s="1" t="s">
        <v>0</v>
      </c>
      <c r="C63" s="3">
        <v>119.90900000000001</v>
      </c>
    </row>
    <row r="64" spans="1:3" x14ac:dyDescent="0.2">
      <c r="A64" s="2">
        <v>44291</v>
      </c>
      <c r="B64" s="1" t="s">
        <v>0</v>
      </c>
      <c r="C64" s="3">
        <v>122.748</v>
      </c>
    </row>
    <row r="65" spans="1:3" x14ac:dyDescent="0.2">
      <c r="A65" s="2">
        <v>44292</v>
      </c>
      <c r="B65" s="1" t="s">
        <v>0</v>
      </c>
      <c r="C65" s="3">
        <v>123.053</v>
      </c>
    </row>
    <row r="66" spans="1:3" x14ac:dyDescent="0.2">
      <c r="A66" s="2">
        <v>44293</v>
      </c>
      <c r="B66" s="1" t="s">
        <v>0</v>
      </c>
      <c r="C66" s="3">
        <v>124.682</v>
      </c>
    </row>
    <row r="67" spans="1:3" x14ac:dyDescent="0.2">
      <c r="A67" s="2">
        <v>44294</v>
      </c>
      <c r="B67" s="1" t="s">
        <v>0</v>
      </c>
      <c r="C67" s="3">
        <v>127.09099999999999</v>
      </c>
    </row>
    <row r="68" spans="1:3" x14ac:dyDescent="0.2">
      <c r="A68" s="2">
        <v>44295</v>
      </c>
      <c r="B68" s="1" t="s">
        <v>0</v>
      </c>
      <c r="C68" s="3">
        <v>129.66300000000001</v>
      </c>
    </row>
    <row r="69" spans="1:3" x14ac:dyDescent="0.2">
      <c r="A69" s="2">
        <v>44298</v>
      </c>
      <c r="B69" s="1" t="s">
        <v>0</v>
      </c>
      <c r="C69" s="3">
        <v>127.944</v>
      </c>
    </row>
    <row r="70" spans="1:3" x14ac:dyDescent="0.2">
      <c r="A70" s="2">
        <v>44299</v>
      </c>
      <c r="B70" s="1" t="s">
        <v>0</v>
      </c>
      <c r="C70" s="3">
        <v>131.04599999999999</v>
      </c>
    </row>
    <row r="71" spans="1:3" x14ac:dyDescent="0.2">
      <c r="A71" s="2">
        <v>44300</v>
      </c>
      <c r="B71" s="1" t="s">
        <v>0</v>
      </c>
      <c r="C71" s="3">
        <v>128.71899999999999</v>
      </c>
    </row>
    <row r="72" spans="1:3" x14ac:dyDescent="0.2">
      <c r="A72" s="2">
        <v>44301</v>
      </c>
      <c r="B72" s="1" t="s">
        <v>0</v>
      </c>
      <c r="C72" s="3">
        <v>131.11500000000001</v>
      </c>
    </row>
    <row r="73" spans="1:3" x14ac:dyDescent="0.2">
      <c r="A73" s="2">
        <v>44302</v>
      </c>
      <c r="B73" s="1" t="s">
        <v>0</v>
      </c>
      <c r="C73" s="3">
        <v>130.791</v>
      </c>
    </row>
    <row r="74" spans="1:3" x14ac:dyDescent="0.2">
      <c r="A74" s="2">
        <v>44305</v>
      </c>
      <c r="B74" s="1" t="s">
        <v>0</v>
      </c>
      <c r="C74" s="3">
        <v>131.45099999999999</v>
      </c>
    </row>
    <row r="75" spans="1:3" x14ac:dyDescent="0.2">
      <c r="A75" s="2">
        <v>44306</v>
      </c>
      <c r="B75" s="1" t="s">
        <v>0</v>
      </c>
      <c r="C75" s="3">
        <v>129.77000000000001</v>
      </c>
    </row>
    <row r="76" spans="1:3" x14ac:dyDescent="0.2">
      <c r="A76" s="2">
        <v>44307</v>
      </c>
      <c r="B76" s="1" t="s">
        <v>0</v>
      </c>
      <c r="C76" s="3">
        <v>130.154</v>
      </c>
    </row>
    <row r="77" spans="1:3" x14ac:dyDescent="0.2">
      <c r="A77" s="2">
        <v>44308</v>
      </c>
      <c r="B77" s="1" t="s">
        <v>0</v>
      </c>
      <c r="C77" s="3">
        <v>128.63</v>
      </c>
    </row>
    <row r="78" spans="1:3" x14ac:dyDescent="0.2">
      <c r="A78" s="2">
        <v>44309</v>
      </c>
      <c r="B78" s="1" t="s">
        <v>0</v>
      </c>
      <c r="C78" s="3">
        <v>130.94</v>
      </c>
    </row>
    <row r="79" spans="1:3" x14ac:dyDescent="0.2">
      <c r="A79" s="2">
        <v>44312</v>
      </c>
      <c r="B79" s="1" t="s">
        <v>0</v>
      </c>
      <c r="C79" s="3">
        <v>131.333</v>
      </c>
    </row>
    <row r="80" spans="1:3" x14ac:dyDescent="0.2">
      <c r="A80" s="2">
        <v>44313</v>
      </c>
      <c r="B80" s="1" t="s">
        <v>0</v>
      </c>
      <c r="C80" s="3">
        <v>131.00700000000001</v>
      </c>
    </row>
    <row r="81" spans="1:3" x14ac:dyDescent="0.2">
      <c r="A81" s="2">
        <v>44314</v>
      </c>
      <c r="B81" s="1" t="s">
        <v>0</v>
      </c>
      <c r="C81" s="3">
        <v>130.23099999999999</v>
      </c>
    </row>
    <row r="82" spans="1:3" x14ac:dyDescent="0.2">
      <c r="A82" s="2">
        <v>44315</v>
      </c>
      <c r="B82" s="1" t="s">
        <v>0</v>
      </c>
      <c r="C82" s="3">
        <v>130.13399999999999</v>
      </c>
    </row>
    <row r="83" spans="1:3" x14ac:dyDescent="0.2">
      <c r="A83" s="2">
        <v>44316</v>
      </c>
      <c r="B83" s="1" t="s">
        <v>0</v>
      </c>
      <c r="C83" s="3">
        <v>128.161</v>
      </c>
    </row>
    <row r="84" spans="1:3" x14ac:dyDescent="0.2">
      <c r="A84" s="2">
        <v>44319</v>
      </c>
      <c r="B84" s="1" t="s">
        <v>0</v>
      </c>
      <c r="C84" s="3">
        <v>129.22</v>
      </c>
    </row>
    <row r="85" spans="1:3" x14ac:dyDescent="0.2">
      <c r="A85" s="2">
        <v>44320</v>
      </c>
      <c r="B85" s="1" t="s">
        <v>0</v>
      </c>
      <c r="C85" s="3">
        <v>124.633</v>
      </c>
    </row>
    <row r="86" spans="1:3" x14ac:dyDescent="0.2">
      <c r="A86" s="2">
        <v>44321</v>
      </c>
      <c r="B86" s="1" t="s">
        <v>0</v>
      </c>
      <c r="C86" s="3">
        <v>124.88</v>
      </c>
    </row>
    <row r="87" spans="1:3" x14ac:dyDescent="0.2">
      <c r="A87" s="2">
        <v>44322</v>
      </c>
      <c r="B87" s="1" t="s">
        <v>0</v>
      </c>
      <c r="C87" s="3">
        <v>126.488</v>
      </c>
    </row>
    <row r="88" spans="1:3" x14ac:dyDescent="0.2">
      <c r="A88" s="2">
        <v>44323</v>
      </c>
      <c r="B88" s="1" t="s">
        <v>0</v>
      </c>
      <c r="C88" s="3">
        <v>127.157</v>
      </c>
    </row>
    <row r="89" spans="1:3" x14ac:dyDescent="0.2">
      <c r="A89" s="2">
        <v>44326</v>
      </c>
      <c r="B89" s="1" t="s">
        <v>0</v>
      </c>
      <c r="C89" s="3">
        <v>123.877</v>
      </c>
    </row>
    <row r="90" spans="1:3" x14ac:dyDescent="0.2">
      <c r="A90" s="2">
        <v>44327</v>
      </c>
      <c r="B90" s="1" t="s">
        <v>0</v>
      </c>
      <c r="C90" s="3">
        <v>122.96299999999999</v>
      </c>
    </row>
    <row r="91" spans="1:3" x14ac:dyDescent="0.2">
      <c r="A91" s="2">
        <v>44328</v>
      </c>
      <c r="B91" s="1" t="s">
        <v>0</v>
      </c>
      <c r="C91" s="3">
        <v>119.89</v>
      </c>
    </row>
    <row r="92" spans="1:3" x14ac:dyDescent="0.2">
      <c r="A92" s="2">
        <v>44329</v>
      </c>
      <c r="B92" s="1" t="s">
        <v>0</v>
      </c>
      <c r="C92" s="3">
        <v>122.04</v>
      </c>
    </row>
    <row r="93" spans="1:3" x14ac:dyDescent="0.2">
      <c r="A93" s="2">
        <v>44330</v>
      </c>
      <c r="B93" s="1" t="s">
        <v>0</v>
      </c>
      <c r="C93" s="3">
        <v>124.455</v>
      </c>
    </row>
    <row r="94" spans="1:3" x14ac:dyDescent="0.2">
      <c r="A94" s="2">
        <v>44333</v>
      </c>
      <c r="B94" s="1" t="s">
        <v>0</v>
      </c>
      <c r="C94" s="3">
        <v>123.31699999999999</v>
      </c>
    </row>
    <row r="95" spans="1:3" x14ac:dyDescent="0.2">
      <c r="A95" s="2">
        <v>44334</v>
      </c>
      <c r="B95" s="1" t="s">
        <v>0</v>
      </c>
      <c r="C95" s="3">
        <v>121.923</v>
      </c>
    </row>
    <row r="96" spans="1:3" x14ac:dyDescent="0.2">
      <c r="A96" s="2">
        <v>44335</v>
      </c>
      <c r="B96" s="1" t="s">
        <v>0</v>
      </c>
      <c r="C96" s="3">
        <v>121.767</v>
      </c>
    </row>
    <row r="97" spans="1:3" x14ac:dyDescent="0.2">
      <c r="A97" s="2">
        <v>44336</v>
      </c>
      <c r="B97" s="1" t="s">
        <v>0</v>
      </c>
      <c r="C97" s="3">
        <v>124.32</v>
      </c>
    </row>
    <row r="98" spans="1:3" x14ac:dyDescent="0.2">
      <c r="A98" s="2">
        <v>44337</v>
      </c>
      <c r="B98" s="1" t="s">
        <v>0</v>
      </c>
      <c r="C98" s="3">
        <v>122.49299999999999</v>
      </c>
    </row>
    <row r="99" spans="1:3" x14ac:dyDescent="0.2">
      <c r="A99" s="2">
        <v>44340</v>
      </c>
      <c r="B99" s="1" t="s">
        <v>0</v>
      </c>
      <c r="C99" s="3">
        <v>124.125</v>
      </c>
    </row>
    <row r="100" spans="1:3" x14ac:dyDescent="0.2">
      <c r="A100" s="2">
        <v>44341</v>
      </c>
      <c r="B100" s="1" t="s">
        <v>0</v>
      </c>
      <c r="C100" s="3">
        <v>123.92700000000001</v>
      </c>
    </row>
    <row r="101" spans="1:3" x14ac:dyDescent="0.2">
      <c r="A101" s="2">
        <v>44342</v>
      </c>
      <c r="B101" s="1" t="s">
        <v>0</v>
      </c>
      <c r="C101" s="3">
        <v>123.877</v>
      </c>
    </row>
    <row r="102" spans="1:3" x14ac:dyDescent="0.2">
      <c r="A102" s="2">
        <v>44343</v>
      </c>
      <c r="B102" s="1" t="s">
        <v>0</v>
      </c>
      <c r="C102" s="3">
        <v>122.346</v>
      </c>
    </row>
    <row r="103" spans="1:3" x14ac:dyDescent="0.2">
      <c r="A103" s="2">
        <v>44344</v>
      </c>
      <c r="B103" s="1" t="s">
        <v>0</v>
      </c>
      <c r="C103" s="3">
        <v>121.688</v>
      </c>
    </row>
    <row r="104" spans="1:3" x14ac:dyDescent="0.2">
      <c r="A104" s="2">
        <v>44348</v>
      </c>
      <c r="B104" s="1" t="s">
        <v>0</v>
      </c>
      <c r="C104" s="3">
        <v>121.364</v>
      </c>
    </row>
    <row r="105" spans="1:3" x14ac:dyDescent="0.2">
      <c r="A105" s="2">
        <v>44349</v>
      </c>
      <c r="B105" s="1" t="s">
        <v>0</v>
      </c>
      <c r="C105" s="3">
        <v>122.13</v>
      </c>
    </row>
    <row r="106" spans="1:3" x14ac:dyDescent="0.2">
      <c r="A106" s="2">
        <v>44350</v>
      </c>
      <c r="B106" s="1" t="s">
        <v>0</v>
      </c>
      <c r="C106" s="3">
        <v>120.64700000000001</v>
      </c>
    </row>
    <row r="107" spans="1:3" x14ac:dyDescent="0.2">
      <c r="A107" s="2">
        <v>44351</v>
      </c>
      <c r="B107" s="1" t="s">
        <v>0</v>
      </c>
      <c r="C107" s="3">
        <v>122.943</v>
      </c>
    </row>
    <row r="108" spans="1:3" x14ac:dyDescent="0.2">
      <c r="A108" s="2">
        <v>44354</v>
      </c>
      <c r="B108" s="1" t="s">
        <v>0</v>
      </c>
      <c r="C108" s="3">
        <v>122.953</v>
      </c>
    </row>
    <row r="109" spans="1:3" x14ac:dyDescent="0.2">
      <c r="A109" s="2">
        <v>44355</v>
      </c>
      <c r="B109" s="1" t="s">
        <v>0</v>
      </c>
      <c r="C109" s="3">
        <v>123.768</v>
      </c>
    </row>
    <row r="110" spans="1:3" x14ac:dyDescent="0.2">
      <c r="A110" s="2">
        <v>44356</v>
      </c>
      <c r="B110" s="1" t="s">
        <v>0</v>
      </c>
      <c r="C110" s="3">
        <v>124.15300000000001</v>
      </c>
    </row>
    <row r="111" spans="1:3" x14ac:dyDescent="0.2">
      <c r="A111" s="2">
        <v>44357</v>
      </c>
      <c r="B111" s="1" t="s">
        <v>0</v>
      </c>
      <c r="C111" s="3">
        <v>123.16200000000001</v>
      </c>
    </row>
    <row r="112" spans="1:3" x14ac:dyDescent="0.2">
      <c r="A112" s="2">
        <v>44358</v>
      </c>
      <c r="B112" s="1" t="s">
        <v>0</v>
      </c>
      <c r="C112" s="3">
        <v>124.36</v>
      </c>
    </row>
    <row r="113" spans="1:3" x14ac:dyDescent="0.2">
      <c r="A113" s="2">
        <v>44361</v>
      </c>
      <c r="B113" s="1" t="s">
        <v>0</v>
      </c>
      <c r="C113" s="3">
        <v>127.413</v>
      </c>
    </row>
    <row r="114" spans="1:3" x14ac:dyDescent="0.2">
      <c r="A114" s="2">
        <v>44362</v>
      </c>
      <c r="B114" s="1" t="s">
        <v>0</v>
      </c>
      <c r="C114" s="3">
        <v>126.608</v>
      </c>
    </row>
    <row r="115" spans="1:3" x14ac:dyDescent="0.2">
      <c r="A115" s="2">
        <v>44363</v>
      </c>
      <c r="B115" s="1" t="s">
        <v>0</v>
      </c>
      <c r="C115" s="3">
        <v>127.099</v>
      </c>
    </row>
    <row r="116" spans="1:3" x14ac:dyDescent="0.2">
      <c r="A116" s="2">
        <v>44364</v>
      </c>
      <c r="B116" s="1" t="s">
        <v>0</v>
      </c>
      <c r="C116" s="3">
        <v>128.69900000000001</v>
      </c>
    </row>
    <row r="117" spans="1:3" x14ac:dyDescent="0.2">
      <c r="A117" s="2">
        <v>44365</v>
      </c>
      <c r="B117" s="1" t="s">
        <v>0</v>
      </c>
      <c r="C117" s="3">
        <v>127.39400000000001</v>
      </c>
    </row>
    <row r="118" spans="1:3" x14ac:dyDescent="0.2">
      <c r="A118" s="2">
        <v>44368</v>
      </c>
      <c r="B118" s="1" t="s">
        <v>0</v>
      </c>
      <c r="C118" s="3">
        <v>129.20099999999999</v>
      </c>
    </row>
    <row r="119" spans="1:3" x14ac:dyDescent="0.2">
      <c r="A119" s="2">
        <v>44369</v>
      </c>
      <c r="B119" s="1" t="s">
        <v>0</v>
      </c>
      <c r="C119" s="3">
        <v>130.84100000000001</v>
      </c>
    </row>
    <row r="120" spans="1:3" x14ac:dyDescent="0.2">
      <c r="A120" s="2">
        <v>44370</v>
      </c>
      <c r="B120" s="1" t="s">
        <v>0</v>
      </c>
      <c r="C120" s="3">
        <v>130.566</v>
      </c>
    </row>
    <row r="121" spans="1:3" x14ac:dyDescent="0.2">
      <c r="A121" s="2">
        <v>44371</v>
      </c>
      <c r="B121" s="1" t="s">
        <v>0</v>
      </c>
      <c r="C121" s="3">
        <v>130.291</v>
      </c>
    </row>
    <row r="122" spans="1:3" x14ac:dyDescent="0.2">
      <c r="A122" s="2">
        <v>44372</v>
      </c>
      <c r="B122" s="1" t="s">
        <v>0</v>
      </c>
      <c r="C122" s="3">
        <v>129.99600000000001</v>
      </c>
    </row>
    <row r="123" spans="1:3" x14ac:dyDescent="0.2">
      <c r="A123" s="2">
        <v>44375</v>
      </c>
      <c r="B123" s="1" t="s">
        <v>0</v>
      </c>
      <c r="C123" s="3">
        <v>131.61600000000001</v>
      </c>
    </row>
    <row r="124" spans="1:3" x14ac:dyDescent="0.2">
      <c r="A124" s="2">
        <v>44376</v>
      </c>
      <c r="B124" s="1" t="s">
        <v>0</v>
      </c>
      <c r="C124" s="3">
        <v>133.13999999999999</v>
      </c>
    </row>
    <row r="125" spans="1:3" x14ac:dyDescent="0.2">
      <c r="A125" s="2">
        <v>44377</v>
      </c>
      <c r="B125" s="1" t="s">
        <v>0</v>
      </c>
      <c r="C125" s="3">
        <v>133.756</v>
      </c>
    </row>
    <row r="126" spans="1:3" x14ac:dyDescent="0.2">
      <c r="A126" s="2">
        <v>44378</v>
      </c>
      <c r="B126" s="1" t="s">
        <v>0</v>
      </c>
      <c r="C126" s="3">
        <v>134.054</v>
      </c>
    </row>
    <row r="127" spans="1:3" x14ac:dyDescent="0.2">
      <c r="A127" s="2">
        <v>44379</v>
      </c>
      <c r="B127" s="1" t="s">
        <v>0</v>
      </c>
      <c r="C127" s="3">
        <v>136.684</v>
      </c>
    </row>
    <row r="128" spans="1:3" x14ac:dyDescent="0.2">
      <c r="A128" s="2">
        <v>44383</v>
      </c>
      <c r="B128" s="1" t="s">
        <v>0</v>
      </c>
      <c r="C128" s="3">
        <v>138.69</v>
      </c>
    </row>
    <row r="129" spans="1:3" x14ac:dyDescent="0.2">
      <c r="A129" s="2">
        <v>44384</v>
      </c>
      <c r="B129" s="1" t="s">
        <v>0</v>
      </c>
      <c r="C129" s="3">
        <v>141.18199999999999</v>
      </c>
    </row>
    <row r="130" spans="1:3" x14ac:dyDescent="0.2">
      <c r="A130" s="2">
        <v>44385</v>
      </c>
      <c r="B130" s="1" t="s">
        <v>0</v>
      </c>
      <c r="C130" s="3">
        <v>139.88499999999999</v>
      </c>
    </row>
    <row r="131" spans="1:3" x14ac:dyDescent="0.2">
      <c r="A131" s="2">
        <v>44386</v>
      </c>
      <c r="B131" s="1" t="s">
        <v>0</v>
      </c>
      <c r="C131" s="3">
        <v>141.715</v>
      </c>
    </row>
    <row r="132" spans="1:3" x14ac:dyDescent="0.2">
      <c r="A132" s="2">
        <v>44389</v>
      </c>
      <c r="B132" s="1" t="s">
        <v>0</v>
      </c>
      <c r="C132" s="3">
        <v>141.113</v>
      </c>
    </row>
    <row r="133" spans="1:3" x14ac:dyDescent="0.2">
      <c r="A133" s="2">
        <v>44390</v>
      </c>
      <c r="B133" s="1" t="s">
        <v>0</v>
      </c>
      <c r="C133" s="3">
        <v>142.233</v>
      </c>
    </row>
    <row r="134" spans="1:3" x14ac:dyDescent="0.2">
      <c r="A134" s="2">
        <v>44391</v>
      </c>
      <c r="B134" s="1" t="s">
        <v>0</v>
      </c>
      <c r="C134" s="3">
        <v>145.65199999999999</v>
      </c>
    </row>
    <row r="135" spans="1:3" x14ac:dyDescent="0.2">
      <c r="A135" s="2">
        <v>44392</v>
      </c>
      <c r="B135" s="1" t="s">
        <v>0</v>
      </c>
      <c r="C135" s="3">
        <v>144.99199999999999</v>
      </c>
    </row>
    <row r="136" spans="1:3" x14ac:dyDescent="0.2">
      <c r="A136" s="2">
        <v>44393</v>
      </c>
      <c r="B136" s="1" t="s">
        <v>0</v>
      </c>
      <c r="C136" s="3">
        <v>142.96100000000001</v>
      </c>
    </row>
    <row r="137" spans="1:3" x14ac:dyDescent="0.2">
      <c r="A137" s="2">
        <v>44396</v>
      </c>
      <c r="B137" s="1" t="s">
        <v>0</v>
      </c>
      <c r="C137" s="3">
        <v>139.11099999999999</v>
      </c>
    </row>
    <row r="138" spans="1:3" x14ac:dyDescent="0.2">
      <c r="A138" s="2">
        <v>44397</v>
      </c>
      <c r="B138" s="1" t="s">
        <v>0</v>
      </c>
      <c r="C138" s="3">
        <v>142.72399999999999</v>
      </c>
    </row>
    <row r="139" spans="1:3" x14ac:dyDescent="0.2">
      <c r="A139" s="2">
        <v>44398</v>
      </c>
      <c r="B139" s="1" t="s">
        <v>0</v>
      </c>
      <c r="C139" s="3">
        <v>141.99600000000001</v>
      </c>
    </row>
    <row r="140" spans="1:3" x14ac:dyDescent="0.2">
      <c r="A140" s="2">
        <v>44399</v>
      </c>
      <c r="B140" s="1" t="s">
        <v>0</v>
      </c>
      <c r="C140" s="3">
        <v>143.364</v>
      </c>
    </row>
    <row r="141" spans="1:3" x14ac:dyDescent="0.2">
      <c r="A141" s="2">
        <v>44400</v>
      </c>
      <c r="B141" s="1" t="s">
        <v>0</v>
      </c>
      <c r="C141" s="3">
        <v>145.072</v>
      </c>
    </row>
    <row r="142" spans="1:3" x14ac:dyDescent="0.2">
      <c r="A142" s="2">
        <v>44403</v>
      </c>
      <c r="B142" s="1" t="s">
        <v>0</v>
      </c>
      <c r="C142" s="3">
        <v>145.495</v>
      </c>
    </row>
    <row r="143" spans="1:3" x14ac:dyDescent="0.2">
      <c r="A143" s="2">
        <v>44404</v>
      </c>
      <c r="B143" s="1" t="s">
        <v>0</v>
      </c>
      <c r="C143" s="3">
        <v>143.334</v>
      </c>
    </row>
    <row r="144" spans="1:3" x14ac:dyDescent="0.2">
      <c r="A144" s="2">
        <v>44405</v>
      </c>
      <c r="B144" s="1" t="s">
        <v>0</v>
      </c>
      <c r="C144" s="3">
        <v>141.58799999999999</v>
      </c>
    </row>
    <row r="145" spans="1:3" x14ac:dyDescent="0.2">
      <c r="A145" s="2">
        <v>44406</v>
      </c>
      <c r="B145" s="1" t="s">
        <v>0</v>
      </c>
      <c r="C145" s="3">
        <v>142.233</v>
      </c>
    </row>
    <row r="146" spans="1:3" x14ac:dyDescent="0.2">
      <c r="A146" s="2">
        <v>44407</v>
      </c>
      <c r="B146" s="1" t="s">
        <v>0</v>
      </c>
      <c r="C146" s="3">
        <v>142.44200000000001</v>
      </c>
    </row>
    <row r="147" spans="1:3" x14ac:dyDescent="0.2">
      <c r="A147" s="2">
        <v>44410</v>
      </c>
      <c r="B147" s="1" t="s">
        <v>0</v>
      </c>
      <c r="C147" s="3">
        <v>142.11600000000001</v>
      </c>
    </row>
    <row r="148" spans="1:3" x14ac:dyDescent="0.2">
      <c r="A148" s="2">
        <v>44411</v>
      </c>
      <c r="B148" s="1" t="s">
        <v>0</v>
      </c>
      <c r="C148" s="3">
        <v>143.905</v>
      </c>
    </row>
    <row r="149" spans="1:3" x14ac:dyDescent="0.2">
      <c r="A149" s="2">
        <v>44412</v>
      </c>
      <c r="B149" s="1" t="s">
        <v>0</v>
      </c>
      <c r="C149" s="3">
        <v>143.50899999999999</v>
      </c>
    </row>
    <row r="150" spans="1:3" x14ac:dyDescent="0.2">
      <c r="A150" s="2">
        <v>44413</v>
      </c>
      <c r="B150" s="1" t="s">
        <v>0</v>
      </c>
      <c r="C150" s="3">
        <v>143.619</v>
      </c>
    </row>
    <row r="151" spans="1:3" x14ac:dyDescent="0.2">
      <c r="A151" s="2">
        <v>44414</v>
      </c>
      <c r="B151" s="1" t="s">
        <v>0</v>
      </c>
      <c r="C151" s="3">
        <v>142.93100000000001</v>
      </c>
    </row>
    <row r="152" spans="1:3" x14ac:dyDescent="0.2">
      <c r="A152" s="2">
        <v>44417</v>
      </c>
      <c r="B152" s="1" t="s">
        <v>0</v>
      </c>
      <c r="C152" s="3">
        <v>142.881</v>
      </c>
    </row>
    <row r="153" spans="1:3" x14ac:dyDescent="0.2">
      <c r="A153" s="2">
        <v>44418</v>
      </c>
      <c r="B153" s="1" t="s">
        <v>0</v>
      </c>
      <c r="C153" s="3">
        <v>142.41300000000001</v>
      </c>
    </row>
    <row r="154" spans="1:3" x14ac:dyDescent="0.2">
      <c r="A154" s="2">
        <v>44419</v>
      </c>
      <c r="B154" s="1" t="s">
        <v>0</v>
      </c>
      <c r="C154" s="3">
        <v>142.65600000000001</v>
      </c>
    </row>
    <row r="155" spans="1:3" x14ac:dyDescent="0.2">
      <c r="A155" s="2">
        <v>44420</v>
      </c>
      <c r="B155" s="1" t="s">
        <v>0</v>
      </c>
      <c r="C155" s="3">
        <v>145.613</v>
      </c>
    </row>
    <row r="156" spans="1:3" x14ac:dyDescent="0.2">
      <c r="A156" s="2">
        <v>44421</v>
      </c>
      <c r="B156" s="1" t="s">
        <v>0</v>
      </c>
      <c r="C156" s="3">
        <v>145.81700000000001</v>
      </c>
    </row>
    <row r="157" spans="1:3" x14ac:dyDescent="0.2">
      <c r="A157" s="2">
        <v>44424</v>
      </c>
      <c r="B157" s="1" t="s">
        <v>0</v>
      </c>
      <c r="C157" s="3">
        <v>147.80199999999999</v>
      </c>
    </row>
    <row r="158" spans="1:3" x14ac:dyDescent="0.2">
      <c r="A158" s="2">
        <v>44425</v>
      </c>
      <c r="B158" s="1" t="s">
        <v>0</v>
      </c>
      <c r="C158" s="3">
        <v>146.89099999999999</v>
      </c>
    </row>
    <row r="159" spans="1:3" x14ac:dyDescent="0.2">
      <c r="A159" s="2">
        <v>44426</v>
      </c>
      <c r="B159" s="1" t="s">
        <v>0</v>
      </c>
      <c r="C159" s="3">
        <v>143.148</v>
      </c>
    </row>
    <row r="160" spans="1:3" x14ac:dyDescent="0.2">
      <c r="A160" s="2">
        <v>44427</v>
      </c>
      <c r="B160" s="1" t="s">
        <v>0</v>
      </c>
      <c r="C160" s="3">
        <v>143.47900000000001</v>
      </c>
    </row>
    <row r="161" spans="1:3" x14ac:dyDescent="0.2">
      <c r="A161" s="2">
        <v>44428</v>
      </c>
      <c r="B161" s="1" t="s">
        <v>0</v>
      </c>
      <c r="C161" s="3">
        <v>144.92500000000001</v>
      </c>
    </row>
    <row r="162" spans="1:3" x14ac:dyDescent="0.2">
      <c r="A162" s="2">
        <v>44431</v>
      </c>
      <c r="B162" s="1" t="s">
        <v>0</v>
      </c>
      <c r="C162" s="3">
        <v>146.417</v>
      </c>
    </row>
    <row r="163" spans="1:3" x14ac:dyDescent="0.2">
      <c r="A163" s="2">
        <v>44432</v>
      </c>
      <c r="B163" s="1" t="s">
        <v>0</v>
      </c>
      <c r="C163" s="3">
        <v>146.33000000000001</v>
      </c>
    </row>
    <row r="164" spans="1:3" x14ac:dyDescent="0.2">
      <c r="A164" s="2">
        <v>44433</v>
      </c>
      <c r="B164" s="1" t="s">
        <v>0</v>
      </c>
      <c r="C164" s="3">
        <v>145.09100000000001</v>
      </c>
    </row>
    <row r="165" spans="1:3" x14ac:dyDescent="0.2">
      <c r="A165" s="2">
        <v>44434</v>
      </c>
      <c r="B165" s="1" t="s">
        <v>0</v>
      </c>
      <c r="C165" s="3">
        <v>144.286</v>
      </c>
    </row>
    <row r="166" spans="1:3" x14ac:dyDescent="0.2">
      <c r="A166" s="2">
        <v>44435</v>
      </c>
      <c r="B166" s="1" t="s">
        <v>0</v>
      </c>
      <c r="C166" s="3">
        <v>145.32900000000001</v>
      </c>
    </row>
    <row r="167" spans="1:3" x14ac:dyDescent="0.2">
      <c r="A167" s="2">
        <v>44438</v>
      </c>
      <c r="B167" s="1" t="s">
        <v>0</v>
      </c>
      <c r="C167" s="3">
        <v>149.76599999999999</v>
      </c>
    </row>
    <row r="168" spans="1:3" x14ac:dyDescent="0.2">
      <c r="A168" s="2">
        <v>44439</v>
      </c>
      <c r="B168" s="1" t="s">
        <v>0</v>
      </c>
      <c r="C168" s="3">
        <v>148.499</v>
      </c>
    </row>
    <row r="169" spans="1:3" x14ac:dyDescent="0.2">
      <c r="A169" s="2">
        <v>44440</v>
      </c>
      <c r="B169" s="1" t="s">
        <v>0</v>
      </c>
      <c r="C169" s="3">
        <v>149.166</v>
      </c>
    </row>
    <row r="170" spans="1:3" x14ac:dyDescent="0.2">
      <c r="A170" s="2">
        <v>44441</v>
      </c>
      <c r="B170" s="1" t="s">
        <v>0</v>
      </c>
      <c r="C170" s="3">
        <v>150.27799999999999</v>
      </c>
    </row>
    <row r="171" spans="1:3" x14ac:dyDescent="0.2">
      <c r="A171" s="2">
        <v>44442</v>
      </c>
      <c r="B171" s="1" t="s">
        <v>0</v>
      </c>
      <c r="C171" s="3">
        <v>150.90700000000001</v>
      </c>
    </row>
    <row r="172" spans="1:3" x14ac:dyDescent="0.2">
      <c r="A172" s="2">
        <v>44446</v>
      </c>
      <c r="B172" s="1" t="s">
        <v>0</v>
      </c>
      <c r="C172" s="3">
        <v>153.245</v>
      </c>
    </row>
    <row r="173" spans="1:3" x14ac:dyDescent="0.2">
      <c r="A173" s="2">
        <v>44447</v>
      </c>
      <c r="B173" s="1" t="s">
        <v>0</v>
      </c>
      <c r="C173" s="3">
        <v>151.69300000000001</v>
      </c>
    </row>
    <row r="174" spans="1:3" x14ac:dyDescent="0.2">
      <c r="A174" s="2">
        <v>44448</v>
      </c>
      <c r="B174" s="1" t="s">
        <v>0</v>
      </c>
      <c r="C174" s="3">
        <v>150.68</v>
      </c>
    </row>
    <row r="175" spans="1:3" x14ac:dyDescent="0.2">
      <c r="A175" s="2">
        <v>44449</v>
      </c>
      <c r="B175" s="1" t="s">
        <v>0</v>
      </c>
      <c r="C175" s="3">
        <v>145.691</v>
      </c>
    </row>
    <row r="176" spans="1:3" x14ac:dyDescent="0.2">
      <c r="A176" s="2">
        <v>44452</v>
      </c>
      <c r="B176" s="1" t="s">
        <v>0</v>
      </c>
      <c r="C176" s="3">
        <v>146.26</v>
      </c>
    </row>
    <row r="177" spans="1:3" x14ac:dyDescent="0.2">
      <c r="A177" s="2">
        <v>44453</v>
      </c>
      <c r="B177" s="1" t="s">
        <v>0</v>
      </c>
      <c r="C177" s="3">
        <v>144.85499999999999</v>
      </c>
    </row>
    <row r="178" spans="1:3" x14ac:dyDescent="0.2">
      <c r="A178" s="2">
        <v>44454</v>
      </c>
      <c r="B178" s="1" t="s">
        <v>0</v>
      </c>
      <c r="C178" s="3">
        <v>145.74799999999999</v>
      </c>
    </row>
    <row r="179" spans="1:3" x14ac:dyDescent="0.2">
      <c r="A179" s="2">
        <v>44455</v>
      </c>
      <c r="B179" s="1" t="s">
        <v>0</v>
      </c>
      <c r="C179" s="3">
        <v>145.51300000000001</v>
      </c>
    </row>
    <row r="180" spans="1:3" x14ac:dyDescent="0.2">
      <c r="A180" s="2">
        <v>44456</v>
      </c>
      <c r="B180" s="1" t="s">
        <v>0</v>
      </c>
      <c r="C180" s="3">
        <v>142.852</v>
      </c>
    </row>
    <row r="181" spans="1:3" x14ac:dyDescent="0.2">
      <c r="A181" s="2">
        <v>44459</v>
      </c>
      <c r="B181" s="1" t="s">
        <v>0</v>
      </c>
      <c r="C181" s="3">
        <v>139.797</v>
      </c>
    </row>
    <row r="182" spans="1:3" x14ac:dyDescent="0.2">
      <c r="A182" s="2">
        <v>44460</v>
      </c>
      <c r="B182" s="1" t="s">
        <v>0</v>
      </c>
      <c r="C182" s="3">
        <v>140.28100000000001</v>
      </c>
    </row>
    <row r="183" spans="1:3" x14ac:dyDescent="0.2">
      <c r="A183" s="2">
        <v>44461</v>
      </c>
      <c r="B183" s="1" t="s">
        <v>0</v>
      </c>
      <c r="C183" s="3">
        <v>142.64599999999999</v>
      </c>
    </row>
    <row r="184" spans="1:3" x14ac:dyDescent="0.2">
      <c r="A184" s="2">
        <v>44462</v>
      </c>
      <c r="B184" s="1" t="s">
        <v>0</v>
      </c>
      <c r="C184" s="3">
        <v>143.60900000000001</v>
      </c>
    </row>
    <row r="185" spans="1:3" x14ac:dyDescent="0.2">
      <c r="A185" s="2">
        <v>44463</v>
      </c>
      <c r="B185" s="1" t="s">
        <v>0</v>
      </c>
      <c r="C185" s="3">
        <v>143.69800000000001</v>
      </c>
    </row>
    <row r="186" spans="1:3" x14ac:dyDescent="0.2">
      <c r="A186" s="2">
        <v>44466</v>
      </c>
      <c r="B186" s="1" t="s">
        <v>0</v>
      </c>
      <c r="C186" s="3">
        <v>142.184</v>
      </c>
    </row>
    <row r="187" spans="1:3" x14ac:dyDescent="0.2">
      <c r="A187" s="2">
        <v>44467</v>
      </c>
      <c r="B187" s="1" t="s">
        <v>0</v>
      </c>
      <c r="C187" s="3">
        <v>138.785</v>
      </c>
    </row>
    <row r="188" spans="1:3" x14ac:dyDescent="0.2">
      <c r="A188" s="2">
        <v>44468</v>
      </c>
      <c r="B188" s="1" t="s">
        <v>0</v>
      </c>
      <c r="C188" s="3">
        <v>139.68899999999999</v>
      </c>
    </row>
    <row r="189" spans="1:3" x14ac:dyDescent="0.2">
      <c r="A189" s="2">
        <v>44469</v>
      </c>
      <c r="B189" s="1" t="s">
        <v>0</v>
      </c>
      <c r="C189" s="3">
        <v>138.38399999999999</v>
      </c>
    </row>
    <row r="190" spans="1:3" x14ac:dyDescent="0.2">
      <c r="A190" s="2">
        <v>44470</v>
      </c>
      <c r="B190" s="1" t="s">
        <v>0</v>
      </c>
      <c r="C190" s="3">
        <v>139.51499999999999</v>
      </c>
    </row>
    <row r="191" spans="1:3" x14ac:dyDescent="0.2">
      <c r="A191" s="2">
        <v>44473</v>
      </c>
      <c r="B191" s="1" t="s">
        <v>0</v>
      </c>
      <c r="C191" s="3">
        <v>136.08500000000001</v>
      </c>
    </row>
    <row r="192" spans="1:3" x14ac:dyDescent="0.2">
      <c r="A192" s="2">
        <v>44474</v>
      </c>
      <c r="B192" s="1" t="s">
        <v>0</v>
      </c>
      <c r="C192" s="3">
        <v>138</v>
      </c>
    </row>
    <row r="193" spans="1:3" x14ac:dyDescent="0.2">
      <c r="A193" s="2">
        <v>44475</v>
      </c>
      <c r="B193" s="1" t="s">
        <v>0</v>
      </c>
      <c r="C193" s="3">
        <v>138.874</v>
      </c>
    </row>
    <row r="194" spans="1:3" x14ac:dyDescent="0.2">
      <c r="A194" s="2">
        <v>44476</v>
      </c>
      <c r="B194" s="1" t="s">
        <v>0</v>
      </c>
      <c r="C194" s="3">
        <v>140.143</v>
      </c>
    </row>
    <row r="195" spans="1:3" x14ac:dyDescent="0.2">
      <c r="A195" s="2">
        <v>44477</v>
      </c>
      <c r="B195" s="1" t="s">
        <v>0</v>
      </c>
      <c r="C195" s="3">
        <v>139.75899999999999</v>
      </c>
    </row>
    <row r="196" spans="1:3" x14ac:dyDescent="0.2">
      <c r="A196" s="2">
        <v>44480</v>
      </c>
      <c r="B196" s="1" t="s">
        <v>0</v>
      </c>
      <c r="C196" s="3">
        <v>139.66900000000001</v>
      </c>
    </row>
    <row r="197" spans="1:3" x14ac:dyDescent="0.2">
      <c r="A197" s="2">
        <v>44481</v>
      </c>
      <c r="B197" s="1" t="s">
        <v>0</v>
      </c>
      <c r="C197" s="3">
        <v>138.39400000000001</v>
      </c>
    </row>
    <row r="198" spans="1:3" x14ac:dyDescent="0.2">
      <c r="A198" s="2">
        <v>44482</v>
      </c>
      <c r="B198" s="1" t="s">
        <v>0</v>
      </c>
      <c r="C198" s="3">
        <v>137.80500000000001</v>
      </c>
    </row>
    <row r="199" spans="1:3" x14ac:dyDescent="0.2">
      <c r="A199" s="2">
        <v>44483</v>
      </c>
      <c r="B199" s="1" t="s">
        <v>0</v>
      </c>
      <c r="C199" s="3">
        <v>140.602</v>
      </c>
    </row>
    <row r="200" spans="1:3" x14ac:dyDescent="0.2">
      <c r="A200" s="2">
        <v>44484</v>
      </c>
      <c r="B200" s="1" t="s">
        <v>0</v>
      </c>
      <c r="C200" s="3">
        <v>141.666</v>
      </c>
    </row>
    <row r="201" spans="1:3" x14ac:dyDescent="0.2">
      <c r="A201" s="2">
        <v>44487</v>
      </c>
      <c r="B201" s="1" t="s">
        <v>0</v>
      </c>
      <c r="C201" s="3">
        <v>143.334</v>
      </c>
    </row>
    <row r="202" spans="1:3" x14ac:dyDescent="0.2">
      <c r="A202" s="2">
        <v>44488</v>
      </c>
      <c r="B202" s="1" t="s">
        <v>0</v>
      </c>
      <c r="C202" s="3">
        <v>145.48500000000001</v>
      </c>
    </row>
    <row r="203" spans="1:3" x14ac:dyDescent="0.2">
      <c r="A203" s="2">
        <v>44489</v>
      </c>
      <c r="B203" s="1" t="s">
        <v>0</v>
      </c>
      <c r="C203" s="3">
        <v>145.976</v>
      </c>
    </row>
    <row r="204" spans="1:3" x14ac:dyDescent="0.2">
      <c r="A204" s="2">
        <v>44490</v>
      </c>
      <c r="B204" s="1" t="s">
        <v>0</v>
      </c>
      <c r="C204" s="3">
        <v>146.19200000000001</v>
      </c>
    </row>
    <row r="205" spans="1:3" x14ac:dyDescent="0.2">
      <c r="A205" s="2">
        <v>44491</v>
      </c>
      <c r="B205" s="1" t="s">
        <v>0</v>
      </c>
      <c r="C205" s="3">
        <v>145.417</v>
      </c>
    </row>
    <row r="206" spans="1:3" x14ac:dyDescent="0.2">
      <c r="A206" s="2">
        <v>44494</v>
      </c>
      <c r="B206" s="1" t="s">
        <v>0</v>
      </c>
      <c r="C206" s="3">
        <v>145.36699999999999</v>
      </c>
    </row>
    <row r="207" spans="1:3" x14ac:dyDescent="0.2">
      <c r="A207" s="2">
        <v>44495</v>
      </c>
      <c r="B207" s="1" t="s">
        <v>0</v>
      </c>
      <c r="C207" s="3">
        <v>146.036</v>
      </c>
    </row>
    <row r="208" spans="1:3" x14ac:dyDescent="0.2">
      <c r="A208" s="2">
        <v>44496</v>
      </c>
      <c r="B208" s="1" t="s">
        <v>0</v>
      </c>
      <c r="C208" s="3">
        <v>145.57300000000001</v>
      </c>
    </row>
    <row r="209" spans="1:3" x14ac:dyDescent="0.2">
      <c r="A209" s="2">
        <v>44497</v>
      </c>
      <c r="B209" s="1" t="s">
        <v>0</v>
      </c>
      <c r="C209" s="3">
        <v>149.22499999999999</v>
      </c>
    </row>
    <row r="210" spans="1:3" x14ac:dyDescent="0.2">
      <c r="A210" s="2">
        <v>44498</v>
      </c>
      <c r="B210" s="1" t="s">
        <v>0</v>
      </c>
      <c r="C210" s="3">
        <v>146.505</v>
      </c>
    </row>
    <row r="211" spans="1:3" x14ac:dyDescent="0.2">
      <c r="A211" s="2">
        <v>44501</v>
      </c>
      <c r="B211" s="1" t="s">
        <v>0</v>
      </c>
      <c r="C211" s="3">
        <v>145.68199999999999</v>
      </c>
    </row>
    <row r="212" spans="1:3" x14ac:dyDescent="0.2">
      <c r="A212" s="2">
        <v>44502</v>
      </c>
      <c r="B212" s="1" t="s">
        <v>0</v>
      </c>
      <c r="C212" s="3">
        <v>146.72300000000001</v>
      </c>
    </row>
    <row r="213" spans="1:3" x14ac:dyDescent="0.2">
      <c r="A213" s="2">
        <v>44503</v>
      </c>
      <c r="B213" s="1" t="s">
        <v>0</v>
      </c>
      <c r="C213" s="3">
        <v>148.16800000000001</v>
      </c>
    </row>
    <row r="214" spans="1:3" x14ac:dyDescent="0.2">
      <c r="A214" s="2">
        <v>44504</v>
      </c>
      <c r="B214" s="1" t="s">
        <v>0</v>
      </c>
      <c r="C214" s="3">
        <v>147.64400000000001</v>
      </c>
    </row>
    <row r="215" spans="1:3" x14ac:dyDescent="0.2">
      <c r="A215" s="2">
        <v>44505</v>
      </c>
      <c r="B215" s="1" t="s">
        <v>0</v>
      </c>
      <c r="C215" s="3">
        <v>148.17699999999999</v>
      </c>
    </row>
    <row r="216" spans="1:3" x14ac:dyDescent="0.2">
      <c r="A216" s="2">
        <v>44508</v>
      </c>
      <c r="B216" s="1" t="s">
        <v>0</v>
      </c>
      <c r="C216" s="3">
        <v>147.35</v>
      </c>
    </row>
    <row r="217" spans="1:3" x14ac:dyDescent="0.2">
      <c r="A217" s="2">
        <v>44509</v>
      </c>
      <c r="B217" s="1" t="s">
        <v>0</v>
      </c>
      <c r="C217" s="3">
        <v>147.71299999999999</v>
      </c>
    </row>
    <row r="218" spans="1:3" x14ac:dyDescent="0.2">
      <c r="A218" s="2">
        <v>44510</v>
      </c>
      <c r="B218" s="1" t="s">
        <v>0</v>
      </c>
      <c r="C218" s="3">
        <v>144.875</v>
      </c>
    </row>
    <row r="219" spans="1:3" x14ac:dyDescent="0.2">
      <c r="A219" s="2">
        <v>44511</v>
      </c>
      <c r="B219" s="1" t="s">
        <v>0</v>
      </c>
      <c r="C219" s="3">
        <v>144.82499999999999</v>
      </c>
    </row>
    <row r="220" spans="1:3" x14ac:dyDescent="0.2">
      <c r="A220" s="2">
        <v>44512</v>
      </c>
      <c r="B220" s="1" t="s">
        <v>0</v>
      </c>
      <c r="C220" s="3">
        <v>146.91</v>
      </c>
    </row>
    <row r="221" spans="1:3" x14ac:dyDescent="0.2">
      <c r="A221" s="2">
        <v>44515</v>
      </c>
      <c r="B221" s="1" t="s">
        <v>0</v>
      </c>
      <c r="C221" s="3">
        <v>146.91900000000001</v>
      </c>
    </row>
    <row r="222" spans="1:3" x14ac:dyDescent="0.2">
      <c r="A222" s="2">
        <v>44516</v>
      </c>
      <c r="B222" s="1" t="s">
        <v>0</v>
      </c>
      <c r="C222" s="3">
        <v>147.90199999999999</v>
      </c>
    </row>
    <row r="223" spans="1:3" x14ac:dyDescent="0.2">
      <c r="A223" s="2">
        <v>44517</v>
      </c>
      <c r="B223" s="1" t="s">
        <v>0</v>
      </c>
      <c r="C223" s="3">
        <v>150.33699999999999</v>
      </c>
    </row>
    <row r="224" spans="1:3" x14ac:dyDescent="0.2">
      <c r="A224" s="2">
        <v>44518</v>
      </c>
      <c r="B224" s="1" t="s">
        <v>0</v>
      </c>
      <c r="C224" s="3">
        <v>154.62899999999999</v>
      </c>
    </row>
    <row r="225" spans="1:3" x14ac:dyDescent="0.2">
      <c r="A225" s="2">
        <v>44519</v>
      </c>
      <c r="B225" s="1" t="s">
        <v>0</v>
      </c>
      <c r="C225" s="3">
        <v>157.251</v>
      </c>
    </row>
    <row r="226" spans="1:3" x14ac:dyDescent="0.2">
      <c r="A226" s="2">
        <v>44522</v>
      </c>
      <c r="B226" s="1" t="s">
        <v>0</v>
      </c>
      <c r="C226" s="3">
        <v>157.71199999999999</v>
      </c>
    </row>
    <row r="227" spans="1:3" x14ac:dyDescent="0.2">
      <c r="A227" s="2">
        <v>44523</v>
      </c>
      <c r="B227" s="1" t="s">
        <v>0</v>
      </c>
      <c r="C227" s="3">
        <v>158.08600000000001</v>
      </c>
    </row>
    <row r="228" spans="1:3" x14ac:dyDescent="0.2">
      <c r="A228" s="2">
        <v>44524</v>
      </c>
      <c r="B228" s="1" t="s">
        <v>0</v>
      </c>
      <c r="C228" s="3">
        <v>158.607</v>
      </c>
    </row>
    <row r="229" spans="1:3" x14ac:dyDescent="0.2">
      <c r="A229" s="2">
        <v>44526</v>
      </c>
      <c r="B229" s="1" t="s">
        <v>0</v>
      </c>
      <c r="C229" s="3">
        <v>153.58600000000001</v>
      </c>
    </row>
    <row r="230" spans="1:3" x14ac:dyDescent="0.2">
      <c r="A230" s="2">
        <v>44529</v>
      </c>
      <c r="B230" s="1" t="s">
        <v>0</v>
      </c>
      <c r="C230" s="3">
        <v>156.95699999999999</v>
      </c>
    </row>
    <row r="231" spans="1:3" x14ac:dyDescent="0.2">
      <c r="A231" s="2">
        <v>44530</v>
      </c>
      <c r="B231" s="1" t="s">
        <v>0</v>
      </c>
      <c r="C231" s="3">
        <v>161.905</v>
      </c>
    </row>
    <row r="232" spans="1:3" x14ac:dyDescent="0.2">
      <c r="A232" s="2">
        <v>44531</v>
      </c>
      <c r="B232" s="1" t="s">
        <v>0</v>
      </c>
      <c r="C232" s="3">
        <v>161.386</v>
      </c>
    </row>
    <row r="233" spans="1:3" x14ac:dyDescent="0.2">
      <c r="A233" s="2">
        <v>44532</v>
      </c>
      <c r="B233" s="1" t="s">
        <v>0</v>
      </c>
      <c r="C233" s="3">
        <v>160.39400000000001</v>
      </c>
    </row>
    <row r="234" spans="1:3" x14ac:dyDescent="0.2">
      <c r="A234" s="2">
        <v>44533</v>
      </c>
      <c r="B234" s="1" t="s">
        <v>0</v>
      </c>
      <c r="C234" s="3">
        <v>158.50899999999999</v>
      </c>
    </row>
    <row r="235" spans="1:3" x14ac:dyDescent="0.2">
      <c r="A235" s="2">
        <v>44536</v>
      </c>
      <c r="B235" s="1" t="s">
        <v>0</v>
      </c>
      <c r="C235" s="3">
        <v>161.92500000000001</v>
      </c>
    </row>
    <row r="236" spans="1:3" x14ac:dyDescent="0.2">
      <c r="A236" s="2">
        <v>44537</v>
      </c>
      <c r="B236" s="1" t="s">
        <v>0</v>
      </c>
      <c r="C236" s="3">
        <v>167.66200000000001</v>
      </c>
    </row>
    <row r="237" spans="1:3" x14ac:dyDescent="0.2">
      <c r="A237" s="2">
        <v>44538</v>
      </c>
      <c r="B237" s="1" t="s">
        <v>0</v>
      </c>
      <c r="C237" s="3">
        <v>171.482</v>
      </c>
    </row>
    <row r="238" spans="1:3" x14ac:dyDescent="0.2">
      <c r="A238" s="2">
        <v>44539</v>
      </c>
      <c r="B238" s="1" t="s">
        <v>0</v>
      </c>
      <c r="C238" s="3">
        <v>170.97200000000001</v>
      </c>
    </row>
    <row r="239" spans="1:3" x14ac:dyDescent="0.2">
      <c r="A239" s="2">
        <v>44540</v>
      </c>
      <c r="B239" s="1" t="s">
        <v>0</v>
      </c>
      <c r="C239" s="3">
        <v>175.76400000000001</v>
      </c>
    </row>
    <row r="240" spans="1:3" x14ac:dyDescent="0.2">
      <c r="A240" s="2">
        <v>44543</v>
      </c>
      <c r="B240" s="1" t="s">
        <v>0</v>
      </c>
      <c r="C240" s="3">
        <v>172.131</v>
      </c>
    </row>
    <row r="241" spans="1:3" x14ac:dyDescent="0.2">
      <c r="A241" s="2">
        <v>44544</v>
      </c>
      <c r="B241" s="1" t="s">
        <v>0</v>
      </c>
      <c r="C241" s="3">
        <v>170.745</v>
      </c>
    </row>
    <row r="242" spans="1:3" x14ac:dyDescent="0.2">
      <c r="A242" s="2">
        <v>44545</v>
      </c>
      <c r="B242" s="1" t="s">
        <v>0</v>
      </c>
      <c r="C242" s="3">
        <v>175.61500000000001</v>
      </c>
    </row>
    <row r="243" spans="1:3" x14ac:dyDescent="0.2">
      <c r="A243" s="2">
        <v>44546</v>
      </c>
      <c r="B243" s="1" t="s">
        <v>0</v>
      </c>
      <c r="C243" s="3">
        <v>168.72399999999999</v>
      </c>
    </row>
    <row r="244" spans="1:3" x14ac:dyDescent="0.2">
      <c r="A244" s="2">
        <v>44547</v>
      </c>
      <c r="B244" s="1" t="s">
        <v>0</v>
      </c>
      <c r="C244" s="3">
        <v>167.62299999999999</v>
      </c>
    </row>
    <row r="245" spans="1:3" x14ac:dyDescent="0.2">
      <c r="A245" s="2">
        <v>44550</v>
      </c>
      <c r="B245" s="1" t="s">
        <v>0</v>
      </c>
      <c r="C245" s="3">
        <v>166.25700000000001</v>
      </c>
    </row>
    <row r="246" spans="1:3" x14ac:dyDescent="0.2">
      <c r="A246" s="2">
        <v>44551</v>
      </c>
      <c r="B246" s="1" t="s">
        <v>0</v>
      </c>
      <c r="C246" s="3">
        <v>169.44200000000001</v>
      </c>
    </row>
    <row r="247" spans="1:3" x14ac:dyDescent="0.2">
      <c r="A247" s="2">
        <v>44552</v>
      </c>
      <c r="B247" s="1" t="s">
        <v>0</v>
      </c>
      <c r="C247" s="3">
        <v>172.03200000000001</v>
      </c>
    </row>
    <row r="248" spans="1:3" x14ac:dyDescent="0.2">
      <c r="A248" s="2">
        <v>44553</v>
      </c>
      <c r="B248" s="1" t="s">
        <v>0</v>
      </c>
      <c r="C248" s="3">
        <v>172.66</v>
      </c>
    </row>
    <row r="249" spans="1:3" x14ac:dyDescent="0.2">
      <c r="A249" s="2">
        <v>44557</v>
      </c>
      <c r="B249" s="1" t="s">
        <v>0</v>
      </c>
      <c r="C249" s="3">
        <v>176.63</v>
      </c>
    </row>
    <row r="250" spans="1:3" x14ac:dyDescent="0.2">
      <c r="A250" s="2">
        <v>44558</v>
      </c>
      <c r="B250" s="1" t="s">
        <v>0</v>
      </c>
      <c r="C250" s="3">
        <v>175.60599999999999</v>
      </c>
    </row>
    <row r="251" spans="1:3" x14ac:dyDescent="0.2">
      <c r="A251" s="2">
        <v>44559</v>
      </c>
      <c r="B251" s="1" t="s">
        <v>0</v>
      </c>
      <c r="C251" s="3">
        <v>175.69399999999999</v>
      </c>
    </row>
    <row r="252" spans="1:3" x14ac:dyDescent="0.2">
      <c r="A252" s="2">
        <v>44560</v>
      </c>
      <c r="B252" s="1" t="s">
        <v>0</v>
      </c>
      <c r="C252" s="3">
        <v>174.53700000000001</v>
      </c>
    </row>
    <row r="253" spans="1:3" x14ac:dyDescent="0.2">
      <c r="A253" s="2">
        <v>44561</v>
      </c>
      <c r="B253" s="1" t="s">
        <v>0</v>
      </c>
      <c r="C253" s="3">
        <v>173.91800000000001</v>
      </c>
    </row>
    <row r="254" spans="1:3" x14ac:dyDescent="0.2">
      <c r="A254" s="2">
        <v>44564</v>
      </c>
      <c r="B254" s="1" t="s">
        <v>0</v>
      </c>
      <c r="C254" s="3">
        <v>178.268</v>
      </c>
    </row>
    <row r="255" spans="1:3" x14ac:dyDescent="0.2">
      <c r="A255" s="2">
        <v>44565</v>
      </c>
      <c r="B255" s="1" t="s">
        <v>0</v>
      </c>
      <c r="C255" s="3">
        <v>176.011</v>
      </c>
    </row>
    <row r="256" spans="1:3" x14ac:dyDescent="0.2">
      <c r="A256" s="2">
        <v>44566</v>
      </c>
      <c r="B256" s="1" t="s">
        <v>0</v>
      </c>
      <c r="C256" s="3">
        <v>171.32599999999999</v>
      </c>
    </row>
    <row r="257" spans="1:3" x14ac:dyDescent="0.2">
      <c r="A257" s="2">
        <v>44567</v>
      </c>
      <c r="B257" s="1" t="s">
        <v>0</v>
      </c>
      <c r="C257" s="3">
        <v>168.46700000000001</v>
      </c>
    </row>
    <row r="258" spans="1:3" x14ac:dyDescent="0.2">
      <c r="A258" s="2">
        <v>44568</v>
      </c>
      <c r="B258" s="1" t="s">
        <v>0</v>
      </c>
      <c r="C258" s="3">
        <v>168.63499999999999</v>
      </c>
    </row>
    <row r="259" spans="1:3" x14ac:dyDescent="0.2">
      <c r="A259" s="2">
        <v>44571</v>
      </c>
      <c r="B259" s="1" t="s">
        <v>0</v>
      </c>
      <c r="C259" s="3">
        <v>168.655</v>
      </c>
    </row>
    <row r="260" spans="1:3" x14ac:dyDescent="0.2">
      <c r="A260" s="2">
        <v>44572</v>
      </c>
      <c r="B260" s="1" t="s">
        <v>0</v>
      </c>
      <c r="C260" s="3">
        <v>171.482</v>
      </c>
    </row>
    <row r="261" spans="1:3" x14ac:dyDescent="0.2">
      <c r="A261" s="2">
        <v>44573</v>
      </c>
      <c r="B261" s="1" t="s">
        <v>0</v>
      </c>
      <c r="C261" s="3">
        <v>171.923</v>
      </c>
    </row>
    <row r="262" spans="1:3" x14ac:dyDescent="0.2">
      <c r="A262" s="2">
        <v>44574</v>
      </c>
      <c r="B262" s="1" t="s">
        <v>0</v>
      </c>
      <c r="C262" s="3">
        <v>168.655</v>
      </c>
    </row>
    <row r="263" spans="1:3" x14ac:dyDescent="0.2">
      <c r="A263" s="2">
        <v>44575</v>
      </c>
      <c r="B263" s="1" t="s">
        <v>0</v>
      </c>
      <c r="C263" s="3">
        <v>169.52099999999999</v>
      </c>
    </row>
    <row r="264" spans="1:3" x14ac:dyDescent="0.2">
      <c r="A264" s="2">
        <v>44579</v>
      </c>
      <c r="B264" s="1" t="s">
        <v>0</v>
      </c>
      <c r="C264" s="3">
        <v>166.30600000000001</v>
      </c>
    </row>
    <row r="265" spans="1:3" x14ac:dyDescent="0.2">
      <c r="A265" s="2">
        <v>44580</v>
      </c>
      <c r="B265" s="1" t="s">
        <v>0</v>
      </c>
      <c r="C265" s="3">
        <v>162.81899999999999</v>
      </c>
    </row>
    <row r="266" spans="1:3" x14ac:dyDescent="0.2">
      <c r="A266" s="2">
        <v>44581</v>
      </c>
      <c r="B266" s="1" t="s">
        <v>0</v>
      </c>
      <c r="C266" s="3">
        <v>161.13</v>
      </c>
    </row>
    <row r="267" spans="1:3" x14ac:dyDescent="0.2">
      <c r="A267" s="2">
        <v>44582</v>
      </c>
      <c r="B267" s="1" t="s">
        <v>0</v>
      </c>
      <c r="C267" s="3">
        <v>159.06700000000001</v>
      </c>
    </row>
    <row r="268" spans="1:3" x14ac:dyDescent="0.2">
      <c r="A268" s="2">
        <v>44585</v>
      </c>
      <c r="B268" s="1" t="s">
        <v>0</v>
      </c>
      <c r="C268" s="3">
        <v>158.29</v>
      </c>
    </row>
    <row r="269" spans="1:3" x14ac:dyDescent="0.2">
      <c r="A269" s="2">
        <v>44586</v>
      </c>
      <c r="B269" s="1" t="s">
        <v>0</v>
      </c>
      <c r="C269" s="3">
        <v>156.50299999999999</v>
      </c>
    </row>
    <row r="270" spans="1:3" x14ac:dyDescent="0.2">
      <c r="A270" s="2">
        <v>44587</v>
      </c>
      <c r="B270" s="1" t="s">
        <v>0</v>
      </c>
      <c r="C270" s="3">
        <v>156.41499999999999</v>
      </c>
    </row>
    <row r="271" spans="1:3" x14ac:dyDescent="0.2">
      <c r="A271" s="2">
        <v>44588</v>
      </c>
      <c r="B271" s="1" t="s">
        <v>0</v>
      </c>
      <c r="C271" s="3">
        <v>155.95500000000001</v>
      </c>
    </row>
    <row r="272" spans="1:3" x14ac:dyDescent="0.2">
      <c r="A272" s="2">
        <v>44589</v>
      </c>
      <c r="B272" s="1" t="s">
        <v>0</v>
      </c>
      <c r="C272" s="3">
        <v>166.82499999999999</v>
      </c>
    </row>
    <row r="273" spans="1:3" x14ac:dyDescent="0.2">
      <c r="A273" s="2">
        <v>44592</v>
      </c>
      <c r="B273" s="1" t="s">
        <v>0</v>
      </c>
      <c r="C273" s="3">
        <v>171.18700000000001</v>
      </c>
    </row>
    <row r="274" spans="1:3" x14ac:dyDescent="0.2">
      <c r="A274" s="2">
        <v>44593</v>
      </c>
      <c r="B274" s="1" t="s">
        <v>0</v>
      </c>
      <c r="C274" s="3">
        <v>171.02</v>
      </c>
    </row>
    <row r="275" spans="1:3" x14ac:dyDescent="0.2">
      <c r="A275" s="2">
        <v>44594</v>
      </c>
      <c r="B275" s="1" t="s">
        <v>0</v>
      </c>
      <c r="C275" s="3">
        <v>172.22900000000001</v>
      </c>
    </row>
    <row r="276" spans="1:3" x14ac:dyDescent="0.2">
      <c r="A276" s="2">
        <v>44595</v>
      </c>
      <c r="B276" s="1" t="s">
        <v>0</v>
      </c>
      <c r="C276" s="3">
        <v>169.352</v>
      </c>
    </row>
    <row r="277" spans="1:3" x14ac:dyDescent="0.2">
      <c r="A277" s="2">
        <v>44596</v>
      </c>
      <c r="B277" s="1" t="s">
        <v>0</v>
      </c>
      <c r="C277" s="3">
        <v>169.06399999999999</v>
      </c>
    </row>
    <row r="278" spans="1:3" x14ac:dyDescent="0.2">
      <c r="A278" s="2">
        <v>44599</v>
      </c>
      <c r="B278" s="1" t="s">
        <v>0</v>
      </c>
      <c r="C278" s="3">
        <v>168.34800000000001</v>
      </c>
    </row>
    <row r="279" spans="1:3" x14ac:dyDescent="0.2">
      <c r="A279" s="2">
        <v>44600</v>
      </c>
      <c r="B279" s="1" t="s">
        <v>0</v>
      </c>
      <c r="C279" s="3">
        <v>171.453</v>
      </c>
    </row>
    <row r="280" spans="1:3" x14ac:dyDescent="0.2">
      <c r="A280" s="2">
        <v>44601</v>
      </c>
      <c r="B280" s="1" t="s">
        <v>0</v>
      </c>
      <c r="C280" s="3">
        <v>172.87700000000001</v>
      </c>
    </row>
    <row r="281" spans="1:3" x14ac:dyDescent="0.2">
      <c r="A281" s="2">
        <v>44602</v>
      </c>
      <c r="B281" s="1" t="s">
        <v>0</v>
      </c>
      <c r="C281" s="3">
        <v>168.80199999999999</v>
      </c>
    </row>
    <row r="282" spans="1:3" x14ac:dyDescent="0.2">
      <c r="A282" s="2">
        <v>44603</v>
      </c>
      <c r="B282" s="1" t="s">
        <v>0</v>
      </c>
      <c r="C282" s="3">
        <v>165.38200000000001</v>
      </c>
    </row>
    <row r="283" spans="1:3" x14ac:dyDescent="0.2">
      <c r="A283" s="2">
        <v>44606</v>
      </c>
      <c r="B283" s="1" t="s">
        <v>0</v>
      </c>
      <c r="C283" s="3">
        <v>165.61799999999999</v>
      </c>
    </row>
    <row r="284" spans="1:3" x14ac:dyDescent="0.2">
      <c r="A284" s="2">
        <v>44607</v>
      </c>
      <c r="B284" s="1" t="s">
        <v>0</v>
      </c>
      <c r="C284" s="3">
        <v>169.46100000000001</v>
      </c>
    </row>
    <row r="285" spans="1:3" x14ac:dyDescent="0.2">
      <c r="A285" s="2">
        <v>44608</v>
      </c>
      <c r="B285" s="1" t="s">
        <v>0</v>
      </c>
      <c r="C285" s="3">
        <v>169.22300000000001</v>
      </c>
    </row>
    <row r="286" spans="1:3" x14ac:dyDescent="0.2">
      <c r="A286" s="2">
        <v>44609</v>
      </c>
      <c r="B286" s="1" t="s">
        <v>0</v>
      </c>
      <c r="C286" s="3">
        <v>165.61799999999999</v>
      </c>
    </row>
    <row r="287" spans="1:3" x14ac:dyDescent="0.2">
      <c r="A287" s="2">
        <v>44610</v>
      </c>
      <c r="B287" s="1" t="s">
        <v>0</v>
      </c>
      <c r="C287" s="3">
        <v>164.06700000000001</v>
      </c>
    </row>
    <row r="288" spans="1:3" x14ac:dyDescent="0.2">
      <c r="A288" s="2">
        <v>44614</v>
      </c>
      <c r="B288" s="1" t="s">
        <v>0</v>
      </c>
      <c r="C288" s="3">
        <v>161.15</v>
      </c>
    </row>
    <row r="289" spans="1:3" x14ac:dyDescent="0.2">
      <c r="A289" s="2">
        <v>44615</v>
      </c>
      <c r="B289" s="1" t="s">
        <v>0</v>
      </c>
      <c r="C289" s="3">
        <v>156.98699999999999</v>
      </c>
    </row>
    <row r="290" spans="1:3" x14ac:dyDescent="0.2">
      <c r="A290" s="2">
        <v>44616</v>
      </c>
      <c r="B290" s="1" t="s">
        <v>0</v>
      </c>
      <c r="C290" s="3">
        <v>159.59899999999999</v>
      </c>
    </row>
    <row r="291" spans="1:3" x14ac:dyDescent="0.2">
      <c r="A291" s="2">
        <v>44617</v>
      </c>
      <c r="B291" s="1" t="s">
        <v>0</v>
      </c>
      <c r="C291" s="3">
        <v>161.67099999999999</v>
      </c>
    </row>
    <row r="292" spans="1:3" x14ac:dyDescent="0.2">
      <c r="A292" s="2">
        <v>44620</v>
      </c>
      <c r="B292" s="1" t="s">
        <v>0</v>
      </c>
      <c r="C292" s="3">
        <v>161.935</v>
      </c>
    </row>
    <row r="293" spans="1:3" x14ac:dyDescent="0.2">
      <c r="A293" s="2">
        <v>44621</v>
      </c>
      <c r="B293" s="1" t="s">
        <v>0</v>
      </c>
      <c r="C293" s="3">
        <v>160.04900000000001</v>
      </c>
    </row>
    <row r="294" spans="1:3" x14ac:dyDescent="0.2">
      <c r="A294" s="2">
        <v>44622</v>
      </c>
      <c r="B294" s="1" t="s">
        <v>0</v>
      </c>
      <c r="C294" s="3">
        <v>163.34899999999999</v>
      </c>
    </row>
    <row r="295" spans="1:3" x14ac:dyDescent="0.2">
      <c r="A295" s="2">
        <v>44623</v>
      </c>
      <c r="B295" s="1" t="s">
        <v>0</v>
      </c>
      <c r="C295" s="3">
        <v>163.02500000000001</v>
      </c>
    </row>
    <row r="296" spans="1:3" x14ac:dyDescent="0.2">
      <c r="A296" s="2">
        <v>44624</v>
      </c>
      <c r="B296" s="1" t="s">
        <v>0</v>
      </c>
      <c r="C296" s="3">
        <v>160.02000000000001</v>
      </c>
    </row>
    <row r="297" spans="1:3" x14ac:dyDescent="0.2">
      <c r="A297" s="2">
        <v>44627</v>
      </c>
      <c r="B297" s="1" t="s">
        <v>0</v>
      </c>
      <c r="C297" s="3">
        <v>156.22999999999999</v>
      </c>
    </row>
    <row r="298" spans="1:3" x14ac:dyDescent="0.2">
      <c r="A298" s="2">
        <v>44628</v>
      </c>
      <c r="B298" s="1" t="s">
        <v>0</v>
      </c>
      <c r="C298" s="3">
        <v>154.40199999999999</v>
      </c>
    </row>
    <row r="299" spans="1:3" x14ac:dyDescent="0.2">
      <c r="A299" s="2">
        <v>44629</v>
      </c>
      <c r="B299" s="1" t="s">
        <v>0</v>
      </c>
      <c r="C299" s="3">
        <v>159.803</v>
      </c>
    </row>
    <row r="300" spans="1:3" x14ac:dyDescent="0.2">
      <c r="A300" s="2">
        <v>44630</v>
      </c>
      <c r="B300" s="1" t="s">
        <v>0</v>
      </c>
      <c r="C300" s="3">
        <v>155.46100000000001</v>
      </c>
    </row>
    <row r="301" spans="1:3" x14ac:dyDescent="0.2">
      <c r="A301" s="2">
        <v>44631</v>
      </c>
      <c r="B301" s="1" t="s">
        <v>0</v>
      </c>
      <c r="C301" s="3">
        <v>151.74199999999999</v>
      </c>
    </row>
    <row r="302" spans="1:3" x14ac:dyDescent="0.2">
      <c r="A302" s="2">
        <v>44634</v>
      </c>
      <c r="B302" s="1" t="s">
        <v>0</v>
      </c>
      <c r="C302" s="3">
        <v>147.71299999999999</v>
      </c>
    </row>
    <row r="303" spans="1:3" x14ac:dyDescent="0.2">
      <c r="A303" s="2">
        <v>44635</v>
      </c>
      <c r="B303" s="1" t="s">
        <v>0</v>
      </c>
      <c r="C303" s="3">
        <v>152.09399999999999</v>
      </c>
    </row>
    <row r="304" spans="1:3" x14ac:dyDescent="0.2">
      <c r="A304" s="2">
        <v>44636</v>
      </c>
      <c r="B304" s="1" t="s">
        <v>0</v>
      </c>
      <c r="C304" s="3">
        <v>156.51300000000001</v>
      </c>
    </row>
    <row r="305" spans="1:3" x14ac:dyDescent="0.2">
      <c r="A305" s="2">
        <v>44637</v>
      </c>
      <c r="B305" s="1" t="s">
        <v>0</v>
      </c>
      <c r="C305" s="3">
        <v>157.51599999999999</v>
      </c>
    </row>
    <row r="306" spans="1:3" x14ac:dyDescent="0.2">
      <c r="A306" s="2">
        <v>44638</v>
      </c>
      <c r="B306" s="1" t="s">
        <v>0</v>
      </c>
      <c r="C306" s="3">
        <v>160.816</v>
      </c>
    </row>
    <row r="307" spans="1:3" x14ac:dyDescent="0.2">
      <c r="A307" s="2">
        <v>44641</v>
      </c>
      <c r="B307" s="1" t="s">
        <v>0</v>
      </c>
      <c r="C307" s="3">
        <v>162.19200000000001</v>
      </c>
    </row>
    <row r="308" spans="1:3" x14ac:dyDescent="0.2">
      <c r="A308" s="2">
        <v>44642</v>
      </c>
      <c r="B308" s="1" t="s">
        <v>0</v>
      </c>
      <c r="C308" s="3">
        <v>165.559</v>
      </c>
    </row>
    <row r="309" spans="1:3" x14ac:dyDescent="0.2">
      <c r="A309" s="2">
        <v>44643</v>
      </c>
      <c r="B309" s="1" t="s">
        <v>0</v>
      </c>
      <c r="C309" s="3">
        <v>166.92500000000001</v>
      </c>
    </row>
    <row r="310" spans="1:3" x14ac:dyDescent="0.2">
      <c r="A310" s="2">
        <v>44644</v>
      </c>
      <c r="B310" s="1" t="s">
        <v>0</v>
      </c>
      <c r="C310" s="3">
        <v>170.70699999999999</v>
      </c>
    </row>
    <row r="311" spans="1:3" x14ac:dyDescent="0.2">
      <c r="A311" s="2">
        <v>44645</v>
      </c>
      <c r="B311" s="1" t="s">
        <v>0</v>
      </c>
      <c r="C311" s="3">
        <v>171.345</v>
      </c>
    </row>
    <row r="312" spans="1:3" x14ac:dyDescent="0.2">
      <c r="A312" s="2">
        <v>44648</v>
      </c>
      <c r="B312" s="1" t="s">
        <v>0</v>
      </c>
      <c r="C312" s="3">
        <v>172.21</v>
      </c>
    </row>
    <row r="313" spans="1:3" x14ac:dyDescent="0.2">
      <c r="A313" s="2">
        <v>44649</v>
      </c>
      <c r="B313" s="1" t="s">
        <v>0</v>
      </c>
      <c r="C313" s="3">
        <v>175.50700000000001</v>
      </c>
    </row>
    <row r="314" spans="1:3" x14ac:dyDescent="0.2">
      <c r="A314" s="2">
        <v>44650</v>
      </c>
      <c r="B314" s="1" t="s">
        <v>0</v>
      </c>
      <c r="C314" s="3">
        <v>174.34</v>
      </c>
    </row>
    <row r="315" spans="1:3" x14ac:dyDescent="0.2">
      <c r="A315" s="2">
        <v>44651</v>
      </c>
      <c r="B315" s="1" t="s">
        <v>0</v>
      </c>
      <c r="C315" s="3">
        <v>171.23599999999999</v>
      </c>
    </row>
    <row r="316" spans="1:3" x14ac:dyDescent="0.2">
      <c r="A316" s="2">
        <v>44652</v>
      </c>
      <c r="B316" s="1" t="s">
        <v>0</v>
      </c>
      <c r="C316" s="3">
        <v>170.94200000000001</v>
      </c>
    </row>
    <row r="317" spans="1:3" x14ac:dyDescent="0.2">
      <c r="A317" s="2">
        <v>44655</v>
      </c>
      <c r="B317" s="1" t="s">
        <v>0</v>
      </c>
      <c r="C317" s="3">
        <v>174.99700000000001</v>
      </c>
    </row>
    <row r="318" spans="1:3" x14ac:dyDescent="0.2">
      <c r="A318" s="2">
        <v>44656</v>
      </c>
      <c r="B318" s="1" t="s">
        <v>0</v>
      </c>
      <c r="C318" s="3">
        <v>171.68</v>
      </c>
    </row>
    <row r="319" spans="1:3" x14ac:dyDescent="0.2">
      <c r="A319" s="2">
        <v>44657</v>
      </c>
      <c r="B319" s="1" t="s">
        <v>0</v>
      </c>
      <c r="C319" s="3">
        <v>168.517</v>
      </c>
    </row>
    <row r="320" spans="1:3" x14ac:dyDescent="0.2">
      <c r="A320" s="2">
        <v>44658</v>
      </c>
      <c r="B320" s="1" t="s">
        <v>0</v>
      </c>
      <c r="C320" s="3">
        <v>168.82</v>
      </c>
    </row>
    <row r="321" spans="1:3" x14ac:dyDescent="0.2">
      <c r="A321" s="2">
        <v>44659</v>
      </c>
      <c r="B321" s="1" t="s">
        <v>0</v>
      </c>
      <c r="C321" s="3">
        <v>166.80600000000001</v>
      </c>
    </row>
    <row r="322" spans="1:3" x14ac:dyDescent="0.2">
      <c r="A322" s="2">
        <v>44662</v>
      </c>
      <c r="B322" s="1" t="s">
        <v>0</v>
      </c>
      <c r="C322" s="3">
        <v>162.55199999999999</v>
      </c>
    </row>
    <row r="323" spans="1:3" x14ac:dyDescent="0.2">
      <c r="A323" s="2">
        <v>44663</v>
      </c>
      <c r="B323" s="1" t="s">
        <v>0</v>
      </c>
      <c r="C323" s="3">
        <v>164.42099999999999</v>
      </c>
    </row>
    <row r="324" spans="1:3" x14ac:dyDescent="0.2">
      <c r="A324" s="2">
        <v>44664</v>
      </c>
      <c r="B324" s="1" t="s">
        <v>0</v>
      </c>
      <c r="C324" s="3">
        <v>167.11099999999999</v>
      </c>
    </row>
    <row r="325" spans="1:3" x14ac:dyDescent="0.2">
      <c r="A325" s="2">
        <v>44665</v>
      </c>
      <c r="B325" s="1" t="s">
        <v>0</v>
      </c>
      <c r="C325" s="3">
        <v>162.102</v>
      </c>
    </row>
    <row r="326" spans="1:3" x14ac:dyDescent="0.2">
      <c r="A326" s="2">
        <v>44669</v>
      </c>
      <c r="B326" s="1" t="s">
        <v>0</v>
      </c>
      <c r="C326" s="3">
        <v>161.88499999999999</v>
      </c>
    </row>
    <row r="327" spans="1:3" x14ac:dyDescent="0.2">
      <c r="A327" s="2">
        <v>44670</v>
      </c>
      <c r="B327" s="1" t="s">
        <v>0</v>
      </c>
      <c r="C327" s="3">
        <v>164.167</v>
      </c>
    </row>
    <row r="328" spans="1:3" x14ac:dyDescent="0.2">
      <c r="A328" s="2">
        <v>44671</v>
      </c>
      <c r="B328" s="1" t="s">
        <v>0</v>
      </c>
      <c r="C328" s="3">
        <v>163.99700000000001</v>
      </c>
    </row>
    <row r="329" spans="1:3" x14ac:dyDescent="0.2">
      <c r="A329" s="2">
        <v>44672</v>
      </c>
      <c r="B329" s="1" t="s">
        <v>0</v>
      </c>
      <c r="C329" s="3">
        <v>163.21299999999999</v>
      </c>
    </row>
    <row r="330" spans="1:3" x14ac:dyDescent="0.2">
      <c r="A330" s="2">
        <v>44673</v>
      </c>
      <c r="B330" s="1" t="s">
        <v>0</v>
      </c>
      <c r="C330" s="3">
        <v>158.66399999999999</v>
      </c>
    </row>
    <row r="331" spans="1:3" x14ac:dyDescent="0.2">
      <c r="A331" s="2">
        <v>44676</v>
      </c>
      <c r="B331" s="1" t="s">
        <v>0</v>
      </c>
      <c r="C331" s="3">
        <v>159.73599999999999</v>
      </c>
    </row>
    <row r="332" spans="1:3" x14ac:dyDescent="0.2">
      <c r="A332" s="2">
        <v>44677</v>
      </c>
      <c r="B332" s="1" t="s">
        <v>0</v>
      </c>
      <c r="C332" s="3">
        <v>153.773</v>
      </c>
    </row>
    <row r="333" spans="1:3" x14ac:dyDescent="0.2">
      <c r="A333" s="2">
        <v>44678</v>
      </c>
      <c r="B333" s="1" t="s">
        <v>0</v>
      </c>
      <c r="C333" s="3">
        <v>153.54599999999999</v>
      </c>
    </row>
    <row r="334" spans="1:3" x14ac:dyDescent="0.2">
      <c r="A334" s="2">
        <v>44679</v>
      </c>
      <c r="B334" s="1" t="s">
        <v>0</v>
      </c>
      <c r="C334" s="3">
        <v>160.483</v>
      </c>
    </row>
    <row r="335" spans="1:3" x14ac:dyDescent="0.2">
      <c r="A335" s="2">
        <v>44680</v>
      </c>
      <c r="B335" s="1" t="s">
        <v>0</v>
      </c>
      <c r="C335" s="3">
        <v>154.60900000000001</v>
      </c>
    </row>
    <row r="336" spans="1:3" x14ac:dyDescent="0.2">
      <c r="A336" s="2">
        <v>44683</v>
      </c>
      <c r="B336" s="1" t="s">
        <v>0</v>
      </c>
      <c r="C336" s="3">
        <v>154.91300000000001</v>
      </c>
    </row>
    <row r="337" spans="1:3" x14ac:dyDescent="0.2">
      <c r="A337" s="2">
        <v>44684</v>
      </c>
      <c r="B337" s="1" t="s">
        <v>0</v>
      </c>
      <c r="C337" s="3">
        <v>156.405</v>
      </c>
    </row>
    <row r="338" spans="1:3" x14ac:dyDescent="0.2">
      <c r="A338" s="2">
        <v>44685</v>
      </c>
      <c r="B338" s="1" t="s">
        <v>0</v>
      </c>
      <c r="C338" s="3">
        <v>162.81899999999999</v>
      </c>
    </row>
    <row r="339" spans="1:3" x14ac:dyDescent="0.2">
      <c r="A339" s="2">
        <v>44686</v>
      </c>
      <c r="B339" s="1" t="s">
        <v>0</v>
      </c>
      <c r="C339" s="3">
        <v>153.744</v>
      </c>
    </row>
    <row r="340" spans="1:3" x14ac:dyDescent="0.2">
      <c r="A340" s="2">
        <v>44687</v>
      </c>
      <c r="B340" s="1" t="s">
        <v>0</v>
      </c>
      <c r="C340" s="3">
        <v>154.47200000000001</v>
      </c>
    </row>
    <row r="341" spans="1:3" x14ac:dyDescent="0.2">
      <c r="A341" s="2">
        <v>44690</v>
      </c>
      <c r="B341" s="1" t="s">
        <v>0</v>
      </c>
      <c r="C341" s="3">
        <v>149.34399999999999</v>
      </c>
    </row>
    <row r="342" spans="1:3" x14ac:dyDescent="0.2">
      <c r="A342" s="2">
        <v>44691</v>
      </c>
      <c r="B342" s="1" t="s">
        <v>0</v>
      </c>
      <c r="C342" s="3">
        <v>151.75200000000001</v>
      </c>
    </row>
    <row r="343" spans="1:3" x14ac:dyDescent="0.2">
      <c r="A343" s="2">
        <v>44692</v>
      </c>
      <c r="B343" s="1" t="s">
        <v>0</v>
      </c>
      <c r="C343" s="3">
        <v>143.887</v>
      </c>
    </row>
    <row r="344" spans="1:3" x14ac:dyDescent="0.2">
      <c r="A344" s="2">
        <v>44693</v>
      </c>
      <c r="B344" s="1" t="s">
        <v>0</v>
      </c>
      <c r="C344" s="3">
        <v>140.01400000000001</v>
      </c>
    </row>
    <row r="345" spans="1:3" x14ac:dyDescent="0.2">
      <c r="A345" s="2">
        <v>44694</v>
      </c>
      <c r="B345" s="1" t="s">
        <v>0</v>
      </c>
      <c r="C345" s="3">
        <v>144.48400000000001</v>
      </c>
    </row>
    <row r="346" spans="1:3" x14ac:dyDescent="0.2">
      <c r="A346" s="2">
        <v>44697</v>
      </c>
      <c r="B346" s="1" t="s">
        <v>0</v>
      </c>
      <c r="C346" s="3">
        <v>142.941</v>
      </c>
    </row>
    <row r="347" spans="1:3" x14ac:dyDescent="0.2">
      <c r="A347" s="2">
        <v>44698</v>
      </c>
      <c r="B347" s="1" t="s">
        <v>0</v>
      </c>
      <c r="C347" s="3">
        <v>146.57300000000001</v>
      </c>
    </row>
    <row r="348" spans="1:3" x14ac:dyDescent="0.2">
      <c r="A348" s="2">
        <v>44699</v>
      </c>
      <c r="B348" s="1" t="s">
        <v>0</v>
      </c>
      <c r="C348" s="3">
        <v>138.304</v>
      </c>
    </row>
    <row r="349" spans="1:3" x14ac:dyDescent="0.2">
      <c r="A349" s="2">
        <v>44700</v>
      </c>
      <c r="B349" s="1" t="s">
        <v>0</v>
      </c>
      <c r="C349" s="3">
        <v>134.89699999999999</v>
      </c>
    </row>
    <row r="350" spans="1:3" x14ac:dyDescent="0.2">
      <c r="A350" s="2">
        <v>44701</v>
      </c>
      <c r="B350" s="1" t="s">
        <v>0</v>
      </c>
      <c r="C350" s="3">
        <v>135.13200000000001</v>
      </c>
    </row>
    <row r="351" spans="1:3" x14ac:dyDescent="0.2">
      <c r="A351" s="2">
        <v>44704</v>
      </c>
      <c r="B351" s="1" t="s">
        <v>0</v>
      </c>
      <c r="C351" s="3">
        <v>140.55199999999999</v>
      </c>
    </row>
    <row r="352" spans="1:3" x14ac:dyDescent="0.2">
      <c r="A352" s="2">
        <v>44705</v>
      </c>
      <c r="B352" s="1" t="s">
        <v>0</v>
      </c>
      <c r="C352" s="3">
        <v>137.85499999999999</v>
      </c>
    </row>
    <row r="353" spans="1:3" x14ac:dyDescent="0.2">
      <c r="A353" s="2">
        <v>44706</v>
      </c>
      <c r="B353" s="1" t="s">
        <v>0</v>
      </c>
      <c r="C353" s="3">
        <v>138.01</v>
      </c>
    </row>
    <row r="354" spans="1:3" x14ac:dyDescent="0.2">
      <c r="A354" s="2">
        <v>44707</v>
      </c>
      <c r="B354" s="1" t="s">
        <v>0</v>
      </c>
      <c r="C354" s="3">
        <v>141.21100000000001</v>
      </c>
    </row>
    <row r="355" spans="1:3" x14ac:dyDescent="0.2">
      <c r="A355" s="2">
        <v>44708</v>
      </c>
      <c r="B355" s="1" t="s">
        <v>0</v>
      </c>
      <c r="C355" s="3">
        <v>146.96899999999999</v>
      </c>
    </row>
    <row r="356" spans="1:3" x14ac:dyDescent="0.2">
      <c r="A356" s="2">
        <v>44712</v>
      </c>
      <c r="B356" s="1" t="s">
        <v>0</v>
      </c>
      <c r="C356" s="3">
        <v>146.18199999999999</v>
      </c>
    </row>
    <row r="357" spans="1:3" x14ac:dyDescent="0.2">
      <c r="A357" s="2">
        <v>44713</v>
      </c>
      <c r="B357" s="1" t="s">
        <v>0</v>
      </c>
      <c r="C357" s="3">
        <v>146.05600000000001</v>
      </c>
    </row>
    <row r="358" spans="1:3" x14ac:dyDescent="0.2">
      <c r="A358" s="2">
        <v>44714</v>
      </c>
      <c r="B358" s="1" t="s">
        <v>0</v>
      </c>
      <c r="C358" s="3">
        <v>148.50800000000001</v>
      </c>
    </row>
    <row r="359" spans="1:3" x14ac:dyDescent="0.2">
      <c r="A359" s="2">
        <v>44715</v>
      </c>
      <c r="B359" s="1" t="s">
        <v>0</v>
      </c>
      <c r="C359" s="3">
        <v>142.78299999999999</v>
      </c>
    </row>
    <row r="360" spans="1:3" x14ac:dyDescent="0.2">
      <c r="A360" s="2">
        <v>44718</v>
      </c>
      <c r="B360" s="1" t="s">
        <v>0</v>
      </c>
      <c r="C360" s="3">
        <v>143.529</v>
      </c>
    </row>
    <row r="361" spans="1:3" x14ac:dyDescent="0.2">
      <c r="A361" s="2">
        <v>44719</v>
      </c>
      <c r="B361" s="1" t="s">
        <v>0</v>
      </c>
      <c r="C361" s="3">
        <v>146.05600000000001</v>
      </c>
    </row>
    <row r="362" spans="1:3" x14ac:dyDescent="0.2">
      <c r="A362" s="2">
        <v>44720</v>
      </c>
      <c r="B362" s="1" t="s">
        <v>0</v>
      </c>
      <c r="C362" s="3">
        <v>145.31899999999999</v>
      </c>
    </row>
    <row r="363" spans="1:3" x14ac:dyDescent="0.2">
      <c r="A363" s="2">
        <v>44721</v>
      </c>
      <c r="B363" s="1" t="s">
        <v>0</v>
      </c>
      <c r="C363" s="3">
        <v>140.09299999999999</v>
      </c>
    </row>
    <row r="364" spans="1:3" x14ac:dyDescent="0.2">
      <c r="A364" s="2">
        <v>44722</v>
      </c>
      <c r="B364" s="1" t="s">
        <v>0</v>
      </c>
      <c r="C364" s="3">
        <v>134.68</v>
      </c>
    </row>
    <row r="365" spans="1:3" x14ac:dyDescent="0.2">
      <c r="A365" s="2">
        <v>44725</v>
      </c>
      <c r="B365" s="1" t="s">
        <v>0</v>
      </c>
      <c r="C365" s="3">
        <v>129.52500000000001</v>
      </c>
    </row>
    <row r="366" spans="1:3" x14ac:dyDescent="0.2">
      <c r="A366" s="2">
        <v>44726</v>
      </c>
      <c r="B366" s="1" t="s">
        <v>0</v>
      </c>
      <c r="C366" s="3">
        <v>130.38900000000001</v>
      </c>
    </row>
    <row r="367" spans="1:3" x14ac:dyDescent="0.2">
      <c r="A367" s="2">
        <v>44727</v>
      </c>
      <c r="B367" s="1" t="s">
        <v>0</v>
      </c>
      <c r="C367" s="3">
        <v>133.01</v>
      </c>
    </row>
    <row r="368" spans="1:3" x14ac:dyDescent="0.2">
      <c r="A368" s="2">
        <v>44728</v>
      </c>
      <c r="B368" s="1" t="s">
        <v>0</v>
      </c>
      <c r="C368" s="3">
        <v>127.738</v>
      </c>
    </row>
    <row r="369" spans="1:3" x14ac:dyDescent="0.2">
      <c r="A369" s="2">
        <v>44729</v>
      </c>
      <c r="B369" s="1" t="s">
        <v>0</v>
      </c>
      <c r="C369" s="3">
        <v>129.21100000000001</v>
      </c>
    </row>
    <row r="370" spans="1:3" x14ac:dyDescent="0.2">
      <c r="A370" s="2">
        <v>44733</v>
      </c>
      <c r="B370" s="1" t="s">
        <v>0</v>
      </c>
      <c r="C370" s="3">
        <v>133.44499999999999</v>
      </c>
    </row>
    <row r="371" spans="1:3" x14ac:dyDescent="0.2">
      <c r="A371" s="2">
        <v>44734</v>
      </c>
      <c r="B371" s="1" t="s">
        <v>0</v>
      </c>
      <c r="C371" s="3">
        <v>132.93100000000001</v>
      </c>
    </row>
    <row r="372" spans="1:3" x14ac:dyDescent="0.2">
      <c r="A372" s="2">
        <v>44735</v>
      </c>
      <c r="B372" s="1" t="s">
        <v>0</v>
      </c>
      <c r="C372" s="3">
        <v>135.80099999999999</v>
      </c>
    </row>
    <row r="373" spans="1:3" x14ac:dyDescent="0.2">
      <c r="A373" s="2">
        <v>44736</v>
      </c>
      <c r="B373" s="1" t="s">
        <v>0</v>
      </c>
      <c r="C373" s="3">
        <v>139.13</v>
      </c>
    </row>
    <row r="374" spans="1:3" x14ac:dyDescent="0.2">
      <c r="A374" s="2">
        <v>44739</v>
      </c>
      <c r="B374" s="1" t="s">
        <v>0</v>
      </c>
      <c r="C374" s="3">
        <v>139.13</v>
      </c>
    </row>
    <row r="375" spans="1:3" x14ac:dyDescent="0.2">
      <c r="A375" s="2">
        <v>44740</v>
      </c>
      <c r="B375" s="1" t="s">
        <v>0</v>
      </c>
      <c r="C375" s="3">
        <v>134.98599999999999</v>
      </c>
    </row>
    <row r="376" spans="1:3" x14ac:dyDescent="0.2">
      <c r="A376" s="2">
        <v>44741</v>
      </c>
      <c r="B376" s="1" t="s">
        <v>0</v>
      </c>
      <c r="C376" s="3">
        <v>136.74299999999999</v>
      </c>
    </row>
    <row r="377" spans="1:3" x14ac:dyDescent="0.2">
      <c r="A377" s="2">
        <v>44742</v>
      </c>
      <c r="B377" s="1" t="s">
        <v>0</v>
      </c>
      <c r="C377" s="3">
        <v>134.279</v>
      </c>
    </row>
    <row r="378" spans="1:3" x14ac:dyDescent="0.2">
      <c r="A378" s="2">
        <v>44743</v>
      </c>
      <c r="B378" s="1" t="s">
        <v>0</v>
      </c>
      <c r="C378" s="3">
        <v>136.44900000000001</v>
      </c>
    </row>
    <row r="379" spans="1:3" x14ac:dyDescent="0.2">
      <c r="A379" s="2">
        <v>44747</v>
      </c>
      <c r="B379" s="1" t="s">
        <v>0</v>
      </c>
      <c r="C379" s="3">
        <v>139.03100000000001</v>
      </c>
    </row>
    <row r="380" spans="1:3" x14ac:dyDescent="0.2">
      <c r="A380" s="2">
        <v>44748</v>
      </c>
      <c r="B380" s="1" t="s">
        <v>0</v>
      </c>
      <c r="C380" s="3">
        <v>140.36799999999999</v>
      </c>
    </row>
    <row r="381" spans="1:3" x14ac:dyDescent="0.2">
      <c r="A381" s="2">
        <v>44749</v>
      </c>
      <c r="B381" s="1" t="s">
        <v>0</v>
      </c>
      <c r="C381" s="3">
        <v>143.738</v>
      </c>
    </row>
    <row r="382" spans="1:3" x14ac:dyDescent="0.2">
      <c r="A382" s="2">
        <v>44750</v>
      </c>
      <c r="B382" s="1" t="s">
        <v>0</v>
      </c>
      <c r="C382" s="3">
        <v>144.41499999999999</v>
      </c>
    </row>
    <row r="383" spans="1:3" x14ac:dyDescent="0.2">
      <c r="A383" s="2">
        <v>44753</v>
      </c>
      <c r="B383" s="1" t="s">
        <v>0</v>
      </c>
      <c r="C383" s="3">
        <v>142.28299999999999</v>
      </c>
    </row>
    <row r="384" spans="1:3" x14ac:dyDescent="0.2">
      <c r="A384" s="2">
        <v>44754</v>
      </c>
      <c r="B384" s="1" t="s">
        <v>0</v>
      </c>
      <c r="C384" s="3">
        <v>143.25399999999999</v>
      </c>
    </row>
    <row r="385" spans="1:3" x14ac:dyDescent="0.2">
      <c r="A385" s="2">
        <v>44755</v>
      </c>
      <c r="B385" s="1" t="s">
        <v>0</v>
      </c>
      <c r="C385" s="3">
        <v>142.89099999999999</v>
      </c>
    </row>
    <row r="386" spans="1:3" x14ac:dyDescent="0.2">
      <c r="A386" s="2">
        <v>44756</v>
      </c>
      <c r="B386" s="1" t="s">
        <v>0</v>
      </c>
      <c r="C386" s="3">
        <v>145.81700000000001</v>
      </c>
    </row>
    <row r="387" spans="1:3" x14ac:dyDescent="0.2">
      <c r="A387" s="2">
        <v>44757</v>
      </c>
      <c r="B387" s="1" t="s">
        <v>0</v>
      </c>
      <c r="C387" s="3">
        <v>147.489</v>
      </c>
    </row>
    <row r="388" spans="1:3" x14ac:dyDescent="0.2">
      <c r="A388" s="2">
        <v>44760</v>
      </c>
      <c r="B388" s="1" t="s">
        <v>0</v>
      </c>
      <c r="C388" s="3">
        <v>144.44399999999999</v>
      </c>
    </row>
    <row r="389" spans="1:3" x14ac:dyDescent="0.2">
      <c r="A389" s="2">
        <v>44761</v>
      </c>
      <c r="B389" s="1" t="s">
        <v>0</v>
      </c>
      <c r="C389" s="3">
        <v>148.303</v>
      </c>
    </row>
    <row r="390" spans="1:3" x14ac:dyDescent="0.2">
      <c r="A390" s="2">
        <v>44762</v>
      </c>
      <c r="B390" s="1" t="s">
        <v>0</v>
      </c>
      <c r="C390" s="3">
        <v>150.30699999999999</v>
      </c>
    </row>
    <row r="391" spans="1:3" x14ac:dyDescent="0.2">
      <c r="A391" s="2">
        <v>44763</v>
      </c>
      <c r="B391" s="1" t="s">
        <v>0</v>
      </c>
      <c r="C391" s="3">
        <v>152.57599999999999</v>
      </c>
    </row>
    <row r="392" spans="1:3" x14ac:dyDescent="0.2">
      <c r="A392" s="2">
        <v>44764</v>
      </c>
      <c r="B392" s="1" t="s">
        <v>0</v>
      </c>
      <c r="C392" s="3">
        <v>151.33699999999999</v>
      </c>
    </row>
    <row r="393" spans="1:3" x14ac:dyDescent="0.2">
      <c r="A393" s="2">
        <v>44767</v>
      </c>
      <c r="B393" s="1" t="s">
        <v>0</v>
      </c>
      <c r="C393" s="3">
        <v>150.21899999999999</v>
      </c>
    </row>
    <row r="394" spans="1:3" x14ac:dyDescent="0.2">
      <c r="A394" s="2">
        <v>44768</v>
      </c>
      <c r="B394" s="1" t="s">
        <v>0</v>
      </c>
      <c r="C394" s="3">
        <v>148.89400000000001</v>
      </c>
    </row>
    <row r="395" spans="1:3" x14ac:dyDescent="0.2">
      <c r="A395" s="2">
        <v>44769</v>
      </c>
      <c r="B395" s="1" t="s">
        <v>0</v>
      </c>
      <c r="C395" s="3">
        <v>153.99199999999999</v>
      </c>
    </row>
    <row r="396" spans="1:3" x14ac:dyDescent="0.2">
      <c r="A396" s="2">
        <v>44770</v>
      </c>
      <c r="B396" s="1" t="s">
        <v>0</v>
      </c>
      <c r="C396" s="3">
        <v>154.54</v>
      </c>
    </row>
    <row r="397" spans="1:3" x14ac:dyDescent="0.2">
      <c r="A397" s="2">
        <v>44771</v>
      </c>
      <c r="B397" s="1" t="s">
        <v>0</v>
      </c>
      <c r="C397" s="3">
        <v>159.60900000000001</v>
      </c>
    </row>
    <row r="398" spans="1:3" x14ac:dyDescent="0.2">
      <c r="A398" s="2">
        <v>44774</v>
      </c>
      <c r="B398" s="1" t="s">
        <v>0</v>
      </c>
      <c r="C398" s="3">
        <v>158.626</v>
      </c>
    </row>
    <row r="399" spans="1:3" x14ac:dyDescent="0.2">
      <c r="A399" s="2">
        <v>44775</v>
      </c>
      <c r="B399" s="1" t="s">
        <v>0</v>
      </c>
      <c r="C399" s="3">
        <v>157.15199999999999</v>
      </c>
    </row>
    <row r="400" spans="1:3" x14ac:dyDescent="0.2">
      <c r="A400" s="2">
        <v>44776</v>
      </c>
      <c r="B400" s="1" t="s">
        <v>0</v>
      </c>
      <c r="C400" s="3">
        <v>163.16499999999999</v>
      </c>
    </row>
    <row r="401" spans="1:3" x14ac:dyDescent="0.2">
      <c r="A401" s="2">
        <v>44777</v>
      </c>
      <c r="B401" s="1" t="s">
        <v>0</v>
      </c>
      <c r="C401" s="3">
        <v>162.84899999999999</v>
      </c>
    </row>
    <row r="402" spans="1:3" x14ac:dyDescent="0.2">
      <c r="A402" s="2">
        <v>44778</v>
      </c>
      <c r="B402" s="1" t="s">
        <v>0</v>
      </c>
      <c r="C402" s="3">
        <v>162.62200000000001</v>
      </c>
    </row>
    <row r="403" spans="1:3" x14ac:dyDescent="0.2">
      <c r="A403" s="2">
        <v>44781</v>
      </c>
      <c r="B403" s="1" t="s">
        <v>0</v>
      </c>
      <c r="C403" s="3">
        <v>162.15100000000001</v>
      </c>
    </row>
    <row r="404" spans="1:3" x14ac:dyDescent="0.2">
      <c r="A404" s="2">
        <v>44782</v>
      </c>
      <c r="B404" s="1" t="s">
        <v>0</v>
      </c>
      <c r="C404" s="3">
        <v>162.20099999999999</v>
      </c>
    </row>
    <row r="405" spans="1:3" x14ac:dyDescent="0.2">
      <c r="A405" s="2">
        <v>44783</v>
      </c>
      <c r="B405" s="1" t="s">
        <v>0</v>
      </c>
      <c r="C405" s="3">
        <v>166.44900000000001</v>
      </c>
    </row>
    <row r="406" spans="1:3" x14ac:dyDescent="0.2">
      <c r="A406" s="2">
        <v>44784</v>
      </c>
      <c r="B406" s="1" t="s">
        <v>0</v>
      </c>
      <c r="C406" s="3">
        <v>165.71199999999999</v>
      </c>
    </row>
    <row r="407" spans="1:3" x14ac:dyDescent="0.2">
      <c r="A407" s="2">
        <v>44785</v>
      </c>
      <c r="B407" s="1" t="s">
        <v>0</v>
      </c>
      <c r="C407" s="3">
        <v>169.262</v>
      </c>
    </row>
    <row r="408" spans="1:3" x14ac:dyDescent="0.2">
      <c r="A408" s="2">
        <v>44788</v>
      </c>
      <c r="B408" s="1" t="s">
        <v>0</v>
      </c>
      <c r="C408" s="3">
        <v>170.333</v>
      </c>
    </row>
    <row r="409" spans="1:3" x14ac:dyDescent="0.2">
      <c r="A409" s="2">
        <v>44789</v>
      </c>
      <c r="B409" s="1" t="s">
        <v>0</v>
      </c>
      <c r="C409" s="3">
        <v>170.17699999999999</v>
      </c>
    </row>
    <row r="410" spans="1:3" x14ac:dyDescent="0.2">
      <c r="A410" s="2">
        <v>44790</v>
      </c>
      <c r="B410" s="1" t="s">
        <v>0</v>
      </c>
      <c r="C410" s="3">
        <v>171.672</v>
      </c>
    </row>
    <row r="411" spans="1:3" x14ac:dyDescent="0.2">
      <c r="A411" s="2">
        <v>44791</v>
      </c>
      <c r="B411" s="1" t="s">
        <v>0</v>
      </c>
      <c r="C411" s="3">
        <v>171.27799999999999</v>
      </c>
    </row>
    <row r="412" spans="1:3" x14ac:dyDescent="0.2">
      <c r="A412" s="2">
        <v>44792</v>
      </c>
      <c r="B412" s="1" t="s">
        <v>0</v>
      </c>
      <c r="C412" s="3">
        <v>168.69200000000001</v>
      </c>
    </row>
    <row r="413" spans="1:3" x14ac:dyDescent="0.2">
      <c r="A413" s="2">
        <v>44795</v>
      </c>
      <c r="B413" s="1" t="s">
        <v>0</v>
      </c>
      <c r="C413" s="3">
        <v>164.80500000000001</v>
      </c>
    </row>
    <row r="414" spans="1:3" x14ac:dyDescent="0.2">
      <c r="A414" s="2">
        <v>44796</v>
      </c>
      <c r="B414" s="1" t="s">
        <v>0</v>
      </c>
      <c r="C414" s="3">
        <v>164.47200000000001</v>
      </c>
    </row>
    <row r="415" spans="1:3" x14ac:dyDescent="0.2">
      <c r="A415" s="2">
        <v>44797</v>
      </c>
      <c r="B415" s="1" t="s">
        <v>0</v>
      </c>
      <c r="C415" s="3">
        <v>164.76599999999999</v>
      </c>
    </row>
    <row r="416" spans="1:3" x14ac:dyDescent="0.2">
      <c r="A416" s="2">
        <v>44798</v>
      </c>
      <c r="B416" s="1" t="s">
        <v>0</v>
      </c>
      <c r="C416" s="3">
        <v>167.226</v>
      </c>
    </row>
    <row r="417" spans="1:3" x14ac:dyDescent="0.2">
      <c r="A417" s="2">
        <v>44799</v>
      </c>
      <c r="B417" s="1" t="s">
        <v>0</v>
      </c>
      <c r="C417" s="3">
        <v>160.92099999999999</v>
      </c>
    </row>
    <row r="418" spans="1:3" x14ac:dyDescent="0.2">
      <c r="A418" s="2">
        <v>44802</v>
      </c>
      <c r="B418" s="1" t="s">
        <v>0</v>
      </c>
      <c r="C418" s="3">
        <v>158.71799999999999</v>
      </c>
    </row>
    <row r="419" spans="1:3" x14ac:dyDescent="0.2">
      <c r="A419" s="2">
        <v>44803</v>
      </c>
      <c r="B419" s="1" t="s">
        <v>0</v>
      </c>
      <c r="C419" s="3">
        <v>156.28899999999999</v>
      </c>
    </row>
    <row r="420" spans="1:3" x14ac:dyDescent="0.2">
      <c r="A420" s="2">
        <v>44804</v>
      </c>
      <c r="B420" s="1" t="s">
        <v>0</v>
      </c>
      <c r="C420" s="3">
        <v>154.62700000000001</v>
      </c>
    </row>
    <row r="421" spans="1:3" x14ac:dyDescent="0.2">
      <c r="A421" s="2">
        <v>44805</v>
      </c>
      <c r="B421" s="1" t="s">
        <v>0</v>
      </c>
      <c r="C421" s="3">
        <v>155.35499999999999</v>
      </c>
    </row>
    <row r="422" spans="1:3" x14ac:dyDescent="0.2">
      <c r="A422" s="2">
        <v>44806</v>
      </c>
      <c r="B422" s="1" t="s">
        <v>0</v>
      </c>
      <c r="C422" s="3">
        <v>153.24100000000001</v>
      </c>
    </row>
    <row r="423" spans="1:3" x14ac:dyDescent="0.2">
      <c r="A423" s="2">
        <v>44810</v>
      </c>
      <c r="B423" s="1" t="s">
        <v>0</v>
      </c>
      <c r="C423" s="3">
        <v>151.97999999999999</v>
      </c>
    </row>
    <row r="424" spans="1:3" x14ac:dyDescent="0.2">
      <c r="A424" s="2">
        <v>44811</v>
      </c>
      <c r="B424" s="1" t="s">
        <v>0</v>
      </c>
      <c r="C424" s="3">
        <v>153.38800000000001</v>
      </c>
    </row>
    <row r="425" spans="1:3" x14ac:dyDescent="0.2">
      <c r="A425" s="2">
        <v>44812</v>
      </c>
      <c r="B425" s="1" t="s">
        <v>0</v>
      </c>
      <c r="C425" s="3">
        <v>151.91200000000001</v>
      </c>
    </row>
    <row r="426" spans="1:3" x14ac:dyDescent="0.2">
      <c r="A426" s="2">
        <v>44813</v>
      </c>
      <c r="B426" s="1" t="s">
        <v>0</v>
      </c>
      <c r="C426" s="3">
        <v>154.774</v>
      </c>
    </row>
    <row r="427" spans="1:3" x14ac:dyDescent="0.2">
      <c r="A427" s="2">
        <v>44816</v>
      </c>
      <c r="B427" s="1" t="s">
        <v>0</v>
      </c>
      <c r="C427" s="3">
        <v>160.73400000000001</v>
      </c>
    </row>
    <row r="428" spans="1:3" x14ac:dyDescent="0.2">
      <c r="A428" s="2">
        <v>44817</v>
      </c>
      <c r="B428" s="1" t="s">
        <v>0</v>
      </c>
      <c r="C428" s="3">
        <v>151.30099999999999</v>
      </c>
    </row>
    <row r="429" spans="1:3" x14ac:dyDescent="0.2">
      <c r="A429" s="2">
        <v>44818</v>
      </c>
      <c r="B429" s="1" t="s">
        <v>0</v>
      </c>
      <c r="C429" s="3">
        <v>152.74700000000001</v>
      </c>
    </row>
    <row r="430" spans="1:3" x14ac:dyDescent="0.2">
      <c r="A430" s="2">
        <v>44819</v>
      </c>
      <c r="B430" s="1" t="s">
        <v>0</v>
      </c>
      <c r="C430" s="3">
        <v>149.857</v>
      </c>
    </row>
    <row r="431" spans="1:3" x14ac:dyDescent="0.2">
      <c r="A431" s="2">
        <v>44820</v>
      </c>
      <c r="B431" s="1" t="s">
        <v>0</v>
      </c>
      <c r="C431" s="3">
        <v>148.214</v>
      </c>
    </row>
    <row r="432" spans="1:3" x14ac:dyDescent="0.2">
      <c r="A432" s="2">
        <v>44823</v>
      </c>
      <c r="B432" s="1" t="s">
        <v>0</v>
      </c>
      <c r="C432" s="3">
        <v>151.93199999999999</v>
      </c>
    </row>
    <row r="433" spans="1:3" x14ac:dyDescent="0.2">
      <c r="A433" s="2">
        <v>44824</v>
      </c>
      <c r="B433" s="1" t="s">
        <v>0</v>
      </c>
      <c r="C433" s="3">
        <v>154.31</v>
      </c>
    </row>
    <row r="434" spans="1:3" x14ac:dyDescent="0.2">
      <c r="A434" s="2">
        <v>44825</v>
      </c>
      <c r="B434" s="1" t="s">
        <v>0</v>
      </c>
      <c r="C434" s="3">
        <v>151.184</v>
      </c>
    </row>
    <row r="435" spans="1:3" x14ac:dyDescent="0.2">
      <c r="A435" s="2">
        <v>44826</v>
      </c>
      <c r="B435" s="1" t="s">
        <v>0</v>
      </c>
      <c r="C435" s="3">
        <v>150.221</v>
      </c>
    </row>
    <row r="436" spans="1:3" x14ac:dyDescent="0.2">
      <c r="A436" s="2">
        <v>44827</v>
      </c>
      <c r="B436" s="1" t="s">
        <v>0</v>
      </c>
      <c r="C436" s="3">
        <v>147.94999999999999</v>
      </c>
    </row>
    <row r="437" spans="1:3" x14ac:dyDescent="0.2">
      <c r="A437" s="2">
        <v>44830</v>
      </c>
      <c r="B437" s="1" t="s">
        <v>0</v>
      </c>
      <c r="C437" s="3">
        <v>148.28299999999999</v>
      </c>
    </row>
    <row r="438" spans="1:3" x14ac:dyDescent="0.2">
      <c r="A438" s="2">
        <v>44831</v>
      </c>
      <c r="B438" s="1" t="s">
        <v>0</v>
      </c>
      <c r="C438" s="3">
        <v>149.256</v>
      </c>
    </row>
    <row r="439" spans="1:3" x14ac:dyDescent="0.2">
      <c r="A439" s="2">
        <v>44832</v>
      </c>
      <c r="B439" s="1" t="s">
        <v>0</v>
      </c>
      <c r="C439" s="3">
        <v>147.36799999999999</v>
      </c>
    </row>
    <row r="440" spans="1:3" x14ac:dyDescent="0.2">
      <c r="A440" s="2">
        <v>44833</v>
      </c>
      <c r="B440" s="1" t="s">
        <v>0</v>
      </c>
      <c r="C440" s="3">
        <v>140.131</v>
      </c>
    </row>
    <row r="441" spans="1:3" x14ac:dyDescent="0.2">
      <c r="A441" s="2">
        <v>44834</v>
      </c>
      <c r="B441" s="1" t="s">
        <v>0</v>
      </c>
      <c r="C441" s="3">
        <v>135.91999999999999</v>
      </c>
    </row>
    <row r="442" spans="1:3" x14ac:dyDescent="0.2">
      <c r="A442" s="2">
        <v>44837</v>
      </c>
      <c r="B442" s="1" t="s">
        <v>0</v>
      </c>
      <c r="C442" s="3">
        <v>140.101</v>
      </c>
    </row>
    <row r="443" spans="1:3" x14ac:dyDescent="0.2">
      <c r="A443" s="2">
        <v>44838</v>
      </c>
      <c r="B443" s="1" t="s">
        <v>0</v>
      </c>
      <c r="C443" s="3">
        <v>143.691</v>
      </c>
    </row>
    <row r="444" spans="1:3" x14ac:dyDescent="0.2">
      <c r="A444" s="2">
        <v>44839</v>
      </c>
      <c r="B444" s="1" t="s">
        <v>0</v>
      </c>
      <c r="C444" s="3">
        <v>143.98400000000001</v>
      </c>
    </row>
    <row r="445" spans="1:3" x14ac:dyDescent="0.2">
      <c r="A445" s="2">
        <v>44840</v>
      </c>
      <c r="B445" s="1" t="s">
        <v>0</v>
      </c>
      <c r="C445" s="3">
        <v>143.03299999999999</v>
      </c>
    </row>
    <row r="446" spans="1:3" x14ac:dyDescent="0.2">
      <c r="A446" s="2">
        <v>44841</v>
      </c>
      <c r="B446" s="1" t="s">
        <v>0</v>
      </c>
      <c r="C446" s="3">
        <v>137.78</v>
      </c>
    </row>
    <row r="447" spans="1:3" x14ac:dyDescent="0.2">
      <c r="A447" s="2">
        <v>44844</v>
      </c>
      <c r="B447" s="1" t="s">
        <v>0</v>
      </c>
      <c r="C447" s="3">
        <v>138.10300000000001</v>
      </c>
    </row>
    <row r="448" spans="1:3" x14ac:dyDescent="0.2">
      <c r="A448" s="2">
        <v>44845</v>
      </c>
      <c r="B448" s="1" t="s">
        <v>0</v>
      </c>
      <c r="C448" s="3">
        <v>136.68600000000001</v>
      </c>
    </row>
    <row r="449" spans="1:3" x14ac:dyDescent="0.2">
      <c r="A449" s="2">
        <v>44846</v>
      </c>
      <c r="B449" s="1" t="s">
        <v>0</v>
      </c>
      <c r="C449" s="3">
        <v>136.05799999999999</v>
      </c>
    </row>
    <row r="450" spans="1:3" x14ac:dyDescent="0.2">
      <c r="A450" s="2">
        <v>44847</v>
      </c>
      <c r="B450" s="1" t="s">
        <v>0</v>
      </c>
      <c r="C450" s="3">
        <v>140.631</v>
      </c>
    </row>
    <row r="451" spans="1:3" x14ac:dyDescent="0.2">
      <c r="A451" s="2">
        <v>44848</v>
      </c>
      <c r="B451" s="1" t="s">
        <v>0</v>
      </c>
      <c r="C451" s="3">
        <v>136.09700000000001</v>
      </c>
    </row>
    <row r="452" spans="1:3" x14ac:dyDescent="0.2">
      <c r="A452" s="2">
        <v>44851</v>
      </c>
      <c r="B452" s="1" t="s">
        <v>0</v>
      </c>
      <c r="C452" s="3">
        <v>140.06100000000001</v>
      </c>
    </row>
    <row r="453" spans="1:3" x14ac:dyDescent="0.2">
      <c r="A453" s="2">
        <v>44852</v>
      </c>
      <c r="B453" s="1" t="s">
        <v>0</v>
      </c>
      <c r="C453" s="3">
        <v>141.37799999999999</v>
      </c>
    </row>
    <row r="454" spans="1:3" x14ac:dyDescent="0.2">
      <c r="A454" s="2">
        <v>44853</v>
      </c>
      <c r="B454" s="1" t="s">
        <v>0</v>
      </c>
      <c r="C454" s="3">
        <v>141.488</v>
      </c>
    </row>
    <row r="455" spans="1:3" x14ac:dyDescent="0.2">
      <c r="A455" s="2">
        <v>44854</v>
      </c>
      <c r="B455" s="1" t="s">
        <v>0</v>
      </c>
      <c r="C455" s="3">
        <v>141.02600000000001</v>
      </c>
    </row>
    <row r="456" spans="1:3" x14ac:dyDescent="0.2">
      <c r="A456" s="2">
        <v>44855</v>
      </c>
      <c r="B456" s="1" t="s">
        <v>0</v>
      </c>
      <c r="C456" s="3">
        <v>144.84</v>
      </c>
    </row>
    <row r="457" spans="1:3" x14ac:dyDescent="0.2">
      <c r="A457" s="2">
        <v>44858</v>
      </c>
      <c r="B457" s="1" t="s">
        <v>0</v>
      </c>
      <c r="C457" s="3">
        <v>146.98599999999999</v>
      </c>
    </row>
    <row r="458" spans="1:3" x14ac:dyDescent="0.2">
      <c r="A458" s="2">
        <v>44859</v>
      </c>
      <c r="B458" s="1" t="s">
        <v>0</v>
      </c>
      <c r="C458" s="3">
        <v>149.827</v>
      </c>
    </row>
    <row r="459" spans="1:3" x14ac:dyDescent="0.2">
      <c r="A459" s="2">
        <v>44860</v>
      </c>
      <c r="B459" s="1" t="s">
        <v>0</v>
      </c>
      <c r="C459" s="3">
        <v>146.88800000000001</v>
      </c>
    </row>
    <row r="460" spans="1:3" x14ac:dyDescent="0.2">
      <c r="A460" s="2">
        <v>44861</v>
      </c>
      <c r="B460" s="1" t="s">
        <v>0</v>
      </c>
      <c r="C460" s="3">
        <v>142.41399999999999</v>
      </c>
    </row>
    <row r="461" spans="1:3" x14ac:dyDescent="0.2">
      <c r="A461" s="2">
        <v>44862</v>
      </c>
      <c r="B461" s="1" t="s">
        <v>0</v>
      </c>
      <c r="C461" s="3">
        <v>153.173</v>
      </c>
    </row>
    <row r="462" spans="1:3" x14ac:dyDescent="0.2">
      <c r="A462" s="2">
        <v>44865</v>
      </c>
      <c r="B462" s="1" t="s">
        <v>0</v>
      </c>
      <c r="C462" s="3">
        <v>150.81100000000001</v>
      </c>
    </row>
    <row r="463" spans="1:3" x14ac:dyDescent="0.2">
      <c r="A463" s="2">
        <v>44866</v>
      </c>
      <c r="B463" s="1" t="s">
        <v>0</v>
      </c>
      <c r="C463" s="3">
        <v>148.167</v>
      </c>
    </row>
    <row r="464" spans="1:3" x14ac:dyDescent="0.2">
      <c r="A464" s="2">
        <v>44867</v>
      </c>
      <c r="B464" s="1" t="s">
        <v>0</v>
      </c>
      <c r="C464" s="3">
        <v>142.63800000000001</v>
      </c>
    </row>
    <row r="465" spans="1:3" x14ac:dyDescent="0.2">
      <c r="A465" s="2">
        <v>44868</v>
      </c>
      <c r="B465" s="1" t="s">
        <v>0</v>
      </c>
      <c r="C465" s="3">
        <v>136.59</v>
      </c>
    </row>
    <row r="466" spans="1:3" x14ac:dyDescent="0.2">
      <c r="A466" s="2">
        <v>44869</v>
      </c>
      <c r="B466" s="1" t="s">
        <v>0</v>
      </c>
      <c r="C466" s="3">
        <v>136.32400000000001</v>
      </c>
    </row>
    <row r="467" spans="1:3" x14ac:dyDescent="0.2">
      <c r="A467" s="2">
        <v>44872</v>
      </c>
      <c r="B467" s="1" t="s">
        <v>0</v>
      </c>
      <c r="C467" s="3">
        <v>136.85499999999999</v>
      </c>
    </row>
    <row r="468" spans="1:3" x14ac:dyDescent="0.2">
      <c r="A468" s="2">
        <v>44873</v>
      </c>
      <c r="B468" s="1" t="s">
        <v>0</v>
      </c>
      <c r="C468" s="3">
        <v>137.42500000000001</v>
      </c>
    </row>
    <row r="469" spans="1:3" x14ac:dyDescent="0.2">
      <c r="A469" s="2">
        <v>44874</v>
      </c>
      <c r="B469" s="1" t="s">
        <v>0</v>
      </c>
      <c r="C469" s="3">
        <v>132.864</v>
      </c>
    </row>
    <row r="470" spans="1:3" x14ac:dyDescent="0.2">
      <c r="A470" s="2">
        <v>44875</v>
      </c>
      <c r="B470" s="1" t="s">
        <v>0</v>
      </c>
      <c r="C470" s="3">
        <v>144.68799999999999</v>
      </c>
    </row>
    <row r="471" spans="1:3" x14ac:dyDescent="0.2">
      <c r="A471" s="2">
        <v>44876</v>
      </c>
      <c r="B471" s="1" t="s">
        <v>0</v>
      </c>
      <c r="C471" s="3">
        <v>147.47499999999999</v>
      </c>
    </row>
    <row r="472" spans="1:3" x14ac:dyDescent="0.2">
      <c r="A472" s="2">
        <v>44879</v>
      </c>
      <c r="B472" s="1" t="s">
        <v>0</v>
      </c>
      <c r="C472" s="3">
        <v>146.077</v>
      </c>
    </row>
    <row r="473" spans="1:3" x14ac:dyDescent="0.2">
      <c r="A473" s="2">
        <v>44880</v>
      </c>
      <c r="B473" s="1" t="s">
        <v>0</v>
      </c>
      <c r="C473" s="3">
        <v>147.81</v>
      </c>
    </row>
    <row r="474" spans="1:3" x14ac:dyDescent="0.2">
      <c r="A474" s="2">
        <v>44881</v>
      </c>
      <c r="B474" s="1" t="s">
        <v>0</v>
      </c>
      <c r="C474" s="3">
        <v>146.577</v>
      </c>
    </row>
    <row r="475" spans="1:3" x14ac:dyDescent="0.2">
      <c r="A475" s="2">
        <v>44882</v>
      </c>
      <c r="B475" s="1" t="s">
        <v>0</v>
      </c>
      <c r="C475" s="3">
        <v>148.47900000000001</v>
      </c>
    </row>
    <row r="476" spans="1:3" x14ac:dyDescent="0.2">
      <c r="A476" s="2">
        <v>44883</v>
      </c>
      <c r="B476" s="1" t="s">
        <v>0</v>
      </c>
      <c r="C476" s="3">
        <v>149.042</v>
      </c>
    </row>
    <row r="477" spans="1:3" x14ac:dyDescent="0.2">
      <c r="A477" s="2">
        <v>44886</v>
      </c>
      <c r="B477" s="1" t="s">
        <v>0</v>
      </c>
      <c r="C477" s="3">
        <v>145.809</v>
      </c>
    </row>
    <row r="478" spans="1:3" x14ac:dyDescent="0.2">
      <c r="A478" s="2">
        <v>44887</v>
      </c>
      <c r="B478" s="1" t="s">
        <v>0</v>
      </c>
      <c r="C478" s="3">
        <v>147.94900000000001</v>
      </c>
    </row>
    <row r="479" spans="1:3" x14ac:dyDescent="0.2">
      <c r="A479" s="2">
        <v>44888</v>
      </c>
      <c r="B479" s="1" t="s">
        <v>0</v>
      </c>
      <c r="C479" s="3">
        <v>148.827</v>
      </c>
    </row>
    <row r="480" spans="1:3" x14ac:dyDescent="0.2">
      <c r="A480" s="2">
        <v>44890</v>
      </c>
      <c r="B480" s="1" t="s">
        <v>0</v>
      </c>
      <c r="C480" s="3">
        <v>145.90899999999999</v>
      </c>
    </row>
    <row r="481" spans="1:3" x14ac:dyDescent="0.2">
      <c r="A481" s="2">
        <v>44893</v>
      </c>
      <c r="B481" s="1" t="s">
        <v>0</v>
      </c>
      <c r="C481" s="3">
        <v>142.07599999999999</v>
      </c>
    </row>
    <row r="482" spans="1:3" x14ac:dyDescent="0.2">
      <c r="A482" s="2">
        <v>44894</v>
      </c>
      <c r="B482" s="1" t="s">
        <v>0</v>
      </c>
      <c r="C482" s="3">
        <v>139.071</v>
      </c>
    </row>
    <row r="483" spans="1:3" x14ac:dyDescent="0.2">
      <c r="A483" s="2">
        <v>44895</v>
      </c>
      <c r="B483" s="1" t="s">
        <v>0</v>
      </c>
      <c r="C483" s="3">
        <v>145.82900000000001</v>
      </c>
    </row>
    <row r="484" spans="1:3" x14ac:dyDescent="0.2">
      <c r="A484" s="2">
        <v>44896</v>
      </c>
      <c r="B484" s="1" t="s">
        <v>0</v>
      </c>
      <c r="C484" s="3">
        <v>146.10599999999999</v>
      </c>
    </row>
    <row r="485" spans="1:3" x14ac:dyDescent="0.2">
      <c r="A485" s="2">
        <v>44897</v>
      </c>
      <c r="B485" s="1" t="s">
        <v>0</v>
      </c>
      <c r="C485" s="3">
        <v>145.614</v>
      </c>
    </row>
    <row r="486" spans="1:3" x14ac:dyDescent="0.2">
      <c r="A486" s="2">
        <v>44900</v>
      </c>
      <c r="B486" s="1" t="s">
        <v>0</v>
      </c>
      <c r="C486" s="3">
        <v>144.45099999999999</v>
      </c>
    </row>
    <row r="487" spans="1:3" x14ac:dyDescent="0.2">
      <c r="A487" s="2">
        <v>44901</v>
      </c>
      <c r="B487" s="1" t="s">
        <v>0</v>
      </c>
      <c r="C487" s="3">
        <v>140.78700000000001</v>
      </c>
    </row>
    <row r="488" spans="1:3" x14ac:dyDescent="0.2">
      <c r="A488" s="2">
        <v>44902</v>
      </c>
      <c r="B488" s="1" t="s">
        <v>0</v>
      </c>
      <c r="C488" s="3">
        <v>138.84399999999999</v>
      </c>
    </row>
    <row r="489" spans="1:3" x14ac:dyDescent="0.2">
      <c r="A489" s="2">
        <v>44903</v>
      </c>
      <c r="B489" s="1" t="s">
        <v>0</v>
      </c>
      <c r="C489" s="3">
        <v>140.529</v>
      </c>
    </row>
    <row r="490" spans="1:3" x14ac:dyDescent="0.2">
      <c r="A490" s="2">
        <v>44904</v>
      </c>
      <c r="B490" s="1" t="s">
        <v>0</v>
      </c>
      <c r="C490" s="3">
        <v>140.047</v>
      </c>
    </row>
    <row r="491" spans="1:3" x14ac:dyDescent="0.2">
      <c r="A491" s="2">
        <v>44907</v>
      </c>
      <c r="B491" s="1" t="s">
        <v>0</v>
      </c>
      <c r="C491" s="3">
        <v>142.34399999999999</v>
      </c>
    </row>
    <row r="492" spans="1:3" x14ac:dyDescent="0.2">
      <c r="A492" s="2">
        <v>44908</v>
      </c>
      <c r="B492" s="1" t="s">
        <v>0</v>
      </c>
      <c r="C492" s="3">
        <v>143.30699999999999</v>
      </c>
    </row>
    <row r="493" spans="1:3" x14ac:dyDescent="0.2">
      <c r="A493" s="2">
        <v>44909</v>
      </c>
      <c r="B493" s="1" t="s">
        <v>0</v>
      </c>
      <c r="C493" s="3">
        <v>141.08099999999999</v>
      </c>
    </row>
    <row r="494" spans="1:3" x14ac:dyDescent="0.2">
      <c r="A494" s="2">
        <v>44910</v>
      </c>
      <c r="B494" s="1" t="s">
        <v>0</v>
      </c>
      <c r="C494" s="3">
        <v>134.47</v>
      </c>
    </row>
    <row r="495" spans="1:3" x14ac:dyDescent="0.2">
      <c r="A495" s="2">
        <v>44911</v>
      </c>
      <c r="B495" s="1" t="s">
        <v>0</v>
      </c>
      <c r="C495" s="3">
        <v>132.512</v>
      </c>
    </row>
    <row r="496" spans="1:3" x14ac:dyDescent="0.2">
      <c r="A496" s="2">
        <v>44914</v>
      </c>
      <c r="B496" s="1" t="s">
        <v>0</v>
      </c>
      <c r="C496" s="3">
        <v>130.40299999999999</v>
      </c>
    </row>
    <row r="497" spans="1:3" x14ac:dyDescent="0.2">
      <c r="A497" s="2">
        <v>44915</v>
      </c>
      <c r="B497" s="1" t="s">
        <v>0</v>
      </c>
      <c r="C497" s="3">
        <v>130.334</v>
      </c>
    </row>
    <row r="498" spans="1:3" x14ac:dyDescent="0.2">
      <c r="A498" s="2">
        <v>44916</v>
      </c>
      <c r="B498" s="1" t="s">
        <v>0</v>
      </c>
      <c r="C498" s="3">
        <v>133.43899999999999</v>
      </c>
    </row>
    <row r="499" spans="1:3" x14ac:dyDescent="0.2">
      <c r="A499" s="2">
        <v>44917</v>
      </c>
      <c r="B499" s="1" t="s">
        <v>0</v>
      </c>
      <c r="C499" s="3">
        <v>130.26400000000001</v>
      </c>
    </row>
    <row r="500" spans="1:3" x14ac:dyDescent="0.2">
      <c r="A500" s="2">
        <v>44918</v>
      </c>
      <c r="B500" s="1" t="s">
        <v>0</v>
      </c>
      <c r="C500" s="3">
        <v>129.9</v>
      </c>
    </row>
    <row r="501" spans="1:3" x14ac:dyDescent="0.2">
      <c r="A501" s="2">
        <v>44922</v>
      </c>
      <c r="B501" s="1" t="s">
        <v>0</v>
      </c>
      <c r="C501" s="3">
        <v>128.09800000000001</v>
      </c>
    </row>
    <row r="502" spans="1:3" x14ac:dyDescent="0.2">
      <c r="A502" s="2">
        <v>44923</v>
      </c>
      <c r="B502" s="1" t="s">
        <v>0</v>
      </c>
      <c r="C502" s="3">
        <v>124.167</v>
      </c>
    </row>
    <row r="503" spans="1:3" x14ac:dyDescent="0.2">
      <c r="A503" s="2">
        <v>44924</v>
      </c>
      <c r="B503" s="1" t="s">
        <v>0</v>
      </c>
      <c r="C503" s="3">
        <v>127.68300000000001</v>
      </c>
    </row>
    <row r="504" spans="1:3" x14ac:dyDescent="0.2">
      <c r="A504" s="2">
        <v>44925</v>
      </c>
      <c r="B504" s="1" t="s">
        <v>0</v>
      </c>
      <c r="C504" s="3">
        <v>128</v>
      </c>
    </row>
    <row r="505" spans="1:3" x14ac:dyDescent="0.2">
      <c r="A505" s="2">
        <v>44929</v>
      </c>
      <c r="B505" s="1" t="s">
        <v>0</v>
      </c>
      <c r="C505" s="3">
        <v>123.212</v>
      </c>
    </row>
    <row r="506" spans="1:3" x14ac:dyDescent="0.2">
      <c r="A506" s="2">
        <v>44930</v>
      </c>
      <c r="B506" s="1" t="s">
        <v>0</v>
      </c>
      <c r="C506" s="3">
        <v>124.48099999999999</v>
      </c>
    </row>
    <row r="507" spans="1:3" x14ac:dyDescent="0.2">
      <c r="A507" s="2">
        <v>44931</v>
      </c>
      <c r="B507" s="1" t="s">
        <v>0</v>
      </c>
      <c r="C507" s="3">
        <v>123.163</v>
      </c>
    </row>
    <row r="508" spans="1:3" x14ac:dyDescent="0.2">
      <c r="A508" s="2">
        <v>44932</v>
      </c>
      <c r="B508" s="1" t="s">
        <v>0</v>
      </c>
      <c r="C508" s="3">
        <v>127.693</v>
      </c>
    </row>
    <row r="509" spans="1:3" x14ac:dyDescent="0.2">
      <c r="A509" s="2">
        <v>44935</v>
      </c>
      <c r="B509" s="1" t="s">
        <v>0</v>
      </c>
      <c r="C509" s="3">
        <v>128.21600000000001</v>
      </c>
    </row>
    <row r="510" spans="1:3" x14ac:dyDescent="0.2">
      <c r="A510" s="2">
        <v>44936</v>
      </c>
      <c r="B510" s="1" t="s">
        <v>0</v>
      </c>
      <c r="C510" s="3">
        <v>128.78800000000001</v>
      </c>
    </row>
    <row r="511" spans="1:3" x14ac:dyDescent="0.2">
      <c r="A511" s="2">
        <v>44937</v>
      </c>
      <c r="B511" s="1" t="s">
        <v>0</v>
      </c>
      <c r="C511" s="3">
        <v>131.50700000000001</v>
      </c>
    </row>
    <row r="512" spans="1:3" x14ac:dyDescent="0.2">
      <c r="A512" s="2">
        <v>44938</v>
      </c>
      <c r="B512" s="1" t="s">
        <v>0</v>
      </c>
      <c r="C512" s="3">
        <v>131.429</v>
      </c>
    </row>
    <row r="513" spans="1:3" x14ac:dyDescent="0.2">
      <c r="A513" s="2">
        <v>44939</v>
      </c>
      <c r="B513" s="1" t="s">
        <v>0</v>
      </c>
      <c r="C513" s="3">
        <v>132.75700000000001</v>
      </c>
    </row>
    <row r="514" spans="1:3" x14ac:dyDescent="0.2">
      <c r="A514" s="2">
        <v>44943</v>
      </c>
      <c r="B514" s="1" t="s">
        <v>0</v>
      </c>
      <c r="C514" s="3">
        <v>133.91999999999999</v>
      </c>
    </row>
    <row r="515" spans="1:3" x14ac:dyDescent="0.2">
      <c r="A515" s="2">
        <v>44944</v>
      </c>
      <c r="B515" s="1" t="s">
        <v>0</v>
      </c>
      <c r="C515" s="3">
        <v>133.202</v>
      </c>
    </row>
    <row r="516" spans="1:3" x14ac:dyDescent="0.2">
      <c r="A516" s="2">
        <v>44945</v>
      </c>
      <c r="B516" s="1" t="s">
        <v>0</v>
      </c>
      <c r="C516" s="3">
        <v>133.261</v>
      </c>
    </row>
    <row r="517" spans="1:3" x14ac:dyDescent="0.2">
      <c r="A517" s="2">
        <v>44946</v>
      </c>
      <c r="B517" s="1" t="s">
        <v>0</v>
      </c>
      <c r="C517" s="3">
        <v>135.822</v>
      </c>
    </row>
    <row r="518" spans="1:3" x14ac:dyDescent="0.2">
      <c r="A518" s="2">
        <v>44949</v>
      </c>
      <c r="B518" s="1" t="s">
        <v>0</v>
      </c>
      <c r="C518" s="3">
        <v>139.011</v>
      </c>
    </row>
    <row r="519" spans="1:3" x14ac:dyDescent="0.2">
      <c r="A519" s="2">
        <v>44950</v>
      </c>
      <c r="B519" s="1" t="s">
        <v>0</v>
      </c>
      <c r="C519" s="3">
        <v>140.41</v>
      </c>
    </row>
    <row r="520" spans="1:3" x14ac:dyDescent="0.2">
      <c r="A520" s="2">
        <v>44951</v>
      </c>
      <c r="B520" s="1" t="s">
        <v>0</v>
      </c>
      <c r="C520" s="3">
        <v>139.751</v>
      </c>
    </row>
    <row r="521" spans="1:3" x14ac:dyDescent="0.2">
      <c r="A521" s="2">
        <v>44952</v>
      </c>
      <c r="B521" s="1" t="s">
        <v>0</v>
      </c>
      <c r="C521" s="3">
        <v>141.821</v>
      </c>
    </row>
    <row r="522" spans="1:3" x14ac:dyDescent="0.2">
      <c r="A522" s="2">
        <v>44953</v>
      </c>
      <c r="B522" s="1" t="s">
        <v>0</v>
      </c>
      <c r="C522" s="3">
        <v>143.76300000000001</v>
      </c>
    </row>
    <row r="523" spans="1:3" x14ac:dyDescent="0.2">
      <c r="A523" s="2">
        <v>44956</v>
      </c>
      <c r="B523" s="1" t="s">
        <v>0</v>
      </c>
      <c r="C523" s="3">
        <v>140.876</v>
      </c>
    </row>
    <row r="524" spans="1:3" x14ac:dyDescent="0.2">
      <c r="A524" s="2">
        <v>44957</v>
      </c>
      <c r="B524" s="1" t="s">
        <v>0</v>
      </c>
      <c r="C524" s="3">
        <v>142.14599999999999</v>
      </c>
    </row>
    <row r="525" spans="1:3" x14ac:dyDescent="0.2">
      <c r="A525" s="2">
        <v>44958</v>
      </c>
      <c r="B525" s="1" t="s">
        <v>0</v>
      </c>
      <c r="C525" s="3">
        <v>143.267</v>
      </c>
    </row>
    <row r="526" spans="1:3" x14ac:dyDescent="0.2">
      <c r="A526" s="2">
        <v>44959</v>
      </c>
      <c r="B526" s="1" t="s">
        <v>0</v>
      </c>
      <c r="C526" s="3">
        <v>148.578</v>
      </c>
    </row>
    <row r="527" spans="1:3" x14ac:dyDescent="0.2">
      <c r="A527" s="2">
        <v>44960</v>
      </c>
      <c r="B527" s="1" t="s">
        <v>0</v>
      </c>
      <c r="C527" s="3">
        <v>152.203</v>
      </c>
    </row>
    <row r="528" spans="1:3" x14ac:dyDescent="0.2">
      <c r="A528" s="2">
        <v>44963</v>
      </c>
      <c r="B528" s="1" t="s">
        <v>0</v>
      </c>
      <c r="C528" s="3">
        <v>149.476</v>
      </c>
    </row>
    <row r="529" spans="1:3" x14ac:dyDescent="0.2">
      <c r="A529" s="2">
        <v>44964</v>
      </c>
      <c r="B529" s="1" t="s">
        <v>0</v>
      </c>
      <c r="C529" s="3">
        <v>152.352</v>
      </c>
    </row>
    <row r="530" spans="1:3" x14ac:dyDescent="0.2">
      <c r="A530" s="2">
        <v>44965</v>
      </c>
      <c r="B530" s="1" t="s">
        <v>0</v>
      </c>
      <c r="C530" s="3">
        <v>149.66200000000001</v>
      </c>
    </row>
    <row r="531" spans="1:3" x14ac:dyDescent="0.2">
      <c r="A531" s="2">
        <v>44966</v>
      </c>
      <c r="B531" s="1" t="s">
        <v>0</v>
      </c>
      <c r="C531" s="3">
        <v>148.62799999999999</v>
      </c>
    </row>
    <row r="532" spans="1:3" x14ac:dyDescent="0.2">
      <c r="A532" s="2">
        <v>44967</v>
      </c>
      <c r="B532" s="1" t="s">
        <v>0</v>
      </c>
      <c r="C532" s="3">
        <v>148.994</v>
      </c>
    </row>
    <row r="533" spans="1:3" x14ac:dyDescent="0.2">
      <c r="A533" s="2">
        <v>44970</v>
      </c>
      <c r="B533" s="1" t="s">
        <v>0</v>
      </c>
      <c r="C533" s="3">
        <v>151.79599999999999</v>
      </c>
    </row>
    <row r="534" spans="1:3" x14ac:dyDescent="0.2">
      <c r="A534" s="2">
        <v>44971</v>
      </c>
      <c r="B534" s="1" t="s">
        <v>0</v>
      </c>
      <c r="C534" s="3">
        <v>151.15299999999999</v>
      </c>
    </row>
    <row r="535" spans="1:3" x14ac:dyDescent="0.2">
      <c r="A535" s="2">
        <v>44972</v>
      </c>
      <c r="B535" s="1" t="s">
        <v>0</v>
      </c>
      <c r="C535" s="3">
        <v>153.256</v>
      </c>
    </row>
    <row r="536" spans="1:3" x14ac:dyDescent="0.2">
      <c r="A536" s="2">
        <v>44973</v>
      </c>
      <c r="B536" s="1" t="s">
        <v>0</v>
      </c>
      <c r="C536" s="3">
        <v>151.65700000000001</v>
      </c>
    </row>
    <row r="537" spans="1:3" x14ac:dyDescent="0.2">
      <c r="A537" s="2">
        <v>44974</v>
      </c>
      <c r="B537" s="1" t="s">
        <v>0</v>
      </c>
      <c r="C537" s="3">
        <v>150.512</v>
      </c>
    </row>
    <row r="538" spans="1:3" x14ac:dyDescent="0.2">
      <c r="A538" s="2">
        <v>44978</v>
      </c>
      <c r="B538" s="1" t="s">
        <v>0</v>
      </c>
      <c r="C538" s="3">
        <v>146.49600000000001</v>
      </c>
    </row>
    <row r="539" spans="1:3" x14ac:dyDescent="0.2">
      <c r="A539" s="2">
        <v>44979</v>
      </c>
      <c r="B539" s="1" t="s">
        <v>0</v>
      </c>
      <c r="C539" s="3">
        <v>146.92099999999999</v>
      </c>
    </row>
    <row r="540" spans="1:3" x14ac:dyDescent="0.2">
      <c r="A540" s="2">
        <v>44980</v>
      </c>
      <c r="B540" s="1" t="s">
        <v>0</v>
      </c>
      <c r="C540" s="3">
        <v>147.404</v>
      </c>
    </row>
    <row r="541" spans="1:3" x14ac:dyDescent="0.2">
      <c r="A541" s="2">
        <v>44981</v>
      </c>
      <c r="B541" s="1" t="s">
        <v>0</v>
      </c>
      <c r="C541" s="3">
        <v>144.75</v>
      </c>
    </row>
    <row r="542" spans="1:3" x14ac:dyDescent="0.2">
      <c r="A542" s="2">
        <v>44984</v>
      </c>
      <c r="B542" s="1" t="s">
        <v>0</v>
      </c>
      <c r="C542" s="3">
        <v>145.94499999999999</v>
      </c>
    </row>
    <row r="543" spans="1:3" x14ac:dyDescent="0.2">
      <c r="A543" s="2">
        <v>44985</v>
      </c>
      <c r="B543" s="1" t="s">
        <v>0</v>
      </c>
      <c r="C543" s="3">
        <v>145.441</v>
      </c>
    </row>
    <row r="544" spans="1:3" x14ac:dyDescent="0.2">
      <c r="A544" s="2">
        <v>44986</v>
      </c>
      <c r="B544" s="1" t="s">
        <v>0</v>
      </c>
      <c r="C544" s="3">
        <v>143.369</v>
      </c>
    </row>
    <row r="545" spans="1:3" x14ac:dyDescent="0.2">
      <c r="A545" s="2">
        <v>44987</v>
      </c>
      <c r="B545" s="1" t="s">
        <v>0</v>
      </c>
      <c r="C545" s="3">
        <v>143.96</v>
      </c>
    </row>
    <row r="546" spans="1:3" x14ac:dyDescent="0.2">
      <c r="A546" s="2">
        <v>44988</v>
      </c>
      <c r="B546" s="1" t="s">
        <v>0</v>
      </c>
      <c r="C546" s="3">
        <v>149.01400000000001</v>
      </c>
    </row>
    <row r="547" spans="1:3" x14ac:dyDescent="0.2">
      <c r="A547" s="2">
        <v>44991</v>
      </c>
      <c r="B547" s="1" t="s">
        <v>0</v>
      </c>
      <c r="C547" s="3">
        <v>151.77699999999999</v>
      </c>
    </row>
    <row r="548" spans="1:3" x14ac:dyDescent="0.2">
      <c r="A548" s="2">
        <v>44992</v>
      </c>
      <c r="B548" s="1" t="s">
        <v>0</v>
      </c>
      <c r="C548" s="3">
        <v>149.57599999999999</v>
      </c>
    </row>
    <row r="549" spans="1:3" x14ac:dyDescent="0.2">
      <c r="A549" s="2">
        <v>44993</v>
      </c>
      <c r="B549" s="1" t="s">
        <v>0</v>
      </c>
      <c r="C549" s="3">
        <v>150.828</v>
      </c>
    </row>
    <row r="550" spans="1:3" x14ac:dyDescent="0.2">
      <c r="A550" s="2">
        <v>44994</v>
      </c>
      <c r="B550" s="1" t="s">
        <v>0</v>
      </c>
      <c r="C550" s="3">
        <v>148.578</v>
      </c>
    </row>
    <row r="551" spans="1:3" x14ac:dyDescent="0.2">
      <c r="A551" s="2">
        <v>44995</v>
      </c>
      <c r="B551" s="1" t="s">
        <v>0</v>
      </c>
      <c r="C551" s="3">
        <v>146.51599999999999</v>
      </c>
    </row>
    <row r="552" spans="1:3" x14ac:dyDescent="0.2">
      <c r="A552" s="2">
        <v>44998</v>
      </c>
      <c r="B552" s="1" t="s">
        <v>0</v>
      </c>
      <c r="C552" s="3">
        <v>148.459</v>
      </c>
    </row>
    <row r="553" spans="1:3" x14ac:dyDescent="0.2">
      <c r="A553" s="2">
        <v>44999</v>
      </c>
      <c r="B553" s="1" t="s">
        <v>0</v>
      </c>
      <c r="C553" s="3">
        <v>150.55199999999999</v>
      </c>
    </row>
    <row r="554" spans="1:3" x14ac:dyDescent="0.2">
      <c r="A554" s="2">
        <v>45000</v>
      </c>
      <c r="B554" s="1" t="s">
        <v>0</v>
      </c>
      <c r="C554" s="3">
        <v>150.947</v>
      </c>
    </row>
    <row r="555" spans="1:3" x14ac:dyDescent="0.2">
      <c r="A555" s="2">
        <v>45001</v>
      </c>
      <c r="B555" s="1" t="s">
        <v>0</v>
      </c>
      <c r="C555" s="3">
        <v>153.768</v>
      </c>
    </row>
    <row r="556" spans="1:3" x14ac:dyDescent="0.2">
      <c r="A556" s="2">
        <v>45002</v>
      </c>
      <c r="B556" s="1" t="s">
        <v>0</v>
      </c>
      <c r="C556" s="3">
        <v>152.929</v>
      </c>
    </row>
    <row r="557" spans="1:3" x14ac:dyDescent="0.2">
      <c r="A557" s="2">
        <v>45005</v>
      </c>
      <c r="B557" s="1" t="s">
        <v>0</v>
      </c>
      <c r="C557" s="3">
        <v>155.297</v>
      </c>
    </row>
    <row r="558" spans="1:3" x14ac:dyDescent="0.2">
      <c r="A558" s="2">
        <v>45006</v>
      </c>
      <c r="B558" s="1" t="s">
        <v>0</v>
      </c>
      <c r="C558" s="3">
        <v>157.15199999999999</v>
      </c>
    </row>
    <row r="559" spans="1:3" x14ac:dyDescent="0.2">
      <c r="A559" s="2">
        <v>45007</v>
      </c>
      <c r="B559" s="1" t="s">
        <v>0</v>
      </c>
      <c r="C559" s="3">
        <v>155.721</v>
      </c>
    </row>
    <row r="560" spans="1:3" x14ac:dyDescent="0.2">
      <c r="A560" s="2">
        <v>45008</v>
      </c>
      <c r="B560" s="1" t="s">
        <v>0</v>
      </c>
      <c r="C560" s="3">
        <v>156.80600000000001</v>
      </c>
    </row>
    <row r="561" spans="1:3" x14ac:dyDescent="0.2">
      <c r="A561" s="2">
        <v>45009</v>
      </c>
      <c r="B561" s="1" t="s">
        <v>0</v>
      </c>
      <c r="C561" s="3">
        <v>158.11000000000001</v>
      </c>
    </row>
    <row r="562" spans="1:3" x14ac:dyDescent="0.2">
      <c r="A562" s="2">
        <v>45012</v>
      </c>
      <c r="B562" s="1" t="s">
        <v>0</v>
      </c>
      <c r="C562" s="3">
        <v>156.166</v>
      </c>
    </row>
    <row r="563" spans="1:3" x14ac:dyDescent="0.2">
      <c r="A563" s="2">
        <v>45013</v>
      </c>
      <c r="B563" s="1" t="s">
        <v>0</v>
      </c>
      <c r="C563" s="3">
        <v>155.54400000000001</v>
      </c>
    </row>
    <row r="564" spans="1:3" x14ac:dyDescent="0.2">
      <c r="A564" s="2">
        <v>45014</v>
      </c>
      <c r="B564" s="1" t="s">
        <v>0</v>
      </c>
      <c r="C564" s="3">
        <v>158.62200000000001</v>
      </c>
    </row>
    <row r="565" spans="1:3" x14ac:dyDescent="0.2">
      <c r="A565" s="2">
        <v>45015</v>
      </c>
      <c r="B565" s="1" t="s">
        <v>0</v>
      </c>
      <c r="C565" s="3">
        <v>160.191</v>
      </c>
    </row>
    <row r="566" spans="1:3" x14ac:dyDescent="0.2">
      <c r="A566" s="2">
        <v>45016</v>
      </c>
      <c r="B566" s="1" t="s">
        <v>0</v>
      </c>
      <c r="C566" s="3">
        <v>162.69800000000001</v>
      </c>
    </row>
    <row r="567" spans="1:3" x14ac:dyDescent="0.2">
      <c r="A567" s="2">
        <v>45019</v>
      </c>
      <c r="B567" s="1" t="s">
        <v>0</v>
      </c>
      <c r="C567" s="3">
        <v>163.95</v>
      </c>
    </row>
    <row r="568" spans="1:3" x14ac:dyDescent="0.2">
      <c r="A568" s="2">
        <v>45020</v>
      </c>
      <c r="B568" s="1" t="s">
        <v>0</v>
      </c>
      <c r="C568" s="3">
        <v>163.41800000000001</v>
      </c>
    </row>
    <row r="569" spans="1:3" x14ac:dyDescent="0.2">
      <c r="A569" s="2">
        <v>45021</v>
      </c>
      <c r="B569" s="1" t="s">
        <v>0</v>
      </c>
      <c r="C569" s="3">
        <v>161.571</v>
      </c>
    </row>
    <row r="570" spans="1:3" x14ac:dyDescent="0.2">
      <c r="A570" s="2">
        <v>45022</v>
      </c>
      <c r="B570" s="1" t="s">
        <v>0</v>
      </c>
      <c r="C570" s="3">
        <v>162.46100000000001</v>
      </c>
    </row>
    <row r="571" spans="1:3" x14ac:dyDescent="0.2">
      <c r="A571" s="2">
        <v>45026</v>
      </c>
      <c r="B571" s="1" t="s">
        <v>0</v>
      </c>
      <c r="C571" s="3">
        <v>159.86500000000001</v>
      </c>
    </row>
    <row r="572" spans="1:3" x14ac:dyDescent="0.2">
      <c r="A572" s="2">
        <v>45027</v>
      </c>
      <c r="B572" s="1" t="s">
        <v>0</v>
      </c>
      <c r="C572" s="3">
        <v>158.65199999999999</v>
      </c>
    </row>
    <row r="573" spans="1:3" x14ac:dyDescent="0.2">
      <c r="A573" s="2">
        <v>45028</v>
      </c>
      <c r="B573" s="1" t="s">
        <v>0</v>
      </c>
      <c r="C573" s="3">
        <v>157.96100000000001</v>
      </c>
    </row>
    <row r="574" spans="1:3" x14ac:dyDescent="0.2">
      <c r="A574" s="2">
        <v>45029</v>
      </c>
      <c r="B574" s="1" t="s">
        <v>0</v>
      </c>
      <c r="C574" s="3">
        <v>163.34800000000001</v>
      </c>
    </row>
    <row r="575" spans="1:3" x14ac:dyDescent="0.2">
      <c r="A575" s="2">
        <v>45030</v>
      </c>
      <c r="B575" s="1" t="s">
        <v>0</v>
      </c>
      <c r="C575" s="3">
        <v>163.00299999999999</v>
      </c>
    </row>
    <row r="576" spans="1:3" x14ac:dyDescent="0.2">
      <c r="A576" s="2">
        <v>45033</v>
      </c>
      <c r="B576" s="1" t="s">
        <v>0</v>
      </c>
      <c r="C576" s="3">
        <v>163.02199999999999</v>
      </c>
    </row>
    <row r="577" spans="1:3" x14ac:dyDescent="0.2">
      <c r="A577" s="2">
        <v>45034</v>
      </c>
      <c r="B577" s="1" t="s">
        <v>0</v>
      </c>
      <c r="C577" s="3">
        <v>164.24700000000001</v>
      </c>
    </row>
    <row r="578" spans="1:3" x14ac:dyDescent="0.2">
      <c r="A578" s="2">
        <v>45035</v>
      </c>
      <c r="B578" s="1" t="s">
        <v>0</v>
      </c>
      <c r="C578" s="3">
        <v>165.39</v>
      </c>
    </row>
    <row r="579" spans="1:3" x14ac:dyDescent="0.2">
      <c r="A579" s="2">
        <v>45036</v>
      </c>
      <c r="B579" s="1" t="s">
        <v>0</v>
      </c>
      <c r="C579" s="3">
        <v>164.42400000000001</v>
      </c>
    </row>
    <row r="580" spans="1:3" x14ac:dyDescent="0.2">
      <c r="A580" s="2">
        <v>45037</v>
      </c>
      <c r="B580" s="1" t="s">
        <v>0</v>
      </c>
      <c r="C580" s="3">
        <v>162.815</v>
      </c>
    </row>
    <row r="581" spans="1:3" x14ac:dyDescent="0.2">
      <c r="A581" s="2">
        <v>45040</v>
      </c>
      <c r="B581" s="1" t="s">
        <v>0</v>
      </c>
      <c r="C581" s="3">
        <v>163.12200000000001</v>
      </c>
    </row>
    <row r="582" spans="1:3" x14ac:dyDescent="0.2">
      <c r="A582" s="2">
        <v>45041</v>
      </c>
      <c r="B582" s="1" t="s">
        <v>0</v>
      </c>
      <c r="C582" s="3">
        <v>161.58099999999999</v>
      </c>
    </row>
    <row r="583" spans="1:3" x14ac:dyDescent="0.2">
      <c r="A583" s="2">
        <v>45042</v>
      </c>
      <c r="B583" s="1" t="s">
        <v>0</v>
      </c>
      <c r="C583" s="3">
        <v>161.571</v>
      </c>
    </row>
    <row r="584" spans="1:3" x14ac:dyDescent="0.2">
      <c r="A584" s="2">
        <v>45043</v>
      </c>
      <c r="B584" s="1" t="s">
        <v>0</v>
      </c>
      <c r="C584" s="3">
        <v>166.16</v>
      </c>
    </row>
    <row r="585" spans="1:3" x14ac:dyDescent="0.2">
      <c r="A585" s="2">
        <v>45044</v>
      </c>
      <c r="B585" s="1" t="s">
        <v>0</v>
      </c>
      <c r="C585" s="3">
        <v>167.41300000000001</v>
      </c>
    </row>
    <row r="586" spans="1:3" x14ac:dyDescent="0.2">
      <c r="A586" s="2">
        <v>45047</v>
      </c>
      <c r="B586" s="1" t="s">
        <v>0</v>
      </c>
      <c r="C586" s="3">
        <v>167.32499999999999</v>
      </c>
    </row>
    <row r="587" spans="1:3" x14ac:dyDescent="0.2">
      <c r="A587" s="2">
        <v>45048</v>
      </c>
      <c r="B587" s="1" t="s">
        <v>0</v>
      </c>
      <c r="C587" s="3">
        <v>166.28800000000001</v>
      </c>
    </row>
    <row r="588" spans="1:3" x14ac:dyDescent="0.2">
      <c r="A588" s="2">
        <v>45049</v>
      </c>
      <c r="B588" s="1" t="s">
        <v>0</v>
      </c>
      <c r="C588" s="3">
        <v>165.21199999999999</v>
      </c>
    </row>
    <row r="589" spans="1:3" x14ac:dyDescent="0.2">
      <c r="A589" s="2">
        <v>45050</v>
      </c>
      <c r="B589" s="1" t="s">
        <v>0</v>
      </c>
      <c r="C589" s="3">
        <v>163.57599999999999</v>
      </c>
    </row>
    <row r="590" spans="1:3" x14ac:dyDescent="0.2">
      <c r="A590" s="2">
        <v>45051</v>
      </c>
      <c r="B590" s="1" t="s">
        <v>0</v>
      </c>
      <c r="C590" s="3">
        <v>171.251</v>
      </c>
    </row>
    <row r="591" spans="1:3" x14ac:dyDescent="0.2">
      <c r="A591" s="2">
        <v>45054</v>
      </c>
      <c r="B591" s="1" t="s">
        <v>0</v>
      </c>
      <c r="C591" s="3">
        <v>171.18199999999999</v>
      </c>
    </row>
    <row r="592" spans="1:3" x14ac:dyDescent="0.2">
      <c r="A592" s="2">
        <v>45055</v>
      </c>
      <c r="B592" s="1" t="s">
        <v>0</v>
      </c>
      <c r="C592" s="3">
        <v>169.477</v>
      </c>
    </row>
    <row r="593" spans="1:3" x14ac:dyDescent="0.2">
      <c r="A593" s="2">
        <v>45056</v>
      </c>
      <c r="B593" s="1" t="s">
        <v>0</v>
      </c>
      <c r="C593" s="3">
        <v>171.23599999999999</v>
      </c>
    </row>
    <row r="594" spans="1:3" x14ac:dyDescent="0.2">
      <c r="A594" s="2">
        <v>45057</v>
      </c>
      <c r="B594" s="1" t="s">
        <v>0</v>
      </c>
      <c r="C594" s="3">
        <v>171.429</v>
      </c>
    </row>
    <row r="595" spans="1:3" x14ac:dyDescent="0.2">
      <c r="A595" s="2">
        <v>45058</v>
      </c>
      <c r="B595" s="1" t="s">
        <v>0</v>
      </c>
      <c r="C595" s="3">
        <v>170.501</v>
      </c>
    </row>
    <row r="596" spans="1:3" x14ac:dyDescent="0.2">
      <c r="A596" s="2">
        <v>45061</v>
      </c>
      <c r="B596" s="1" t="s">
        <v>0</v>
      </c>
      <c r="C596" s="3">
        <v>170.006</v>
      </c>
    </row>
    <row r="597" spans="1:3" x14ac:dyDescent="0.2">
      <c r="A597" s="2">
        <v>45062</v>
      </c>
      <c r="B597" s="1" t="s">
        <v>0</v>
      </c>
      <c r="C597" s="3">
        <v>170.006</v>
      </c>
    </row>
    <row r="598" spans="1:3" x14ac:dyDescent="0.2">
      <c r="A598" s="2">
        <v>45063</v>
      </c>
      <c r="B598" s="1" t="s">
        <v>0</v>
      </c>
      <c r="C598" s="3">
        <v>170.619</v>
      </c>
    </row>
    <row r="599" spans="1:3" x14ac:dyDescent="0.2">
      <c r="A599" s="2">
        <v>45064</v>
      </c>
      <c r="B599" s="1" t="s">
        <v>0</v>
      </c>
      <c r="C599" s="3">
        <v>172.952</v>
      </c>
    </row>
    <row r="600" spans="1:3" x14ac:dyDescent="0.2">
      <c r="A600" s="2">
        <v>45065</v>
      </c>
      <c r="B600" s="1" t="s">
        <v>0</v>
      </c>
      <c r="C600" s="3">
        <v>173.06</v>
      </c>
    </row>
    <row r="601" spans="1:3" x14ac:dyDescent="0.2">
      <c r="A601" s="2">
        <v>45068</v>
      </c>
      <c r="B601" s="1" t="s">
        <v>0</v>
      </c>
      <c r="C601" s="3">
        <v>172.11099999999999</v>
      </c>
    </row>
    <row r="602" spans="1:3" x14ac:dyDescent="0.2">
      <c r="A602" s="2">
        <v>45069</v>
      </c>
      <c r="B602" s="1" t="s">
        <v>0</v>
      </c>
      <c r="C602" s="3">
        <v>169.50399999999999</v>
      </c>
    </row>
    <row r="603" spans="1:3" x14ac:dyDescent="0.2">
      <c r="A603" s="2">
        <v>45070</v>
      </c>
      <c r="B603" s="1" t="s">
        <v>0</v>
      </c>
      <c r="C603" s="3">
        <v>169.77799999999999</v>
      </c>
    </row>
    <row r="604" spans="1:3" x14ac:dyDescent="0.2">
      <c r="A604" s="2">
        <v>45071</v>
      </c>
      <c r="B604" s="1" t="s">
        <v>0</v>
      </c>
      <c r="C604" s="3">
        <v>170.91499999999999</v>
      </c>
    </row>
    <row r="605" spans="1:3" x14ac:dyDescent="0.2">
      <c r="A605" s="2">
        <v>45072</v>
      </c>
      <c r="B605" s="1" t="s">
        <v>0</v>
      </c>
      <c r="C605" s="3">
        <v>173.32400000000001</v>
      </c>
    </row>
    <row r="606" spans="1:3" x14ac:dyDescent="0.2">
      <c r="A606" s="2">
        <v>45076</v>
      </c>
      <c r="B606" s="1" t="s">
        <v>0</v>
      </c>
      <c r="C606" s="3">
        <v>175.17400000000001</v>
      </c>
    </row>
    <row r="607" spans="1:3" x14ac:dyDescent="0.2">
      <c r="A607" s="2">
        <v>45077</v>
      </c>
      <c r="B607" s="1" t="s">
        <v>0</v>
      </c>
      <c r="C607" s="3">
        <v>175.124</v>
      </c>
    </row>
    <row r="608" spans="1:3" x14ac:dyDescent="0.2">
      <c r="A608" s="2">
        <v>45078</v>
      </c>
      <c r="B608" s="1" t="s">
        <v>0</v>
      </c>
      <c r="C608" s="3">
        <v>177.93</v>
      </c>
    </row>
    <row r="609" spans="1:3" x14ac:dyDescent="0.2">
      <c r="A609" s="2">
        <v>45079</v>
      </c>
      <c r="B609" s="1" t="s">
        <v>0</v>
      </c>
      <c r="C609" s="3">
        <v>178.78</v>
      </c>
    </row>
    <row r="610" spans="1:3" x14ac:dyDescent="0.2">
      <c r="A610" s="2">
        <v>45082</v>
      </c>
      <c r="B610" s="1" t="s">
        <v>0</v>
      </c>
      <c r="C610" s="3">
        <v>177.42599999999999</v>
      </c>
    </row>
    <row r="611" spans="1:3" x14ac:dyDescent="0.2">
      <c r="A611" s="2">
        <v>45083</v>
      </c>
      <c r="B611" s="1" t="s">
        <v>0</v>
      </c>
      <c r="C611" s="3">
        <v>177.06</v>
      </c>
    </row>
    <row r="612" spans="1:3" x14ac:dyDescent="0.2">
      <c r="A612" s="2">
        <v>45084</v>
      </c>
      <c r="B612" s="1" t="s">
        <v>0</v>
      </c>
      <c r="C612" s="3">
        <v>175.68700000000001</v>
      </c>
    </row>
    <row r="613" spans="1:3" x14ac:dyDescent="0.2">
      <c r="A613" s="2">
        <v>45085</v>
      </c>
      <c r="B613" s="1" t="s">
        <v>0</v>
      </c>
      <c r="C613" s="3">
        <v>178.40299999999999</v>
      </c>
    </row>
    <row r="614" spans="1:3" x14ac:dyDescent="0.2">
      <c r="A614" s="2">
        <v>45086</v>
      </c>
      <c r="B614" s="1" t="s">
        <v>0</v>
      </c>
      <c r="C614" s="3">
        <v>178.79</v>
      </c>
    </row>
    <row r="615" spans="1:3" x14ac:dyDescent="0.2">
      <c r="A615" s="2">
        <v>45089</v>
      </c>
      <c r="B615" s="1" t="s">
        <v>0</v>
      </c>
      <c r="C615" s="3">
        <v>181.58600000000001</v>
      </c>
    </row>
    <row r="616" spans="1:3" x14ac:dyDescent="0.2">
      <c r="A616" s="2">
        <v>45090</v>
      </c>
      <c r="B616" s="1" t="s">
        <v>0</v>
      </c>
      <c r="C616" s="3">
        <v>181.11099999999999</v>
      </c>
    </row>
    <row r="617" spans="1:3" x14ac:dyDescent="0.2">
      <c r="A617" s="2">
        <v>45091</v>
      </c>
      <c r="B617" s="1" t="s">
        <v>0</v>
      </c>
      <c r="C617" s="3">
        <v>181.74299999999999</v>
      </c>
    </row>
    <row r="618" spans="1:3" x14ac:dyDescent="0.2">
      <c r="A618" s="2">
        <v>45092</v>
      </c>
      <c r="B618" s="1" t="s">
        <v>0</v>
      </c>
      <c r="C618" s="3">
        <v>183.779</v>
      </c>
    </row>
    <row r="619" spans="1:3" x14ac:dyDescent="0.2">
      <c r="A619" s="2">
        <v>45093</v>
      </c>
      <c r="B619" s="1" t="s">
        <v>0</v>
      </c>
      <c r="C619" s="3">
        <v>182.702</v>
      </c>
    </row>
    <row r="620" spans="1:3" x14ac:dyDescent="0.2">
      <c r="A620" s="2">
        <v>45097</v>
      </c>
      <c r="B620" s="1" t="s">
        <v>0</v>
      </c>
      <c r="C620" s="3">
        <v>182.791</v>
      </c>
    </row>
    <row r="621" spans="1:3" x14ac:dyDescent="0.2">
      <c r="A621" s="2">
        <v>45098</v>
      </c>
      <c r="B621" s="1" t="s">
        <v>0</v>
      </c>
      <c r="C621" s="3">
        <v>181.75299999999999</v>
      </c>
    </row>
    <row r="622" spans="1:3" x14ac:dyDescent="0.2">
      <c r="A622" s="2">
        <v>45099</v>
      </c>
      <c r="B622" s="1" t="s">
        <v>0</v>
      </c>
      <c r="C622" s="3">
        <v>184.75700000000001</v>
      </c>
    </row>
    <row r="623" spans="1:3" x14ac:dyDescent="0.2">
      <c r="A623" s="2">
        <v>45100</v>
      </c>
      <c r="B623" s="1" t="s">
        <v>0</v>
      </c>
      <c r="C623" s="3">
        <v>184.441</v>
      </c>
    </row>
    <row r="624" spans="1:3" x14ac:dyDescent="0.2">
      <c r="A624" s="2">
        <v>45103</v>
      </c>
      <c r="B624" s="1" t="s">
        <v>0</v>
      </c>
      <c r="C624" s="3">
        <v>183.04900000000001</v>
      </c>
    </row>
    <row r="625" spans="1:3" x14ac:dyDescent="0.2">
      <c r="A625" s="2">
        <v>45104</v>
      </c>
      <c r="B625" s="1" t="s">
        <v>0</v>
      </c>
      <c r="C625" s="3">
        <v>185.80500000000001</v>
      </c>
    </row>
    <row r="626" spans="1:3" x14ac:dyDescent="0.2">
      <c r="A626" s="2">
        <v>45105</v>
      </c>
      <c r="B626" s="1" t="s">
        <v>0</v>
      </c>
      <c r="C626" s="3">
        <v>186.98</v>
      </c>
    </row>
    <row r="627" spans="1:3" x14ac:dyDescent="0.2">
      <c r="A627" s="2">
        <v>45106</v>
      </c>
      <c r="B627" s="1" t="s">
        <v>0</v>
      </c>
      <c r="C627" s="3">
        <v>187.315</v>
      </c>
    </row>
    <row r="628" spans="1:3" x14ac:dyDescent="0.2">
      <c r="A628" s="2">
        <v>45107</v>
      </c>
      <c r="B628" s="1" t="s">
        <v>0</v>
      </c>
      <c r="C628" s="3">
        <v>191.642</v>
      </c>
    </row>
    <row r="629" spans="1:3" x14ac:dyDescent="0.2">
      <c r="A629" s="2">
        <v>45110</v>
      </c>
      <c r="B629" s="1" t="s">
        <v>0</v>
      </c>
      <c r="C629" s="3">
        <v>190.15100000000001</v>
      </c>
    </row>
    <row r="630" spans="1:3" x14ac:dyDescent="0.2">
      <c r="A630" s="2">
        <v>45112</v>
      </c>
      <c r="B630" s="1" t="s">
        <v>0</v>
      </c>
      <c r="C630" s="3">
        <v>189.036</v>
      </c>
    </row>
    <row r="631" spans="1:3" x14ac:dyDescent="0.2">
      <c r="A631" s="2">
        <v>45113</v>
      </c>
      <c r="B631" s="1" t="s">
        <v>0</v>
      </c>
      <c r="C631" s="3">
        <v>189.50899999999999</v>
      </c>
    </row>
    <row r="632" spans="1:3" x14ac:dyDescent="0.2">
      <c r="A632" s="2">
        <v>45114</v>
      </c>
      <c r="B632" s="1" t="s">
        <v>0</v>
      </c>
      <c r="C632" s="3">
        <v>188.393</v>
      </c>
    </row>
    <row r="633" spans="1:3" x14ac:dyDescent="0.2">
      <c r="A633" s="2">
        <v>45117</v>
      </c>
      <c r="B633" s="1" t="s">
        <v>0</v>
      </c>
      <c r="C633" s="3">
        <v>186.34700000000001</v>
      </c>
    </row>
    <row r="634" spans="1:3" x14ac:dyDescent="0.2">
      <c r="A634" s="2">
        <v>45118</v>
      </c>
      <c r="B634" s="1" t="s">
        <v>0</v>
      </c>
      <c r="C634" s="3">
        <v>185.82499999999999</v>
      </c>
    </row>
    <row r="635" spans="1:3" x14ac:dyDescent="0.2">
      <c r="A635" s="2">
        <v>45119</v>
      </c>
      <c r="B635" s="1" t="s">
        <v>0</v>
      </c>
      <c r="C635" s="3">
        <v>187.495</v>
      </c>
    </row>
    <row r="636" spans="1:3" x14ac:dyDescent="0.2">
      <c r="A636" s="2">
        <v>45120</v>
      </c>
      <c r="B636" s="1" t="s">
        <v>0</v>
      </c>
      <c r="C636" s="3">
        <v>188.256</v>
      </c>
    </row>
    <row r="637" spans="1:3" x14ac:dyDescent="0.2">
      <c r="A637" s="2">
        <v>45121</v>
      </c>
      <c r="B637" s="1" t="s">
        <v>0</v>
      </c>
      <c r="C637" s="3">
        <v>188.40299999999999</v>
      </c>
    </row>
    <row r="638" spans="1:3" x14ac:dyDescent="0.2">
      <c r="A638" s="2">
        <v>45124</v>
      </c>
      <c r="B638" s="1" t="s">
        <v>0</v>
      </c>
      <c r="C638" s="3">
        <v>191.66200000000001</v>
      </c>
    </row>
    <row r="639" spans="1:3" x14ac:dyDescent="0.2">
      <c r="A639" s="2">
        <v>45125</v>
      </c>
      <c r="B639" s="1" t="s">
        <v>0</v>
      </c>
      <c r="C639" s="3">
        <v>191.40600000000001</v>
      </c>
    </row>
    <row r="640" spans="1:3" x14ac:dyDescent="0.2">
      <c r="A640" s="2">
        <v>45126</v>
      </c>
      <c r="B640" s="1" t="s">
        <v>0</v>
      </c>
      <c r="C640" s="3">
        <v>192.761</v>
      </c>
    </row>
    <row r="641" spans="1:3" x14ac:dyDescent="0.2">
      <c r="A641" s="2">
        <v>45127</v>
      </c>
      <c r="B641" s="1" t="s">
        <v>0</v>
      </c>
      <c r="C641" s="3">
        <v>190.81299999999999</v>
      </c>
    </row>
    <row r="642" spans="1:3" x14ac:dyDescent="0.2">
      <c r="A642" s="2">
        <v>45128</v>
      </c>
      <c r="B642" s="1" t="s">
        <v>0</v>
      </c>
      <c r="C642" s="3">
        <v>189.63800000000001</v>
      </c>
    </row>
    <row r="643" spans="1:3" x14ac:dyDescent="0.2">
      <c r="A643" s="2">
        <v>45131</v>
      </c>
      <c r="B643" s="1" t="s">
        <v>0</v>
      </c>
      <c r="C643" s="3">
        <v>190.43899999999999</v>
      </c>
    </row>
    <row r="644" spans="1:3" x14ac:dyDescent="0.2">
      <c r="A644" s="2">
        <v>45132</v>
      </c>
      <c r="B644" s="1" t="s">
        <v>0</v>
      </c>
      <c r="C644" s="3">
        <v>191.3</v>
      </c>
    </row>
    <row r="645" spans="1:3" x14ac:dyDescent="0.2">
      <c r="A645" s="2">
        <v>45133</v>
      </c>
      <c r="B645" s="1" t="s">
        <v>0</v>
      </c>
      <c r="C645" s="3">
        <v>192.16800000000001</v>
      </c>
    </row>
    <row r="646" spans="1:3" x14ac:dyDescent="0.2">
      <c r="A646" s="2">
        <v>45134</v>
      </c>
      <c r="B646" s="1" t="s">
        <v>0</v>
      </c>
      <c r="C646" s="3">
        <v>190.90100000000001</v>
      </c>
    </row>
    <row r="647" spans="1:3" x14ac:dyDescent="0.2">
      <c r="A647" s="2">
        <v>45135</v>
      </c>
      <c r="B647" s="1" t="s">
        <v>0</v>
      </c>
      <c r="C647" s="3">
        <v>193.482</v>
      </c>
    </row>
    <row r="648" spans="1:3" x14ac:dyDescent="0.2">
      <c r="A648" s="2">
        <v>45138</v>
      </c>
      <c r="B648" s="1" t="s">
        <v>0</v>
      </c>
      <c r="C648" s="3">
        <v>194.09399999999999</v>
      </c>
    </row>
    <row r="649" spans="1:3" x14ac:dyDescent="0.2">
      <c r="A649" s="2">
        <v>45139</v>
      </c>
      <c r="B649" s="1" t="s">
        <v>0</v>
      </c>
      <c r="C649" s="3">
        <v>193.25800000000001</v>
      </c>
    </row>
    <row r="650" spans="1:3" x14ac:dyDescent="0.2">
      <c r="A650" s="2">
        <v>45140</v>
      </c>
      <c r="B650" s="1" t="s">
        <v>0</v>
      </c>
      <c r="C650" s="3">
        <v>190.27099999999999</v>
      </c>
    </row>
    <row r="651" spans="1:3" x14ac:dyDescent="0.2">
      <c r="A651" s="2">
        <v>45141</v>
      </c>
      <c r="B651" s="1" t="s">
        <v>0</v>
      </c>
      <c r="C651" s="3">
        <v>188.87700000000001</v>
      </c>
    </row>
    <row r="652" spans="1:3" x14ac:dyDescent="0.2">
      <c r="A652" s="2">
        <v>45142</v>
      </c>
      <c r="B652" s="1" t="s">
        <v>0</v>
      </c>
      <c r="C652" s="3">
        <v>179.809</v>
      </c>
    </row>
    <row r="653" spans="1:3" x14ac:dyDescent="0.2">
      <c r="A653" s="2">
        <v>45145</v>
      </c>
      <c r="B653" s="1" t="s">
        <v>0</v>
      </c>
      <c r="C653" s="3">
        <v>176.70599999999999</v>
      </c>
    </row>
    <row r="654" spans="1:3" x14ac:dyDescent="0.2">
      <c r="A654" s="2">
        <v>45146</v>
      </c>
      <c r="B654" s="1" t="s">
        <v>0</v>
      </c>
      <c r="C654" s="3">
        <v>177.64400000000001</v>
      </c>
    </row>
    <row r="655" spans="1:3" x14ac:dyDescent="0.2">
      <c r="A655" s="2">
        <v>45147</v>
      </c>
      <c r="B655" s="1" t="s">
        <v>0</v>
      </c>
      <c r="C655" s="3">
        <v>176.054</v>
      </c>
    </row>
    <row r="656" spans="1:3" x14ac:dyDescent="0.2">
      <c r="A656" s="2">
        <v>45148</v>
      </c>
      <c r="B656" s="1" t="s">
        <v>0</v>
      </c>
      <c r="C656" s="3">
        <v>175.83600000000001</v>
      </c>
    </row>
    <row r="657" spans="1:3" x14ac:dyDescent="0.2">
      <c r="A657" s="2">
        <v>45149</v>
      </c>
      <c r="B657" s="1" t="s">
        <v>0</v>
      </c>
      <c r="C657" s="3">
        <v>175.89500000000001</v>
      </c>
    </row>
    <row r="658" spans="1:3" x14ac:dyDescent="0.2">
      <c r="A658" s="2">
        <v>45152</v>
      </c>
      <c r="B658" s="1" t="s">
        <v>0</v>
      </c>
      <c r="C658" s="3">
        <v>177.548</v>
      </c>
    </row>
    <row r="659" spans="1:3" x14ac:dyDescent="0.2">
      <c r="A659" s="2">
        <v>45153</v>
      </c>
      <c r="B659" s="1" t="s">
        <v>0</v>
      </c>
      <c r="C659" s="3">
        <v>175.559</v>
      </c>
    </row>
    <row r="660" spans="1:3" x14ac:dyDescent="0.2">
      <c r="A660" s="2">
        <v>45154</v>
      </c>
      <c r="B660" s="1" t="s">
        <v>0</v>
      </c>
      <c r="C660" s="3">
        <v>174.68799999999999</v>
      </c>
    </row>
    <row r="661" spans="1:3" x14ac:dyDescent="0.2">
      <c r="A661" s="2">
        <v>45155</v>
      </c>
      <c r="B661" s="1" t="s">
        <v>0</v>
      </c>
      <c r="C661" s="3">
        <v>172.14599999999999</v>
      </c>
    </row>
    <row r="662" spans="1:3" x14ac:dyDescent="0.2">
      <c r="A662" s="2">
        <v>45156</v>
      </c>
      <c r="B662" s="1" t="s">
        <v>0</v>
      </c>
      <c r="C662" s="3">
        <v>172.63</v>
      </c>
    </row>
    <row r="663" spans="1:3" x14ac:dyDescent="0.2">
      <c r="A663" s="2">
        <v>45159</v>
      </c>
      <c r="B663" s="1" t="s">
        <v>0</v>
      </c>
      <c r="C663" s="3">
        <v>173.965</v>
      </c>
    </row>
    <row r="664" spans="1:3" x14ac:dyDescent="0.2">
      <c r="A664" s="2">
        <v>45160</v>
      </c>
      <c r="B664" s="1" t="s">
        <v>0</v>
      </c>
      <c r="C664" s="3">
        <v>175.34200000000001</v>
      </c>
    </row>
    <row r="665" spans="1:3" x14ac:dyDescent="0.2">
      <c r="A665" s="2">
        <v>45161</v>
      </c>
      <c r="B665" s="1" t="s">
        <v>0</v>
      </c>
      <c r="C665" s="3">
        <v>179.18799999999999</v>
      </c>
    </row>
    <row r="666" spans="1:3" x14ac:dyDescent="0.2">
      <c r="A666" s="2">
        <v>45162</v>
      </c>
      <c r="B666" s="1" t="s">
        <v>0</v>
      </c>
      <c r="C666" s="3">
        <v>174.501</v>
      </c>
    </row>
    <row r="667" spans="1:3" x14ac:dyDescent="0.2">
      <c r="A667" s="2">
        <v>45163</v>
      </c>
      <c r="B667" s="1" t="s">
        <v>0</v>
      </c>
      <c r="C667" s="3">
        <v>176.70699999999999</v>
      </c>
    </row>
    <row r="668" spans="1:3" x14ac:dyDescent="0.2">
      <c r="A668" s="2">
        <v>45166</v>
      </c>
      <c r="B668" s="1" t="s">
        <v>0</v>
      </c>
      <c r="C668" s="3">
        <v>178.26900000000001</v>
      </c>
    </row>
    <row r="669" spans="1:3" x14ac:dyDescent="0.2">
      <c r="A669" s="2">
        <v>45167</v>
      </c>
      <c r="B669" s="1" t="s">
        <v>0</v>
      </c>
      <c r="C669" s="3">
        <v>182.15799999999999</v>
      </c>
    </row>
    <row r="670" spans="1:3" x14ac:dyDescent="0.2">
      <c r="A670" s="2">
        <v>45168</v>
      </c>
      <c r="B670" s="1" t="s">
        <v>0</v>
      </c>
      <c r="C670" s="3">
        <v>185.649</v>
      </c>
    </row>
    <row r="671" spans="1:3" x14ac:dyDescent="0.2">
      <c r="A671" s="2">
        <v>45169</v>
      </c>
      <c r="B671" s="1" t="s">
        <v>0</v>
      </c>
      <c r="C671" s="3">
        <v>185.869</v>
      </c>
    </row>
    <row r="672" spans="1:3" x14ac:dyDescent="0.2">
      <c r="A672" s="2">
        <v>45170</v>
      </c>
      <c r="B672" s="1" t="s">
        <v>0</v>
      </c>
      <c r="C672" s="3">
        <v>187.441</v>
      </c>
    </row>
    <row r="673" spans="1:3" x14ac:dyDescent="0.2">
      <c r="A673" s="2">
        <v>45174</v>
      </c>
      <c r="B673" s="1" t="s">
        <v>0</v>
      </c>
      <c r="C673" s="3">
        <v>187.679</v>
      </c>
    </row>
    <row r="674" spans="1:3" x14ac:dyDescent="0.2">
      <c r="A674" s="2">
        <v>45175</v>
      </c>
      <c r="B674" s="1" t="s">
        <v>0</v>
      </c>
      <c r="C674" s="3">
        <v>180.959</v>
      </c>
    </row>
    <row r="675" spans="1:3" x14ac:dyDescent="0.2">
      <c r="A675" s="2">
        <v>45176</v>
      </c>
      <c r="B675" s="1" t="s">
        <v>0</v>
      </c>
      <c r="C675" s="3">
        <v>175.667</v>
      </c>
    </row>
    <row r="676" spans="1:3" x14ac:dyDescent="0.2">
      <c r="A676" s="2">
        <v>45177</v>
      </c>
      <c r="B676" s="1" t="s">
        <v>0</v>
      </c>
      <c r="C676" s="3">
        <v>176.28100000000001</v>
      </c>
    </row>
    <row r="677" spans="1:3" x14ac:dyDescent="0.2">
      <c r="A677" s="2">
        <v>45180</v>
      </c>
      <c r="B677" s="1" t="s">
        <v>0</v>
      </c>
      <c r="C677" s="3">
        <v>177.44800000000001</v>
      </c>
    </row>
    <row r="678" spans="1:3" x14ac:dyDescent="0.2">
      <c r="A678" s="2">
        <v>45181</v>
      </c>
      <c r="B678" s="1" t="s">
        <v>0</v>
      </c>
      <c r="C678" s="3">
        <v>174.422</v>
      </c>
    </row>
    <row r="679" spans="1:3" x14ac:dyDescent="0.2">
      <c r="A679" s="2">
        <v>45182</v>
      </c>
      <c r="B679" s="1" t="s">
        <v>0</v>
      </c>
      <c r="C679" s="3">
        <v>172.35400000000001</v>
      </c>
    </row>
    <row r="680" spans="1:3" x14ac:dyDescent="0.2">
      <c r="A680" s="2">
        <v>45183</v>
      </c>
      <c r="B680" s="1" t="s">
        <v>0</v>
      </c>
      <c r="C680" s="3">
        <v>173.86699999999999</v>
      </c>
    </row>
    <row r="681" spans="1:3" x14ac:dyDescent="0.2">
      <c r="A681" s="2">
        <v>45184</v>
      </c>
      <c r="B681" s="1" t="s">
        <v>0</v>
      </c>
      <c r="C681" s="3">
        <v>173.14400000000001</v>
      </c>
    </row>
    <row r="682" spans="1:3" x14ac:dyDescent="0.2">
      <c r="A682" s="2">
        <v>45187</v>
      </c>
      <c r="B682" s="1" t="s">
        <v>0</v>
      </c>
      <c r="C682" s="3">
        <v>176.07300000000001</v>
      </c>
    </row>
    <row r="683" spans="1:3" x14ac:dyDescent="0.2">
      <c r="A683" s="2">
        <v>45188</v>
      </c>
      <c r="B683" s="1" t="s">
        <v>0</v>
      </c>
      <c r="C683" s="3">
        <v>177.161</v>
      </c>
    </row>
    <row r="684" spans="1:3" x14ac:dyDescent="0.2">
      <c r="A684" s="2">
        <v>45189</v>
      </c>
      <c r="B684" s="1" t="s">
        <v>0</v>
      </c>
      <c r="C684" s="3">
        <v>173.62</v>
      </c>
    </row>
    <row r="685" spans="1:3" x14ac:dyDescent="0.2">
      <c r="A685" s="2">
        <v>45190</v>
      </c>
      <c r="B685" s="1" t="s">
        <v>0</v>
      </c>
      <c r="C685" s="3">
        <v>172.077</v>
      </c>
    </row>
    <row r="686" spans="1:3" x14ac:dyDescent="0.2">
      <c r="A686" s="2">
        <v>45191</v>
      </c>
      <c r="B686" s="1" t="s">
        <v>0</v>
      </c>
      <c r="C686" s="3">
        <v>172.928</v>
      </c>
    </row>
    <row r="687" spans="1:3" x14ac:dyDescent="0.2">
      <c r="A687" s="2">
        <v>45194</v>
      </c>
      <c r="B687" s="1" t="s">
        <v>0</v>
      </c>
      <c r="C687" s="3">
        <v>174.202</v>
      </c>
    </row>
    <row r="688" spans="1:3" x14ac:dyDescent="0.2">
      <c r="A688" s="2">
        <v>45195</v>
      </c>
      <c r="B688" s="1" t="s">
        <v>0</v>
      </c>
      <c r="C688" s="3">
        <v>170.12700000000001</v>
      </c>
    </row>
    <row r="689" spans="1:3" x14ac:dyDescent="0.2">
      <c r="A689" s="2">
        <v>45196</v>
      </c>
      <c r="B689" s="1" t="s">
        <v>0</v>
      </c>
      <c r="C689" s="3">
        <v>168.614</v>
      </c>
    </row>
    <row r="690" spans="1:3" x14ac:dyDescent="0.2">
      <c r="A690" s="2">
        <v>45197</v>
      </c>
      <c r="B690" s="1" t="s">
        <v>0</v>
      </c>
      <c r="C690" s="3">
        <v>168.869</v>
      </c>
    </row>
    <row r="691" spans="1:3" x14ac:dyDescent="0.2">
      <c r="A691" s="2">
        <v>45198</v>
      </c>
      <c r="B691" s="1" t="s">
        <v>0</v>
      </c>
      <c r="C691" s="3">
        <v>169.386</v>
      </c>
    </row>
    <row r="692" spans="1:3" x14ac:dyDescent="0.2">
      <c r="A692" s="2">
        <v>45201</v>
      </c>
      <c r="B692" s="1" t="s">
        <v>0</v>
      </c>
      <c r="C692" s="3">
        <v>171.89699999999999</v>
      </c>
    </row>
    <row r="693" spans="1:3" x14ac:dyDescent="0.2">
      <c r="A693" s="2">
        <v>45202</v>
      </c>
      <c r="B693" s="1" t="s">
        <v>0</v>
      </c>
      <c r="C693" s="3">
        <v>170.56200000000001</v>
      </c>
    </row>
    <row r="694" spans="1:3" x14ac:dyDescent="0.2">
      <c r="A694" s="2">
        <v>45203</v>
      </c>
      <c r="B694" s="1" t="s">
        <v>0</v>
      </c>
      <c r="C694" s="3">
        <v>171.80799999999999</v>
      </c>
    </row>
    <row r="695" spans="1:3" x14ac:dyDescent="0.2">
      <c r="A695" s="2">
        <v>45204</v>
      </c>
      <c r="B695" s="1" t="s">
        <v>0</v>
      </c>
      <c r="C695" s="3">
        <v>173.04599999999999</v>
      </c>
    </row>
    <row r="696" spans="1:3" x14ac:dyDescent="0.2">
      <c r="A696" s="2">
        <v>45205</v>
      </c>
      <c r="B696" s="1" t="s">
        <v>0</v>
      </c>
      <c r="C696" s="3">
        <v>175.59800000000001</v>
      </c>
    </row>
    <row r="697" spans="1:3" x14ac:dyDescent="0.2">
      <c r="A697" s="2">
        <v>45208</v>
      </c>
      <c r="B697" s="1" t="s">
        <v>0</v>
      </c>
      <c r="C697" s="3">
        <v>177.08099999999999</v>
      </c>
    </row>
    <row r="698" spans="1:3" x14ac:dyDescent="0.2">
      <c r="A698" s="2">
        <v>45209</v>
      </c>
      <c r="B698" s="1" t="s">
        <v>0</v>
      </c>
      <c r="C698" s="3">
        <v>176.489</v>
      </c>
    </row>
    <row r="699" spans="1:3" x14ac:dyDescent="0.2">
      <c r="A699" s="2">
        <v>45210</v>
      </c>
      <c r="B699" s="1" t="s">
        <v>0</v>
      </c>
      <c r="C699" s="3">
        <v>177.88300000000001</v>
      </c>
    </row>
    <row r="700" spans="1:3" x14ac:dyDescent="0.2">
      <c r="A700" s="2">
        <v>45211</v>
      </c>
      <c r="B700" s="1" t="s">
        <v>0</v>
      </c>
      <c r="C700" s="3">
        <v>178.78399999999999</v>
      </c>
    </row>
    <row r="701" spans="1:3" x14ac:dyDescent="0.2">
      <c r="A701" s="2">
        <v>45212</v>
      </c>
      <c r="B701" s="1" t="s">
        <v>0</v>
      </c>
      <c r="C701" s="3">
        <v>176.94200000000001</v>
      </c>
    </row>
    <row r="702" spans="1:3" x14ac:dyDescent="0.2">
      <c r="A702" s="2">
        <v>45215</v>
      </c>
      <c r="B702" s="1" t="s">
        <v>0</v>
      </c>
      <c r="C702" s="3">
        <v>176.81700000000001</v>
      </c>
    </row>
    <row r="703" spans="1:3" x14ac:dyDescent="0.2">
      <c r="A703" s="2">
        <v>45216</v>
      </c>
      <c r="B703" s="1" t="s">
        <v>0</v>
      </c>
      <c r="C703" s="3">
        <v>175.26300000000001</v>
      </c>
    </row>
    <row r="704" spans="1:3" x14ac:dyDescent="0.2">
      <c r="A704" s="2">
        <v>45217</v>
      </c>
      <c r="B704" s="1" t="s">
        <v>0</v>
      </c>
      <c r="C704" s="3">
        <v>173.965</v>
      </c>
    </row>
    <row r="705" spans="1:3" x14ac:dyDescent="0.2">
      <c r="A705" s="2">
        <v>45218</v>
      </c>
      <c r="B705" s="1" t="s">
        <v>0</v>
      </c>
      <c r="C705" s="3">
        <v>173.59</v>
      </c>
    </row>
    <row r="706" spans="1:3" x14ac:dyDescent="0.2">
      <c r="A706" s="2">
        <v>45219</v>
      </c>
      <c r="B706" s="1" t="s">
        <v>0</v>
      </c>
      <c r="C706" s="3">
        <v>171.03700000000001</v>
      </c>
    </row>
    <row r="707" spans="1:3" x14ac:dyDescent="0.2">
      <c r="A707" s="2">
        <v>45222</v>
      </c>
      <c r="B707" s="1" t="s">
        <v>0</v>
      </c>
      <c r="C707" s="3">
        <v>171.15600000000001</v>
      </c>
    </row>
    <row r="708" spans="1:3" x14ac:dyDescent="0.2">
      <c r="A708" s="2">
        <v>45223</v>
      </c>
      <c r="B708" s="1" t="s">
        <v>0</v>
      </c>
      <c r="C708" s="3">
        <v>171.59200000000001</v>
      </c>
    </row>
    <row r="709" spans="1:3" x14ac:dyDescent="0.2">
      <c r="A709" s="2">
        <v>45224</v>
      </c>
      <c r="B709" s="1" t="s">
        <v>0</v>
      </c>
      <c r="C709" s="3">
        <v>169.27699999999999</v>
      </c>
    </row>
    <row r="710" spans="1:3" x14ac:dyDescent="0.2">
      <c r="A710" s="2">
        <v>45225</v>
      </c>
      <c r="B710" s="1" t="s">
        <v>0</v>
      </c>
      <c r="C710" s="3">
        <v>165.11199999999999</v>
      </c>
    </row>
    <row r="711" spans="1:3" x14ac:dyDescent="0.2">
      <c r="A711" s="2">
        <v>45226</v>
      </c>
      <c r="B711" s="1" t="s">
        <v>0</v>
      </c>
      <c r="C711" s="3">
        <v>166.42699999999999</v>
      </c>
    </row>
    <row r="712" spans="1:3" x14ac:dyDescent="0.2">
      <c r="A712" s="2">
        <v>45229</v>
      </c>
      <c r="B712" s="1" t="s">
        <v>0</v>
      </c>
      <c r="C712" s="3">
        <v>168.476</v>
      </c>
    </row>
    <row r="713" spans="1:3" x14ac:dyDescent="0.2">
      <c r="A713" s="2">
        <v>45230</v>
      </c>
      <c r="B713" s="1" t="s">
        <v>0</v>
      </c>
      <c r="C713" s="3">
        <v>168.94900000000001</v>
      </c>
    </row>
    <row r="714" spans="1:3" x14ac:dyDescent="0.2">
      <c r="A714" s="2">
        <v>45231</v>
      </c>
      <c r="B714" s="1" t="s">
        <v>0</v>
      </c>
      <c r="C714" s="3">
        <v>172.11600000000001</v>
      </c>
    </row>
    <row r="715" spans="1:3" x14ac:dyDescent="0.2">
      <c r="A715" s="2">
        <v>45232</v>
      </c>
      <c r="B715" s="1" t="s">
        <v>0</v>
      </c>
      <c r="C715" s="3">
        <v>175.67699999999999</v>
      </c>
    </row>
    <row r="716" spans="1:3" x14ac:dyDescent="0.2">
      <c r="A716" s="2">
        <v>45233</v>
      </c>
      <c r="B716" s="1" t="s">
        <v>0</v>
      </c>
      <c r="C716" s="3">
        <v>174.767</v>
      </c>
    </row>
    <row r="717" spans="1:3" x14ac:dyDescent="0.2">
      <c r="A717" s="2">
        <v>45236</v>
      </c>
      <c r="B717" s="1" t="s">
        <v>0</v>
      </c>
      <c r="C717" s="3">
        <v>177.32</v>
      </c>
    </row>
    <row r="718" spans="1:3" x14ac:dyDescent="0.2">
      <c r="A718" s="2">
        <v>45237</v>
      </c>
      <c r="B718" s="1" t="s">
        <v>0</v>
      </c>
      <c r="C718" s="3">
        <v>179.88399999999999</v>
      </c>
    </row>
    <row r="719" spans="1:3" x14ac:dyDescent="0.2">
      <c r="A719" s="2">
        <v>45238</v>
      </c>
      <c r="B719" s="1" t="s">
        <v>0</v>
      </c>
      <c r="C719" s="3">
        <v>180.93899999999999</v>
      </c>
    </row>
    <row r="720" spans="1:3" x14ac:dyDescent="0.2">
      <c r="A720" s="2">
        <v>45239</v>
      </c>
      <c r="B720" s="1" t="s">
        <v>0</v>
      </c>
      <c r="C720" s="3">
        <v>180.46700000000001</v>
      </c>
    </row>
    <row r="721" spans="1:3" x14ac:dyDescent="0.2">
      <c r="A721" s="2">
        <v>45240</v>
      </c>
      <c r="B721" s="1" t="s">
        <v>0</v>
      </c>
      <c r="C721" s="3">
        <v>184.655</v>
      </c>
    </row>
    <row r="722" spans="1:3" x14ac:dyDescent="0.2">
      <c r="A722" s="2">
        <v>45243</v>
      </c>
      <c r="B722" s="1" t="s">
        <v>0</v>
      </c>
      <c r="C722" s="3">
        <v>183.071</v>
      </c>
    </row>
    <row r="723" spans="1:3" x14ac:dyDescent="0.2">
      <c r="A723" s="2">
        <v>45244</v>
      </c>
      <c r="B723" s="1" t="s">
        <v>0</v>
      </c>
      <c r="C723" s="3">
        <v>185.68600000000001</v>
      </c>
    </row>
    <row r="724" spans="1:3" x14ac:dyDescent="0.2">
      <c r="A724" s="2">
        <v>45245</v>
      </c>
      <c r="B724" s="1" t="s">
        <v>0</v>
      </c>
      <c r="C724" s="3">
        <v>186.25</v>
      </c>
    </row>
    <row r="725" spans="1:3" x14ac:dyDescent="0.2">
      <c r="A725" s="2">
        <v>45246</v>
      </c>
      <c r="B725" s="1" t="s">
        <v>0</v>
      </c>
      <c r="C725" s="3">
        <v>187.935</v>
      </c>
    </row>
    <row r="726" spans="1:3" x14ac:dyDescent="0.2">
      <c r="A726" s="2">
        <v>45247</v>
      </c>
      <c r="B726" s="1" t="s">
        <v>0</v>
      </c>
      <c r="C726" s="3">
        <v>187.91499999999999</v>
      </c>
    </row>
    <row r="727" spans="1:3" x14ac:dyDescent="0.2">
      <c r="A727" s="2">
        <v>45250</v>
      </c>
      <c r="B727" s="1" t="s">
        <v>0</v>
      </c>
      <c r="C727" s="3">
        <v>189.65899999999999</v>
      </c>
    </row>
    <row r="728" spans="1:3" x14ac:dyDescent="0.2">
      <c r="A728" s="2">
        <v>45251</v>
      </c>
      <c r="B728" s="1" t="s">
        <v>0</v>
      </c>
      <c r="C728" s="3">
        <v>188.85599999999999</v>
      </c>
    </row>
    <row r="729" spans="1:3" x14ac:dyDescent="0.2">
      <c r="A729" s="2">
        <v>45252</v>
      </c>
      <c r="B729" s="1" t="s">
        <v>0</v>
      </c>
      <c r="C729" s="3">
        <v>189.52</v>
      </c>
    </row>
    <row r="730" spans="1:3" x14ac:dyDescent="0.2">
      <c r="A730" s="2">
        <v>45254</v>
      </c>
      <c r="B730" s="1" t="s">
        <v>0</v>
      </c>
      <c r="C730" s="3">
        <v>188.19300000000001</v>
      </c>
    </row>
    <row r="731" spans="1:3" x14ac:dyDescent="0.2">
      <c r="A731" s="2">
        <v>45257</v>
      </c>
      <c r="B731" s="1" t="s">
        <v>0</v>
      </c>
      <c r="C731" s="3">
        <v>188.01400000000001</v>
      </c>
    </row>
    <row r="732" spans="1:3" x14ac:dyDescent="0.2">
      <c r="A732" s="2">
        <v>45258</v>
      </c>
      <c r="B732" s="1" t="s">
        <v>0</v>
      </c>
      <c r="C732" s="3">
        <v>188.61799999999999</v>
      </c>
    </row>
    <row r="733" spans="1:3" x14ac:dyDescent="0.2">
      <c r="A733" s="2">
        <v>45259</v>
      </c>
      <c r="B733" s="1" t="s">
        <v>0</v>
      </c>
      <c r="C733" s="3">
        <v>187.59899999999999</v>
      </c>
    </row>
    <row r="734" spans="1:3" x14ac:dyDescent="0.2">
      <c r="A734" s="2">
        <v>45260</v>
      </c>
      <c r="B734" s="1" t="s">
        <v>0</v>
      </c>
      <c r="C734" s="3">
        <v>188.173</v>
      </c>
    </row>
    <row r="735" spans="1:3" x14ac:dyDescent="0.2">
      <c r="A735" s="2">
        <v>45261</v>
      </c>
      <c r="B735" s="1" t="s">
        <v>0</v>
      </c>
      <c r="C735" s="3">
        <v>189.45</v>
      </c>
    </row>
    <row r="736" spans="1:3" x14ac:dyDescent="0.2">
      <c r="A736" s="2">
        <v>45264</v>
      </c>
      <c r="B736" s="1" t="s">
        <v>0</v>
      </c>
      <c r="C736" s="3">
        <v>187.65899999999999</v>
      </c>
    </row>
    <row r="737" spans="1:3" x14ac:dyDescent="0.2">
      <c r="A737" s="2">
        <v>45265</v>
      </c>
      <c r="B737" s="1" t="s">
        <v>0</v>
      </c>
      <c r="C737" s="3">
        <v>191.61</v>
      </c>
    </row>
    <row r="738" spans="1:3" x14ac:dyDescent="0.2">
      <c r="A738" s="2">
        <v>45266</v>
      </c>
      <c r="B738" s="1" t="s">
        <v>0</v>
      </c>
      <c r="C738" s="3">
        <v>190.52099999999999</v>
      </c>
    </row>
    <row r="739" spans="1:3" x14ac:dyDescent="0.2">
      <c r="A739" s="2">
        <v>45267</v>
      </c>
      <c r="B739" s="1" t="s">
        <v>0</v>
      </c>
      <c r="C739" s="3">
        <v>192.45099999999999</v>
      </c>
    </row>
    <row r="740" spans="1:3" x14ac:dyDescent="0.2">
      <c r="A740" s="2">
        <v>45268</v>
      </c>
      <c r="B740" s="1" t="s">
        <v>0</v>
      </c>
      <c r="C740" s="3">
        <v>193.87899999999999</v>
      </c>
    </row>
    <row r="741" spans="1:3" x14ac:dyDescent="0.2">
      <c r="A741" s="2">
        <v>45271</v>
      </c>
      <c r="B741" s="1" t="s">
        <v>0</v>
      </c>
      <c r="C741" s="3">
        <v>191.37299999999999</v>
      </c>
    </row>
    <row r="742" spans="1:3" x14ac:dyDescent="0.2">
      <c r="A742" s="2">
        <v>45272</v>
      </c>
      <c r="B742" s="1" t="s">
        <v>0</v>
      </c>
      <c r="C742" s="3">
        <v>192.88900000000001</v>
      </c>
    </row>
    <row r="743" spans="1:3" x14ac:dyDescent="0.2">
      <c r="A743" s="2">
        <v>45273</v>
      </c>
      <c r="B743" s="1" t="s">
        <v>0</v>
      </c>
      <c r="C743" s="3">
        <v>196.108</v>
      </c>
    </row>
    <row r="744" spans="1:3" x14ac:dyDescent="0.2">
      <c r="A744" s="2">
        <v>45274</v>
      </c>
      <c r="B744" s="1" t="s">
        <v>0</v>
      </c>
      <c r="C744" s="3">
        <v>196.25700000000001</v>
      </c>
    </row>
    <row r="745" spans="1:3" x14ac:dyDescent="0.2">
      <c r="A745" s="2">
        <v>45275</v>
      </c>
      <c r="B745" s="1" t="s">
        <v>0</v>
      </c>
      <c r="C745" s="3">
        <v>195.72200000000001</v>
      </c>
    </row>
    <row r="746" spans="1:3" x14ac:dyDescent="0.2">
      <c r="A746" s="2">
        <v>45278</v>
      </c>
      <c r="B746" s="1" t="s">
        <v>0</v>
      </c>
      <c r="C746" s="3">
        <v>194.05799999999999</v>
      </c>
    </row>
    <row r="747" spans="1:3" x14ac:dyDescent="0.2">
      <c r="A747" s="2">
        <v>45279</v>
      </c>
      <c r="B747" s="1" t="s">
        <v>0</v>
      </c>
      <c r="C747" s="3">
        <v>195.09800000000001</v>
      </c>
    </row>
    <row r="748" spans="1:3" x14ac:dyDescent="0.2">
      <c r="A748" s="2">
        <v>45280</v>
      </c>
      <c r="B748" s="1" t="s">
        <v>0</v>
      </c>
      <c r="C748" s="3">
        <v>193.00700000000001</v>
      </c>
    </row>
    <row r="749" spans="1:3" x14ac:dyDescent="0.2">
      <c r="A749" s="2">
        <v>45281</v>
      </c>
      <c r="B749" s="1" t="s">
        <v>0</v>
      </c>
      <c r="C749" s="3">
        <v>192.86</v>
      </c>
    </row>
    <row r="750" spans="1:3" x14ac:dyDescent="0.2">
      <c r="A750" s="2">
        <v>45282</v>
      </c>
      <c r="B750" s="1" t="s">
        <v>0</v>
      </c>
      <c r="C750" s="3">
        <v>191.78800000000001</v>
      </c>
    </row>
    <row r="751" spans="1:3" x14ac:dyDescent="0.2">
      <c r="A751" s="2">
        <v>45286</v>
      </c>
      <c r="B751" s="1" t="s">
        <v>0</v>
      </c>
      <c r="C751" s="3">
        <v>191.245</v>
      </c>
    </row>
    <row r="752" spans="1:3" x14ac:dyDescent="0.2">
      <c r="A752" s="2">
        <v>45287</v>
      </c>
      <c r="B752" s="1" t="s">
        <v>0</v>
      </c>
      <c r="C752" s="3">
        <v>191.345</v>
      </c>
    </row>
    <row r="753" spans="1:3" x14ac:dyDescent="0.2">
      <c r="A753" s="2">
        <v>45288</v>
      </c>
      <c r="B753" s="1" t="s">
        <v>0</v>
      </c>
      <c r="C753" s="3">
        <v>191.768</v>
      </c>
    </row>
    <row r="754" spans="1:3" x14ac:dyDescent="0.2">
      <c r="A754" s="2">
        <v>45289</v>
      </c>
      <c r="B754" s="1" t="s">
        <v>0</v>
      </c>
      <c r="C754" s="3">
        <v>190.72900000000001</v>
      </c>
    </row>
    <row r="755" spans="1:3" x14ac:dyDescent="0.2">
      <c r="A755" s="2">
        <v>45293</v>
      </c>
      <c r="B755" s="1" t="s">
        <v>0</v>
      </c>
      <c r="C755" s="3">
        <v>183.90299999999999</v>
      </c>
    </row>
    <row r="756" spans="1:3" x14ac:dyDescent="0.2">
      <c r="A756" s="2">
        <v>45294</v>
      </c>
      <c r="B756" s="1" t="s">
        <v>0</v>
      </c>
      <c r="C756" s="3">
        <v>182.52699999999999</v>
      </c>
    </row>
    <row r="757" spans="1:3" x14ac:dyDescent="0.2">
      <c r="A757" s="2">
        <v>45295</v>
      </c>
      <c r="B757" s="1" t="s">
        <v>0</v>
      </c>
      <c r="C757" s="3">
        <v>180.20699999999999</v>
      </c>
    </row>
    <row r="758" spans="1:3" x14ac:dyDescent="0.2">
      <c r="A758" s="2">
        <v>45296</v>
      </c>
      <c r="B758" s="1" t="s">
        <v>0</v>
      </c>
      <c r="C758" s="3">
        <v>179.48500000000001</v>
      </c>
    </row>
    <row r="759" spans="1:3" x14ac:dyDescent="0.2">
      <c r="A759" s="2">
        <v>45299</v>
      </c>
      <c r="B759" s="1" t="s">
        <v>0</v>
      </c>
      <c r="C759" s="3">
        <v>183.82400000000001</v>
      </c>
    </row>
    <row r="760" spans="1:3" x14ac:dyDescent="0.2">
      <c r="A760" s="2">
        <v>45300</v>
      </c>
      <c r="B760" s="1" t="s">
        <v>0</v>
      </c>
      <c r="C760" s="3">
        <v>183.40899999999999</v>
      </c>
    </row>
    <row r="761" spans="1:3" x14ac:dyDescent="0.2">
      <c r="A761" s="2">
        <v>45301</v>
      </c>
      <c r="B761" s="1" t="s">
        <v>0</v>
      </c>
      <c r="C761" s="3">
        <v>184.44800000000001</v>
      </c>
    </row>
    <row r="762" spans="1:3" x14ac:dyDescent="0.2">
      <c r="A762" s="2">
        <v>45302</v>
      </c>
      <c r="B762" s="1" t="s">
        <v>0</v>
      </c>
      <c r="C762" s="3">
        <v>183.85300000000001</v>
      </c>
    </row>
    <row r="763" spans="1:3" x14ac:dyDescent="0.2">
      <c r="A763" s="2">
        <v>45303</v>
      </c>
      <c r="B763" s="1" t="s">
        <v>0</v>
      </c>
      <c r="C763" s="3">
        <v>184.18</v>
      </c>
    </row>
    <row r="764" spans="1:3" x14ac:dyDescent="0.2">
      <c r="A764" s="2">
        <v>45307</v>
      </c>
      <c r="B764" s="1" t="s">
        <v>0</v>
      </c>
      <c r="C764" s="3">
        <v>181.91200000000001</v>
      </c>
    </row>
    <row r="765" spans="1:3" x14ac:dyDescent="0.2">
      <c r="A765" s="2">
        <v>45308</v>
      </c>
      <c r="B765" s="1" t="s">
        <v>0</v>
      </c>
      <c r="C765" s="3">
        <v>180.97</v>
      </c>
    </row>
    <row r="766" spans="1:3" x14ac:dyDescent="0.2">
      <c r="A766" s="2">
        <v>45309</v>
      </c>
      <c r="B766" s="1" t="s">
        <v>0</v>
      </c>
      <c r="C766" s="3">
        <v>186.86500000000001</v>
      </c>
    </row>
    <row r="767" spans="1:3" x14ac:dyDescent="0.2">
      <c r="A767" s="2">
        <v>45310</v>
      </c>
      <c r="B767" s="1" t="s">
        <v>0</v>
      </c>
      <c r="C767" s="3">
        <v>189.768</v>
      </c>
    </row>
    <row r="768" spans="1:3" x14ac:dyDescent="0.2">
      <c r="A768" s="2">
        <v>45313</v>
      </c>
      <c r="B768" s="1" t="s">
        <v>0</v>
      </c>
      <c r="C768" s="3">
        <v>192.077</v>
      </c>
    </row>
    <row r="769" spans="1:3" x14ac:dyDescent="0.2">
      <c r="A769" s="2">
        <v>45314</v>
      </c>
      <c r="B769" s="1" t="s">
        <v>0</v>
      </c>
      <c r="C769" s="3">
        <v>193.35400000000001</v>
      </c>
    </row>
    <row r="770" spans="1:3" x14ac:dyDescent="0.2">
      <c r="A770" s="2">
        <v>45315</v>
      </c>
      <c r="B770" s="1" t="s">
        <v>0</v>
      </c>
      <c r="C770" s="3">
        <v>192.68</v>
      </c>
    </row>
    <row r="771" spans="1:3" x14ac:dyDescent="0.2">
      <c r="A771" s="2">
        <v>45316</v>
      </c>
      <c r="B771" s="1" t="s">
        <v>0</v>
      </c>
      <c r="C771" s="3">
        <v>192.35300000000001</v>
      </c>
    </row>
    <row r="772" spans="1:3" x14ac:dyDescent="0.2">
      <c r="A772" s="2">
        <v>45317</v>
      </c>
      <c r="B772" s="1" t="s">
        <v>0</v>
      </c>
      <c r="C772" s="3">
        <v>190.62</v>
      </c>
    </row>
    <row r="773" spans="1:3" x14ac:dyDescent="0.2">
      <c r="A773" s="2">
        <v>45320</v>
      </c>
      <c r="B773" s="1" t="s">
        <v>0</v>
      </c>
      <c r="C773" s="3">
        <v>189.93600000000001</v>
      </c>
    </row>
    <row r="774" spans="1:3" x14ac:dyDescent="0.2">
      <c r="A774" s="2">
        <v>45321</v>
      </c>
      <c r="B774" s="1" t="s">
        <v>0</v>
      </c>
      <c r="C774" s="3">
        <v>186.279</v>
      </c>
    </row>
    <row r="775" spans="1:3" x14ac:dyDescent="0.2">
      <c r="A775" s="2">
        <v>45322</v>
      </c>
      <c r="B775" s="1" t="s">
        <v>0</v>
      </c>
      <c r="C775" s="3">
        <v>182.67400000000001</v>
      </c>
    </row>
    <row r="776" spans="1:3" x14ac:dyDescent="0.2">
      <c r="A776" s="2">
        <v>45323</v>
      </c>
      <c r="B776" s="1" t="s">
        <v>0</v>
      </c>
      <c r="C776" s="3">
        <v>185.113</v>
      </c>
    </row>
    <row r="777" spans="1:3" x14ac:dyDescent="0.2">
      <c r="A777" s="2">
        <v>45324</v>
      </c>
      <c r="B777" s="1" t="s">
        <v>0</v>
      </c>
      <c r="C777" s="3">
        <v>184.113</v>
      </c>
    </row>
    <row r="778" spans="1:3" x14ac:dyDescent="0.2">
      <c r="A778" s="2">
        <v>45327</v>
      </c>
      <c r="B778" s="1" t="s">
        <v>0</v>
      </c>
      <c r="C778" s="3">
        <v>185.92599999999999</v>
      </c>
    </row>
    <row r="779" spans="1:3" x14ac:dyDescent="0.2">
      <c r="A779" s="2">
        <v>45328</v>
      </c>
      <c r="B779" s="1" t="s">
        <v>0</v>
      </c>
      <c r="C779" s="3">
        <v>187.53</v>
      </c>
    </row>
    <row r="780" spans="1:3" x14ac:dyDescent="0.2">
      <c r="A780" s="2">
        <v>45329</v>
      </c>
      <c r="B780" s="1" t="s">
        <v>0</v>
      </c>
      <c r="C780" s="3">
        <v>187.63900000000001</v>
      </c>
    </row>
    <row r="781" spans="1:3" x14ac:dyDescent="0.2">
      <c r="A781" s="2">
        <v>45330</v>
      </c>
      <c r="B781" s="1" t="s">
        <v>0</v>
      </c>
      <c r="C781" s="3">
        <v>186.55799999999999</v>
      </c>
    </row>
    <row r="782" spans="1:3" x14ac:dyDescent="0.2">
      <c r="A782" s="2">
        <v>45331</v>
      </c>
      <c r="B782" s="1" t="s">
        <v>0</v>
      </c>
      <c r="C782" s="3">
        <v>187.321</v>
      </c>
    </row>
    <row r="783" spans="1:3" x14ac:dyDescent="0.2">
      <c r="A783" s="2">
        <v>45334</v>
      </c>
      <c r="B783" s="1" t="s">
        <v>0</v>
      </c>
      <c r="C783" s="3">
        <v>185.636</v>
      </c>
    </row>
    <row r="784" spans="1:3" x14ac:dyDescent="0.2">
      <c r="A784" s="2">
        <v>45335</v>
      </c>
      <c r="B784" s="1" t="s">
        <v>0</v>
      </c>
      <c r="C784" s="3">
        <v>183.542</v>
      </c>
    </row>
    <row r="785" spans="1:3" x14ac:dyDescent="0.2">
      <c r="A785" s="2">
        <v>45336</v>
      </c>
      <c r="B785" s="1" t="s">
        <v>0</v>
      </c>
      <c r="C785" s="3">
        <v>182.65899999999999</v>
      </c>
    </row>
    <row r="786" spans="1:3" x14ac:dyDescent="0.2">
      <c r="A786" s="2">
        <v>45337</v>
      </c>
      <c r="B786" s="1" t="s">
        <v>0</v>
      </c>
      <c r="C786" s="3">
        <v>182.37200000000001</v>
      </c>
    </row>
    <row r="787" spans="1:3" x14ac:dyDescent="0.2">
      <c r="A787" s="2">
        <v>45338</v>
      </c>
      <c r="B787" s="1" t="s">
        <v>0</v>
      </c>
      <c r="C787" s="3">
        <v>180.83500000000001</v>
      </c>
    </row>
    <row r="788" spans="1:3" x14ac:dyDescent="0.2">
      <c r="A788" s="2">
        <v>45342</v>
      </c>
      <c r="B788" s="1" t="s">
        <v>0</v>
      </c>
      <c r="C788" s="3">
        <v>180.089</v>
      </c>
    </row>
    <row r="789" spans="1:3" x14ac:dyDescent="0.2">
      <c r="A789" s="2">
        <v>45343</v>
      </c>
      <c r="B789" s="1" t="s">
        <v>0</v>
      </c>
      <c r="C789" s="3">
        <v>180.845</v>
      </c>
    </row>
    <row r="790" spans="1:3" x14ac:dyDescent="0.2">
      <c r="A790" s="2">
        <v>45344</v>
      </c>
      <c r="B790" s="1" t="s">
        <v>0</v>
      </c>
      <c r="C790" s="3">
        <v>182.87799999999999</v>
      </c>
    </row>
    <row r="791" spans="1:3" x14ac:dyDescent="0.2">
      <c r="A791" s="2">
        <v>45345</v>
      </c>
      <c r="B791" s="1" t="s">
        <v>0</v>
      </c>
      <c r="C791" s="3">
        <v>181.042</v>
      </c>
    </row>
    <row r="792" spans="1:3" x14ac:dyDescent="0.2">
      <c r="A792" s="2">
        <v>45348</v>
      </c>
      <c r="B792" s="1" t="s">
        <v>0</v>
      </c>
      <c r="C792" s="3">
        <v>179.69499999999999</v>
      </c>
    </row>
    <row r="793" spans="1:3" x14ac:dyDescent="0.2">
      <c r="A793" s="2">
        <v>45349</v>
      </c>
      <c r="B793" s="1" t="s">
        <v>0</v>
      </c>
      <c r="C793" s="3">
        <v>181.15199999999999</v>
      </c>
    </row>
    <row r="794" spans="1:3" x14ac:dyDescent="0.2">
      <c r="A794" s="2">
        <v>45350</v>
      </c>
      <c r="B794" s="1" t="s">
        <v>0</v>
      </c>
      <c r="C794" s="3">
        <v>179.953</v>
      </c>
    </row>
    <row r="795" spans="1:3" x14ac:dyDescent="0.2">
      <c r="A795" s="2">
        <v>45351</v>
      </c>
      <c r="B795" s="1" t="s">
        <v>0</v>
      </c>
      <c r="C795" s="3">
        <v>179.286</v>
      </c>
    </row>
    <row r="796" spans="1:3" x14ac:dyDescent="0.2">
      <c r="A796" s="2">
        <v>45352</v>
      </c>
      <c r="B796" s="1" t="s">
        <v>0</v>
      </c>
      <c r="C796" s="3">
        <v>178.20699999999999</v>
      </c>
    </row>
    <row r="797" spans="1:3" x14ac:dyDescent="0.2">
      <c r="A797" s="2">
        <v>45355</v>
      </c>
      <c r="B797" s="1" t="s">
        <v>0</v>
      </c>
      <c r="C797" s="3">
        <v>173.684</v>
      </c>
    </row>
    <row r="798" spans="1:3" x14ac:dyDescent="0.2">
      <c r="A798" s="2">
        <v>45356</v>
      </c>
      <c r="B798" s="1" t="s">
        <v>0</v>
      </c>
      <c r="C798" s="3">
        <v>168.744</v>
      </c>
    </row>
    <row r="799" spans="1:3" x14ac:dyDescent="0.2">
      <c r="A799" s="2">
        <v>45357</v>
      </c>
      <c r="B799" s="1" t="s">
        <v>0</v>
      </c>
      <c r="C799" s="3">
        <v>167.75200000000001</v>
      </c>
    </row>
    <row r="800" spans="1:3" x14ac:dyDescent="0.2">
      <c r="A800" s="2">
        <v>45358</v>
      </c>
      <c r="B800" s="1" t="s">
        <v>0</v>
      </c>
      <c r="C800" s="3">
        <v>167.63300000000001</v>
      </c>
    </row>
    <row r="801" spans="1:3" x14ac:dyDescent="0.2">
      <c r="A801" s="2">
        <v>45359</v>
      </c>
      <c r="B801" s="1" t="s">
        <v>0</v>
      </c>
      <c r="C801" s="3">
        <v>169.34899999999999</v>
      </c>
    </row>
    <row r="802" spans="1:3" x14ac:dyDescent="0.2">
      <c r="A802" s="2">
        <v>45362</v>
      </c>
      <c r="B802" s="1" t="s">
        <v>0</v>
      </c>
      <c r="C802" s="3">
        <v>171.35300000000001</v>
      </c>
    </row>
    <row r="803" spans="1:3" x14ac:dyDescent="0.2">
      <c r="A803" s="2">
        <v>45363</v>
      </c>
      <c r="B803" s="1" t="s">
        <v>0</v>
      </c>
      <c r="C803" s="3">
        <v>171.827</v>
      </c>
    </row>
    <row r="804" spans="1:3" x14ac:dyDescent="0.2">
      <c r="A804" s="2">
        <v>45364</v>
      </c>
      <c r="B804" s="1" t="s">
        <v>0</v>
      </c>
      <c r="C804" s="3">
        <v>169.744</v>
      </c>
    </row>
    <row r="805" spans="1:3" x14ac:dyDescent="0.2">
      <c r="A805" s="2">
        <v>45365</v>
      </c>
      <c r="B805" s="1" t="s">
        <v>0</v>
      </c>
      <c r="C805" s="3">
        <v>171.6</v>
      </c>
    </row>
    <row r="806" spans="1:3" x14ac:dyDescent="0.2">
      <c r="A806" s="2">
        <v>45366</v>
      </c>
      <c r="B806" s="1" t="s">
        <v>0</v>
      </c>
      <c r="C806" s="3">
        <v>171.22300000000001</v>
      </c>
    </row>
    <row r="807" spans="1:3" x14ac:dyDescent="0.2">
      <c r="A807" s="2">
        <v>45369</v>
      </c>
      <c r="B807" s="1" t="s">
        <v>0</v>
      </c>
      <c r="C807" s="3">
        <v>172.315</v>
      </c>
    </row>
    <row r="808" spans="1:3" x14ac:dyDescent="0.2">
      <c r="A808" s="2">
        <v>45370</v>
      </c>
      <c r="B808" s="1" t="s">
        <v>0</v>
      </c>
      <c r="C808" s="3">
        <v>174.655</v>
      </c>
    </row>
    <row r="809" spans="1:3" x14ac:dyDescent="0.2">
      <c r="A809" s="2">
        <v>45371</v>
      </c>
      <c r="B809" s="1" t="s">
        <v>0</v>
      </c>
      <c r="C809" s="3">
        <v>177.22399999999999</v>
      </c>
    </row>
    <row r="810" spans="1:3" x14ac:dyDescent="0.2">
      <c r="A810" s="2">
        <v>45372</v>
      </c>
      <c r="B810" s="1" t="s">
        <v>0</v>
      </c>
      <c r="C810" s="3">
        <v>169.983</v>
      </c>
    </row>
    <row r="811" spans="1:3" x14ac:dyDescent="0.2">
      <c r="A811" s="2">
        <v>45373</v>
      </c>
      <c r="B811" s="1" t="s">
        <v>0</v>
      </c>
      <c r="C811" s="3">
        <v>170.88499999999999</v>
      </c>
    </row>
    <row r="812" spans="1:3" x14ac:dyDescent="0.2">
      <c r="A812" s="2">
        <v>45376</v>
      </c>
      <c r="B812" s="1" t="s">
        <v>0</v>
      </c>
      <c r="C812" s="3">
        <v>169.46799999999999</v>
      </c>
    </row>
    <row r="813" spans="1:3" x14ac:dyDescent="0.2">
      <c r="A813" s="2">
        <v>45377</v>
      </c>
      <c r="B813" s="1" t="s">
        <v>0</v>
      </c>
      <c r="C813" s="3">
        <v>168.33699999999999</v>
      </c>
    </row>
    <row r="814" spans="1:3" x14ac:dyDescent="0.2">
      <c r="A814" s="2">
        <v>45378</v>
      </c>
      <c r="B814" s="1" t="s">
        <v>0</v>
      </c>
      <c r="C814" s="3">
        <v>171.90700000000001</v>
      </c>
    </row>
    <row r="815" spans="1:3" x14ac:dyDescent="0.2">
      <c r="A815" s="2">
        <v>45379</v>
      </c>
      <c r="B815" s="1" t="s">
        <v>0</v>
      </c>
      <c r="C815" s="3">
        <v>170.09200000000001</v>
      </c>
    </row>
    <row r="816" spans="1:3" x14ac:dyDescent="0.2">
      <c r="A816" s="2">
        <v>45383</v>
      </c>
      <c r="B816" s="1" t="s">
        <v>0</v>
      </c>
      <c r="C816" s="3">
        <v>168.655</v>
      </c>
    </row>
    <row r="817" spans="1:3" x14ac:dyDescent="0.2">
      <c r="A817" s="2">
        <v>45384</v>
      </c>
      <c r="B817" s="1" t="s">
        <v>0</v>
      </c>
      <c r="C817" s="3">
        <v>167.47399999999999</v>
      </c>
    </row>
    <row r="818" spans="1:3" x14ac:dyDescent="0.2">
      <c r="A818" s="2">
        <v>45385</v>
      </c>
      <c r="B818" s="1" t="s">
        <v>0</v>
      </c>
      <c r="C818" s="3">
        <v>168.27699999999999</v>
      </c>
    </row>
    <row r="819" spans="1:3" x14ac:dyDescent="0.2">
      <c r="A819" s="2">
        <v>45386</v>
      </c>
      <c r="B819" s="1" t="s">
        <v>0</v>
      </c>
      <c r="C819" s="3">
        <v>167.45400000000001</v>
      </c>
    </row>
    <row r="820" spans="1:3" x14ac:dyDescent="0.2">
      <c r="A820" s="2">
        <v>45387</v>
      </c>
      <c r="B820" s="1" t="s">
        <v>0</v>
      </c>
      <c r="C820" s="3">
        <v>168.20699999999999</v>
      </c>
    </row>
    <row r="821" spans="1:3" x14ac:dyDescent="0.2">
      <c r="A821" s="2">
        <v>45390</v>
      </c>
      <c r="B821" s="1" t="s">
        <v>0</v>
      </c>
      <c r="C821" s="3">
        <v>167.08699999999999</v>
      </c>
    </row>
    <row r="822" spans="1:3" x14ac:dyDescent="0.2">
      <c r="A822" s="2">
        <v>45391</v>
      </c>
      <c r="B822" s="1" t="s">
        <v>0</v>
      </c>
      <c r="C822" s="3">
        <v>168.297</v>
      </c>
    </row>
    <row r="823" spans="1:3" x14ac:dyDescent="0.2">
      <c r="A823" s="2">
        <v>45392</v>
      </c>
      <c r="B823" s="1" t="s">
        <v>0</v>
      </c>
      <c r="C823" s="3">
        <v>166.422</v>
      </c>
    </row>
    <row r="824" spans="1:3" x14ac:dyDescent="0.2">
      <c r="A824" s="2">
        <v>45393</v>
      </c>
      <c r="B824" s="1" t="s">
        <v>0</v>
      </c>
      <c r="C824" s="3">
        <v>173.624</v>
      </c>
    </row>
    <row r="825" spans="1:3" x14ac:dyDescent="0.2">
      <c r="A825" s="2">
        <v>45394</v>
      </c>
      <c r="B825" s="1" t="s">
        <v>0</v>
      </c>
      <c r="C825" s="3">
        <v>175.12100000000001</v>
      </c>
    </row>
    <row r="826" spans="1:3" x14ac:dyDescent="0.2">
      <c r="A826" s="2">
        <v>45397</v>
      </c>
      <c r="B826" s="1" t="s">
        <v>0</v>
      </c>
      <c r="C826" s="3">
        <v>171.29300000000001</v>
      </c>
    </row>
    <row r="827" spans="1:3" x14ac:dyDescent="0.2">
      <c r="A827" s="2">
        <v>45398</v>
      </c>
      <c r="B827" s="1" t="s">
        <v>0</v>
      </c>
      <c r="C827" s="3">
        <v>168.00899999999999</v>
      </c>
    </row>
    <row r="828" spans="1:3" x14ac:dyDescent="0.2">
      <c r="A828" s="2">
        <v>45399</v>
      </c>
      <c r="B828" s="1" t="s">
        <v>0</v>
      </c>
      <c r="C828" s="3">
        <v>166.64</v>
      </c>
    </row>
    <row r="829" spans="1:3" x14ac:dyDescent="0.2">
      <c r="A829" s="2">
        <v>45400</v>
      </c>
      <c r="B829" s="1" t="s">
        <v>0</v>
      </c>
      <c r="C829" s="3">
        <v>165.68799999999999</v>
      </c>
    </row>
    <row r="830" spans="1:3" x14ac:dyDescent="0.2">
      <c r="A830" s="2">
        <v>45401</v>
      </c>
      <c r="B830" s="1" t="s">
        <v>0</v>
      </c>
      <c r="C830" s="3">
        <v>163.596</v>
      </c>
    </row>
    <row r="831" spans="1:3" x14ac:dyDescent="0.2">
      <c r="A831" s="2">
        <v>45404</v>
      </c>
      <c r="B831" s="1" t="s">
        <v>0</v>
      </c>
      <c r="C831" s="3">
        <v>164.499</v>
      </c>
    </row>
    <row r="832" spans="1:3" x14ac:dyDescent="0.2">
      <c r="A832" s="2">
        <v>45405</v>
      </c>
      <c r="B832" s="1" t="s">
        <v>0</v>
      </c>
      <c r="C832" s="3">
        <v>165.54900000000001</v>
      </c>
    </row>
    <row r="833" spans="1:3" x14ac:dyDescent="0.2">
      <c r="A833" s="2">
        <v>45406</v>
      </c>
      <c r="B833" s="1" t="s">
        <v>0</v>
      </c>
      <c r="C833" s="3">
        <v>167.65299999999999</v>
      </c>
    </row>
    <row r="834" spans="1:3" x14ac:dyDescent="0.2">
      <c r="A834" s="2">
        <v>45407</v>
      </c>
      <c r="B834" s="1" t="s">
        <v>0</v>
      </c>
      <c r="C834" s="3">
        <v>168.517</v>
      </c>
    </row>
    <row r="835" spans="1:3" x14ac:dyDescent="0.2">
      <c r="A835" s="2">
        <v>45408</v>
      </c>
      <c r="B835" s="1" t="s">
        <v>0</v>
      </c>
      <c r="C835" s="3">
        <v>167.93</v>
      </c>
    </row>
    <row r="836" spans="1:3" x14ac:dyDescent="0.2">
      <c r="A836" s="2">
        <v>45411</v>
      </c>
      <c r="B836" s="1" t="s">
        <v>0</v>
      </c>
      <c r="C836" s="3">
        <v>172.096</v>
      </c>
    </row>
    <row r="837" spans="1:3" x14ac:dyDescent="0.2">
      <c r="A837" s="2">
        <v>45412</v>
      </c>
      <c r="B837" s="1" t="s">
        <v>0</v>
      </c>
      <c r="C837" s="3">
        <v>168.95099999999999</v>
      </c>
    </row>
    <row r="838" spans="1:3" x14ac:dyDescent="0.2">
      <c r="A838" s="2">
        <v>45413</v>
      </c>
      <c r="B838" s="1" t="s">
        <v>0</v>
      </c>
      <c r="C838" s="3">
        <v>167.93</v>
      </c>
    </row>
    <row r="839" spans="1:3" x14ac:dyDescent="0.2">
      <c r="A839" s="2">
        <v>45414</v>
      </c>
      <c r="B839" s="1" t="s">
        <v>0</v>
      </c>
      <c r="C839" s="3">
        <v>171.63</v>
      </c>
    </row>
    <row r="840" spans="1:3" x14ac:dyDescent="0.2">
      <c r="A840" s="2">
        <v>45415</v>
      </c>
      <c r="B840" s="1" t="s">
        <v>0</v>
      </c>
      <c r="C840" s="3">
        <v>181.89599999999999</v>
      </c>
    </row>
    <row r="841" spans="1:3" x14ac:dyDescent="0.2">
      <c r="A841" s="2">
        <v>45418</v>
      </c>
      <c r="B841" s="1" t="s">
        <v>0</v>
      </c>
      <c r="C841" s="3">
        <v>180.239</v>
      </c>
    </row>
    <row r="842" spans="1:3" x14ac:dyDescent="0.2">
      <c r="A842" s="2">
        <v>45419</v>
      </c>
      <c r="B842" s="1" t="s">
        <v>0</v>
      </c>
      <c r="C842" s="3">
        <v>180.923</v>
      </c>
    </row>
    <row r="843" spans="1:3" x14ac:dyDescent="0.2">
      <c r="A843" s="2">
        <v>45420</v>
      </c>
      <c r="B843" s="1" t="s">
        <v>0</v>
      </c>
      <c r="C843" s="3">
        <v>181.261</v>
      </c>
    </row>
    <row r="844" spans="1:3" x14ac:dyDescent="0.2">
      <c r="A844" s="2">
        <v>45421</v>
      </c>
      <c r="B844" s="1" t="s">
        <v>0</v>
      </c>
      <c r="C844" s="3">
        <v>183.077</v>
      </c>
    </row>
    <row r="845" spans="1:3" x14ac:dyDescent="0.2">
      <c r="A845" s="2">
        <v>45422</v>
      </c>
      <c r="B845" s="1" t="s">
        <v>0</v>
      </c>
      <c r="C845" s="3">
        <v>181.81399999999999</v>
      </c>
    </row>
    <row r="846" spans="1:3" x14ac:dyDescent="0.2">
      <c r="A846" s="2">
        <v>45425</v>
      </c>
      <c r="B846" s="1" t="s">
        <v>0</v>
      </c>
      <c r="C846" s="3">
        <v>185.02500000000001</v>
      </c>
    </row>
    <row r="847" spans="1:3" x14ac:dyDescent="0.2">
      <c r="A847" s="2">
        <v>45426</v>
      </c>
      <c r="B847" s="1" t="s">
        <v>0</v>
      </c>
      <c r="C847" s="3">
        <v>186.166</v>
      </c>
    </row>
    <row r="848" spans="1:3" x14ac:dyDescent="0.2">
      <c r="A848" s="2">
        <v>45427</v>
      </c>
      <c r="B848" s="1" t="s">
        <v>0</v>
      </c>
      <c r="C848" s="3">
        <v>188.44</v>
      </c>
    </row>
    <row r="849" spans="1:3" x14ac:dyDescent="0.2">
      <c r="A849" s="2">
        <v>45428</v>
      </c>
      <c r="B849" s="1" t="s">
        <v>0</v>
      </c>
      <c r="C849" s="3">
        <v>188.56</v>
      </c>
    </row>
    <row r="850" spans="1:3" x14ac:dyDescent="0.2">
      <c r="A850" s="2">
        <v>45429</v>
      </c>
      <c r="B850" s="1" t="s">
        <v>0</v>
      </c>
      <c r="C850" s="3">
        <v>188.589</v>
      </c>
    </row>
    <row r="851" spans="1:3" x14ac:dyDescent="0.2">
      <c r="A851" s="2">
        <v>45432</v>
      </c>
      <c r="B851" s="1" t="s">
        <v>0</v>
      </c>
      <c r="C851" s="3">
        <v>189.751</v>
      </c>
    </row>
    <row r="852" spans="1:3" x14ac:dyDescent="0.2">
      <c r="A852" s="2">
        <v>45433</v>
      </c>
      <c r="B852" s="1" t="s">
        <v>0</v>
      </c>
      <c r="C852" s="3">
        <v>191.053</v>
      </c>
    </row>
    <row r="853" spans="1:3" x14ac:dyDescent="0.2">
      <c r="A853" s="2">
        <v>45434</v>
      </c>
      <c r="B853" s="1" t="s">
        <v>0</v>
      </c>
      <c r="C853" s="3">
        <v>189.61199999999999</v>
      </c>
    </row>
    <row r="854" spans="1:3" x14ac:dyDescent="0.2">
      <c r="A854" s="2">
        <v>45435</v>
      </c>
      <c r="B854" s="1" t="s">
        <v>0</v>
      </c>
      <c r="C854" s="3">
        <v>185.619</v>
      </c>
    </row>
    <row r="855" spans="1:3" x14ac:dyDescent="0.2">
      <c r="A855" s="2">
        <v>45436</v>
      </c>
      <c r="B855" s="1" t="s">
        <v>0</v>
      </c>
      <c r="C855" s="3">
        <v>188.69800000000001</v>
      </c>
    </row>
    <row r="856" spans="1:3" x14ac:dyDescent="0.2">
      <c r="A856" s="2">
        <v>45440</v>
      </c>
      <c r="B856" s="1" t="s">
        <v>0</v>
      </c>
      <c r="C856" s="3">
        <v>188.708</v>
      </c>
    </row>
    <row r="857" spans="1:3" x14ac:dyDescent="0.2">
      <c r="A857" s="2">
        <v>45441</v>
      </c>
      <c r="B857" s="1" t="s">
        <v>0</v>
      </c>
      <c r="C857" s="3">
        <v>189.006</v>
      </c>
    </row>
    <row r="858" spans="1:3" x14ac:dyDescent="0.2">
      <c r="A858" s="2">
        <v>45442</v>
      </c>
      <c r="B858" s="1" t="s">
        <v>0</v>
      </c>
      <c r="C858" s="3">
        <v>189.999</v>
      </c>
    </row>
    <row r="859" spans="1:3" x14ac:dyDescent="0.2">
      <c r="A859" s="2">
        <v>45443</v>
      </c>
      <c r="B859" s="1" t="s">
        <v>0</v>
      </c>
      <c r="C859" s="3">
        <v>190.953</v>
      </c>
    </row>
    <row r="860" spans="1:3" x14ac:dyDescent="0.2">
      <c r="A860" s="2">
        <v>45446</v>
      </c>
      <c r="B860" s="1" t="s">
        <v>0</v>
      </c>
      <c r="C860" s="3">
        <v>192.721</v>
      </c>
    </row>
    <row r="861" spans="1:3" x14ac:dyDescent="0.2">
      <c r="A861" s="2">
        <v>45447</v>
      </c>
      <c r="B861" s="1" t="s">
        <v>0</v>
      </c>
      <c r="C861" s="3">
        <v>193.03899999999999</v>
      </c>
    </row>
    <row r="862" spans="1:3" x14ac:dyDescent="0.2">
      <c r="A862" s="2">
        <v>45448</v>
      </c>
      <c r="B862" s="1" t="s">
        <v>0</v>
      </c>
      <c r="C862" s="3">
        <v>194.548</v>
      </c>
    </row>
    <row r="863" spans="1:3" x14ac:dyDescent="0.2">
      <c r="A863" s="2">
        <v>45449</v>
      </c>
      <c r="B863" s="1" t="s">
        <v>0</v>
      </c>
      <c r="C863" s="3">
        <v>193.16900000000001</v>
      </c>
    </row>
    <row r="864" spans="1:3" x14ac:dyDescent="0.2">
      <c r="A864" s="2">
        <v>45450</v>
      </c>
      <c r="B864" s="1" t="s">
        <v>0</v>
      </c>
      <c r="C864" s="3">
        <v>195.56100000000001</v>
      </c>
    </row>
    <row r="865" spans="1:3" x14ac:dyDescent="0.2">
      <c r="A865" s="2">
        <v>45453</v>
      </c>
      <c r="B865" s="1" t="s">
        <v>0</v>
      </c>
      <c r="C865" s="3">
        <v>191.81700000000001</v>
      </c>
    </row>
    <row r="866" spans="1:3" x14ac:dyDescent="0.2">
      <c r="A866" s="2">
        <v>45454</v>
      </c>
      <c r="B866" s="1" t="s">
        <v>0</v>
      </c>
      <c r="C866" s="3">
        <v>205.75399999999999</v>
      </c>
    </row>
    <row r="867" spans="1:3" x14ac:dyDescent="0.2">
      <c r="A867" s="2">
        <v>45455</v>
      </c>
      <c r="B867" s="1" t="s">
        <v>0</v>
      </c>
      <c r="C867" s="3">
        <v>211.63399999999999</v>
      </c>
    </row>
    <row r="868" spans="1:3" x14ac:dyDescent="0.2">
      <c r="A868" s="2">
        <v>45456</v>
      </c>
      <c r="B868" s="1" t="s">
        <v>0</v>
      </c>
      <c r="C868" s="3">
        <v>212.79400000000001</v>
      </c>
    </row>
    <row r="869" spans="1:3" x14ac:dyDescent="0.2">
      <c r="A869" s="2">
        <v>45457</v>
      </c>
      <c r="B869" s="1" t="s">
        <v>0</v>
      </c>
      <c r="C869" s="3">
        <v>211.05600000000001</v>
      </c>
    </row>
    <row r="870" spans="1:3" x14ac:dyDescent="0.2">
      <c r="A870" s="2">
        <v>45460</v>
      </c>
      <c r="B870" s="1" t="s">
        <v>0</v>
      </c>
      <c r="C870" s="3">
        <v>215.209</v>
      </c>
    </row>
    <row r="871" spans="1:3" x14ac:dyDescent="0.2">
      <c r="A871" s="2">
        <v>45461</v>
      </c>
      <c r="B871" s="1" t="s">
        <v>0</v>
      </c>
      <c r="C871" s="3">
        <v>212.84399999999999</v>
      </c>
    </row>
    <row r="872" spans="1:3" x14ac:dyDescent="0.2">
      <c r="A872" s="2">
        <v>45463</v>
      </c>
      <c r="B872" s="1" t="s">
        <v>0</v>
      </c>
      <c r="C872" s="3">
        <v>208.26499999999999</v>
      </c>
    </row>
    <row r="873" spans="1:3" x14ac:dyDescent="0.2">
      <c r="A873" s="2">
        <v>45464</v>
      </c>
      <c r="B873" s="1" t="s">
        <v>0</v>
      </c>
      <c r="C873" s="3">
        <v>206.09</v>
      </c>
    </row>
    <row r="874" spans="1:3" x14ac:dyDescent="0.2">
      <c r="A874" s="2">
        <v>45467</v>
      </c>
      <c r="B874" s="1" t="s">
        <v>0</v>
      </c>
      <c r="C874" s="3">
        <v>206.73599999999999</v>
      </c>
    </row>
    <row r="875" spans="1:3" x14ac:dyDescent="0.2">
      <c r="A875" s="2">
        <v>45468</v>
      </c>
      <c r="B875" s="1" t="s">
        <v>0</v>
      </c>
      <c r="C875" s="3">
        <v>207.65899999999999</v>
      </c>
    </row>
    <row r="876" spans="1:3" x14ac:dyDescent="0.2">
      <c r="A876" s="2">
        <v>45469</v>
      </c>
      <c r="B876" s="1" t="s">
        <v>0</v>
      </c>
      <c r="C876" s="3">
        <v>211.81100000000001</v>
      </c>
    </row>
    <row r="877" spans="1:3" x14ac:dyDescent="0.2">
      <c r="A877" s="2">
        <v>45470</v>
      </c>
      <c r="B877" s="1" t="s">
        <v>0</v>
      </c>
      <c r="C877" s="3">
        <v>212.655</v>
      </c>
    </row>
    <row r="878" spans="1:3" x14ac:dyDescent="0.2">
      <c r="A878" s="2">
        <v>45471</v>
      </c>
      <c r="B878" s="1" t="s">
        <v>0</v>
      </c>
      <c r="C878" s="3">
        <v>209.19800000000001</v>
      </c>
    </row>
    <row r="879" spans="1:3" x14ac:dyDescent="0.2">
      <c r="A879" s="2">
        <v>45474</v>
      </c>
      <c r="B879" s="1" t="s">
        <v>0</v>
      </c>
      <c r="C879" s="3">
        <v>215.286</v>
      </c>
    </row>
    <row r="880" spans="1:3" x14ac:dyDescent="0.2">
      <c r="A880" s="2">
        <v>45475</v>
      </c>
      <c r="B880" s="1" t="s">
        <v>0</v>
      </c>
      <c r="C880" s="3">
        <v>218.78299999999999</v>
      </c>
    </row>
    <row r="881" spans="1:3" x14ac:dyDescent="0.2">
      <c r="A881" s="2">
        <v>45476</v>
      </c>
      <c r="B881" s="1" t="s">
        <v>0</v>
      </c>
      <c r="C881" s="3">
        <v>220.05600000000001</v>
      </c>
    </row>
    <row r="882" spans="1:3" x14ac:dyDescent="0.2">
      <c r="A882" s="2">
        <v>45478</v>
      </c>
      <c r="B882" s="1" t="s">
        <v>0</v>
      </c>
      <c r="C882" s="3">
        <v>224.81399999999999</v>
      </c>
    </row>
    <row r="883" spans="1:3" x14ac:dyDescent="0.2">
      <c r="A883" s="2">
        <v>45481</v>
      </c>
      <c r="B883" s="1" t="s">
        <v>0</v>
      </c>
      <c r="C883" s="3">
        <v>226.28399999999999</v>
      </c>
    </row>
    <row r="884" spans="1:3" x14ac:dyDescent="0.2">
      <c r="A884" s="2">
        <v>45482</v>
      </c>
      <c r="B884" s="1" t="s">
        <v>0</v>
      </c>
      <c r="C884" s="3">
        <v>227.13800000000001</v>
      </c>
    </row>
    <row r="885" spans="1:3" x14ac:dyDescent="0.2">
      <c r="A885" s="2">
        <v>45483</v>
      </c>
      <c r="B885" s="1" t="s">
        <v>0</v>
      </c>
      <c r="C885" s="3">
        <v>231.40899999999999</v>
      </c>
    </row>
    <row r="886" spans="1:3" x14ac:dyDescent="0.2">
      <c r="A886" s="2">
        <v>45484</v>
      </c>
      <c r="B886" s="1" t="s">
        <v>0</v>
      </c>
      <c r="C886" s="3">
        <v>226.035</v>
      </c>
    </row>
    <row r="887" spans="1:3" x14ac:dyDescent="0.2">
      <c r="A887" s="2">
        <v>45485</v>
      </c>
      <c r="B887" s="1" t="s">
        <v>0</v>
      </c>
      <c r="C887" s="3">
        <v>228.98400000000001</v>
      </c>
    </row>
    <row r="888" spans="1:3" x14ac:dyDescent="0.2">
      <c r="A888" s="2">
        <v>45488</v>
      </c>
      <c r="B888" s="1" t="s">
        <v>0</v>
      </c>
      <c r="C888" s="3">
        <v>232.81899999999999</v>
      </c>
    </row>
    <row r="889" spans="1:3" x14ac:dyDescent="0.2">
      <c r="A889" s="2">
        <v>45489</v>
      </c>
      <c r="B889" s="1" t="s">
        <v>0</v>
      </c>
      <c r="C889" s="3">
        <v>233.23699999999999</v>
      </c>
    </row>
    <row r="890" spans="1:3" x14ac:dyDescent="0.2">
      <c r="A890" s="2">
        <v>45490</v>
      </c>
      <c r="B890" s="1" t="s">
        <v>0</v>
      </c>
      <c r="C890" s="3">
        <v>227.33600000000001</v>
      </c>
    </row>
    <row r="891" spans="1:3" x14ac:dyDescent="0.2">
      <c r="A891" s="2">
        <v>45491</v>
      </c>
      <c r="B891" s="1" t="s">
        <v>0</v>
      </c>
      <c r="C891" s="3">
        <v>222.667</v>
      </c>
    </row>
    <row r="892" spans="1:3" x14ac:dyDescent="0.2">
      <c r="A892" s="2">
        <v>45492</v>
      </c>
      <c r="B892" s="1" t="s">
        <v>0</v>
      </c>
      <c r="C892" s="3">
        <v>222.797</v>
      </c>
    </row>
    <row r="893" spans="1:3" x14ac:dyDescent="0.2">
      <c r="A893" s="2">
        <v>45495</v>
      </c>
      <c r="B893" s="1" t="s">
        <v>0</v>
      </c>
      <c r="C893" s="3">
        <v>222.44900000000001</v>
      </c>
    </row>
    <row r="894" spans="1:3" x14ac:dyDescent="0.2">
      <c r="A894" s="2">
        <v>45496</v>
      </c>
      <c r="B894" s="1" t="s">
        <v>0</v>
      </c>
      <c r="C894" s="3">
        <v>223.49100000000001</v>
      </c>
    </row>
    <row r="895" spans="1:3" x14ac:dyDescent="0.2">
      <c r="A895" s="2">
        <v>45497</v>
      </c>
      <c r="B895" s="1" t="s">
        <v>0</v>
      </c>
      <c r="C895" s="3">
        <v>217.066</v>
      </c>
    </row>
    <row r="896" spans="1:3" x14ac:dyDescent="0.2">
      <c r="A896" s="2">
        <v>45498</v>
      </c>
      <c r="B896" s="1" t="s">
        <v>0</v>
      </c>
      <c r="C896" s="3">
        <v>216.024</v>
      </c>
    </row>
    <row r="897" spans="1:3" x14ac:dyDescent="0.2">
      <c r="A897" s="2">
        <v>45499</v>
      </c>
      <c r="B897" s="1" t="s">
        <v>0</v>
      </c>
      <c r="C897" s="3">
        <v>216.49</v>
      </c>
    </row>
    <row r="898" spans="1:3" x14ac:dyDescent="0.2">
      <c r="A898" s="2">
        <v>45502</v>
      </c>
      <c r="B898" s="1" t="s">
        <v>0</v>
      </c>
      <c r="C898" s="3">
        <v>216.768</v>
      </c>
    </row>
    <row r="899" spans="1:3" x14ac:dyDescent="0.2">
      <c r="A899" s="2">
        <v>45503</v>
      </c>
      <c r="B899" s="1" t="s">
        <v>0</v>
      </c>
      <c r="C899" s="3">
        <v>217.32300000000001</v>
      </c>
    </row>
    <row r="900" spans="1:3" x14ac:dyDescent="0.2">
      <c r="A900" s="2">
        <v>45504</v>
      </c>
      <c r="B900" s="1" t="s">
        <v>0</v>
      </c>
      <c r="C900" s="3">
        <v>220.58099999999999</v>
      </c>
    </row>
    <row r="901" spans="1:3" x14ac:dyDescent="0.2">
      <c r="A901" s="2">
        <v>45505</v>
      </c>
      <c r="B901" s="1" t="s">
        <v>0</v>
      </c>
      <c r="C901" s="3">
        <v>216.88800000000001</v>
      </c>
    </row>
    <row r="902" spans="1:3" x14ac:dyDescent="0.2">
      <c r="A902" s="2">
        <v>45506</v>
      </c>
      <c r="B902" s="1" t="s">
        <v>0</v>
      </c>
      <c r="C902" s="3">
        <v>218.37700000000001</v>
      </c>
    </row>
    <row r="903" spans="1:3" x14ac:dyDescent="0.2">
      <c r="A903" s="2">
        <v>45509</v>
      </c>
      <c r="B903" s="1" t="s">
        <v>0</v>
      </c>
      <c r="C903" s="3">
        <v>207.85900000000001</v>
      </c>
    </row>
    <row r="904" spans="1:3" x14ac:dyDescent="0.2">
      <c r="A904" s="2">
        <v>45510</v>
      </c>
      <c r="B904" s="1" t="s">
        <v>0</v>
      </c>
      <c r="C904" s="3">
        <v>205.83199999999999</v>
      </c>
    </row>
    <row r="905" spans="1:3" x14ac:dyDescent="0.2">
      <c r="A905" s="2">
        <v>45511</v>
      </c>
      <c r="B905" s="1" t="s">
        <v>0</v>
      </c>
      <c r="C905" s="3">
        <v>208.404</v>
      </c>
    </row>
    <row r="906" spans="1:3" x14ac:dyDescent="0.2">
      <c r="A906" s="2">
        <v>45512</v>
      </c>
      <c r="B906" s="1" t="s">
        <v>0</v>
      </c>
      <c r="C906" s="3">
        <v>211.87100000000001</v>
      </c>
    </row>
    <row r="907" spans="1:3" x14ac:dyDescent="0.2">
      <c r="A907" s="2">
        <v>45513</v>
      </c>
      <c r="B907" s="1" t="s">
        <v>0</v>
      </c>
      <c r="C907" s="3">
        <v>214.78200000000001</v>
      </c>
    </row>
    <row r="908" spans="1:3" x14ac:dyDescent="0.2">
      <c r="A908" s="2">
        <v>45516</v>
      </c>
      <c r="B908" s="1" t="s">
        <v>0</v>
      </c>
      <c r="C908" s="3">
        <v>216.31200000000001</v>
      </c>
    </row>
    <row r="909" spans="1:3" x14ac:dyDescent="0.2">
      <c r="A909" s="2">
        <v>45517</v>
      </c>
      <c r="B909" s="1" t="s">
        <v>0</v>
      </c>
      <c r="C909" s="3">
        <v>220.03200000000001</v>
      </c>
    </row>
    <row r="910" spans="1:3" x14ac:dyDescent="0.2">
      <c r="A910" s="2">
        <v>45518</v>
      </c>
      <c r="B910" s="1" t="s">
        <v>0</v>
      </c>
      <c r="C910" s="3">
        <v>220.47900000000001</v>
      </c>
    </row>
    <row r="911" spans="1:3" x14ac:dyDescent="0.2">
      <c r="A911" s="2">
        <v>45519</v>
      </c>
      <c r="B911" s="1" t="s">
        <v>0</v>
      </c>
      <c r="C911" s="3">
        <v>223.46100000000001</v>
      </c>
    </row>
    <row r="912" spans="1:3" x14ac:dyDescent="0.2">
      <c r="A912" s="2">
        <v>45520</v>
      </c>
      <c r="B912" s="1" t="s">
        <v>0</v>
      </c>
      <c r="C912" s="3">
        <v>224.786</v>
      </c>
    </row>
    <row r="913" spans="1:3" x14ac:dyDescent="0.2">
      <c r="A913" s="2">
        <v>45523</v>
      </c>
      <c r="B913" s="1" t="s">
        <v>0</v>
      </c>
      <c r="C913" s="3">
        <v>224.626</v>
      </c>
    </row>
    <row r="914" spans="1:3" x14ac:dyDescent="0.2">
      <c r="A914" s="2">
        <v>45524</v>
      </c>
      <c r="B914" s="1" t="s">
        <v>0</v>
      </c>
      <c r="C914" s="3">
        <v>225.24299999999999</v>
      </c>
    </row>
    <row r="915" spans="1:3" x14ac:dyDescent="0.2">
      <c r="A915" s="2">
        <v>45525</v>
      </c>
      <c r="B915" s="1" t="s">
        <v>0</v>
      </c>
      <c r="C915" s="3">
        <v>225.13300000000001</v>
      </c>
    </row>
    <row r="916" spans="1:3" x14ac:dyDescent="0.2">
      <c r="A916" s="2">
        <v>45526</v>
      </c>
      <c r="B916" s="1" t="s">
        <v>0</v>
      </c>
      <c r="C916" s="3">
        <v>223.274</v>
      </c>
    </row>
    <row r="917" spans="1:3" x14ac:dyDescent="0.2">
      <c r="A917" s="2">
        <v>45527</v>
      </c>
      <c r="B917" s="1" t="s">
        <v>0</v>
      </c>
      <c r="C917" s="3">
        <v>225.571</v>
      </c>
    </row>
    <row r="918" spans="1:3" x14ac:dyDescent="0.2">
      <c r="A918" s="2">
        <v>45530</v>
      </c>
      <c r="B918" s="1" t="s">
        <v>0</v>
      </c>
      <c r="C918" s="3">
        <v>225.90799999999999</v>
      </c>
    </row>
    <row r="919" spans="1:3" x14ac:dyDescent="0.2">
      <c r="A919" s="2">
        <v>45531</v>
      </c>
      <c r="B919" s="1" t="s">
        <v>0</v>
      </c>
      <c r="C919" s="3">
        <v>226.75299999999999</v>
      </c>
    </row>
    <row r="920" spans="1:3" x14ac:dyDescent="0.2">
      <c r="A920" s="2">
        <v>45532</v>
      </c>
      <c r="B920" s="1" t="s">
        <v>0</v>
      </c>
      <c r="C920" s="3">
        <v>225.22300000000001</v>
      </c>
    </row>
    <row r="921" spans="1:3" x14ac:dyDescent="0.2">
      <c r="A921" s="2">
        <v>45533</v>
      </c>
      <c r="B921" s="1" t="s">
        <v>0</v>
      </c>
      <c r="C921" s="3">
        <v>228.50299999999999</v>
      </c>
    </row>
    <row r="922" spans="1:3" x14ac:dyDescent="0.2">
      <c r="A922" s="2">
        <v>45534</v>
      </c>
      <c r="B922" s="1" t="s">
        <v>0</v>
      </c>
      <c r="C922" s="3">
        <v>227.71799999999999</v>
      </c>
    </row>
    <row r="923" spans="1:3" x14ac:dyDescent="0.2">
      <c r="A923" s="2">
        <v>45538</v>
      </c>
      <c r="B923" s="1" t="s">
        <v>0</v>
      </c>
      <c r="C923" s="3">
        <v>221.523</v>
      </c>
    </row>
    <row r="924" spans="1:3" x14ac:dyDescent="0.2">
      <c r="A924" s="2">
        <v>45539</v>
      </c>
      <c r="B924" s="1" t="s">
        <v>0</v>
      </c>
      <c r="C924" s="3">
        <v>219.614</v>
      </c>
    </row>
    <row r="925" spans="1:3" x14ac:dyDescent="0.2">
      <c r="A925" s="2">
        <v>45540</v>
      </c>
      <c r="B925" s="1" t="s">
        <v>0</v>
      </c>
      <c r="C925" s="3">
        <v>221.136</v>
      </c>
    </row>
    <row r="926" spans="1:3" x14ac:dyDescent="0.2">
      <c r="A926" s="2">
        <v>45541</v>
      </c>
      <c r="B926" s="1" t="s">
        <v>0</v>
      </c>
      <c r="C926" s="3">
        <v>219.584</v>
      </c>
    </row>
    <row r="927" spans="1:3" x14ac:dyDescent="0.2">
      <c r="A927" s="2">
        <v>45544</v>
      </c>
      <c r="B927" s="1" t="s">
        <v>0</v>
      </c>
      <c r="C927" s="3">
        <v>219.673</v>
      </c>
    </row>
    <row r="928" spans="1:3" x14ac:dyDescent="0.2">
      <c r="A928" s="2">
        <v>45545</v>
      </c>
      <c r="B928" s="1" t="s">
        <v>0</v>
      </c>
      <c r="C928" s="3">
        <v>218.87799999999999</v>
      </c>
    </row>
    <row r="929" spans="1:3" x14ac:dyDescent="0.2">
      <c r="A929" s="2">
        <v>45546</v>
      </c>
      <c r="B929" s="1" t="s">
        <v>0</v>
      </c>
      <c r="C929" s="3">
        <v>221.41300000000001</v>
      </c>
    </row>
    <row r="930" spans="1:3" x14ac:dyDescent="0.2">
      <c r="A930" s="2">
        <v>45547</v>
      </c>
      <c r="B930" s="1" t="s">
        <v>0</v>
      </c>
      <c r="C930" s="3">
        <v>221.523</v>
      </c>
    </row>
    <row r="931" spans="1:3" x14ac:dyDescent="0.2">
      <c r="A931" s="2">
        <v>45548</v>
      </c>
      <c r="B931" s="1" t="s">
        <v>0</v>
      </c>
      <c r="C931" s="3">
        <v>221.255</v>
      </c>
    </row>
    <row r="932" spans="1:3" x14ac:dyDescent="0.2">
      <c r="A932" s="2">
        <v>45551</v>
      </c>
      <c r="B932" s="1" t="s">
        <v>0</v>
      </c>
      <c r="C932" s="3">
        <v>215.10900000000001</v>
      </c>
    </row>
    <row r="933" spans="1:3" x14ac:dyDescent="0.2">
      <c r="A933" s="2">
        <v>45552</v>
      </c>
      <c r="B933" s="1" t="s">
        <v>0</v>
      </c>
      <c r="C933" s="3">
        <v>215.577</v>
      </c>
    </row>
    <row r="934" spans="1:3" x14ac:dyDescent="0.2">
      <c r="A934" s="2">
        <v>45553</v>
      </c>
      <c r="B934" s="1" t="s">
        <v>0</v>
      </c>
      <c r="C934" s="3">
        <v>219.45500000000001</v>
      </c>
    </row>
    <row r="935" spans="1:3" x14ac:dyDescent="0.2">
      <c r="A935" s="2">
        <v>45554</v>
      </c>
      <c r="B935" s="1" t="s">
        <v>0</v>
      </c>
      <c r="C935" s="3">
        <v>227.58799999999999</v>
      </c>
    </row>
    <row r="936" spans="1:3" x14ac:dyDescent="0.2">
      <c r="A936" s="2">
        <v>45555</v>
      </c>
      <c r="B936" s="1" t="s">
        <v>0</v>
      </c>
      <c r="C936" s="3">
        <v>226.923</v>
      </c>
    </row>
    <row r="937" spans="1:3" x14ac:dyDescent="0.2">
      <c r="A937" s="2">
        <v>45558</v>
      </c>
      <c r="B937" s="1" t="s">
        <v>0</v>
      </c>
      <c r="C937" s="3">
        <v>225.203</v>
      </c>
    </row>
    <row r="938" spans="1:3" x14ac:dyDescent="0.2">
      <c r="A938" s="2">
        <v>45559</v>
      </c>
      <c r="B938" s="1" t="s">
        <v>0</v>
      </c>
      <c r="C938" s="3">
        <v>226.09800000000001</v>
      </c>
    </row>
    <row r="939" spans="1:3" x14ac:dyDescent="0.2">
      <c r="A939" s="2">
        <v>45560</v>
      </c>
      <c r="B939" s="1" t="s">
        <v>0</v>
      </c>
      <c r="C939" s="3">
        <v>225.10300000000001</v>
      </c>
    </row>
    <row r="940" spans="1:3" x14ac:dyDescent="0.2">
      <c r="A940" s="2">
        <v>45561</v>
      </c>
      <c r="B940" s="1" t="s">
        <v>0</v>
      </c>
      <c r="C940" s="3">
        <v>226.24700000000001</v>
      </c>
    </row>
    <row r="941" spans="1:3" x14ac:dyDescent="0.2">
      <c r="A941" s="2">
        <v>45562</v>
      </c>
      <c r="B941" s="1" t="s">
        <v>0</v>
      </c>
      <c r="C941" s="3">
        <v>226.51499999999999</v>
      </c>
    </row>
    <row r="942" spans="1:3" x14ac:dyDescent="0.2">
      <c r="A942" s="2">
        <v>45565</v>
      </c>
      <c r="B942" s="1" t="s">
        <v>0</v>
      </c>
      <c r="C942" s="3">
        <v>231.696</v>
      </c>
    </row>
    <row r="943" spans="1:3" x14ac:dyDescent="0.2">
      <c r="A943" s="2">
        <v>45566</v>
      </c>
      <c r="B943" s="1" t="s">
        <v>0</v>
      </c>
      <c r="C943" s="3">
        <v>224.94300000000001</v>
      </c>
    </row>
    <row r="944" spans="1:3" x14ac:dyDescent="0.2">
      <c r="A944" s="2">
        <v>45567</v>
      </c>
      <c r="B944" s="1" t="s">
        <v>0</v>
      </c>
      <c r="C944" s="3">
        <v>225.511</v>
      </c>
    </row>
    <row r="945" spans="1:3" x14ac:dyDescent="0.2">
      <c r="A945" s="2">
        <v>45568</v>
      </c>
      <c r="B945" s="1" t="s">
        <v>0</v>
      </c>
      <c r="C945" s="3">
        <v>224.40600000000001</v>
      </c>
    </row>
    <row r="946" spans="1:3" x14ac:dyDescent="0.2">
      <c r="A946" s="2">
        <v>45569</v>
      </c>
      <c r="B946" s="1" t="s">
        <v>0</v>
      </c>
      <c r="C946" s="3">
        <v>225.53100000000001</v>
      </c>
    </row>
    <row r="947" spans="1:3" x14ac:dyDescent="0.2">
      <c r="A947" s="2">
        <v>45572</v>
      </c>
      <c r="B947" s="1" t="s">
        <v>0</v>
      </c>
      <c r="C947" s="3">
        <v>220.44900000000001</v>
      </c>
    </row>
    <row r="948" spans="1:3" x14ac:dyDescent="0.2">
      <c r="A948" s="2">
        <v>45573</v>
      </c>
      <c r="B948" s="1" t="s">
        <v>0</v>
      </c>
      <c r="C948" s="3">
        <v>224.506</v>
      </c>
    </row>
    <row r="949" spans="1:3" x14ac:dyDescent="0.2">
      <c r="A949" s="2">
        <v>45574</v>
      </c>
      <c r="B949" s="1" t="s">
        <v>0</v>
      </c>
      <c r="C949" s="3">
        <v>228.256</v>
      </c>
    </row>
    <row r="950" spans="1:3" x14ac:dyDescent="0.2">
      <c r="A950" s="2">
        <v>45575</v>
      </c>
      <c r="B950" s="1" t="s">
        <v>0</v>
      </c>
      <c r="C950" s="3">
        <v>227.75800000000001</v>
      </c>
    </row>
    <row r="951" spans="1:3" x14ac:dyDescent="0.2">
      <c r="A951" s="2">
        <v>45576</v>
      </c>
      <c r="B951" s="1" t="s">
        <v>0</v>
      </c>
      <c r="C951" s="3">
        <v>226.27699999999999</v>
      </c>
    </row>
    <row r="952" spans="1:3" x14ac:dyDescent="0.2">
      <c r="A952" s="2">
        <v>45579</v>
      </c>
      <c r="B952" s="1" t="s">
        <v>0</v>
      </c>
      <c r="C952" s="3">
        <v>230.006</v>
      </c>
    </row>
    <row r="953" spans="1:3" x14ac:dyDescent="0.2">
      <c r="A953" s="2">
        <v>45580</v>
      </c>
      <c r="B953" s="1" t="s">
        <v>0</v>
      </c>
      <c r="C953" s="3">
        <v>232.541</v>
      </c>
    </row>
    <row r="954" spans="1:3" x14ac:dyDescent="0.2">
      <c r="A954" s="2">
        <v>45581</v>
      </c>
      <c r="B954" s="1" t="s">
        <v>0</v>
      </c>
      <c r="C954" s="3">
        <v>230.483</v>
      </c>
    </row>
    <row r="955" spans="1:3" x14ac:dyDescent="0.2">
      <c r="A955" s="2">
        <v>45582</v>
      </c>
      <c r="B955" s="1" t="s">
        <v>0</v>
      </c>
      <c r="C955" s="3">
        <v>230.851</v>
      </c>
    </row>
    <row r="956" spans="1:3" x14ac:dyDescent="0.2">
      <c r="A956" s="2">
        <v>45583</v>
      </c>
      <c r="B956" s="1" t="s">
        <v>0</v>
      </c>
      <c r="C956" s="3">
        <v>233.685</v>
      </c>
    </row>
    <row r="957" spans="1:3" x14ac:dyDescent="0.2">
      <c r="A957" s="2">
        <v>45586</v>
      </c>
      <c r="B957" s="1" t="s">
        <v>0</v>
      </c>
      <c r="C957" s="3">
        <v>235.15700000000001</v>
      </c>
    </row>
    <row r="958" spans="1:3" x14ac:dyDescent="0.2">
      <c r="A958" s="2">
        <v>45587</v>
      </c>
      <c r="B958" s="1" t="s">
        <v>0</v>
      </c>
      <c r="C958" s="3">
        <v>234.541</v>
      </c>
    </row>
    <row r="959" spans="1:3" x14ac:dyDescent="0.2">
      <c r="A959" s="2">
        <v>45588</v>
      </c>
      <c r="B959" s="1" t="s">
        <v>0</v>
      </c>
      <c r="C959" s="3">
        <v>229.46799999999999</v>
      </c>
    </row>
    <row r="960" spans="1:3" x14ac:dyDescent="0.2">
      <c r="A960" s="2">
        <v>45589</v>
      </c>
      <c r="B960" s="1" t="s">
        <v>0</v>
      </c>
      <c r="C960" s="3">
        <v>229.28100000000001</v>
      </c>
    </row>
    <row r="961" spans="1:3" x14ac:dyDescent="0.2">
      <c r="A961" s="2">
        <v>45590</v>
      </c>
      <c r="B961" s="1" t="s">
        <v>0</v>
      </c>
      <c r="C961" s="3">
        <v>230.11600000000001</v>
      </c>
    </row>
    <row r="962" spans="1:3" x14ac:dyDescent="0.2">
      <c r="A962" s="2">
        <v>45593</v>
      </c>
      <c r="B962" s="1" t="s">
        <v>0</v>
      </c>
      <c r="C962" s="3">
        <v>232.09299999999999</v>
      </c>
    </row>
    <row r="963" spans="1:3" x14ac:dyDescent="0.2">
      <c r="A963" s="2">
        <v>45594</v>
      </c>
      <c r="B963" s="1" t="s">
        <v>0</v>
      </c>
      <c r="C963" s="3">
        <v>232.363</v>
      </c>
    </row>
    <row r="964" spans="1:3" x14ac:dyDescent="0.2">
      <c r="A964" s="2">
        <v>45595</v>
      </c>
      <c r="B964" s="1" t="s">
        <v>0</v>
      </c>
      <c r="C964" s="3">
        <v>228.81200000000001</v>
      </c>
    </row>
    <row r="965" spans="1:3" x14ac:dyDescent="0.2">
      <c r="A965" s="2">
        <v>45596</v>
      </c>
      <c r="B965" s="1" t="s">
        <v>0</v>
      </c>
      <c r="C965" s="3">
        <v>224.64599999999999</v>
      </c>
    </row>
    <row r="966" spans="1:3" x14ac:dyDescent="0.2">
      <c r="A966" s="2">
        <v>45597</v>
      </c>
      <c r="B966" s="1" t="s">
        <v>0</v>
      </c>
      <c r="C966" s="3">
        <v>221.66200000000001</v>
      </c>
    </row>
    <row r="967" spans="1:3" x14ac:dyDescent="0.2">
      <c r="A967" s="2">
        <v>45600</v>
      </c>
      <c r="B967" s="1" t="s">
        <v>0</v>
      </c>
      <c r="C967" s="3">
        <v>220.767</v>
      </c>
    </row>
    <row r="968" spans="1:3" x14ac:dyDescent="0.2">
      <c r="A968" s="2">
        <v>45601</v>
      </c>
      <c r="B968" s="1" t="s">
        <v>0</v>
      </c>
      <c r="C968" s="3">
        <v>222.2</v>
      </c>
    </row>
    <row r="969" spans="1:3" x14ac:dyDescent="0.2">
      <c r="A969" s="2">
        <v>45602</v>
      </c>
      <c r="B969" s="1" t="s">
        <v>0</v>
      </c>
      <c r="C969" s="3">
        <v>221.47300000000001</v>
      </c>
    </row>
    <row r="970" spans="1:3" x14ac:dyDescent="0.2">
      <c r="A970" s="2">
        <v>45603</v>
      </c>
      <c r="B970" s="1" t="s">
        <v>0</v>
      </c>
      <c r="C970" s="3">
        <v>226.20699999999999</v>
      </c>
    </row>
    <row r="971" spans="1:3" x14ac:dyDescent="0.2">
      <c r="A971" s="2">
        <v>45604</v>
      </c>
      <c r="B971" s="1" t="s">
        <v>0</v>
      </c>
      <c r="C971" s="3">
        <v>225.93799999999999</v>
      </c>
    </row>
    <row r="972" spans="1:3" x14ac:dyDescent="0.2">
      <c r="A972" s="2">
        <v>45607</v>
      </c>
      <c r="B972" s="1" t="s">
        <v>0</v>
      </c>
      <c r="C972" s="3">
        <v>223.221</v>
      </c>
    </row>
    <row r="973" spans="1:3" x14ac:dyDescent="0.2">
      <c r="A973" s="2">
        <v>45608</v>
      </c>
      <c r="B973" s="1" t="s">
        <v>0</v>
      </c>
      <c r="C973" s="3">
        <v>223.221</v>
      </c>
    </row>
    <row r="974" spans="1:3" x14ac:dyDescent="0.2">
      <c r="A974" s="2">
        <v>45609</v>
      </c>
      <c r="B974" s="1" t="s">
        <v>0</v>
      </c>
      <c r="C974" s="3">
        <v>224.107</v>
      </c>
    </row>
    <row r="975" spans="1:3" x14ac:dyDescent="0.2">
      <c r="A975" s="2">
        <v>45610</v>
      </c>
      <c r="B975" s="1" t="s">
        <v>0</v>
      </c>
      <c r="C975" s="3">
        <v>227.19200000000001</v>
      </c>
    </row>
    <row r="976" spans="1:3" x14ac:dyDescent="0.2">
      <c r="A976" s="2">
        <v>45611</v>
      </c>
      <c r="B976" s="1" t="s">
        <v>0</v>
      </c>
      <c r="C976" s="3">
        <v>223.988</v>
      </c>
    </row>
    <row r="977" spans="1:3" x14ac:dyDescent="0.2">
      <c r="A977" s="2">
        <v>45614</v>
      </c>
      <c r="B977" s="1" t="s">
        <v>0</v>
      </c>
      <c r="C977" s="3">
        <v>226.994</v>
      </c>
    </row>
    <row r="978" spans="1:3" x14ac:dyDescent="0.2">
      <c r="A978" s="2">
        <v>45615</v>
      </c>
      <c r="B978" s="1" t="s">
        <v>0</v>
      </c>
      <c r="C978" s="3">
        <v>227.25200000000001</v>
      </c>
    </row>
    <row r="979" spans="1:3" x14ac:dyDescent="0.2">
      <c r="A979" s="2">
        <v>45616</v>
      </c>
      <c r="B979" s="1" t="s">
        <v>0</v>
      </c>
      <c r="C979" s="3">
        <v>227.96799999999999</v>
      </c>
    </row>
    <row r="980" spans="1:3" x14ac:dyDescent="0.2">
      <c r="A980" s="2">
        <v>45617</v>
      </c>
      <c r="B980" s="1" t="s">
        <v>0</v>
      </c>
      <c r="C980" s="3">
        <v>227.49100000000001</v>
      </c>
    </row>
    <row r="981" spans="1:3" x14ac:dyDescent="0.2">
      <c r="A981" s="2">
        <v>45618</v>
      </c>
      <c r="B981" s="1" t="s">
        <v>0</v>
      </c>
      <c r="C981" s="3">
        <v>228.83500000000001</v>
      </c>
    </row>
    <row r="982" spans="1:3" x14ac:dyDescent="0.2">
      <c r="A982" s="2">
        <v>45621</v>
      </c>
      <c r="B982" s="1" t="s">
        <v>0</v>
      </c>
      <c r="C982" s="3">
        <v>231.821</v>
      </c>
    </row>
    <row r="983" spans="1:3" x14ac:dyDescent="0.2">
      <c r="A983" s="2">
        <v>45622</v>
      </c>
      <c r="B983" s="1" t="s">
        <v>0</v>
      </c>
      <c r="C983" s="3">
        <v>234.001</v>
      </c>
    </row>
    <row r="984" spans="1:3" x14ac:dyDescent="0.2">
      <c r="A984" s="2">
        <v>45623</v>
      </c>
      <c r="B984" s="1" t="s">
        <v>0</v>
      </c>
      <c r="C984" s="3">
        <v>233.87200000000001</v>
      </c>
    </row>
    <row r="985" spans="1:3" x14ac:dyDescent="0.2">
      <c r="A985" s="2">
        <v>45625</v>
      </c>
      <c r="B985" s="1" t="s">
        <v>0</v>
      </c>
      <c r="C985" s="3">
        <v>236.262</v>
      </c>
    </row>
    <row r="986" spans="1:3" x14ac:dyDescent="0.2">
      <c r="A986" s="2">
        <v>45628</v>
      </c>
      <c r="B986" s="1" t="s">
        <v>0</v>
      </c>
      <c r="C986" s="3">
        <v>238.512</v>
      </c>
    </row>
    <row r="987" spans="1:3" x14ac:dyDescent="0.2">
      <c r="A987" s="2">
        <v>45629</v>
      </c>
      <c r="B987" s="1" t="s">
        <v>0</v>
      </c>
      <c r="C987" s="3">
        <v>241.559</v>
      </c>
    </row>
    <row r="988" spans="1:3" x14ac:dyDescent="0.2">
      <c r="A988" s="2">
        <v>45630</v>
      </c>
      <c r="B988" s="1" t="s">
        <v>0</v>
      </c>
      <c r="C988" s="3">
        <v>241.91499999999999</v>
      </c>
    </row>
    <row r="989" spans="1:3" x14ac:dyDescent="0.2">
      <c r="A989" s="2">
        <v>45631</v>
      </c>
      <c r="B989" s="1" t="s">
        <v>0</v>
      </c>
      <c r="C989" s="3">
        <v>241.94499999999999</v>
      </c>
    </row>
    <row r="990" spans="1:3" x14ac:dyDescent="0.2">
      <c r="A990" s="2">
        <v>45632</v>
      </c>
      <c r="B990" s="1" t="s">
        <v>0</v>
      </c>
      <c r="C990" s="3">
        <v>241.74600000000001</v>
      </c>
    </row>
    <row r="991" spans="1:3" x14ac:dyDescent="0.2">
      <c r="A991" s="2">
        <v>45635</v>
      </c>
      <c r="B991" s="1" t="s">
        <v>0</v>
      </c>
      <c r="C991" s="3">
        <v>245.63900000000001</v>
      </c>
    </row>
    <row r="992" spans="1:3" x14ac:dyDescent="0.2">
      <c r="A992" s="2">
        <v>45636</v>
      </c>
      <c r="B992" s="1" t="s">
        <v>0</v>
      </c>
      <c r="C992" s="3">
        <v>246.655</v>
      </c>
    </row>
    <row r="993" spans="1:3" x14ac:dyDescent="0.2">
      <c r="A993" s="2">
        <v>45637</v>
      </c>
      <c r="B993" s="1" t="s">
        <v>0</v>
      </c>
      <c r="C993" s="3">
        <v>245.38</v>
      </c>
    </row>
    <row r="994" spans="1:3" x14ac:dyDescent="0.2">
      <c r="A994" s="2">
        <v>45638</v>
      </c>
      <c r="B994" s="1" t="s">
        <v>0</v>
      </c>
      <c r="C994" s="3">
        <v>246.845</v>
      </c>
    </row>
    <row r="995" spans="1:3" x14ac:dyDescent="0.2">
      <c r="A995" s="2">
        <v>45639</v>
      </c>
      <c r="B995" s="1" t="s">
        <v>0</v>
      </c>
      <c r="C995" s="3">
        <v>247.012</v>
      </c>
    </row>
    <row r="996" spans="1:3" x14ac:dyDescent="0.2">
      <c r="A996" s="2">
        <v>45642</v>
      </c>
      <c r="B996" s="1" t="s">
        <v>0</v>
      </c>
      <c r="C996" s="3">
        <v>249.91</v>
      </c>
    </row>
    <row r="997" spans="1:3" x14ac:dyDescent="0.2">
      <c r="A997" s="2">
        <v>45643</v>
      </c>
      <c r="B997" s="1" t="s">
        <v>0</v>
      </c>
      <c r="C997" s="3">
        <v>252.33799999999999</v>
      </c>
    </row>
    <row r="998" spans="1:3" x14ac:dyDescent="0.2">
      <c r="A998" s="2">
        <v>45644</v>
      </c>
      <c r="B998" s="1" t="s">
        <v>0</v>
      </c>
      <c r="C998" s="3">
        <v>246.934</v>
      </c>
    </row>
    <row r="999" spans="1:3" x14ac:dyDescent="0.2">
      <c r="A999" s="2">
        <v>45645</v>
      </c>
      <c r="B999" s="1" t="s">
        <v>0</v>
      </c>
      <c r="C999" s="3">
        <v>248.666</v>
      </c>
    </row>
    <row r="1000" spans="1:3" x14ac:dyDescent="0.2">
      <c r="A1000" s="2">
        <v>45646</v>
      </c>
      <c r="B1000" s="1" t="s">
        <v>0</v>
      </c>
      <c r="C1000" s="3">
        <v>253.34399999999999</v>
      </c>
    </row>
    <row r="1001" spans="1:3" x14ac:dyDescent="0.2">
      <c r="A1001" s="2">
        <v>45649</v>
      </c>
      <c r="B1001" s="1" t="s">
        <v>0</v>
      </c>
      <c r="C1001" s="3">
        <v>254.12100000000001</v>
      </c>
    </row>
    <row r="1002" spans="1:3" x14ac:dyDescent="0.2">
      <c r="A1002" s="2">
        <v>45650</v>
      </c>
      <c r="B1002" s="1" t="s">
        <v>0</v>
      </c>
      <c r="C1002" s="3">
        <v>257.03699999999998</v>
      </c>
    </row>
    <row r="1003" spans="1:3" x14ac:dyDescent="0.2">
      <c r="A1003" s="2">
        <v>45652</v>
      </c>
      <c r="B1003" s="1" t="s">
        <v>0</v>
      </c>
      <c r="C1003" s="3">
        <v>257.85399999999998</v>
      </c>
    </row>
    <row r="1004" spans="1:3" x14ac:dyDescent="0.2">
      <c r="A1004" s="2">
        <v>45653</v>
      </c>
      <c r="B1004" s="1" t="s">
        <v>0</v>
      </c>
      <c r="C1004" s="3">
        <v>254.43899999999999</v>
      </c>
    </row>
    <row r="1005" spans="1:3" x14ac:dyDescent="0.2">
      <c r="A1005" s="2">
        <v>45656</v>
      </c>
      <c r="B1005" s="1" t="s">
        <v>0</v>
      </c>
      <c r="C1005" s="3">
        <v>251.065</v>
      </c>
    </row>
    <row r="1006" spans="1:3" x14ac:dyDescent="0.2">
      <c r="A1006" s="2">
        <v>45657</v>
      </c>
      <c r="B1006" s="1" t="s">
        <v>0</v>
      </c>
      <c r="C1006" s="3">
        <v>249.292</v>
      </c>
    </row>
    <row r="1007" spans="1:3" x14ac:dyDescent="0.2">
      <c r="A1007" s="2">
        <v>45659</v>
      </c>
      <c r="B1007" s="1" t="s">
        <v>0</v>
      </c>
      <c r="C1007" s="3">
        <v>242.75200000000001</v>
      </c>
    </row>
    <row r="1008" spans="1:3" x14ac:dyDescent="0.2">
      <c r="A1008" s="2">
        <v>45660</v>
      </c>
      <c r="B1008" s="1" t="s">
        <v>0</v>
      </c>
      <c r="C1008" s="3">
        <v>242.26499999999999</v>
      </c>
    </row>
    <row r="1009" spans="1:3" x14ac:dyDescent="0.2">
      <c r="A1009" s="2">
        <v>45663</v>
      </c>
      <c r="B1009" s="1" t="s">
        <v>0</v>
      </c>
      <c r="C1009" s="3">
        <v>243.89699999999999</v>
      </c>
    </row>
    <row r="1010" spans="1:3" x14ac:dyDescent="0.2">
      <c r="A1010" s="2">
        <v>45664</v>
      </c>
      <c r="B1010" s="1" t="s">
        <v>0</v>
      </c>
      <c r="C1010" s="3">
        <v>241.119</v>
      </c>
    </row>
    <row r="1011" spans="1:3" x14ac:dyDescent="0.2">
      <c r="A1011" s="2">
        <v>45665</v>
      </c>
      <c r="B1011" s="1" t="s">
        <v>0</v>
      </c>
      <c r="C1011" s="3">
        <v>241.608</v>
      </c>
    </row>
    <row r="1012" spans="1:3" x14ac:dyDescent="0.2">
      <c r="A1012" s="2">
        <v>45667</v>
      </c>
      <c r="B1012" s="1" t="s">
        <v>0</v>
      </c>
      <c r="C1012" s="3">
        <v>235.78299999999999</v>
      </c>
    </row>
    <row r="1013" spans="1:3" x14ac:dyDescent="0.2">
      <c r="A1013" s="2">
        <v>45670</v>
      </c>
      <c r="B1013" s="1" t="s">
        <v>0</v>
      </c>
      <c r="C1013" s="3">
        <v>233.345</v>
      </c>
    </row>
    <row r="1014" spans="1:3" x14ac:dyDescent="0.2">
      <c r="A1014" s="2">
        <v>45671</v>
      </c>
      <c r="B1014" s="1" t="s">
        <v>0</v>
      </c>
      <c r="C1014" s="3">
        <v>232.23</v>
      </c>
    </row>
    <row r="1015" spans="1:3" x14ac:dyDescent="0.2">
      <c r="A1015" s="2">
        <v>45672</v>
      </c>
      <c r="B1015" s="1" t="s">
        <v>0</v>
      </c>
      <c r="C1015" s="3">
        <v>236.79900000000001</v>
      </c>
    </row>
    <row r="1016" spans="1:3" x14ac:dyDescent="0.2">
      <c r="A1016" s="2">
        <v>45673</v>
      </c>
      <c r="B1016" s="1" t="s">
        <v>0</v>
      </c>
      <c r="C1016" s="3">
        <v>227.232</v>
      </c>
    </row>
    <row r="1017" spans="1:3" x14ac:dyDescent="0.2">
      <c r="A1017" s="2">
        <v>45674</v>
      </c>
      <c r="B1017" s="1" t="s">
        <v>0</v>
      </c>
      <c r="C1017" s="3">
        <v>228.94399999999999</v>
      </c>
    </row>
    <row r="1018" spans="1:3" x14ac:dyDescent="0.2">
      <c r="A1018" s="2">
        <v>45678</v>
      </c>
      <c r="B1018" s="1" t="s">
        <v>0</v>
      </c>
      <c r="C1018" s="3">
        <v>221.637</v>
      </c>
    </row>
    <row r="1019" spans="1:3" x14ac:dyDescent="0.2">
      <c r="A1019" s="2">
        <v>45679</v>
      </c>
      <c r="B1019" s="1" t="s">
        <v>0</v>
      </c>
      <c r="C1019" s="3">
        <v>222.822</v>
      </c>
    </row>
    <row r="1020" spans="1:3" x14ac:dyDescent="0.2">
      <c r="A1020" s="2">
        <v>45680</v>
      </c>
      <c r="B1020" s="1" t="s">
        <v>0</v>
      </c>
      <c r="C1020" s="3">
        <v>222.65199999999999</v>
      </c>
    </row>
    <row r="1021" spans="1:3" x14ac:dyDescent="0.2">
      <c r="A1021" s="2">
        <v>45681</v>
      </c>
      <c r="B1021" s="1" t="s">
        <v>0</v>
      </c>
      <c r="C1021" s="3">
        <v>221.77699999999999</v>
      </c>
    </row>
    <row r="1022" spans="1:3" x14ac:dyDescent="0.2">
      <c r="A1022" s="2">
        <v>45684</v>
      </c>
      <c r="B1022" s="1" t="s">
        <v>0</v>
      </c>
      <c r="C1022" s="3">
        <v>228.82499999999999</v>
      </c>
    </row>
    <row r="1023" spans="1:3" x14ac:dyDescent="0.2">
      <c r="A1023" s="2">
        <v>45685</v>
      </c>
      <c r="B1023" s="1" t="s">
        <v>0</v>
      </c>
      <c r="C1023" s="3">
        <v>237.18700000000001</v>
      </c>
    </row>
    <row r="1024" spans="1:3" x14ac:dyDescent="0.2">
      <c r="A1024" s="2">
        <v>45686</v>
      </c>
      <c r="B1024" s="1" t="s">
        <v>0</v>
      </c>
      <c r="C1024" s="3">
        <v>238.28200000000001</v>
      </c>
    </row>
    <row r="1025" spans="1:3" x14ac:dyDescent="0.2">
      <c r="A1025" s="2">
        <v>45687</v>
      </c>
      <c r="B1025" s="1" t="s">
        <v>0</v>
      </c>
      <c r="C1025" s="3">
        <v>236.52</v>
      </c>
    </row>
    <row r="1026" spans="1:3" x14ac:dyDescent="0.2">
      <c r="A1026" s="2">
        <v>45688</v>
      </c>
      <c r="B1026" s="1" t="s">
        <v>0</v>
      </c>
      <c r="C1026" s="3">
        <v>234.93700000000001</v>
      </c>
    </row>
    <row r="1027" spans="1:3" x14ac:dyDescent="0.2">
      <c r="A1027" s="2">
        <v>45691</v>
      </c>
      <c r="B1027" s="1" t="s">
        <v>0</v>
      </c>
      <c r="C1027" s="3">
        <v>226.98400000000001</v>
      </c>
    </row>
    <row r="1028" spans="1:3" x14ac:dyDescent="0.2">
      <c r="A1028" s="2">
        <v>45692</v>
      </c>
      <c r="B1028" s="1" t="s">
        <v>0</v>
      </c>
      <c r="C1028" s="3">
        <v>231.751</v>
      </c>
    </row>
    <row r="1029" spans="1:3" x14ac:dyDescent="0.2">
      <c r="A1029" s="2">
        <v>45693</v>
      </c>
      <c r="B1029" s="1" t="s">
        <v>0</v>
      </c>
      <c r="C1029" s="3">
        <v>231.42400000000001</v>
      </c>
    </row>
    <row r="1030" spans="1:3" x14ac:dyDescent="0.2">
      <c r="A1030" s="2">
        <v>45694</v>
      </c>
      <c r="B1030" s="1" t="s">
        <v>0</v>
      </c>
      <c r="C1030" s="3">
        <v>232.17</v>
      </c>
    </row>
    <row r="1031" spans="1:3" x14ac:dyDescent="0.2">
      <c r="A1031" s="2">
        <v>45695</v>
      </c>
      <c r="B1031" s="1" t="s">
        <v>0</v>
      </c>
      <c r="C1031" s="3">
        <v>226.60499999999999</v>
      </c>
    </row>
    <row r="1032" spans="1:3" x14ac:dyDescent="0.2">
      <c r="A1032" s="2">
        <v>45698</v>
      </c>
      <c r="B1032" s="1" t="s">
        <v>0</v>
      </c>
      <c r="C1032" s="3">
        <v>226.874</v>
      </c>
    </row>
    <row r="1033" spans="1:3" x14ac:dyDescent="0.2">
      <c r="A1033" s="2">
        <v>45699</v>
      </c>
      <c r="B1033" s="1" t="s">
        <v>0</v>
      </c>
      <c r="C1033" s="3">
        <v>231.827</v>
      </c>
    </row>
    <row r="1034" spans="1:3" x14ac:dyDescent="0.2">
      <c r="A1034" s="2">
        <v>45700</v>
      </c>
      <c r="B1034" s="1" t="s">
        <v>0</v>
      </c>
      <c r="C1034" s="3">
        <v>236.06299999999999</v>
      </c>
    </row>
    <row r="1035" spans="1:3" x14ac:dyDescent="0.2">
      <c r="A1035" s="2">
        <v>45701</v>
      </c>
      <c r="B1035" s="1" t="s">
        <v>0</v>
      </c>
      <c r="C1035" s="3">
        <v>240.708</v>
      </c>
    </row>
    <row r="1036" spans="1:3" x14ac:dyDescent="0.2">
      <c r="A1036" s="2">
        <v>45702</v>
      </c>
      <c r="B1036" s="1" t="s">
        <v>0</v>
      </c>
      <c r="C1036" s="3">
        <v>243.767</v>
      </c>
    </row>
    <row r="1037" spans="1:3" x14ac:dyDescent="0.2">
      <c r="A1037" s="2">
        <v>45706</v>
      </c>
      <c r="B1037" s="1" t="s">
        <v>0</v>
      </c>
      <c r="C1037" s="3">
        <v>243.637</v>
      </c>
    </row>
    <row r="1038" spans="1:3" x14ac:dyDescent="0.2">
      <c r="A1038" s="2">
        <v>45707</v>
      </c>
      <c r="B1038" s="1" t="s">
        <v>0</v>
      </c>
      <c r="C1038" s="3">
        <v>244.035</v>
      </c>
    </row>
    <row r="1039" spans="1:3" x14ac:dyDescent="0.2">
      <c r="A1039" s="2">
        <v>45708</v>
      </c>
      <c r="B1039" s="1" t="s">
        <v>0</v>
      </c>
      <c r="C1039" s="3">
        <v>244.99299999999999</v>
      </c>
    </row>
    <row r="1040" spans="1:3" x14ac:dyDescent="0.2">
      <c r="A1040" s="2">
        <v>45709</v>
      </c>
      <c r="B1040" s="1" t="s">
        <v>0</v>
      </c>
      <c r="C1040" s="3">
        <v>244.71299999999999</v>
      </c>
    </row>
    <row r="1041" spans="1:3" x14ac:dyDescent="0.2">
      <c r="A1041" s="2">
        <v>45712</v>
      </c>
      <c r="B1041" s="1" t="s">
        <v>0</v>
      </c>
      <c r="C1041" s="3">
        <v>246.32900000000001</v>
      </c>
    </row>
    <row r="1042" spans="1:3" x14ac:dyDescent="0.2">
      <c r="A1042" s="2">
        <v>45713</v>
      </c>
      <c r="B1042" s="1" t="s">
        <v>0</v>
      </c>
      <c r="C1042" s="3">
        <v>246.197</v>
      </c>
    </row>
    <row r="1043" spans="1:3" x14ac:dyDescent="0.2">
      <c r="A1043" s="2">
        <v>45714</v>
      </c>
      <c r="B1043" s="1" t="s">
        <v>0</v>
      </c>
      <c r="C1043" s="3">
        <v>239.541</v>
      </c>
    </row>
    <row r="1044" spans="1:3" x14ac:dyDescent="0.2">
      <c r="A1044" s="2">
        <v>45715</v>
      </c>
      <c r="B1044" s="1" t="s">
        <v>0</v>
      </c>
      <c r="C1044" s="3">
        <v>236.49100000000001</v>
      </c>
    </row>
    <row r="1045" spans="1:3" x14ac:dyDescent="0.2">
      <c r="A1045" s="2">
        <v>45716</v>
      </c>
      <c r="B1045" s="1" t="s">
        <v>0</v>
      </c>
      <c r="C1045" s="3">
        <v>241.01499999999999</v>
      </c>
    </row>
    <row r="1046" spans="1:3" x14ac:dyDescent="0.2">
      <c r="A1046" s="2">
        <v>45719</v>
      </c>
      <c r="B1046" s="1" t="s">
        <v>0</v>
      </c>
      <c r="C1046" s="3">
        <v>237.21899999999999</v>
      </c>
    </row>
    <row r="1047" spans="1:3" x14ac:dyDescent="0.2">
      <c r="A1047" s="2">
        <v>45720</v>
      </c>
      <c r="B1047" s="1" t="s">
        <v>0</v>
      </c>
      <c r="C1047" s="3">
        <v>235.126</v>
      </c>
    </row>
    <row r="1048" spans="1:3" x14ac:dyDescent="0.2">
      <c r="A1048" s="2">
        <v>45721</v>
      </c>
      <c r="B1048" s="1" t="s">
        <v>0</v>
      </c>
      <c r="C1048" s="3">
        <v>234.93600000000001</v>
      </c>
    </row>
    <row r="1049" spans="1:3" x14ac:dyDescent="0.2">
      <c r="A1049" s="2">
        <v>45722</v>
      </c>
      <c r="B1049" s="1" t="s">
        <v>0</v>
      </c>
      <c r="C1049" s="3">
        <v>234.529</v>
      </c>
    </row>
    <row r="1050" spans="1:3" x14ac:dyDescent="0.2">
      <c r="A1050" s="2">
        <v>45723</v>
      </c>
      <c r="B1050" s="1" t="s">
        <v>0</v>
      </c>
      <c r="C1050" s="3">
        <v>238.255</v>
      </c>
    </row>
    <row r="1051" spans="1:3" x14ac:dyDescent="0.2">
      <c r="A1051" s="2">
        <v>45726</v>
      </c>
      <c r="B1051" s="1" t="s">
        <v>0</v>
      </c>
      <c r="C1051" s="3">
        <v>226.70400000000001</v>
      </c>
    </row>
    <row r="1052" spans="1:3" x14ac:dyDescent="0.2">
      <c r="A1052" s="2">
        <v>45727</v>
      </c>
      <c r="B1052" s="1" t="s">
        <v>0</v>
      </c>
      <c r="C1052" s="3">
        <v>220.08799999999999</v>
      </c>
    </row>
    <row r="1053" spans="1:3" x14ac:dyDescent="0.2">
      <c r="A1053" s="2">
        <v>45728</v>
      </c>
      <c r="B1053" s="1" t="s">
        <v>0</v>
      </c>
      <c r="C1053" s="3">
        <v>216.24</v>
      </c>
    </row>
    <row r="1054" spans="1:3" x14ac:dyDescent="0.2">
      <c r="A1054" s="2">
        <v>45729</v>
      </c>
      <c r="B1054" s="1" t="s">
        <v>0</v>
      </c>
      <c r="C1054" s="3">
        <v>208.965</v>
      </c>
    </row>
    <row r="1055" spans="1:3" x14ac:dyDescent="0.2">
      <c r="A1055" s="2">
        <v>45730</v>
      </c>
      <c r="B1055" s="1" t="s">
        <v>0</v>
      </c>
      <c r="C1055" s="3">
        <v>212.762</v>
      </c>
    </row>
    <row r="1056" spans="1:3" x14ac:dyDescent="0.2">
      <c r="A1056" s="2">
        <v>45733</v>
      </c>
      <c r="B1056" s="1" t="s">
        <v>0</v>
      </c>
      <c r="C1056" s="3">
        <v>213.27099999999999</v>
      </c>
    </row>
    <row r="1057" spans="1:3" x14ac:dyDescent="0.2">
      <c r="A1057" s="2">
        <v>45734</v>
      </c>
      <c r="B1057" s="1" t="s">
        <v>0</v>
      </c>
      <c r="C1057" s="3">
        <v>211.965</v>
      </c>
    </row>
    <row r="1058" spans="1:3" x14ac:dyDescent="0.2">
      <c r="A1058" s="2">
        <v>45735</v>
      </c>
      <c r="B1058" s="1" t="s">
        <v>0</v>
      </c>
      <c r="C1058" s="3">
        <v>214.506</v>
      </c>
    </row>
    <row r="1059" spans="1:3" x14ac:dyDescent="0.2">
      <c r="A1059" s="2">
        <v>45736</v>
      </c>
      <c r="B1059" s="1" t="s">
        <v>0</v>
      </c>
      <c r="C1059" s="3">
        <v>213.37100000000001</v>
      </c>
    </row>
    <row r="1060" spans="1:3" x14ac:dyDescent="0.2">
      <c r="A1060" s="2">
        <v>45737</v>
      </c>
      <c r="B1060" s="1" t="s">
        <v>0</v>
      </c>
      <c r="C1060" s="3">
        <v>217.52600000000001</v>
      </c>
    </row>
    <row r="1061" spans="1:3" x14ac:dyDescent="0.2">
      <c r="A1061" s="2">
        <v>45740</v>
      </c>
      <c r="B1061" s="1" t="s">
        <v>0</v>
      </c>
      <c r="C1061" s="3">
        <v>219.97800000000001</v>
      </c>
    </row>
    <row r="1062" spans="1:3" x14ac:dyDescent="0.2">
      <c r="A1062" s="2">
        <v>45741</v>
      </c>
      <c r="B1062" s="1" t="s">
        <v>0</v>
      </c>
      <c r="C1062" s="3">
        <v>222.988</v>
      </c>
    </row>
    <row r="1063" spans="1:3" x14ac:dyDescent="0.2">
      <c r="A1063" s="2">
        <v>45742</v>
      </c>
      <c r="B1063" s="1" t="s">
        <v>0</v>
      </c>
      <c r="C1063" s="3">
        <v>220.77500000000001</v>
      </c>
    </row>
    <row r="1064" spans="1:3" x14ac:dyDescent="0.2">
      <c r="A1064" s="2">
        <v>45743</v>
      </c>
      <c r="B1064" s="1" t="s">
        <v>0</v>
      </c>
      <c r="C1064" s="3">
        <v>223.08799999999999</v>
      </c>
    </row>
    <row r="1065" spans="1:3" x14ac:dyDescent="0.2">
      <c r="A1065" s="2">
        <v>45744</v>
      </c>
      <c r="B1065" s="1" t="s">
        <v>0</v>
      </c>
      <c r="C1065" s="3">
        <v>217.15700000000001</v>
      </c>
    </row>
    <row r="1066" spans="1:3" x14ac:dyDescent="0.2">
      <c r="A1066" s="2">
        <v>45747</v>
      </c>
      <c r="B1066" s="1" t="s">
        <v>0</v>
      </c>
      <c r="C1066" s="3">
        <v>221.37299999999999</v>
      </c>
    </row>
    <row r="1067" spans="1:3" x14ac:dyDescent="0.2">
      <c r="A1067" s="2">
        <v>45748</v>
      </c>
      <c r="B1067" s="1" t="s">
        <v>0</v>
      </c>
      <c r="C1067" s="3">
        <v>222.429</v>
      </c>
    </row>
    <row r="1068" spans="1:3" x14ac:dyDescent="0.2">
      <c r="A1068" s="2">
        <v>45749</v>
      </c>
      <c r="B1068" s="1" t="s">
        <v>0</v>
      </c>
      <c r="C1068" s="3">
        <v>223.12799999999999</v>
      </c>
    </row>
    <row r="1069" spans="1:3" x14ac:dyDescent="0.2">
      <c r="A1069" s="2">
        <v>45750</v>
      </c>
      <c r="B1069" s="1" t="s">
        <v>0</v>
      </c>
      <c r="C1069" s="3">
        <v>202.49799999999999</v>
      </c>
    </row>
    <row r="1070" spans="1:3" x14ac:dyDescent="0.2">
      <c r="A1070" s="2">
        <v>45751</v>
      </c>
      <c r="B1070" s="1" t="s">
        <v>0</v>
      </c>
      <c r="C1070" s="3">
        <v>187.738</v>
      </c>
    </row>
    <row r="1071" spans="1:3" x14ac:dyDescent="0.2">
      <c r="A1071" s="2">
        <v>45754</v>
      </c>
      <c r="B1071" s="1" t="s">
        <v>0</v>
      </c>
      <c r="C1071" s="3">
        <v>180.84200000000001</v>
      </c>
    </row>
    <row r="1072" spans="1:3" x14ac:dyDescent="0.2">
      <c r="A1072" s="2">
        <v>45755</v>
      </c>
      <c r="B1072" s="1" t="s">
        <v>0</v>
      </c>
      <c r="C1072" s="3">
        <v>171.83199999999999</v>
      </c>
    </row>
    <row r="1073" spans="1:3" x14ac:dyDescent="0.2">
      <c r="A1073" s="2">
        <v>45756</v>
      </c>
      <c r="B1073" s="1" t="s">
        <v>0</v>
      </c>
      <c r="C1073" s="3">
        <v>198.173</v>
      </c>
    </row>
    <row r="1074" spans="1:3" x14ac:dyDescent="0.2">
      <c r="A1074" s="2">
        <v>45757</v>
      </c>
      <c r="B1074" s="1" t="s">
        <v>0</v>
      </c>
      <c r="C1074" s="3">
        <v>189.77099999999999</v>
      </c>
    </row>
    <row r="1075" spans="1:3" x14ac:dyDescent="0.2">
      <c r="A1075" s="2">
        <v>45758</v>
      </c>
      <c r="B1075" s="1" t="s">
        <v>0</v>
      </c>
      <c r="C1075" s="3">
        <v>197.47499999999999</v>
      </c>
    </row>
    <row r="1076" spans="1:3" x14ac:dyDescent="0.2">
      <c r="A1076" s="2">
        <v>45761</v>
      </c>
      <c r="B1076" s="1" t="s">
        <v>0</v>
      </c>
      <c r="C1076" s="3">
        <v>201.83</v>
      </c>
    </row>
    <row r="1077" spans="1:3" x14ac:dyDescent="0.2">
      <c r="A1077" s="2">
        <v>45762</v>
      </c>
      <c r="B1077" s="1" t="s">
        <v>0</v>
      </c>
      <c r="C1077" s="3">
        <v>201.45099999999999</v>
      </c>
    </row>
    <row r="1078" spans="1:3" x14ac:dyDescent="0.2">
      <c r="A1078" s="2">
        <v>45763</v>
      </c>
      <c r="B1078" s="1" t="s">
        <v>0</v>
      </c>
      <c r="C1078" s="3">
        <v>193.608</v>
      </c>
    </row>
    <row r="1079" spans="1:3" x14ac:dyDescent="0.2">
      <c r="A1079" s="2">
        <v>45764</v>
      </c>
      <c r="B1079" s="1" t="s">
        <v>0</v>
      </c>
      <c r="C1079" s="3">
        <v>196.309</v>
      </c>
    </row>
    <row r="1080" spans="1:3" x14ac:dyDescent="0.2">
      <c r="A1080" s="2">
        <v>45768</v>
      </c>
      <c r="B1080" s="1" t="s">
        <v>0</v>
      </c>
      <c r="C1080" s="3">
        <v>192.501</v>
      </c>
    </row>
    <row r="1081" spans="1:3" x14ac:dyDescent="0.2">
      <c r="A1081" s="2">
        <v>45769</v>
      </c>
      <c r="B1081" s="1" t="s">
        <v>0</v>
      </c>
      <c r="C1081" s="3">
        <v>199.059</v>
      </c>
    </row>
    <row r="1082" spans="1:3" x14ac:dyDescent="0.2">
      <c r="A1082" s="2">
        <v>45770</v>
      </c>
      <c r="B1082" s="1" t="s">
        <v>0</v>
      </c>
      <c r="C1082" s="3">
        <v>203.90199999999999</v>
      </c>
    </row>
    <row r="1083" spans="1:3" x14ac:dyDescent="0.2">
      <c r="A1083" s="2">
        <v>45771</v>
      </c>
      <c r="B1083" s="1" t="s">
        <v>0</v>
      </c>
      <c r="C1083" s="3">
        <v>207.66</v>
      </c>
    </row>
    <row r="1084" spans="1:3" x14ac:dyDescent="0.2">
      <c r="A1084" s="2">
        <v>45772</v>
      </c>
      <c r="B1084" s="1" t="s">
        <v>0</v>
      </c>
      <c r="C1084" s="3">
        <v>208.56700000000001</v>
      </c>
    </row>
    <row r="1085" spans="1:3" x14ac:dyDescent="0.2">
      <c r="A1085" s="2">
        <v>45775</v>
      </c>
      <c r="B1085" s="1" t="s">
        <v>0</v>
      </c>
      <c r="C1085" s="3">
        <v>209.42400000000001</v>
      </c>
    </row>
    <row r="1086" spans="1:3" x14ac:dyDescent="0.2">
      <c r="A1086" s="2">
        <v>45776</v>
      </c>
      <c r="B1086" s="1" t="s">
        <v>0</v>
      </c>
      <c r="C1086" s="3">
        <v>210.49</v>
      </c>
    </row>
    <row r="1087" spans="1:3" x14ac:dyDescent="0.2">
      <c r="A1087" s="2">
        <v>45777</v>
      </c>
      <c r="B1087" s="1" t="s">
        <v>0</v>
      </c>
      <c r="C1087" s="3">
        <v>211.77600000000001</v>
      </c>
    </row>
    <row r="1088" spans="1:3" x14ac:dyDescent="0.2">
      <c r="A1088" s="2">
        <v>45778</v>
      </c>
      <c r="B1088" s="1" t="s">
        <v>0</v>
      </c>
      <c r="C1088" s="3">
        <v>212.59299999999999</v>
      </c>
    </row>
    <row r="1089" spans="1:3" x14ac:dyDescent="0.2">
      <c r="A1089" s="2">
        <v>45779</v>
      </c>
      <c r="B1089" s="1" t="s">
        <v>0</v>
      </c>
      <c r="C1089" s="3">
        <v>204.65100000000001</v>
      </c>
    </row>
    <row r="1090" spans="1:3" x14ac:dyDescent="0.2">
      <c r="A1090" s="2">
        <v>45782</v>
      </c>
      <c r="B1090" s="1" t="s">
        <v>0</v>
      </c>
      <c r="C1090" s="3">
        <v>198.21299999999999</v>
      </c>
    </row>
    <row r="1091" spans="1:3" x14ac:dyDescent="0.2">
      <c r="A1091" s="2">
        <v>45783</v>
      </c>
      <c r="B1091" s="1" t="s">
        <v>0</v>
      </c>
      <c r="C1091" s="3">
        <v>197.833</v>
      </c>
    </row>
    <row r="1092" spans="1:3" x14ac:dyDescent="0.2">
      <c r="A1092" s="2">
        <v>45784</v>
      </c>
      <c r="B1092" s="1" t="s">
        <v>0</v>
      </c>
      <c r="C1092" s="3">
        <v>195.58099999999999</v>
      </c>
    </row>
    <row r="1093" spans="1:3" x14ac:dyDescent="0.2">
      <c r="A1093" s="2">
        <v>45785</v>
      </c>
      <c r="B1093" s="1" t="s">
        <v>0</v>
      </c>
      <c r="C1093" s="3">
        <v>196.816</v>
      </c>
    </row>
    <row r="1094" spans="1:3" x14ac:dyDescent="0.2">
      <c r="A1094" s="2">
        <v>45786</v>
      </c>
      <c r="B1094" s="1" t="s">
        <v>0</v>
      </c>
      <c r="C1094" s="3">
        <v>197.85300000000001</v>
      </c>
    </row>
    <row r="1095" spans="1:3" x14ac:dyDescent="0.2">
      <c r="A1095" s="2">
        <v>45789</v>
      </c>
      <c r="B1095" s="1" t="s">
        <v>0</v>
      </c>
      <c r="C1095" s="3">
        <v>210.34700000000001</v>
      </c>
    </row>
    <row r="1096" spans="1:3" x14ac:dyDescent="0.2">
      <c r="A1096" s="2">
        <v>45790</v>
      </c>
      <c r="B1096" s="1" t="s">
        <v>0</v>
      </c>
      <c r="C1096" s="3">
        <v>212.483</v>
      </c>
    </row>
    <row r="1097" spans="1:3" x14ac:dyDescent="0.2">
      <c r="A1097" s="2">
        <v>45791</v>
      </c>
      <c r="B1097" s="1" t="s">
        <v>0</v>
      </c>
      <c r="C1097" s="3">
        <v>211.88399999999999</v>
      </c>
    </row>
    <row r="1098" spans="1:3" x14ac:dyDescent="0.2">
      <c r="A1098" s="2">
        <v>45792</v>
      </c>
      <c r="B1098" s="1" t="s">
        <v>0</v>
      </c>
      <c r="C1098" s="3">
        <v>211.005</v>
      </c>
    </row>
    <row r="1099" spans="1:3" x14ac:dyDescent="0.2">
      <c r="A1099" s="2">
        <v>45793</v>
      </c>
      <c r="B1099" s="1" t="s">
        <v>0</v>
      </c>
      <c r="C1099" s="3">
        <v>210.81700000000001</v>
      </c>
    </row>
    <row r="1100" spans="1:3" x14ac:dyDescent="0.2">
      <c r="A1100" s="2">
        <v>45796</v>
      </c>
      <c r="B1100" s="1" t="s">
        <v>0</v>
      </c>
      <c r="C1100" s="3">
        <v>208.34100000000001</v>
      </c>
    </row>
    <row r="1101" spans="1:3" x14ac:dyDescent="0.2">
      <c r="A1101" s="2">
        <v>45797</v>
      </c>
      <c r="B1101" s="1" t="s">
        <v>0</v>
      </c>
      <c r="C1101" s="3">
        <v>206.42500000000001</v>
      </c>
    </row>
    <row r="1102" spans="1:3" x14ac:dyDescent="0.2">
      <c r="A1102" s="2">
        <v>45798</v>
      </c>
      <c r="B1102" s="1" t="s">
        <v>0</v>
      </c>
      <c r="C1102" s="3">
        <v>201.666</v>
      </c>
    </row>
    <row r="1103" spans="1:3" x14ac:dyDescent="0.2">
      <c r="A1103" s="2">
        <v>45799</v>
      </c>
      <c r="B1103" s="1" t="s">
        <v>0</v>
      </c>
      <c r="C1103" s="3">
        <v>200.93700000000001</v>
      </c>
    </row>
    <row r="1104" spans="1:3" x14ac:dyDescent="0.2">
      <c r="A1104" s="2">
        <v>45800</v>
      </c>
      <c r="B1104" s="1" t="s">
        <v>0</v>
      </c>
      <c r="C1104" s="3">
        <v>194.86</v>
      </c>
    </row>
    <row r="1105" spans="1:3" x14ac:dyDescent="0.2">
      <c r="A1105" s="2">
        <v>45804</v>
      </c>
      <c r="B1105" s="1" t="s">
        <v>0</v>
      </c>
      <c r="C1105" s="3">
        <v>199.78899999999999</v>
      </c>
    </row>
    <row r="1106" spans="1:3" x14ac:dyDescent="0.2">
      <c r="A1106" s="2">
        <v>45805</v>
      </c>
      <c r="B1106" s="1" t="s">
        <v>0</v>
      </c>
      <c r="C1106" s="3">
        <v>199.999</v>
      </c>
    </row>
    <row r="1107" spans="1:3" x14ac:dyDescent="0.2">
      <c r="A1107" s="2">
        <v>45806</v>
      </c>
      <c r="B1107" s="1" t="s">
        <v>0</v>
      </c>
      <c r="C1107" s="3">
        <v>199.53</v>
      </c>
    </row>
    <row r="1108" spans="1:3" x14ac:dyDescent="0.2">
      <c r="A1108" s="2">
        <v>45807</v>
      </c>
      <c r="B1108" s="1" t="s">
        <v>0</v>
      </c>
      <c r="C1108" s="3">
        <v>200.428</v>
      </c>
    </row>
    <row r="1109" spans="1:3" x14ac:dyDescent="0.2">
      <c r="A1109" s="2">
        <v>45810</v>
      </c>
      <c r="B1109" s="1" t="s">
        <v>0</v>
      </c>
      <c r="C1109" s="3">
        <v>201.27600000000001</v>
      </c>
    </row>
    <row r="1110" spans="1:3" x14ac:dyDescent="0.2">
      <c r="A1110" s="2">
        <v>45811</v>
      </c>
      <c r="B1110" s="1" t="s">
        <v>0</v>
      </c>
      <c r="C1110" s="3">
        <v>202.84299999999999</v>
      </c>
    </row>
    <row r="1111" spans="1:3" x14ac:dyDescent="0.2">
      <c r="A1111" s="2">
        <v>45812</v>
      </c>
      <c r="B1111" s="1" t="s">
        <v>0</v>
      </c>
      <c r="C1111" s="3">
        <v>202.39400000000001</v>
      </c>
    </row>
    <row r="1112" spans="1:3" x14ac:dyDescent="0.2">
      <c r="A1112" s="2">
        <v>45813</v>
      </c>
      <c r="B1112" s="1" t="s">
        <v>0</v>
      </c>
      <c r="C1112" s="3">
        <v>200.209</v>
      </c>
    </row>
    <row r="1113" spans="1:3" x14ac:dyDescent="0.2">
      <c r="A1113" s="2">
        <v>45814</v>
      </c>
      <c r="B1113" s="1" t="s">
        <v>0</v>
      </c>
      <c r="C1113" s="3">
        <v>203.49199999999999</v>
      </c>
    </row>
    <row r="1114" spans="1:3" x14ac:dyDescent="0.2">
      <c r="A1114" s="2">
        <v>45817</v>
      </c>
      <c r="B1114" s="1" t="s">
        <v>0</v>
      </c>
      <c r="C1114" s="3">
        <v>201.02699999999999</v>
      </c>
    </row>
    <row r="1115" spans="1:3" x14ac:dyDescent="0.2">
      <c r="A1115" s="2">
        <v>45818</v>
      </c>
      <c r="B1115" s="1" t="s">
        <v>0</v>
      </c>
      <c r="C1115" s="3">
        <v>202.244</v>
      </c>
    </row>
    <row r="1116" spans="1:3" x14ac:dyDescent="0.2">
      <c r="A1116" s="2">
        <v>45819</v>
      </c>
      <c r="B1116" s="1" t="s">
        <v>0</v>
      </c>
      <c r="C1116" s="3">
        <v>198.363</v>
      </c>
    </row>
    <row r="1117" spans="1:3" x14ac:dyDescent="0.2">
      <c r="A1117" s="2">
        <v>45820</v>
      </c>
      <c r="B1117" s="1" t="s">
        <v>0</v>
      </c>
      <c r="C1117" s="3">
        <v>198.78100000000001</v>
      </c>
    </row>
    <row r="1118" spans="1:3" x14ac:dyDescent="0.2">
      <c r="A1118" s="2">
        <v>45821</v>
      </c>
      <c r="B1118" s="1" t="s">
        <v>0</v>
      </c>
      <c r="C1118" s="3">
        <v>196.03700000000001</v>
      </c>
    </row>
    <row r="1119" spans="1:3" x14ac:dyDescent="0.2">
      <c r="A1119" s="2">
        <v>45824</v>
      </c>
      <c r="B1119" s="1" t="s">
        <v>0</v>
      </c>
      <c r="C1119" s="3">
        <v>198.00299999999999</v>
      </c>
    </row>
    <row r="1120" spans="1:3" x14ac:dyDescent="0.2">
      <c r="A1120" s="2">
        <v>45825</v>
      </c>
      <c r="B1120" s="1" t="s">
        <v>0</v>
      </c>
      <c r="C1120" s="3">
        <v>195.22900000000001</v>
      </c>
    </row>
    <row r="1121" spans="1:3" x14ac:dyDescent="0.2">
      <c r="A1121" s="2">
        <v>45826</v>
      </c>
      <c r="B1121" s="1" t="s">
        <v>0</v>
      </c>
      <c r="C1121" s="3">
        <v>196.167</v>
      </c>
    </row>
    <row r="1122" spans="1:3" x14ac:dyDescent="0.2">
      <c r="A1122" s="2">
        <v>45828</v>
      </c>
      <c r="B1122" s="1" t="s">
        <v>0</v>
      </c>
      <c r="C1122" s="3">
        <v>200.578</v>
      </c>
    </row>
    <row r="1123" spans="1:3" x14ac:dyDescent="0.2">
      <c r="A1123" s="2">
        <v>45831</v>
      </c>
      <c r="B1123" s="1" t="s">
        <v>0</v>
      </c>
      <c r="C1123" s="3">
        <v>201.077</v>
      </c>
    </row>
    <row r="1124" spans="1:3" x14ac:dyDescent="0.2">
      <c r="A1124" s="2">
        <v>45832</v>
      </c>
      <c r="B1124" s="1" t="s">
        <v>0</v>
      </c>
      <c r="C1124" s="3">
        <v>199.87899999999999</v>
      </c>
    </row>
    <row r="1125" spans="1:3" x14ac:dyDescent="0.2">
      <c r="A1125" s="2">
        <v>45833</v>
      </c>
      <c r="B1125" s="1" t="s">
        <v>0</v>
      </c>
      <c r="C1125" s="3">
        <v>201.137</v>
      </c>
    </row>
    <row r="1126" spans="1:3" x14ac:dyDescent="0.2">
      <c r="A1126" s="2">
        <v>45834</v>
      </c>
      <c r="B1126" s="1" t="s">
        <v>0</v>
      </c>
      <c r="C1126" s="3">
        <v>200.578</v>
      </c>
    </row>
    <row r="1127" spans="1:3" x14ac:dyDescent="0.2">
      <c r="A1127" s="2">
        <v>45835</v>
      </c>
      <c r="B1127" s="1" t="s">
        <v>0</v>
      </c>
      <c r="C1127" s="3">
        <v>200.65700000000001</v>
      </c>
    </row>
    <row r="1128" spans="1:3" x14ac:dyDescent="0.2">
      <c r="A1128" s="2">
        <v>45838</v>
      </c>
      <c r="B1128" s="1" t="s">
        <v>0</v>
      </c>
      <c r="C1128" s="3">
        <v>204.739</v>
      </c>
    </row>
    <row r="1129" spans="1:3" x14ac:dyDescent="0.2">
      <c r="A1129" s="2">
        <v>45839</v>
      </c>
      <c r="B1129" s="1" t="s">
        <v>0</v>
      </c>
      <c r="C1129" s="3">
        <v>207.38300000000001</v>
      </c>
    </row>
    <row r="1130" spans="1:3" x14ac:dyDescent="0.2">
      <c r="A1130" s="2">
        <v>45840</v>
      </c>
      <c r="B1130" s="1" t="s">
        <v>0</v>
      </c>
      <c r="C1130" s="3">
        <v>211.99299999999999</v>
      </c>
    </row>
    <row r="1131" spans="1:3" x14ac:dyDescent="0.2">
      <c r="A1131" s="2">
        <v>45841</v>
      </c>
      <c r="B1131" s="1" t="s">
        <v>0</v>
      </c>
      <c r="C1131" s="3">
        <v>213.101</v>
      </c>
    </row>
    <row r="1132" spans="1:3" x14ac:dyDescent="0.2">
      <c r="A1132" s="2">
        <v>45845</v>
      </c>
      <c r="B1132" s="1" t="s">
        <v>0</v>
      </c>
      <c r="C1132" s="3">
        <v>209.50899999999999</v>
      </c>
    </row>
    <row r="1133" spans="1:3" x14ac:dyDescent="0.2">
      <c r="A1133" s="2">
        <v>45846</v>
      </c>
      <c r="B1133" s="1" t="s">
        <v>0</v>
      </c>
      <c r="C1133" s="3">
        <v>209.56899999999999</v>
      </c>
    </row>
    <row r="1134" spans="1:3" x14ac:dyDescent="0.2">
      <c r="A1134" s="2">
        <v>45847</v>
      </c>
      <c r="B1134" s="1" t="s">
        <v>0</v>
      </c>
      <c r="C1134" s="3">
        <v>210.697</v>
      </c>
    </row>
    <row r="1135" spans="1:3" x14ac:dyDescent="0.2">
      <c r="A1135" s="2">
        <v>45848</v>
      </c>
      <c r="B1135" s="1" t="s">
        <v>0</v>
      </c>
      <c r="C1135" s="3">
        <v>211.964</v>
      </c>
    </row>
    <row r="1136" spans="1:3" x14ac:dyDescent="0.2">
      <c r="A1136" s="2">
        <v>45849</v>
      </c>
      <c r="B1136" s="1" t="s">
        <v>0</v>
      </c>
      <c r="C1136" s="3">
        <v>210.71700000000001</v>
      </c>
    </row>
    <row r="1137" spans="1:3" x14ac:dyDescent="0.2">
      <c r="A1137" s="2">
        <v>45852</v>
      </c>
      <c r="B1137" s="1" t="s">
        <v>0</v>
      </c>
      <c r="C1137" s="3">
        <v>208.18199999999999</v>
      </c>
    </row>
    <row r="1138" spans="1:3" x14ac:dyDescent="0.2">
      <c r="A1138" s="2">
        <v>45853</v>
      </c>
      <c r="B1138" s="1" t="s">
        <v>0</v>
      </c>
      <c r="C1138" s="3">
        <v>208.67099999999999</v>
      </c>
    </row>
    <row r="1139" spans="1:3" x14ac:dyDescent="0.2">
      <c r="A1139" s="2">
        <v>45854</v>
      </c>
      <c r="B1139" s="1" t="s">
        <v>0</v>
      </c>
      <c r="C1139" s="3">
        <v>209.71899999999999</v>
      </c>
    </row>
    <row r="1140" spans="1:3" x14ac:dyDescent="0.2">
      <c r="A1140" s="2">
        <v>45855</v>
      </c>
      <c r="B1140" s="1" t="s">
        <v>0</v>
      </c>
      <c r="C1140" s="3">
        <v>209.57900000000001</v>
      </c>
    </row>
    <row r="1141" spans="1:3" x14ac:dyDescent="0.2">
      <c r="A1141" s="2">
        <v>45856</v>
      </c>
      <c r="B1141" s="1" t="s">
        <v>0</v>
      </c>
      <c r="C1141" s="3">
        <v>210.73699999999999</v>
      </c>
    </row>
    <row r="1142" spans="1:3" x14ac:dyDescent="0.2">
      <c r="A1142" s="2">
        <v>45859</v>
      </c>
      <c r="B1142" s="1" t="s">
        <v>0</v>
      </c>
      <c r="C1142" s="3">
        <v>212.03299999999999</v>
      </c>
    </row>
    <row r="1143" spans="1:3" x14ac:dyDescent="0.2">
      <c r="A1143" s="2">
        <v>45860</v>
      </c>
      <c r="B1143" s="1" t="s">
        <v>0</v>
      </c>
      <c r="C1143" s="3">
        <v>213.95</v>
      </c>
    </row>
    <row r="1144" spans="1:3" x14ac:dyDescent="0.2">
      <c r="A1144" s="2">
        <v>45861</v>
      </c>
      <c r="B1144" s="1" t="s">
        <v>0</v>
      </c>
      <c r="C1144" s="3">
        <v>213.7</v>
      </c>
    </row>
    <row r="1145" spans="1:3" x14ac:dyDescent="0.2">
      <c r="A1145" s="2">
        <v>45862</v>
      </c>
      <c r="B1145" s="1" t="s">
        <v>0</v>
      </c>
      <c r="C1145" s="3">
        <v>213.31100000000001</v>
      </c>
    </row>
    <row r="1146" spans="1:3" x14ac:dyDescent="0.2">
      <c r="A1146" s="2">
        <v>45863</v>
      </c>
      <c r="B1146" s="1" t="s">
        <v>0</v>
      </c>
      <c r="C1146" s="3">
        <v>213.43100000000001</v>
      </c>
    </row>
    <row r="1147" spans="1:3" x14ac:dyDescent="0.2">
      <c r="A1147" s="2">
        <v>45866</v>
      </c>
      <c r="B1147" s="1" t="s">
        <v>0</v>
      </c>
      <c r="C1147" s="3">
        <v>213.6</v>
      </c>
    </row>
    <row r="1148" spans="1:3" x14ac:dyDescent="0.2">
      <c r="A1148" s="2">
        <v>45867</v>
      </c>
      <c r="B1148" s="1" t="s">
        <v>0</v>
      </c>
      <c r="C1148" s="3">
        <v>210.82599999999999</v>
      </c>
    </row>
    <row r="1149" spans="1:3" x14ac:dyDescent="0.2">
      <c r="A1149" s="2">
        <v>45868</v>
      </c>
      <c r="B1149" s="1" t="s">
        <v>0</v>
      </c>
      <c r="C1149" s="3">
        <v>208.61099999999999</v>
      </c>
    </row>
    <row r="1150" spans="1:3" x14ac:dyDescent="0.2">
      <c r="A1150" s="2">
        <v>45869</v>
      </c>
      <c r="B1150" s="1" t="s">
        <v>0</v>
      </c>
      <c r="C1150" s="3">
        <v>207.13399999999999</v>
      </c>
    </row>
    <row r="1151" spans="1:3" x14ac:dyDescent="0.2">
      <c r="A1151" s="2">
        <v>45870</v>
      </c>
      <c r="B1151" s="1" t="s">
        <v>0</v>
      </c>
      <c r="C1151" s="3">
        <v>201.95500000000001</v>
      </c>
    </row>
    <row r="1152" spans="1:3" x14ac:dyDescent="0.2">
      <c r="A1152" s="2">
        <v>45873</v>
      </c>
      <c r="B1152" s="1" t="s">
        <v>0</v>
      </c>
      <c r="C1152" s="3">
        <v>202.922</v>
      </c>
    </row>
    <row r="1153" spans="1:3" x14ac:dyDescent="0.2">
      <c r="A1153" s="2">
        <v>45874</v>
      </c>
      <c r="B1153" s="1" t="s">
        <v>0</v>
      </c>
      <c r="C1153" s="3">
        <v>202.494</v>
      </c>
    </row>
    <row r="1154" spans="1:3" x14ac:dyDescent="0.2">
      <c r="A1154" s="2">
        <v>45875</v>
      </c>
      <c r="B1154" s="1" t="s">
        <v>0</v>
      </c>
      <c r="C1154" s="3">
        <v>212.80199999999999</v>
      </c>
    </row>
    <row r="1155" spans="1:3" x14ac:dyDescent="0.2">
      <c r="A1155" s="2">
        <v>45876</v>
      </c>
      <c r="B1155" s="1" t="s">
        <v>0</v>
      </c>
      <c r="C1155" s="3">
        <v>219.56800000000001</v>
      </c>
    </row>
    <row r="1156" spans="1:3" x14ac:dyDescent="0.2">
      <c r="A1156" s="2">
        <v>45877</v>
      </c>
      <c r="B1156" s="1" t="s">
        <v>0</v>
      </c>
      <c r="C1156" s="3">
        <v>228.86799999999999</v>
      </c>
    </row>
    <row r="1157" spans="1:3" x14ac:dyDescent="0.2">
      <c r="A1157" s="2">
        <v>45880</v>
      </c>
      <c r="B1157" s="1" t="s">
        <v>0</v>
      </c>
      <c r="C1157" s="3">
        <v>226.96</v>
      </c>
    </row>
    <row r="1158" spans="1:3" x14ac:dyDescent="0.2">
      <c r="A1158" s="2">
        <v>45881</v>
      </c>
      <c r="B1158" s="1" t="s">
        <v>0</v>
      </c>
      <c r="C1158" s="3">
        <v>229.428</v>
      </c>
    </row>
    <row r="1159" spans="1:3" x14ac:dyDescent="0.2">
      <c r="A1159" s="2">
        <v>45882</v>
      </c>
      <c r="B1159" s="1" t="s">
        <v>0</v>
      </c>
      <c r="C1159" s="3">
        <v>233.10400000000001</v>
      </c>
    </row>
    <row r="1160" spans="1:3" x14ac:dyDescent="0.2">
      <c r="A1160" s="2">
        <v>45883</v>
      </c>
      <c r="B1160" s="1" t="s">
        <v>0</v>
      </c>
      <c r="C1160" s="3">
        <v>232.55500000000001</v>
      </c>
    </row>
    <row r="1161" spans="1:3" x14ac:dyDescent="0.2">
      <c r="A1161" s="2">
        <v>45884</v>
      </c>
      <c r="B1161" s="1" t="s">
        <v>0</v>
      </c>
      <c r="C1161" s="3">
        <v>231.36600000000001</v>
      </c>
    </row>
    <row r="1162" spans="1:3" x14ac:dyDescent="0.2">
      <c r="A1162" s="2">
        <v>45887</v>
      </c>
      <c r="B1162" s="1" t="s">
        <v>0</v>
      </c>
      <c r="C1162" s="3">
        <v>230.666</v>
      </c>
    </row>
    <row r="1163" spans="1:3" x14ac:dyDescent="0.2">
      <c r="A1163" s="2">
        <v>45888</v>
      </c>
      <c r="B1163" s="1" t="s">
        <v>0</v>
      </c>
      <c r="C1163" s="3">
        <v>230.33699999999999</v>
      </c>
    </row>
    <row r="1164" spans="1:3" x14ac:dyDescent="0.2">
      <c r="A1164" s="2">
        <v>45889</v>
      </c>
      <c r="B1164" s="1" t="s">
        <v>0</v>
      </c>
      <c r="C1164" s="3">
        <v>225.791</v>
      </c>
    </row>
    <row r="1165" spans="1:3" x14ac:dyDescent="0.2">
      <c r="A1165" s="2">
        <v>45890</v>
      </c>
      <c r="B1165" s="1" t="s">
        <v>0</v>
      </c>
      <c r="C1165" s="3">
        <v>224.68199999999999</v>
      </c>
    </row>
    <row r="1166" spans="1:3" x14ac:dyDescent="0.2">
      <c r="A1166" s="2">
        <v>45891</v>
      </c>
      <c r="B1166" s="1" t="s">
        <v>0</v>
      </c>
      <c r="C1166" s="3">
        <v>227.53899999999999</v>
      </c>
    </row>
    <row r="1167" spans="1:3" x14ac:dyDescent="0.2">
      <c r="A1167" s="2">
        <v>45894</v>
      </c>
      <c r="B1167" s="1" t="s">
        <v>0</v>
      </c>
      <c r="C1167" s="3">
        <v>226.94</v>
      </c>
    </row>
    <row r="1168" spans="1:3" x14ac:dyDescent="0.2">
      <c r="A1168" s="2">
        <v>45895</v>
      </c>
      <c r="B1168" s="1" t="s">
        <v>0</v>
      </c>
      <c r="C1168" s="3">
        <v>229.08799999999999</v>
      </c>
    </row>
    <row r="1169" spans="1:3" x14ac:dyDescent="0.2">
      <c r="A1169" s="2">
        <v>45896</v>
      </c>
      <c r="B1169" s="1" t="s">
        <v>0</v>
      </c>
      <c r="C1169" s="3">
        <v>230.267</v>
      </c>
    </row>
    <row r="1170" spans="1:3" x14ac:dyDescent="0.2">
      <c r="A1170" s="2">
        <v>45897</v>
      </c>
      <c r="B1170" s="1" t="s">
        <v>0</v>
      </c>
      <c r="C1170" s="3">
        <v>232.33500000000001</v>
      </c>
    </row>
    <row r="1171" spans="1:3" x14ac:dyDescent="0.2">
      <c r="A1171" s="2">
        <v>45898</v>
      </c>
      <c r="B1171" s="1" t="s">
        <v>0</v>
      </c>
      <c r="C1171" s="3">
        <v>231.91499999999999</v>
      </c>
    </row>
    <row r="1172" spans="1:3" x14ac:dyDescent="0.2">
      <c r="A1172" s="2">
        <v>45902</v>
      </c>
      <c r="B1172" s="1" t="s">
        <v>0</v>
      </c>
      <c r="C1172" s="3">
        <v>229.49799999999999</v>
      </c>
    </row>
    <row r="1173" spans="1:3" x14ac:dyDescent="0.2">
      <c r="A1173" s="2">
        <v>45903</v>
      </c>
      <c r="B1173" s="1" t="s">
        <v>0</v>
      </c>
      <c r="C1173" s="3">
        <v>238.239</v>
      </c>
    </row>
    <row r="1174" spans="1:3" x14ac:dyDescent="0.2">
      <c r="A1174" s="2">
        <v>45904</v>
      </c>
      <c r="B1174" s="1" t="s">
        <v>0</v>
      </c>
      <c r="C1174" s="3">
        <v>239.548</v>
      </c>
    </row>
    <row r="1175" spans="1:3" x14ac:dyDescent="0.2">
      <c r="A1175" s="2">
        <v>45905</v>
      </c>
      <c r="B1175" s="1" t="s">
        <v>0</v>
      </c>
      <c r="C1175" s="3">
        <v>239.458</v>
      </c>
    </row>
    <row r="1176" spans="1:3" x14ac:dyDescent="0.2">
      <c r="A1176" s="2">
        <v>45908</v>
      </c>
      <c r="B1176" s="1" t="s">
        <v>0</v>
      </c>
      <c r="C1176" s="3">
        <v>237.65</v>
      </c>
    </row>
    <row r="1177" spans="1:3" x14ac:dyDescent="0.2">
      <c r="A1177" s="2">
        <v>45909</v>
      </c>
      <c r="B1177" s="1" t="s">
        <v>0</v>
      </c>
      <c r="C1177" s="3">
        <v>234.12299999999999</v>
      </c>
    </row>
    <row r="1178" spans="1:3" x14ac:dyDescent="0.2">
      <c r="A1178" s="2">
        <v>45910</v>
      </c>
      <c r="B1178" s="1" t="s">
        <v>0</v>
      </c>
      <c r="C1178" s="3">
        <v>226.57</v>
      </c>
    </row>
    <row r="1179" spans="1:3" x14ac:dyDescent="0.2">
      <c r="A1179" s="2">
        <v>45911</v>
      </c>
      <c r="B1179" s="1" t="s">
        <v>0</v>
      </c>
      <c r="C1179" s="3">
        <v>229.80699999999999</v>
      </c>
    </row>
    <row r="1180" spans="1:3" x14ac:dyDescent="0.2">
      <c r="A1180" s="2">
        <v>45912</v>
      </c>
      <c r="B1180" s="1" t="s">
        <v>0</v>
      </c>
      <c r="C1180" s="3">
        <v>233.84299999999999</v>
      </c>
    </row>
    <row r="1181" spans="1:3" x14ac:dyDescent="0.2">
      <c r="A1181" s="2">
        <v>45915</v>
      </c>
      <c r="B1181" s="1" t="s">
        <v>0</v>
      </c>
      <c r="C1181" s="3">
        <v>236.471</v>
      </c>
    </row>
    <row r="1182" spans="1:3" x14ac:dyDescent="0.2">
      <c r="A1182" s="2">
        <v>45916</v>
      </c>
      <c r="B1182" s="1" t="s">
        <v>0</v>
      </c>
      <c r="C1182" s="3">
        <v>237.91900000000001</v>
      </c>
    </row>
    <row r="1183" spans="1:3" x14ac:dyDescent="0.2">
      <c r="A1183" s="2">
        <v>45917</v>
      </c>
      <c r="B1183" s="1" t="s">
        <v>0</v>
      </c>
      <c r="C1183" s="3">
        <v>238.75899999999999</v>
      </c>
    </row>
    <row r="1184" spans="1:3" x14ac:dyDescent="0.2">
      <c r="A1184" s="2">
        <v>45918</v>
      </c>
      <c r="B1184" s="1" t="s">
        <v>0</v>
      </c>
      <c r="C1184" s="3">
        <v>237.65</v>
      </c>
    </row>
    <row r="1185" spans="1:3" x14ac:dyDescent="0.2">
      <c r="A1185" s="2">
        <v>45919</v>
      </c>
      <c r="B1185" s="1" t="s">
        <v>0</v>
      </c>
      <c r="C1185" s="3">
        <v>245.262</v>
      </c>
    </row>
    <row r="1186" spans="1:3" x14ac:dyDescent="0.2">
      <c r="A1186" s="2">
        <v>45922</v>
      </c>
      <c r="B1186" s="1" t="s">
        <v>0</v>
      </c>
      <c r="C1186" s="3">
        <v>255.83199999999999</v>
      </c>
    </row>
    <row r="1187" spans="1:3" x14ac:dyDescent="0.2">
      <c r="A1187" s="2">
        <v>45923</v>
      </c>
      <c r="B1187" s="1" t="s">
        <v>0</v>
      </c>
      <c r="C1187" s="3">
        <v>254.184</v>
      </c>
    </row>
    <row r="1188" spans="1:3" x14ac:dyDescent="0.2">
      <c r="A1188" s="2">
        <v>45924</v>
      </c>
      <c r="B1188" s="1" t="s">
        <v>0</v>
      </c>
      <c r="C1188" s="3">
        <v>252.066</v>
      </c>
    </row>
    <row r="1189" spans="1:3" x14ac:dyDescent="0.2">
      <c r="A1189" s="2">
        <v>45925</v>
      </c>
      <c r="B1189" s="1" t="s">
        <v>0</v>
      </c>
      <c r="C1189" s="3">
        <v>256.62099999999998</v>
      </c>
    </row>
    <row r="1190" spans="1:3" x14ac:dyDescent="0.2">
      <c r="A1190" s="2">
        <v>45926</v>
      </c>
      <c r="B1190" s="1" t="s">
        <v>0</v>
      </c>
      <c r="C1190" s="3">
        <v>255.21299999999999</v>
      </c>
    </row>
    <row r="1191" spans="1:3" x14ac:dyDescent="0.2">
      <c r="A1191" s="2">
        <v>45929</v>
      </c>
      <c r="B1191" s="1" t="s">
        <v>0</v>
      </c>
      <c r="C1191" s="3">
        <v>254.184</v>
      </c>
    </row>
    <row r="1192" spans="1:3" x14ac:dyDescent="0.2">
      <c r="A1192" s="2">
        <v>45930</v>
      </c>
      <c r="B1192" s="1" t="s">
        <v>0</v>
      </c>
      <c r="C1192" s="3">
        <v>254.38300000000001</v>
      </c>
    </row>
    <row r="1193" spans="1:3" x14ac:dyDescent="0.2">
      <c r="A1193" s="2">
        <v>45931</v>
      </c>
      <c r="B1193" s="1" t="s">
        <v>0</v>
      </c>
      <c r="C1193" s="3">
        <v>255.203</v>
      </c>
    </row>
    <row r="1194" spans="1:3" x14ac:dyDescent="0.2">
      <c r="A1194" s="2">
        <v>45932</v>
      </c>
      <c r="B1194" s="1" t="s">
        <v>0</v>
      </c>
      <c r="C1194" s="3">
        <v>256.88099999999997</v>
      </c>
    </row>
    <row r="1195" spans="1:3" x14ac:dyDescent="0.2">
      <c r="A1195" s="2">
        <v>45933</v>
      </c>
      <c r="B1195" s="1" t="s">
        <v>0</v>
      </c>
      <c r="C1195" s="3">
        <v>257.77</v>
      </c>
    </row>
    <row r="1196" spans="1:3" x14ac:dyDescent="0.2">
      <c r="A1196" s="2">
        <v>45936</v>
      </c>
      <c r="B1196" s="1" t="s">
        <v>0</v>
      </c>
      <c r="C1196" s="3">
        <v>256.44099999999997</v>
      </c>
    </row>
    <row r="1197" spans="1:3" x14ac:dyDescent="0.2">
      <c r="A1197" s="2">
        <v>45937</v>
      </c>
      <c r="B1197" s="1" t="s">
        <v>0</v>
      </c>
      <c r="C1197" s="3">
        <v>256.23200000000003</v>
      </c>
    </row>
    <row r="1198" spans="1:3" x14ac:dyDescent="0.2">
      <c r="A1198" s="2">
        <v>45938</v>
      </c>
      <c r="B1198" s="1" t="s">
        <v>0</v>
      </c>
      <c r="C1198" s="3">
        <v>257.81</v>
      </c>
    </row>
    <row r="1199" spans="1:3" x14ac:dyDescent="0.2">
      <c r="A1199" s="2">
        <v>45939</v>
      </c>
      <c r="B1199" s="1" t="s">
        <v>0</v>
      </c>
      <c r="C1199" s="3">
        <v>253.79400000000001</v>
      </c>
    </row>
    <row r="1200" spans="1:3" x14ac:dyDescent="0.2">
      <c r="A1200" s="2">
        <v>45940</v>
      </c>
      <c r="B1200" s="1" t="s">
        <v>0</v>
      </c>
      <c r="C1200" s="3">
        <v>245.03200000000001</v>
      </c>
    </row>
    <row r="1201" spans="1:3" x14ac:dyDescent="0.2">
      <c r="A1201" s="2">
        <v>45943</v>
      </c>
      <c r="B1201" s="1" t="s">
        <v>0</v>
      </c>
      <c r="C1201" s="3">
        <v>247.42</v>
      </c>
    </row>
    <row r="1202" spans="1:3" x14ac:dyDescent="0.2">
      <c r="A1202" s="2">
        <v>45944</v>
      </c>
      <c r="B1202" s="1" t="s">
        <v>0</v>
      </c>
      <c r="C1202" s="3">
        <v>247.53</v>
      </c>
    </row>
    <row r="1203" spans="1:3" x14ac:dyDescent="0.2">
      <c r="A1203" s="2">
        <v>45945</v>
      </c>
      <c r="B1203" s="1" t="s">
        <v>0</v>
      </c>
      <c r="C1203" s="3">
        <v>249.09899999999999</v>
      </c>
    </row>
    <row r="1204" spans="1:3" x14ac:dyDescent="0.2">
      <c r="A1204" s="2">
        <v>45946</v>
      </c>
      <c r="B1204" s="1" t="s">
        <v>0</v>
      </c>
      <c r="C1204" s="3">
        <v>247.21</v>
      </c>
    </row>
    <row r="1205" spans="1:3" x14ac:dyDescent="0.2">
      <c r="A1205" s="2">
        <v>45947</v>
      </c>
      <c r="B1205" s="1" t="s">
        <v>0</v>
      </c>
      <c r="C1205" s="3">
        <v>252.04599999999999</v>
      </c>
    </row>
    <row r="1206" spans="1:3" x14ac:dyDescent="0.2">
      <c r="A1206" s="2">
        <v>45950</v>
      </c>
      <c r="B1206" s="1" t="s">
        <v>0</v>
      </c>
      <c r="C1206" s="3">
        <v>261.98599999999999</v>
      </c>
    </row>
    <row r="1207" spans="1:3" x14ac:dyDescent="0.2">
      <c r="A1207" s="2">
        <v>45951</v>
      </c>
      <c r="B1207" s="1" t="s">
        <v>0</v>
      </c>
      <c r="C1207" s="3">
        <v>262.51600000000002</v>
      </c>
    </row>
    <row r="1208" spans="1:3" x14ac:dyDescent="0.2">
      <c r="A1208" s="2">
        <v>45952</v>
      </c>
      <c r="B1208" s="1" t="s">
        <v>0</v>
      </c>
      <c r="C1208" s="3">
        <v>258.2</v>
      </c>
    </row>
    <row r="1209" spans="1:3" x14ac:dyDescent="0.2">
      <c r="A1209" s="2">
        <v>45953</v>
      </c>
      <c r="B1209" s="1" t="s">
        <v>0</v>
      </c>
      <c r="C1209" s="3">
        <v>259.32900000000001</v>
      </c>
    </row>
    <row r="1210" spans="1:3" x14ac:dyDescent="0.2">
      <c r="A1210" s="2">
        <v>45954</v>
      </c>
      <c r="B1210" s="1" t="s">
        <v>0</v>
      </c>
      <c r="C1210" s="3">
        <v>262.565</v>
      </c>
    </row>
    <row r="1211" spans="1:3" x14ac:dyDescent="0.2">
      <c r="A1211" s="2">
        <v>45957</v>
      </c>
      <c r="B1211" s="1" t="s">
        <v>0</v>
      </c>
      <c r="C1211" s="3">
        <v>268.55</v>
      </c>
    </row>
    <row r="1212" spans="1:3" x14ac:dyDescent="0.2">
      <c r="A1212" s="2">
        <v>45958</v>
      </c>
      <c r="B1212" s="1" t="s">
        <v>0</v>
      </c>
      <c r="C1212" s="3">
        <v>268.73899999999998</v>
      </c>
    </row>
    <row r="1213" spans="1:3" x14ac:dyDescent="0.2">
      <c r="A1213" s="2">
        <v>45959</v>
      </c>
      <c r="B1213" s="1" t="s">
        <v>0</v>
      </c>
      <c r="C1213" s="3">
        <v>269.43900000000002</v>
      </c>
    </row>
    <row r="1214" spans="1:3" x14ac:dyDescent="0.2">
      <c r="A1214" s="2">
        <v>45960</v>
      </c>
      <c r="B1214" s="1" t="s">
        <v>0</v>
      </c>
      <c r="C1214" s="3">
        <v>271.137</v>
      </c>
    </row>
    <row r="1215" spans="1:3" x14ac:dyDescent="0.2">
      <c r="A1215" s="2">
        <v>45961</v>
      </c>
      <c r="B1215" s="1" t="s">
        <v>0</v>
      </c>
      <c r="C1215" s="3">
        <v>270.108</v>
      </c>
    </row>
    <row r="1216" spans="1:3" x14ac:dyDescent="0.2">
      <c r="A1216" s="2">
        <v>45964</v>
      </c>
      <c r="B1216" s="1" t="s">
        <v>0</v>
      </c>
      <c r="C1216" s="3">
        <v>268.78899999999999</v>
      </c>
    </row>
    <row r="1217" spans="1:3" x14ac:dyDescent="0.2">
      <c r="A1217" s="2">
        <v>45965</v>
      </c>
      <c r="B1217" s="1" t="s">
        <v>0</v>
      </c>
      <c r="C1217" s="3">
        <v>269.77800000000002</v>
      </c>
    </row>
    <row r="1218" spans="1:3" x14ac:dyDescent="0.2">
      <c r="A1218" s="2">
        <v>45966</v>
      </c>
      <c r="B1218" s="1" t="s">
        <v>0</v>
      </c>
      <c r="C1218" s="3">
        <v>269.87799999999999</v>
      </c>
    </row>
    <row r="1219" spans="1:3" x14ac:dyDescent="0.2">
      <c r="A1219" s="2">
        <v>45967</v>
      </c>
      <c r="B1219" s="1" t="s">
        <v>0</v>
      </c>
      <c r="C1219" s="3">
        <v>269.50900000000001</v>
      </c>
    </row>
    <row r="1220" spans="1:3" x14ac:dyDescent="0.2">
      <c r="A1220" s="2">
        <v>45968</v>
      </c>
      <c r="B1220" s="1" t="s">
        <v>0</v>
      </c>
      <c r="C1220" s="3">
        <v>268.20999999999998</v>
      </c>
    </row>
    <row r="1221" spans="1:3" x14ac:dyDescent="0.2">
      <c r="A1221" s="2">
        <v>45971</v>
      </c>
      <c r="B1221" s="1" t="s">
        <v>0</v>
      </c>
      <c r="C1221" s="3">
        <v>269.43</v>
      </c>
    </row>
    <row r="1222" spans="1:3" x14ac:dyDescent="0.2">
      <c r="A1222" s="2">
        <v>45972</v>
      </c>
      <c r="B1222" s="1" t="s">
        <v>0</v>
      </c>
      <c r="C1222" s="3">
        <v>275.25</v>
      </c>
    </row>
    <row r="1223" spans="1:3" x14ac:dyDescent="0.2">
      <c r="A1223" s="2">
        <v>45973</v>
      </c>
      <c r="B1223" s="1" t="s">
        <v>0</v>
      </c>
      <c r="C1223" s="3">
        <v>273.47000000000003</v>
      </c>
    </row>
    <row r="1224" spans="1:3" x14ac:dyDescent="0.2">
      <c r="A1224" s="2">
        <v>45974</v>
      </c>
      <c r="B1224" s="1" t="s">
        <v>0</v>
      </c>
      <c r="C1224" s="3">
        <v>272.95</v>
      </c>
    </row>
    <row r="1225" spans="1:3" x14ac:dyDescent="0.2">
      <c r="A1225" s="2">
        <v>45975</v>
      </c>
      <c r="B1225" s="1" t="s">
        <v>0</v>
      </c>
      <c r="C1225" s="3">
        <v>272.41000000000003</v>
      </c>
    </row>
    <row r="1226" spans="1:3" x14ac:dyDescent="0.2">
      <c r="A1226" s="2">
        <v>45978</v>
      </c>
      <c r="B1226" s="1" t="s">
        <v>0</v>
      </c>
      <c r="C1226" s="3">
        <v>267.45999999999998</v>
      </c>
    </row>
    <row r="1227" spans="1:3" x14ac:dyDescent="0.2">
      <c r="A1227" s="2">
        <v>45979</v>
      </c>
      <c r="B1227" s="1" t="s">
        <v>0</v>
      </c>
      <c r="C1227" s="3">
        <v>267.44</v>
      </c>
    </row>
    <row r="1228" spans="1:3" x14ac:dyDescent="0.2">
      <c r="A1228" s="2">
        <v>45980</v>
      </c>
      <c r="B1228" s="1" t="s">
        <v>0</v>
      </c>
      <c r="C1228" s="3">
        <v>268.56</v>
      </c>
    </row>
    <row r="1229" spans="1:3" x14ac:dyDescent="0.2">
      <c r="A1229" s="2">
        <v>45981</v>
      </c>
      <c r="B1229" s="1" t="s">
        <v>0</v>
      </c>
      <c r="C1229" s="3">
        <v>266.25</v>
      </c>
    </row>
    <row r="1230" spans="1:3" x14ac:dyDescent="0.2">
      <c r="A1230" s="2">
        <v>45982</v>
      </c>
      <c r="B1230" s="1" t="s">
        <v>0</v>
      </c>
      <c r="C1230" s="3">
        <v>271.49</v>
      </c>
    </row>
    <row r="1231" spans="1:3" x14ac:dyDescent="0.2">
      <c r="A1231" s="2">
        <v>45985</v>
      </c>
      <c r="B1231" s="1" t="s">
        <v>0</v>
      </c>
      <c r="C1231" s="3">
        <v>275.92</v>
      </c>
    </row>
    <row r="1232" spans="1:3" x14ac:dyDescent="0.2">
      <c r="A1232" s="2">
        <v>45986</v>
      </c>
      <c r="B1232" s="1" t="s">
        <v>0</v>
      </c>
      <c r="C1232" s="3">
        <v>276.97000000000003</v>
      </c>
    </row>
    <row r="1233" spans="1:3" x14ac:dyDescent="0.2">
      <c r="A1233" s="2">
        <v>45987</v>
      </c>
      <c r="B1233" s="1" t="s">
        <v>0</v>
      </c>
      <c r="C1233" s="3">
        <v>277.55</v>
      </c>
    </row>
    <row r="1234" spans="1:3" x14ac:dyDescent="0.2">
      <c r="A1234" s="2">
        <v>45989</v>
      </c>
      <c r="B1234" s="1" t="s">
        <v>0</v>
      </c>
      <c r="C1234" s="3">
        <v>278.85000000000002</v>
      </c>
    </row>
    <row r="1235" spans="1:3" x14ac:dyDescent="0.2">
      <c r="A1235" s="2">
        <v>45992</v>
      </c>
      <c r="B1235" s="1" t="s">
        <v>0</v>
      </c>
      <c r="C1235" s="3">
        <v>283.10000000000002</v>
      </c>
    </row>
    <row r="1236" spans="1:3" x14ac:dyDescent="0.2">
      <c r="A1236" s="2">
        <v>45993</v>
      </c>
      <c r="B1236" s="1" t="s">
        <v>0</v>
      </c>
      <c r="C1236" s="3">
        <v>286.19</v>
      </c>
    </row>
    <row r="1237" spans="1:3" x14ac:dyDescent="0.2">
      <c r="A1237" s="2">
        <v>45994</v>
      </c>
      <c r="B1237" s="1" t="s">
        <v>0</v>
      </c>
      <c r="C1237" s="3">
        <v>284.14999999999998</v>
      </c>
    </row>
    <row r="1238" spans="1:3" x14ac:dyDescent="0.2">
      <c r="A1238" s="2">
        <v>45995</v>
      </c>
      <c r="B1238" s="1" t="s">
        <v>0</v>
      </c>
      <c r="C1238" s="3">
        <v>280.7</v>
      </c>
    </row>
    <row r="1239" spans="1:3" x14ac:dyDescent="0.2">
      <c r="A1239" s="2">
        <v>45996</v>
      </c>
      <c r="B1239" s="1" t="s">
        <v>0</v>
      </c>
      <c r="C1239" s="3">
        <v>278.77999999999997</v>
      </c>
    </row>
    <row r="1240" spans="1:3" x14ac:dyDescent="0.2">
      <c r="A1240" s="2">
        <v>45999</v>
      </c>
      <c r="B1240" s="1" t="s">
        <v>0</v>
      </c>
      <c r="C1240" s="3">
        <v>277.89</v>
      </c>
    </row>
    <row r="1241" spans="1:3" x14ac:dyDescent="0.2">
      <c r="A1241" s="2">
        <v>46000</v>
      </c>
      <c r="B1241" s="1" t="s">
        <v>0</v>
      </c>
      <c r="C1241" s="3">
        <v>277.18</v>
      </c>
    </row>
    <row r="1242" spans="1:3" x14ac:dyDescent="0.2">
      <c r="A1242" s="2">
        <v>46001</v>
      </c>
      <c r="B1242" s="1" t="s">
        <v>0</v>
      </c>
      <c r="C1242" s="3">
        <v>278.77999999999997</v>
      </c>
    </row>
    <row r="1243" spans="1:3" x14ac:dyDescent="0.2">
      <c r="A1243" s="2">
        <v>46002</v>
      </c>
      <c r="B1243" s="1" t="s">
        <v>0</v>
      </c>
      <c r="C1243" s="3">
        <v>278.02999999999997</v>
      </c>
    </row>
    <row r="1244" spans="1:3" x14ac:dyDescent="0.2">
      <c r="A1244" s="2">
        <v>46003</v>
      </c>
      <c r="B1244" s="1" t="s">
        <v>0</v>
      </c>
      <c r="C1244" s="3">
        <v>278.27999999999997</v>
      </c>
    </row>
    <row r="1245" spans="1:3" x14ac:dyDescent="0.2">
      <c r="A1245" s="2">
        <v>46006</v>
      </c>
      <c r="B1245" s="1" t="s">
        <v>0</v>
      </c>
      <c r="C1245" s="3">
        <v>274.11</v>
      </c>
    </row>
    <row r="1246" spans="1:3" x14ac:dyDescent="0.2">
      <c r="A1246" s="2">
        <v>46007</v>
      </c>
      <c r="B1246" s="1" t="s">
        <v>0</v>
      </c>
      <c r="C1246" s="3">
        <v>274.61</v>
      </c>
    </row>
    <row r="1247" spans="1:3" x14ac:dyDescent="0.2">
      <c r="A1247" s="2">
        <v>46008</v>
      </c>
      <c r="B1247" s="1" t="s">
        <v>0</v>
      </c>
      <c r="C1247" s="3">
        <v>271.83999999999997</v>
      </c>
    </row>
    <row r="1248" spans="1:3" x14ac:dyDescent="0.2">
      <c r="A1248" s="2">
        <v>46009</v>
      </c>
      <c r="B1248" s="1" t="s">
        <v>0</v>
      </c>
      <c r="C1248" s="3">
        <v>272.19</v>
      </c>
    </row>
    <row r="1249" spans="1:3" x14ac:dyDescent="0.2">
      <c r="A1249" s="2">
        <v>46010</v>
      </c>
      <c r="B1249" s="1" t="s">
        <v>0</v>
      </c>
      <c r="C1249" s="3">
        <v>273.67</v>
      </c>
    </row>
    <row r="1250" spans="1:3" x14ac:dyDescent="0.2">
      <c r="A1250" s="2">
        <v>46013</v>
      </c>
      <c r="B1250" s="1" t="s">
        <v>0</v>
      </c>
      <c r="C1250" s="3">
        <v>270.97000000000003</v>
      </c>
    </row>
    <row r="1251" spans="1:3" x14ac:dyDescent="0.2">
      <c r="A1251" s="2">
        <v>46014</v>
      </c>
      <c r="B1251" s="1" t="s">
        <v>0</v>
      </c>
      <c r="C1251" s="3">
        <v>272.36</v>
      </c>
    </row>
    <row r="1252" spans="1:3" x14ac:dyDescent="0.2">
      <c r="A1252" s="2">
        <v>46015</v>
      </c>
      <c r="B1252" s="1" t="s">
        <v>0</v>
      </c>
      <c r="C1252" s="3">
        <v>273.81</v>
      </c>
    </row>
    <row r="1253" spans="1:3" x14ac:dyDescent="0.2">
      <c r="A1253" s="2">
        <v>46017</v>
      </c>
      <c r="B1253" s="1" t="s">
        <v>0</v>
      </c>
      <c r="C1253" s="3">
        <v>273.39999999999998</v>
      </c>
    </row>
    <row r="1254" spans="1:3" x14ac:dyDescent="0.2">
      <c r="A1254" s="2">
        <v>46020</v>
      </c>
      <c r="B1254" s="1" t="s">
        <v>0</v>
      </c>
      <c r="C1254" s="3">
        <v>273.76</v>
      </c>
    </row>
    <row r="1255" spans="1:3" x14ac:dyDescent="0.2">
      <c r="A1255" s="2">
        <v>46021</v>
      </c>
      <c r="B1255" s="1" t="s">
        <v>0</v>
      </c>
      <c r="C1255" s="3">
        <v>273.08</v>
      </c>
    </row>
    <row r="1256" spans="1:3" x14ac:dyDescent="0.2">
      <c r="A1256" s="2">
        <v>46022</v>
      </c>
      <c r="B1256" s="1" t="s">
        <v>0</v>
      </c>
      <c r="C1256" s="3">
        <v>271.86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0ACD-13B3-4396-9ED4-536AFDAE2457}">
  <sheetPr codeName="Sheet2"/>
  <dimension ref="A1:C1256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3" t="s">
        <v>5</v>
      </c>
      <c r="C2" s="3">
        <v>210.429</v>
      </c>
    </row>
    <row r="3" spans="1:3" x14ac:dyDescent="0.2">
      <c r="A3" s="2">
        <v>44201</v>
      </c>
      <c r="B3" s="3" t="s">
        <v>5</v>
      </c>
      <c r="C3" s="3">
        <v>210.62299999999999</v>
      </c>
    </row>
    <row r="4" spans="1:3" x14ac:dyDescent="0.2">
      <c r="A4" s="2">
        <v>44202</v>
      </c>
      <c r="B4" s="3" t="s">
        <v>5</v>
      </c>
      <c r="C4" s="3">
        <v>205.161</v>
      </c>
    </row>
    <row r="5" spans="1:3" x14ac:dyDescent="0.2">
      <c r="A5" s="2">
        <v>44203</v>
      </c>
      <c r="B5" s="3" t="s">
        <v>5</v>
      </c>
      <c r="C5" s="3">
        <v>210.99600000000001</v>
      </c>
    </row>
    <row r="6" spans="1:3" x14ac:dyDescent="0.2">
      <c r="A6" s="2">
        <v>44204</v>
      </c>
      <c r="B6" s="3" t="s">
        <v>5</v>
      </c>
      <c r="C6" s="3">
        <v>212.29400000000001</v>
      </c>
    </row>
    <row r="7" spans="1:3" x14ac:dyDescent="0.2">
      <c r="A7" s="2">
        <v>44207</v>
      </c>
      <c r="B7" s="3" t="s">
        <v>5</v>
      </c>
      <c r="C7" s="3">
        <v>210.232</v>
      </c>
    </row>
    <row r="8" spans="1:3" x14ac:dyDescent="0.2">
      <c r="A8" s="2">
        <v>44208</v>
      </c>
      <c r="B8" s="3" t="s">
        <v>5</v>
      </c>
      <c r="C8" s="3">
        <v>207.762</v>
      </c>
    </row>
    <row r="9" spans="1:3" x14ac:dyDescent="0.2">
      <c r="A9" s="2">
        <v>44209</v>
      </c>
      <c r="B9" s="3" t="s">
        <v>5</v>
      </c>
      <c r="C9" s="3">
        <v>209.119</v>
      </c>
    </row>
    <row r="10" spans="1:3" x14ac:dyDescent="0.2">
      <c r="A10" s="2">
        <v>44210</v>
      </c>
      <c r="B10" s="3" t="s">
        <v>5</v>
      </c>
      <c r="C10" s="3">
        <v>205.89599999999999</v>
      </c>
    </row>
    <row r="11" spans="1:3" x14ac:dyDescent="0.2">
      <c r="A11" s="2">
        <v>44211</v>
      </c>
      <c r="B11" s="3" t="s">
        <v>5</v>
      </c>
      <c r="C11" s="3">
        <v>205.54499999999999</v>
      </c>
    </row>
    <row r="12" spans="1:3" x14ac:dyDescent="0.2">
      <c r="A12" s="2">
        <v>44215</v>
      </c>
      <c r="B12" s="3" t="s">
        <v>5</v>
      </c>
      <c r="C12" s="3">
        <v>209.21600000000001</v>
      </c>
    </row>
    <row r="13" spans="1:3" x14ac:dyDescent="0.2">
      <c r="A13" s="2">
        <v>44216</v>
      </c>
      <c r="B13" s="3" t="s">
        <v>5</v>
      </c>
      <c r="C13" s="3">
        <v>216.83500000000001</v>
      </c>
    </row>
    <row r="14" spans="1:3" x14ac:dyDescent="0.2">
      <c r="A14" s="2">
        <v>44217</v>
      </c>
      <c r="B14" s="3" t="s">
        <v>5</v>
      </c>
      <c r="C14" s="3">
        <v>217.45099999999999</v>
      </c>
    </row>
    <row r="15" spans="1:3" x14ac:dyDescent="0.2">
      <c r="A15" s="2">
        <v>44218</v>
      </c>
      <c r="B15" s="3" t="s">
        <v>5</v>
      </c>
      <c r="C15" s="3">
        <v>218.40700000000001</v>
      </c>
    </row>
    <row r="16" spans="1:3" x14ac:dyDescent="0.2">
      <c r="A16" s="2">
        <v>44221</v>
      </c>
      <c r="B16" s="3" t="s">
        <v>5</v>
      </c>
      <c r="C16" s="3">
        <v>221.85499999999999</v>
      </c>
    </row>
    <row r="17" spans="1:3" x14ac:dyDescent="0.2">
      <c r="A17" s="2">
        <v>44222</v>
      </c>
      <c r="B17" s="3" t="s">
        <v>5</v>
      </c>
      <c r="C17" s="3">
        <v>224.58</v>
      </c>
    </row>
    <row r="18" spans="1:3" x14ac:dyDescent="0.2">
      <c r="A18" s="2">
        <v>44223</v>
      </c>
      <c r="B18" s="3" t="s">
        <v>5</v>
      </c>
      <c r="C18" s="3">
        <v>225.11600000000001</v>
      </c>
    </row>
    <row r="19" spans="1:3" x14ac:dyDescent="0.2">
      <c r="A19" s="2">
        <v>44224</v>
      </c>
      <c r="B19" s="3" t="s">
        <v>5</v>
      </c>
      <c r="C19" s="3">
        <v>230.959</v>
      </c>
    </row>
    <row r="20" spans="1:3" x14ac:dyDescent="0.2">
      <c r="A20" s="2">
        <v>44225</v>
      </c>
      <c r="B20" s="3" t="s">
        <v>5</v>
      </c>
      <c r="C20" s="3">
        <v>224.23</v>
      </c>
    </row>
    <row r="21" spans="1:3" x14ac:dyDescent="0.2">
      <c r="A21" s="2">
        <v>44228</v>
      </c>
      <c r="B21" s="3" t="s">
        <v>5</v>
      </c>
      <c r="C21" s="3">
        <v>231.65299999999999</v>
      </c>
    </row>
    <row r="22" spans="1:3" x14ac:dyDescent="0.2">
      <c r="A22" s="2">
        <v>44229</v>
      </c>
      <c r="B22" s="3" t="s">
        <v>5</v>
      </c>
      <c r="C22" s="3">
        <v>231.51599999999999</v>
      </c>
    </row>
    <row r="23" spans="1:3" x14ac:dyDescent="0.2">
      <c r="A23" s="2">
        <v>44230</v>
      </c>
      <c r="B23" s="3" t="s">
        <v>5</v>
      </c>
      <c r="C23" s="3">
        <v>234.887</v>
      </c>
    </row>
    <row r="24" spans="1:3" x14ac:dyDescent="0.2">
      <c r="A24" s="2">
        <v>44231</v>
      </c>
      <c r="B24" s="3" t="s">
        <v>5</v>
      </c>
      <c r="C24" s="3">
        <v>233.92</v>
      </c>
    </row>
    <row r="25" spans="1:3" x14ac:dyDescent="0.2">
      <c r="A25" s="2">
        <v>44232</v>
      </c>
      <c r="B25" s="3" t="s">
        <v>5</v>
      </c>
      <c r="C25" s="3">
        <v>234.10400000000001</v>
      </c>
    </row>
    <row r="26" spans="1:3" x14ac:dyDescent="0.2">
      <c r="A26" s="2">
        <v>44235</v>
      </c>
      <c r="B26" s="3" t="s">
        <v>5</v>
      </c>
      <c r="C26" s="3">
        <v>234.369</v>
      </c>
    </row>
    <row r="27" spans="1:3" x14ac:dyDescent="0.2">
      <c r="A27" s="2">
        <v>44236</v>
      </c>
      <c r="B27" s="3" t="s">
        <v>5</v>
      </c>
      <c r="C27" s="3">
        <v>235.636</v>
      </c>
    </row>
    <row r="28" spans="1:3" x14ac:dyDescent="0.2">
      <c r="A28" s="2">
        <v>44237</v>
      </c>
      <c r="B28" s="3" t="s">
        <v>5</v>
      </c>
      <c r="C28" s="3">
        <v>234.71</v>
      </c>
    </row>
    <row r="29" spans="1:3" x14ac:dyDescent="0.2">
      <c r="A29" s="2">
        <v>44238</v>
      </c>
      <c r="B29" s="3" t="s">
        <v>5</v>
      </c>
      <c r="C29" s="3">
        <v>236.33199999999999</v>
      </c>
    </row>
    <row r="30" spans="1:3" x14ac:dyDescent="0.2">
      <c r="A30" s="2">
        <v>44239</v>
      </c>
      <c r="B30" s="3" t="s">
        <v>5</v>
      </c>
      <c r="C30" s="3">
        <v>236.821</v>
      </c>
    </row>
    <row r="31" spans="1:3" x14ac:dyDescent="0.2">
      <c r="A31" s="2">
        <v>44243</v>
      </c>
      <c r="B31" s="3" t="s">
        <v>5</v>
      </c>
      <c r="C31" s="3">
        <v>235.56899999999999</v>
      </c>
    </row>
    <row r="32" spans="1:3" x14ac:dyDescent="0.2">
      <c r="A32" s="2">
        <v>44244</v>
      </c>
      <c r="B32" s="3" t="s">
        <v>5</v>
      </c>
      <c r="C32" s="3">
        <v>236.59399999999999</v>
      </c>
    </row>
    <row r="33" spans="1:3" x14ac:dyDescent="0.2">
      <c r="A33" s="2">
        <v>44245</v>
      </c>
      <c r="B33" s="3" t="s">
        <v>5</v>
      </c>
      <c r="C33" s="3">
        <v>236.203</v>
      </c>
    </row>
    <row r="34" spans="1:3" x14ac:dyDescent="0.2">
      <c r="A34" s="2">
        <v>44246</v>
      </c>
      <c r="B34" s="3" t="s">
        <v>5</v>
      </c>
      <c r="C34" s="3">
        <v>233.46</v>
      </c>
    </row>
    <row r="35" spans="1:3" x14ac:dyDescent="0.2">
      <c r="A35" s="2">
        <v>44249</v>
      </c>
      <c r="B35" s="3" t="s">
        <v>5</v>
      </c>
      <c r="C35" s="3">
        <v>227.197</v>
      </c>
    </row>
    <row r="36" spans="1:3" x14ac:dyDescent="0.2">
      <c r="A36" s="2">
        <v>44250</v>
      </c>
      <c r="B36" s="3" t="s">
        <v>5</v>
      </c>
      <c r="C36" s="3">
        <v>226.00800000000001</v>
      </c>
    </row>
    <row r="37" spans="1:3" x14ac:dyDescent="0.2">
      <c r="A37" s="2">
        <v>44251</v>
      </c>
      <c r="B37" s="3" t="s">
        <v>5</v>
      </c>
      <c r="C37" s="3">
        <v>227.23599999999999</v>
      </c>
    </row>
    <row r="38" spans="1:3" x14ac:dyDescent="0.2">
      <c r="A38" s="2">
        <v>44252</v>
      </c>
      <c r="B38" s="3" t="s">
        <v>5</v>
      </c>
      <c r="C38" s="3">
        <v>221.845</v>
      </c>
    </row>
    <row r="39" spans="1:3" x14ac:dyDescent="0.2">
      <c r="A39" s="2">
        <v>44253</v>
      </c>
      <c r="B39" s="3" t="s">
        <v>5</v>
      </c>
      <c r="C39" s="3">
        <v>225.136</v>
      </c>
    </row>
    <row r="40" spans="1:3" x14ac:dyDescent="0.2">
      <c r="A40" s="2">
        <v>44256</v>
      </c>
      <c r="B40" s="3" t="s">
        <v>5</v>
      </c>
      <c r="C40" s="3">
        <v>229.55099999999999</v>
      </c>
    </row>
    <row r="41" spans="1:3" x14ac:dyDescent="0.2">
      <c r="A41" s="2">
        <v>44257</v>
      </c>
      <c r="B41" s="3" t="s">
        <v>5</v>
      </c>
      <c r="C41" s="3">
        <v>226.57499999999999</v>
      </c>
    </row>
    <row r="42" spans="1:3" x14ac:dyDescent="0.2">
      <c r="A42" s="2">
        <v>44258</v>
      </c>
      <c r="B42" s="3" t="s">
        <v>5</v>
      </c>
      <c r="C42" s="3">
        <v>220.47800000000001</v>
      </c>
    </row>
    <row r="43" spans="1:3" x14ac:dyDescent="0.2">
      <c r="A43" s="2">
        <v>44259</v>
      </c>
      <c r="B43" s="3" t="s">
        <v>5</v>
      </c>
      <c r="C43" s="3">
        <v>219.666</v>
      </c>
    </row>
    <row r="44" spans="1:3" x14ac:dyDescent="0.2">
      <c r="A44" s="2">
        <v>44260</v>
      </c>
      <c r="B44" s="3" t="s">
        <v>5</v>
      </c>
      <c r="C44" s="3">
        <v>224.386</v>
      </c>
    </row>
    <row r="45" spans="1:3" x14ac:dyDescent="0.2">
      <c r="A45" s="2">
        <v>44263</v>
      </c>
      <c r="B45" s="3" t="s">
        <v>5</v>
      </c>
      <c r="C45" s="3">
        <v>220.31200000000001</v>
      </c>
    </row>
    <row r="46" spans="1:3" x14ac:dyDescent="0.2">
      <c r="A46" s="2">
        <v>44264</v>
      </c>
      <c r="B46" s="3" t="s">
        <v>5</v>
      </c>
      <c r="C46" s="3">
        <v>226.48599999999999</v>
      </c>
    </row>
    <row r="47" spans="1:3" x14ac:dyDescent="0.2">
      <c r="A47" s="2">
        <v>44265</v>
      </c>
      <c r="B47" s="3" t="s">
        <v>5</v>
      </c>
      <c r="C47" s="3">
        <v>225.17599999999999</v>
      </c>
    </row>
    <row r="48" spans="1:3" x14ac:dyDescent="0.2">
      <c r="A48" s="2">
        <v>44266</v>
      </c>
      <c r="B48" s="3" t="s">
        <v>5</v>
      </c>
      <c r="C48" s="3">
        <v>229.738</v>
      </c>
    </row>
    <row r="49" spans="1:3" x14ac:dyDescent="0.2">
      <c r="A49" s="2">
        <v>44267</v>
      </c>
      <c r="B49" s="3" t="s">
        <v>5</v>
      </c>
      <c r="C49" s="3">
        <v>228.41</v>
      </c>
    </row>
    <row r="50" spans="1:3" x14ac:dyDescent="0.2">
      <c r="A50" s="2">
        <v>44270</v>
      </c>
      <c r="B50" s="3" t="s">
        <v>5</v>
      </c>
      <c r="C50" s="3">
        <v>227.49199999999999</v>
      </c>
    </row>
    <row r="51" spans="1:3" x14ac:dyDescent="0.2">
      <c r="A51" s="2">
        <v>44271</v>
      </c>
      <c r="B51" s="3" t="s">
        <v>5</v>
      </c>
      <c r="C51" s="3">
        <v>230.30500000000001</v>
      </c>
    </row>
    <row r="52" spans="1:3" x14ac:dyDescent="0.2">
      <c r="A52" s="2">
        <v>44272</v>
      </c>
      <c r="B52" s="3" t="s">
        <v>5</v>
      </c>
      <c r="C52" s="3">
        <v>229.649</v>
      </c>
    </row>
    <row r="53" spans="1:3" x14ac:dyDescent="0.2">
      <c r="A53" s="2">
        <v>44273</v>
      </c>
      <c r="B53" s="3" t="s">
        <v>5</v>
      </c>
      <c r="C53" s="3">
        <v>223.535</v>
      </c>
    </row>
    <row r="54" spans="1:3" x14ac:dyDescent="0.2">
      <c r="A54" s="2">
        <v>44274</v>
      </c>
      <c r="B54" s="3" t="s">
        <v>5</v>
      </c>
      <c r="C54" s="3">
        <v>223.17400000000001</v>
      </c>
    </row>
    <row r="55" spans="1:3" x14ac:dyDescent="0.2">
      <c r="A55" s="2">
        <v>44277</v>
      </c>
      <c r="B55" s="3" t="s">
        <v>5</v>
      </c>
      <c r="C55" s="3">
        <v>228.642</v>
      </c>
    </row>
    <row r="56" spans="1:3" x14ac:dyDescent="0.2">
      <c r="A56" s="2">
        <v>44278</v>
      </c>
      <c r="B56" s="3" t="s">
        <v>5</v>
      </c>
      <c r="C56" s="3">
        <v>230.17599999999999</v>
      </c>
    </row>
    <row r="57" spans="1:3" x14ac:dyDescent="0.2">
      <c r="A57" s="2">
        <v>44279</v>
      </c>
      <c r="B57" s="3" t="s">
        <v>5</v>
      </c>
      <c r="C57" s="3">
        <v>228.126</v>
      </c>
    </row>
    <row r="58" spans="1:3" x14ac:dyDescent="0.2">
      <c r="A58" s="2">
        <v>44280</v>
      </c>
      <c r="B58" s="3" t="s">
        <v>5</v>
      </c>
      <c r="C58" s="3">
        <v>225.096</v>
      </c>
    </row>
    <row r="59" spans="1:3" x14ac:dyDescent="0.2">
      <c r="A59" s="2">
        <v>44281</v>
      </c>
      <c r="B59" s="3" t="s">
        <v>5</v>
      </c>
      <c r="C59" s="3">
        <v>229.11199999999999</v>
      </c>
    </row>
    <row r="60" spans="1:3" x14ac:dyDescent="0.2">
      <c r="A60" s="2">
        <v>44284</v>
      </c>
      <c r="B60" s="3" t="s">
        <v>5</v>
      </c>
      <c r="C60" s="3">
        <v>227.911</v>
      </c>
    </row>
    <row r="61" spans="1:3" x14ac:dyDescent="0.2">
      <c r="A61" s="2">
        <v>44285</v>
      </c>
      <c r="B61" s="3" t="s">
        <v>5</v>
      </c>
      <c r="C61" s="3">
        <v>224.63</v>
      </c>
    </row>
    <row r="62" spans="1:3" x14ac:dyDescent="0.2">
      <c r="A62" s="2">
        <v>44286</v>
      </c>
      <c r="B62" s="3" t="s">
        <v>5</v>
      </c>
      <c r="C62" s="3">
        <v>228.43</v>
      </c>
    </row>
    <row r="63" spans="1:3" x14ac:dyDescent="0.2">
      <c r="A63" s="2">
        <v>44287</v>
      </c>
      <c r="B63" s="3" t="s">
        <v>5</v>
      </c>
      <c r="C63" s="3">
        <v>234.797</v>
      </c>
    </row>
    <row r="64" spans="1:3" x14ac:dyDescent="0.2">
      <c r="A64" s="2">
        <v>44291</v>
      </c>
      <c r="B64" s="3" t="s">
        <v>5</v>
      </c>
      <c r="C64" s="3">
        <v>241.322</v>
      </c>
    </row>
    <row r="65" spans="1:3" x14ac:dyDescent="0.2">
      <c r="A65" s="2">
        <v>44292</v>
      </c>
      <c r="B65" s="3" t="s">
        <v>5</v>
      </c>
      <c r="C65" s="3">
        <v>240.13900000000001</v>
      </c>
    </row>
    <row r="66" spans="1:3" x14ac:dyDescent="0.2">
      <c r="A66" s="2">
        <v>44293</v>
      </c>
      <c r="B66" s="3" t="s">
        <v>5</v>
      </c>
      <c r="C66" s="3">
        <v>242.114</v>
      </c>
    </row>
    <row r="67" spans="1:3" x14ac:dyDescent="0.2">
      <c r="A67" s="2">
        <v>44294</v>
      </c>
      <c r="B67" s="3" t="s">
        <v>5</v>
      </c>
      <c r="C67" s="3">
        <v>245.36600000000001</v>
      </c>
    </row>
    <row r="68" spans="1:3" x14ac:dyDescent="0.2">
      <c r="A68" s="2">
        <v>44295</v>
      </c>
      <c r="B68" s="3" t="s">
        <v>5</v>
      </c>
      <c r="C68" s="3">
        <v>247.876</v>
      </c>
    </row>
    <row r="69" spans="1:3" x14ac:dyDescent="0.2">
      <c r="A69" s="2">
        <v>44298</v>
      </c>
      <c r="B69" s="3" t="s">
        <v>5</v>
      </c>
      <c r="C69" s="3">
        <v>247.935</v>
      </c>
    </row>
    <row r="70" spans="1:3" x14ac:dyDescent="0.2">
      <c r="A70" s="2">
        <v>44299</v>
      </c>
      <c r="B70" s="3" t="s">
        <v>5</v>
      </c>
      <c r="C70" s="3">
        <v>250.43600000000001</v>
      </c>
    </row>
    <row r="71" spans="1:3" x14ac:dyDescent="0.2">
      <c r="A71" s="2">
        <v>44300</v>
      </c>
      <c r="B71" s="3" t="s">
        <v>5</v>
      </c>
      <c r="C71" s="3">
        <v>247.63200000000001</v>
      </c>
    </row>
    <row r="72" spans="1:3" x14ac:dyDescent="0.2">
      <c r="A72" s="2">
        <v>44301</v>
      </c>
      <c r="B72" s="3" t="s">
        <v>5</v>
      </c>
      <c r="C72" s="3">
        <v>251.423</v>
      </c>
    </row>
    <row r="73" spans="1:3" x14ac:dyDescent="0.2">
      <c r="A73" s="2">
        <v>44302</v>
      </c>
      <c r="B73" s="3" t="s">
        <v>5</v>
      </c>
      <c r="C73" s="3">
        <v>252.62100000000001</v>
      </c>
    </row>
    <row r="74" spans="1:3" x14ac:dyDescent="0.2">
      <c r="A74" s="2">
        <v>44305</v>
      </c>
      <c r="B74" s="3" t="s">
        <v>5</v>
      </c>
      <c r="C74" s="3">
        <v>250.679</v>
      </c>
    </row>
    <row r="75" spans="1:3" x14ac:dyDescent="0.2">
      <c r="A75" s="2">
        <v>44306</v>
      </c>
      <c r="B75" s="3" t="s">
        <v>5</v>
      </c>
      <c r="C75" s="3">
        <v>250.221</v>
      </c>
    </row>
    <row r="76" spans="1:3" x14ac:dyDescent="0.2">
      <c r="A76" s="2">
        <v>44307</v>
      </c>
      <c r="B76" s="3" t="s">
        <v>5</v>
      </c>
      <c r="C76" s="3">
        <v>252.46799999999999</v>
      </c>
    </row>
    <row r="77" spans="1:3" x14ac:dyDescent="0.2">
      <c r="A77" s="2">
        <v>44308</v>
      </c>
      <c r="B77" s="3" t="s">
        <v>5</v>
      </c>
      <c r="C77" s="3">
        <v>249.155</v>
      </c>
    </row>
    <row r="78" spans="1:3" x14ac:dyDescent="0.2">
      <c r="A78" s="2">
        <v>44309</v>
      </c>
      <c r="B78" s="3" t="s">
        <v>5</v>
      </c>
      <c r="C78" s="3">
        <v>253.01300000000001</v>
      </c>
    </row>
    <row r="79" spans="1:3" x14ac:dyDescent="0.2">
      <c r="A79" s="2">
        <v>44312</v>
      </c>
      <c r="B79" s="3" t="s">
        <v>5</v>
      </c>
      <c r="C79" s="3">
        <v>253.39500000000001</v>
      </c>
    </row>
    <row r="80" spans="1:3" x14ac:dyDescent="0.2">
      <c r="A80" s="2">
        <v>44313</v>
      </c>
      <c r="B80" s="3" t="s">
        <v>5</v>
      </c>
      <c r="C80" s="3">
        <v>253.80500000000001</v>
      </c>
    </row>
    <row r="81" spans="1:3" x14ac:dyDescent="0.2">
      <c r="A81" s="2">
        <v>44314</v>
      </c>
      <c r="B81" s="3" t="s">
        <v>5</v>
      </c>
      <c r="C81" s="3">
        <v>246.626</v>
      </c>
    </row>
    <row r="82" spans="1:3" x14ac:dyDescent="0.2">
      <c r="A82" s="2">
        <v>44315</v>
      </c>
      <c r="B82" s="3" t="s">
        <v>5</v>
      </c>
      <c r="C82" s="3">
        <v>244.643</v>
      </c>
    </row>
    <row r="83" spans="1:3" x14ac:dyDescent="0.2">
      <c r="A83" s="2">
        <v>44316</v>
      </c>
      <c r="B83" s="3" t="s">
        <v>5</v>
      </c>
      <c r="C83" s="3">
        <v>244.322</v>
      </c>
    </row>
    <row r="84" spans="1:3" x14ac:dyDescent="0.2">
      <c r="A84" s="2">
        <v>44319</v>
      </c>
      <c r="B84" s="3" t="s">
        <v>5</v>
      </c>
      <c r="C84" s="3">
        <v>244.00700000000001</v>
      </c>
    </row>
    <row r="85" spans="1:3" x14ac:dyDescent="0.2">
      <c r="A85" s="2">
        <v>44320</v>
      </c>
      <c r="B85" s="3" t="s">
        <v>5</v>
      </c>
      <c r="C85" s="3">
        <v>240.071</v>
      </c>
    </row>
    <row r="86" spans="1:3" x14ac:dyDescent="0.2">
      <c r="A86" s="2">
        <v>44321</v>
      </c>
      <c r="B86" s="3" t="s">
        <v>5</v>
      </c>
      <c r="C86" s="3">
        <v>238.78399999999999</v>
      </c>
    </row>
    <row r="87" spans="1:3" x14ac:dyDescent="0.2">
      <c r="A87" s="2">
        <v>44322</v>
      </c>
      <c r="B87" s="3" t="s">
        <v>5</v>
      </c>
      <c r="C87" s="3">
        <v>241.94800000000001</v>
      </c>
    </row>
    <row r="88" spans="1:3" x14ac:dyDescent="0.2">
      <c r="A88" s="2">
        <v>44323</v>
      </c>
      <c r="B88" s="3" t="s">
        <v>5</v>
      </c>
      <c r="C88" s="3">
        <v>244.59299999999999</v>
      </c>
    </row>
    <row r="89" spans="1:3" x14ac:dyDescent="0.2">
      <c r="A89" s="2">
        <v>44326</v>
      </c>
      <c r="B89" s="3" t="s">
        <v>5</v>
      </c>
      <c r="C89" s="3">
        <v>239.476</v>
      </c>
    </row>
    <row r="90" spans="1:3" x14ac:dyDescent="0.2">
      <c r="A90" s="2">
        <v>44327</v>
      </c>
      <c r="B90" s="3" t="s">
        <v>5</v>
      </c>
      <c r="C90" s="3">
        <v>238.547</v>
      </c>
    </row>
    <row r="91" spans="1:3" x14ac:dyDescent="0.2">
      <c r="A91" s="2">
        <v>44328</v>
      </c>
      <c r="B91" s="3" t="s">
        <v>5</v>
      </c>
      <c r="C91" s="3">
        <v>231.55600000000001</v>
      </c>
    </row>
    <row r="92" spans="1:3" x14ac:dyDescent="0.2">
      <c r="A92" s="2">
        <v>44329</v>
      </c>
      <c r="B92" s="3" t="s">
        <v>5</v>
      </c>
      <c r="C92" s="3">
        <v>235.464</v>
      </c>
    </row>
    <row r="93" spans="1:3" x14ac:dyDescent="0.2">
      <c r="A93" s="2">
        <v>44330</v>
      </c>
      <c r="B93" s="3" t="s">
        <v>5</v>
      </c>
      <c r="C93" s="3">
        <v>240.423</v>
      </c>
    </row>
    <row r="94" spans="1:3" x14ac:dyDescent="0.2">
      <c r="A94" s="2">
        <v>44333</v>
      </c>
      <c r="B94" s="3" t="s">
        <v>5</v>
      </c>
      <c r="C94" s="3">
        <v>237.54300000000001</v>
      </c>
    </row>
    <row r="95" spans="1:3" x14ac:dyDescent="0.2">
      <c r="A95" s="2">
        <v>44334</v>
      </c>
      <c r="B95" s="3" t="s">
        <v>5</v>
      </c>
      <c r="C95" s="3">
        <v>235.511</v>
      </c>
    </row>
    <row r="96" spans="1:3" x14ac:dyDescent="0.2">
      <c r="A96" s="2">
        <v>44335</v>
      </c>
      <c r="B96" s="3" t="s">
        <v>5</v>
      </c>
      <c r="C96" s="3">
        <v>236.096</v>
      </c>
    </row>
    <row r="97" spans="1:3" x14ac:dyDescent="0.2">
      <c r="A97" s="2">
        <v>44336</v>
      </c>
      <c r="B97" s="3" t="s">
        <v>5</v>
      </c>
      <c r="C97" s="3">
        <v>239.35</v>
      </c>
    </row>
    <row r="98" spans="1:3" x14ac:dyDescent="0.2">
      <c r="A98" s="2">
        <v>44337</v>
      </c>
      <c r="B98" s="3" t="s">
        <v>5</v>
      </c>
      <c r="C98" s="3">
        <v>238.078</v>
      </c>
    </row>
    <row r="99" spans="1:3" x14ac:dyDescent="0.2">
      <c r="A99" s="2">
        <v>44340</v>
      </c>
      <c r="B99" s="3" t="s">
        <v>5</v>
      </c>
      <c r="C99" s="3">
        <v>243.52</v>
      </c>
    </row>
    <row r="100" spans="1:3" x14ac:dyDescent="0.2">
      <c r="A100" s="2">
        <v>44341</v>
      </c>
      <c r="B100" s="3" t="s">
        <v>5</v>
      </c>
      <c r="C100" s="3">
        <v>244.43700000000001</v>
      </c>
    </row>
    <row r="101" spans="1:3" x14ac:dyDescent="0.2">
      <c r="A101" s="2">
        <v>44342</v>
      </c>
      <c r="B101" s="3" t="s">
        <v>5</v>
      </c>
      <c r="C101" s="3">
        <v>244.214</v>
      </c>
    </row>
    <row r="102" spans="1:3" x14ac:dyDescent="0.2">
      <c r="A102" s="2">
        <v>44343</v>
      </c>
      <c r="B102" s="3" t="s">
        <v>5</v>
      </c>
      <c r="C102" s="3">
        <v>242.10499999999999</v>
      </c>
    </row>
    <row r="103" spans="1:3" x14ac:dyDescent="0.2">
      <c r="A103" s="2">
        <v>44344</v>
      </c>
      <c r="B103" s="3" t="s">
        <v>5</v>
      </c>
      <c r="C103" s="3">
        <v>242.45500000000001</v>
      </c>
    </row>
    <row r="104" spans="1:3" x14ac:dyDescent="0.2">
      <c r="A104" s="2">
        <v>44348</v>
      </c>
      <c r="B104" s="3" t="s">
        <v>5</v>
      </c>
      <c r="C104" s="3">
        <v>240.24799999999999</v>
      </c>
    </row>
    <row r="105" spans="1:3" x14ac:dyDescent="0.2">
      <c r="A105" s="2">
        <v>44349</v>
      </c>
      <c r="B105" s="3" t="s">
        <v>5</v>
      </c>
      <c r="C105" s="3">
        <v>240.149</v>
      </c>
    </row>
    <row r="106" spans="1:3" x14ac:dyDescent="0.2">
      <c r="A106" s="2">
        <v>44350</v>
      </c>
      <c r="B106" s="3" t="s">
        <v>5</v>
      </c>
      <c r="C106" s="3">
        <v>238.596</v>
      </c>
    </row>
    <row r="107" spans="1:3" x14ac:dyDescent="0.2">
      <c r="A107" s="2">
        <v>44351</v>
      </c>
      <c r="B107" s="3" t="s">
        <v>5</v>
      </c>
      <c r="C107" s="3">
        <v>243.529</v>
      </c>
    </row>
    <row r="108" spans="1:3" x14ac:dyDescent="0.2">
      <c r="A108" s="2">
        <v>44354</v>
      </c>
      <c r="B108" s="3" t="s">
        <v>5</v>
      </c>
      <c r="C108" s="3">
        <v>246.48099999999999</v>
      </c>
    </row>
    <row r="109" spans="1:3" x14ac:dyDescent="0.2">
      <c r="A109" s="2">
        <v>44355</v>
      </c>
      <c r="B109" s="3" t="s">
        <v>5</v>
      </c>
      <c r="C109" s="3">
        <v>245.268</v>
      </c>
    </row>
    <row r="110" spans="1:3" x14ac:dyDescent="0.2">
      <c r="A110" s="2">
        <v>44356</v>
      </c>
      <c r="B110" s="3" t="s">
        <v>5</v>
      </c>
      <c r="C110" s="3">
        <v>246.26400000000001</v>
      </c>
    </row>
    <row r="111" spans="1:3" x14ac:dyDescent="0.2">
      <c r="A111" s="2">
        <v>44357</v>
      </c>
      <c r="B111" s="3" t="s">
        <v>5</v>
      </c>
      <c r="C111" s="3">
        <v>249.80099999999999</v>
      </c>
    </row>
    <row r="112" spans="1:3" x14ac:dyDescent="0.2">
      <c r="A112" s="2">
        <v>44358</v>
      </c>
      <c r="B112" s="3" t="s">
        <v>5</v>
      </c>
      <c r="C112" s="3">
        <v>250.43600000000001</v>
      </c>
    </row>
    <row r="113" spans="1:3" x14ac:dyDescent="0.2">
      <c r="A113" s="2">
        <v>44361</v>
      </c>
      <c r="B113" s="3" t="s">
        <v>5</v>
      </c>
      <c r="C113" s="3">
        <v>252.38</v>
      </c>
    </row>
    <row r="114" spans="1:3" x14ac:dyDescent="0.2">
      <c r="A114" s="2">
        <v>44362</v>
      </c>
      <c r="B114" s="3" t="s">
        <v>5</v>
      </c>
      <c r="C114" s="3">
        <v>250.89400000000001</v>
      </c>
    </row>
    <row r="115" spans="1:3" x14ac:dyDescent="0.2">
      <c r="A115" s="2">
        <v>44363</v>
      </c>
      <c r="B115" s="3" t="s">
        <v>5</v>
      </c>
      <c r="C115" s="3">
        <v>249.93600000000001</v>
      </c>
    </row>
    <row r="116" spans="1:3" x14ac:dyDescent="0.2">
      <c r="A116" s="2">
        <v>44364</v>
      </c>
      <c r="B116" s="3" t="s">
        <v>5</v>
      </c>
      <c r="C116" s="3">
        <v>253.346</v>
      </c>
    </row>
    <row r="117" spans="1:3" x14ac:dyDescent="0.2">
      <c r="A117" s="2">
        <v>44365</v>
      </c>
      <c r="B117" s="3" t="s">
        <v>5</v>
      </c>
      <c r="C117" s="3">
        <v>251.93100000000001</v>
      </c>
    </row>
    <row r="118" spans="1:3" x14ac:dyDescent="0.2">
      <c r="A118" s="2">
        <v>44368</v>
      </c>
      <c r="B118" s="3" t="s">
        <v>5</v>
      </c>
      <c r="C118" s="3">
        <v>255.03399999999999</v>
      </c>
    </row>
    <row r="119" spans="1:3" x14ac:dyDescent="0.2">
      <c r="A119" s="2">
        <v>44369</v>
      </c>
      <c r="B119" s="3" t="s">
        <v>5</v>
      </c>
      <c r="C119" s="3">
        <v>257.82900000000001</v>
      </c>
    </row>
    <row r="120" spans="1:3" x14ac:dyDescent="0.2">
      <c r="A120" s="2">
        <v>44370</v>
      </c>
      <c r="B120" s="3" t="s">
        <v>5</v>
      </c>
      <c r="C120" s="3">
        <v>257.60399999999998</v>
      </c>
    </row>
    <row r="121" spans="1:3" x14ac:dyDescent="0.2">
      <c r="A121" s="2">
        <v>44371</v>
      </c>
      <c r="B121" s="3" t="s">
        <v>5</v>
      </c>
      <c r="C121" s="3">
        <v>258.97000000000003</v>
      </c>
    </row>
    <row r="122" spans="1:3" x14ac:dyDescent="0.2">
      <c r="A122" s="2">
        <v>44372</v>
      </c>
      <c r="B122" s="3" t="s">
        <v>5</v>
      </c>
      <c r="C122" s="3">
        <v>257.36</v>
      </c>
    </row>
    <row r="123" spans="1:3" x14ac:dyDescent="0.2">
      <c r="A123" s="2">
        <v>44375</v>
      </c>
      <c r="B123" s="3" t="s">
        <v>5</v>
      </c>
      <c r="C123" s="3">
        <v>260.95499999999998</v>
      </c>
    </row>
    <row r="124" spans="1:3" x14ac:dyDescent="0.2">
      <c r="A124" s="2">
        <v>44376</v>
      </c>
      <c r="B124" s="3" t="s">
        <v>5</v>
      </c>
      <c r="C124" s="3">
        <v>263.553</v>
      </c>
    </row>
    <row r="125" spans="1:3" x14ac:dyDescent="0.2">
      <c r="A125" s="2">
        <v>44377</v>
      </c>
      <c r="B125" s="3" t="s">
        <v>5</v>
      </c>
      <c r="C125" s="3">
        <v>263.06400000000002</v>
      </c>
    </row>
    <row r="126" spans="1:3" x14ac:dyDescent="0.2">
      <c r="A126" s="2">
        <v>44378</v>
      </c>
      <c r="B126" s="3" t="s">
        <v>5</v>
      </c>
      <c r="C126" s="3">
        <v>263.73899999999998</v>
      </c>
    </row>
    <row r="127" spans="1:3" x14ac:dyDescent="0.2">
      <c r="A127" s="2">
        <v>44379</v>
      </c>
      <c r="B127" s="3" t="s">
        <v>5</v>
      </c>
      <c r="C127" s="3">
        <v>269.62</v>
      </c>
    </row>
    <row r="128" spans="1:3" x14ac:dyDescent="0.2">
      <c r="A128" s="2">
        <v>44383</v>
      </c>
      <c r="B128" s="3" t="s">
        <v>5</v>
      </c>
      <c r="C128" s="3">
        <v>269.63</v>
      </c>
    </row>
    <row r="129" spans="1:3" x14ac:dyDescent="0.2">
      <c r="A129" s="2">
        <v>44384</v>
      </c>
      <c r="B129" s="3" t="s">
        <v>5</v>
      </c>
      <c r="C129" s="3">
        <v>271.83499999999998</v>
      </c>
    </row>
    <row r="130" spans="1:3" x14ac:dyDescent="0.2">
      <c r="A130" s="2">
        <v>44385</v>
      </c>
      <c r="B130" s="3" t="s">
        <v>5</v>
      </c>
      <c r="C130" s="3">
        <v>269.392</v>
      </c>
    </row>
    <row r="131" spans="1:3" x14ac:dyDescent="0.2">
      <c r="A131" s="2">
        <v>44386</v>
      </c>
      <c r="B131" s="3" t="s">
        <v>5</v>
      </c>
      <c r="C131" s="3">
        <v>269.90199999999999</v>
      </c>
    </row>
    <row r="132" spans="1:3" x14ac:dyDescent="0.2">
      <c r="A132" s="2">
        <v>44389</v>
      </c>
      <c r="B132" s="3" t="s">
        <v>5</v>
      </c>
      <c r="C132" s="3">
        <v>269.29399999999998</v>
      </c>
    </row>
    <row r="133" spans="1:3" x14ac:dyDescent="0.2">
      <c r="A133" s="2">
        <v>44390</v>
      </c>
      <c r="B133" s="3" t="s">
        <v>5</v>
      </c>
      <c r="C133" s="3">
        <v>272.85199999999998</v>
      </c>
    </row>
    <row r="134" spans="1:3" x14ac:dyDescent="0.2">
      <c r="A134" s="2">
        <v>44391</v>
      </c>
      <c r="B134" s="3" t="s">
        <v>5</v>
      </c>
      <c r="C134" s="3">
        <v>274.34500000000003</v>
      </c>
    </row>
    <row r="135" spans="1:3" x14ac:dyDescent="0.2">
      <c r="A135" s="2">
        <v>44392</v>
      </c>
      <c r="B135" s="3" t="s">
        <v>5</v>
      </c>
      <c r="C135" s="3">
        <v>272.90100000000001</v>
      </c>
    </row>
    <row r="136" spans="1:3" x14ac:dyDescent="0.2">
      <c r="A136" s="2">
        <v>44393</v>
      </c>
      <c r="B136" s="3" t="s">
        <v>5</v>
      </c>
      <c r="C136" s="3">
        <v>272.62599999999998</v>
      </c>
    </row>
    <row r="137" spans="1:3" x14ac:dyDescent="0.2">
      <c r="A137" s="2">
        <v>44396</v>
      </c>
      <c r="B137" s="3" t="s">
        <v>5</v>
      </c>
      <c r="C137" s="3">
        <v>269.00299999999999</v>
      </c>
    </row>
    <row r="138" spans="1:3" x14ac:dyDescent="0.2">
      <c r="A138" s="2">
        <v>44397</v>
      </c>
      <c r="B138" s="3" t="s">
        <v>5</v>
      </c>
      <c r="C138" s="3">
        <v>271.24900000000002</v>
      </c>
    </row>
    <row r="139" spans="1:3" x14ac:dyDescent="0.2">
      <c r="A139" s="2">
        <v>44398</v>
      </c>
      <c r="B139" s="3" t="s">
        <v>5</v>
      </c>
      <c r="C139" s="3">
        <v>273.26100000000002</v>
      </c>
    </row>
    <row r="140" spans="1:3" x14ac:dyDescent="0.2">
      <c r="A140" s="2">
        <v>44399</v>
      </c>
      <c r="B140" s="3" t="s">
        <v>5</v>
      </c>
      <c r="C140" s="3">
        <v>277.86099999999999</v>
      </c>
    </row>
    <row r="141" spans="1:3" x14ac:dyDescent="0.2">
      <c r="A141" s="2">
        <v>44400</v>
      </c>
      <c r="B141" s="3" t="s">
        <v>5</v>
      </c>
      <c r="C141" s="3">
        <v>281.291</v>
      </c>
    </row>
    <row r="142" spans="1:3" x14ac:dyDescent="0.2">
      <c r="A142" s="2">
        <v>44403</v>
      </c>
      <c r="B142" s="3" t="s">
        <v>5</v>
      </c>
      <c r="C142" s="3">
        <v>280.69400000000002</v>
      </c>
    </row>
    <row r="143" spans="1:3" x14ac:dyDescent="0.2">
      <c r="A143" s="2">
        <v>44404</v>
      </c>
      <c r="B143" s="3" t="s">
        <v>5</v>
      </c>
      <c r="C143" s="3">
        <v>278.25200000000001</v>
      </c>
    </row>
    <row r="144" spans="1:3" x14ac:dyDescent="0.2">
      <c r="A144" s="2">
        <v>44405</v>
      </c>
      <c r="B144" s="3" t="s">
        <v>5</v>
      </c>
      <c r="C144" s="3">
        <v>277.94099999999997</v>
      </c>
    </row>
    <row r="145" spans="1:3" x14ac:dyDescent="0.2">
      <c r="A145" s="2">
        <v>44406</v>
      </c>
      <c r="B145" s="3" t="s">
        <v>5</v>
      </c>
      <c r="C145" s="3">
        <v>278.21300000000002</v>
      </c>
    </row>
    <row r="146" spans="1:3" x14ac:dyDescent="0.2">
      <c r="A146" s="2">
        <v>44407</v>
      </c>
      <c r="B146" s="3" t="s">
        <v>5</v>
      </c>
      <c r="C146" s="3">
        <v>276.66800000000001</v>
      </c>
    </row>
    <row r="147" spans="1:3" x14ac:dyDescent="0.2">
      <c r="A147" s="2">
        <v>44410</v>
      </c>
      <c r="B147" s="3" t="s">
        <v>5</v>
      </c>
      <c r="C147" s="3">
        <v>276.58199999999999</v>
      </c>
    </row>
    <row r="148" spans="1:3" x14ac:dyDescent="0.2">
      <c r="A148" s="2">
        <v>44411</v>
      </c>
      <c r="B148" s="3" t="s">
        <v>5</v>
      </c>
      <c r="C148" s="3">
        <v>278.81799999999998</v>
      </c>
    </row>
    <row r="149" spans="1:3" x14ac:dyDescent="0.2">
      <c r="A149" s="2">
        <v>44412</v>
      </c>
      <c r="B149" s="3" t="s">
        <v>5</v>
      </c>
      <c r="C149" s="3">
        <v>278.22300000000001</v>
      </c>
    </row>
    <row r="150" spans="1:3" x14ac:dyDescent="0.2">
      <c r="A150" s="2">
        <v>44413</v>
      </c>
      <c r="B150" s="3" t="s">
        <v>5</v>
      </c>
      <c r="C150" s="3">
        <v>281.14299999999997</v>
      </c>
    </row>
    <row r="151" spans="1:3" x14ac:dyDescent="0.2">
      <c r="A151" s="2">
        <v>44414</v>
      </c>
      <c r="B151" s="3" t="s">
        <v>5</v>
      </c>
      <c r="C151" s="3">
        <v>281.08300000000003</v>
      </c>
    </row>
    <row r="152" spans="1:3" x14ac:dyDescent="0.2">
      <c r="A152" s="2">
        <v>44417</v>
      </c>
      <c r="B152" s="3" t="s">
        <v>5</v>
      </c>
      <c r="C152" s="3">
        <v>279.99099999999999</v>
      </c>
    </row>
    <row r="153" spans="1:3" x14ac:dyDescent="0.2">
      <c r="A153" s="2">
        <v>44418</v>
      </c>
      <c r="B153" s="3" t="s">
        <v>5</v>
      </c>
      <c r="C153" s="3">
        <v>278.154</v>
      </c>
    </row>
    <row r="154" spans="1:3" x14ac:dyDescent="0.2">
      <c r="A154" s="2">
        <v>44419</v>
      </c>
      <c r="B154" s="3" t="s">
        <v>5</v>
      </c>
      <c r="C154" s="3">
        <v>278.65199999999999</v>
      </c>
    </row>
    <row r="155" spans="1:3" x14ac:dyDescent="0.2">
      <c r="A155" s="2">
        <v>44420</v>
      </c>
      <c r="B155" s="3" t="s">
        <v>5</v>
      </c>
      <c r="C155" s="3">
        <v>281.42700000000002</v>
      </c>
    </row>
    <row r="156" spans="1:3" x14ac:dyDescent="0.2">
      <c r="A156" s="2">
        <v>44421</v>
      </c>
      <c r="B156" s="3" t="s">
        <v>5</v>
      </c>
      <c r="C156" s="3">
        <v>284.38499999999999</v>
      </c>
    </row>
    <row r="157" spans="1:3" x14ac:dyDescent="0.2">
      <c r="A157" s="2">
        <v>44424</v>
      </c>
      <c r="B157" s="3" t="s">
        <v>5</v>
      </c>
      <c r="C157" s="3">
        <v>286.07600000000002</v>
      </c>
    </row>
    <row r="158" spans="1:3" x14ac:dyDescent="0.2">
      <c r="A158" s="2">
        <v>44425</v>
      </c>
      <c r="B158" s="3" t="s">
        <v>5</v>
      </c>
      <c r="C158" s="3">
        <v>284.61200000000002</v>
      </c>
    </row>
    <row r="159" spans="1:3" x14ac:dyDescent="0.2">
      <c r="A159" s="2">
        <v>44426</v>
      </c>
      <c r="B159" s="3" t="s">
        <v>5</v>
      </c>
      <c r="C159" s="3">
        <v>282.863</v>
      </c>
    </row>
    <row r="160" spans="1:3" x14ac:dyDescent="0.2">
      <c r="A160" s="2">
        <v>44427</v>
      </c>
      <c r="B160" s="3" t="s">
        <v>5</v>
      </c>
      <c r="C160" s="3">
        <v>288.74299999999999</v>
      </c>
    </row>
    <row r="161" spans="1:3" x14ac:dyDescent="0.2">
      <c r="A161" s="2">
        <v>44428</v>
      </c>
      <c r="B161" s="3" t="s">
        <v>5</v>
      </c>
      <c r="C161" s="3">
        <v>296.11599999999999</v>
      </c>
    </row>
    <row r="162" spans="1:3" x14ac:dyDescent="0.2">
      <c r="A162" s="2">
        <v>44431</v>
      </c>
      <c r="B162" s="3" t="s">
        <v>5</v>
      </c>
      <c r="C162" s="3">
        <v>296.39999999999998</v>
      </c>
    </row>
    <row r="163" spans="1:3" x14ac:dyDescent="0.2">
      <c r="A163" s="2">
        <v>44432</v>
      </c>
      <c r="B163" s="3" t="s">
        <v>5</v>
      </c>
      <c r="C163" s="3">
        <v>294.43799999999999</v>
      </c>
    </row>
    <row r="164" spans="1:3" x14ac:dyDescent="0.2">
      <c r="A164" s="2">
        <v>44433</v>
      </c>
      <c r="B164" s="3" t="s">
        <v>5</v>
      </c>
      <c r="C164" s="3">
        <v>293.84100000000001</v>
      </c>
    </row>
    <row r="165" spans="1:3" x14ac:dyDescent="0.2">
      <c r="A165" s="2">
        <v>44434</v>
      </c>
      <c r="B165" s="3" t="s">
        <v>5</v>
      </c>
      <c r="C165" s="3">
        <v>290.988</v>
      </c>
    </row>
    <row r="166" spans="1:3" x14ac:dyDescent="0.2">
      <c r="A166" s="2">
        <v>44435</v>
      </c>
      <c r="B166" s="3" t="s">
        <v>5</v>
      </c>
      <c r="C166" s="3">
        <v>291.60399999999998</v>
      </c>
    </row>
    <row r="167" spans="1:3" x14ac:dyDescent="0.2">
      <c r="A167" s="2">
        <v>44438</v>
      </c>
      <c r="B167" s="3" t="s">
        <v>5</v>
      </c>
      <c r="C167" s="3">
        <v>295.37599999999998</v>
      </c>
    </row>
    <row r="168" spans="1:3" x14ac:dyDescent="0.2">
      <c r="A168" s="2">
        <v>44439</v>
      </c>
      <c r="B168" s="3" t="s">
        <v>5</v>
      </c>
      <c r="C168" s="3">
        <v>293.714</v>
      </c>
    </row>
    <row r="169" spans="1:3" x14ac:dyDescent="0.2">
      <c r="A169" s="2">
        <v>44440</v>
      </c>
      <c r="B169" s="3" t="s">
        <v>5</v>
      </c>
      <c r="C169" s="3">
        <v>293.666</v>
      </c>
    </row>
    <row r="170" spans="1:3" x14ac:dyDescent="0.2">
      <c r="A170" s="2">
        <v>44441</v>
      </c>
      <c r="B170" s="3" t="s">
        <v>5</v>
      </c>
      <c r="C170" s="3">
        <v>293.00200000000001</v>
      </c>
    </row>
    <row r="171" spans="1:3" x14ac:dyDescent="0.2">
      <c r="A171" s="2">
        <v>44442</v>
      </c>
      <c r="B171" s="3" t="s">
        <v>5</v>
      </c>
      <c r="C171" s="3">
        <v>292.99299999999999</v>
      </c>
    </row>
    <row r="172" spans="1:3" x14ac:dyDescent="0.2">
      <c r="A172" s="2">
        <v>44446</v>
      </c>
      <c r="B172" s="3" t="s">
        <v>5</v>
      </c>
      <c r="C172" s="3">
        <v>292.053</v>
      </c>
    </row>
    <row r="173" spans="1:3" x14ac:dyDescent="0.2">
      <c r="A173" s="2">
        <v>44447</v>
      </c>
      <c r="B173" s="3" t="s">
        <v>5</v>
      </c>
      <c r="C173" s="3">
        <v>292.08199999999999</v>
      </c>
    </row>
    <row r="174" spans="1:3" x14ac:dyDescent="0.2">
      <c r="A174" s="2">
        <v>44448</v>
      </c>
      <c r="B174" s="3" t="s">
        <v>5</v>
      </c>
      <c r="C174" s="3">
        <v>289.21199999999999</v>
      </c>
    </row>
    <row r="175" spans="1:3" x14ac:dyDescent="0.2">
      <c r="A175" s="2">
        <v>44449</v>
      </c>
      <c r="B175" s="3" t="s">
        <v>5</v>
      </c>
      <c r="C175" s="3">
        <v>287.70800000000003</v>
      </c>
    </row>
    <row r="176" spans="1:3" x14ac:dyDescent="0.2">
      <c r="A176" s="2">
        <v>44452</v>
      </c>
      <c r="B176" s="3" t="s">
        <v>5</v>
      </c>
      <c r="C176" s="3">
        <v>288.95800000000003</v>
      </c>
    </row>
    <row r="177" spans="1:3" x14ac:dyDescent="0.2">
      <c r="A177" s="2">
        <v>44453</v>
      </c>
      <c r="B177" s="3" t="s">
        <v>5</v>
      </c>
      <c r="C177" s="3">
        <v>291.67399999999998</v>
      </c>
    </row>
    <row r="178" spans="1:3" x14ac:dyDescent="0.2">
      <c r="A178" s="2">
        <v>44454</v>
      </c>
      <c r="B178" s="3" t="s">
        <v>5</v>
      </c>
      <c r="C178" s="3">
        <v>296.565</v>
      </c>
    </row>
    <row r="179" spans="1:3" x14ac:dyDescent="0.2">
      <c r="A179" s="2">
        <v>44455</v>
      </c>
      <c r="B179" s="3" t="s">
        <v>5</v>
      </c>
      <c r="C179" s="3">
        <v>296.95800000000003</v>
      </c>
    </row>
    <row r="180" spans="1:3" x14ac:dyDescent="0.2">
      <c r="A180" s="2">
        <v>44456</v>
      </c>
      <c r="B180" s="3" t="s">
        <v>5</v>
      </c>
      <c r="C180" s="3">
        <v>291.75</v>
      </c>
    </row>
    <row r="181" spans="1:3" x14ac:dyDescent="0.2">
      <c r="A181" s="2">
        <v>44459</v>
      </c>
      <c r="B181" s="3" t="s">
        <v>5</v>
      </c>
      <c r="C181" s="3">
        <v>286.33199999999999</v>
      </c>
    </row>
    <row r="182" spans="1:3" x14ac:dyDescent="0.2">
      <c r="A182" s="2">
        <v>44460</v>
      </c>
      <c r="B182" s="3" t="s">
        <v>5</v>
      </c>
      <c r="C182" s="3">
        <v>286.82</v>
      </c>
    </row>
    <row r="183" spans="1:3" x14ac:dyDescent="0.2">
      <c r="A183" s="2">
        <v>44461</v>
      </c>
      <c r="B183" s="3" t="s">
        <v>5</v>
      </c>
      <c r="C183" s="3">
        <v>290.50099999999998</v>
      </c>
    </row>
    <row r="184" spans="1:3" x14ac:dyDescent="0.2">
      <c r="A184" s="2">
        <v>44462</v>
      </c>
      <c r="B184" s="3" t="s">
        <v>5</v>
      </c>
      <c r="C184" s="3">
        <v>291.44799999999998</v>
      </c>
    </row>
    <row r="185" spans="1:3" x14ac:dyDescent="0.2">
      <c r="A185" s="2">
        <v>44463</v>
      </c>
      <c r="B185" s="3" t="s">
        <v>5</v>
      </c>
      <c r="C185" s="3">
        <v>291.24299999999999</v>
      </c>
    </row>
    <row r="186" spans="1:3" x14ac:dyDescent="0.2">
      <c r="A186" s="2">
        <v>44466</v>
      </c>
      <c r="B186" s="3" t="s">
        <v>5</v>
      </c>
      <c r="C186" s="3">
        <v>286.20299999999997</v>
      </c>
    </row>
    <row r="187" spans="1:3" x14ac:dyDescent="0.2">
      <c r="A187" s="2">
        <v>44467</v>
      </c>
      <c r="B187" s="3" t="s">
        <v>5</v>
      </c>
      <c r="C187" s="3">
        <v>275.85000000000002</v>
      </c>
    </row>
    <row r="188" spans="1:3" x14ac:dyDescent="0.2">
      <c r="A188" s="2">
        <v>44468</v>
      </c>
      <c r="B188" s="3" t="s">
        <v>5</v>
      </c>
      <c r="C188" s="3">
        <v>276.31900000000002</v>
      </c>
    </row>
    <row r="189" spans="1:3" x14ac:dyDescent="0.2">
      <c r="A189" s="2">
        <v>44469</v>
      </c>
      <c r="B189" s="3" t="s">
        <v>5</v>
      </c>
      <c r="C189" s="3">
        <v>274.29599999999999</v>
      </c>
    </row>
    <row r="190" spans="1:3" x14ac:dyDescent="0.2">
      <c r="A190" s="2">
        <v>44470</v>
      </c>
      <c r="B190" s="3" t="s">
        <v>5</v>
      </c>
      <c r="C190" s="3">
        <v>281.27100000000002</v>
      </c>
    </row>
    <row r="191" spans="1:3" x14ac:dyDescent="0.2">
      <c r="A191" s="2">
        <v>44473</v>
      </c>
      <c r="B191" s="3" t="s">
        <v>5</v>
      </c>
      <c r="C191" s="3">
        <v>275.45100000000002</v>
      </c>
    </row>
    <row r="192" spans="1:3" x14ac:dyDescent="0.2">
      <c r="A192" s="2">
        <v>44474</v>
      </c>
      <c r="B192" s="3" t="s">
        <v>5</v>
      </c>
      <c r="C192" s="3">
        <v>280.95100000000002</v>
      </c>
    </row>
    <row r="193" spans="1:3" x14ac:dyDescent="0.2">
      <c r="A193" s="2">
        <v>44475</v>
      </c>
      <c r="B193" s="3" t="s">
        <v>5</v>
      </c>
      <c r="C193" s="3">
        <v>285.178</v>
      </c>
    </row>
    <row r="194" spans="1:3" x14ac:dyDescent="0.2">
      <c r="A194" s="2">
        <v>44476</v>
      </c>
      <c r="B194" s="3" t="s">
        <v>5</v>
      </c>
      <c r="C194" s="3">
        <v>286.86900000000003</v>
      </c>
    </row>
    <row r="195" spans="1:3" x14ac:dyDescent="0.2">
      <c r="A195" s="2">
        <v>44477</v>
      </c>
      <c r="B195" s="3" t="s">
        <v>5</v>
      </c>
      <c r="C195" s="3">
        <v>286.86900000000003</v>
      </c>
    </row>
    <row r="196" spans="1:3" x14ac:dyDescent="0.2">
      <c r="A196" s="2">
        <v>44480</v>
      </c>
      <c r="B196" s="3" t="s">
        <v>5</v>
      </c>
      <c r="C196" s="3">
        <v>286.26299999999998</v>
      </c>
    </row>
    <row r="197" spans="1:3" x14ac:dyDescent="0.2">
      <c r="A197" s="2">
        <v>44481</v>
      </c>
      <c r="B197" s="3" t="s">
        <v>5</v>
      </c>
      <c r="C197" s="3">
        <v>284.96199999999999</v>
      </c>
    </row>
    <row r="198" spans="1:3" x14ac:dyDescent="0.2">
      <c r="A198" s="2">
        <v>44482</v>
      </c>
      <c r="B198" s="3" t="s">
        <v>5</v>
      </c>
      <c r="C198" s="3">
        <v>288.29199999999997</v>
      </c>
    </row>
    <row r="199" spans="1:3" x14ac:dyDescent="0.2">
      <c r="A199" s="2">
        <v>44483</v>
      </c>
      <c r="B199" s="3" t="s">
        <v>5</v>
      </c>
      <c r="C199" s="3">
        <v>294.56400000000002</v>
      </c>
    </row>
    <row r="200" spans="1:3" x14ac:dyDescent="0.2">
      <c r="A200" s="2">
        <v>44484</v>
      </c>
      <c r="B200" s="3" t="s">
        <v>5</v>
      </c>
      <c r="C200" s="3">
        <v>295.97000000000003</v>
      </c>
    </row>
    <row r="201" spans="1:3" x14ac:dyDescent="0.2">
      <c r="A201" s="2">
        <v>44487</v>
      </c>
      <c r="B201" s="3" t="s">
        <v>5</v>
      </c>
      <c r="C201" s="3">
        <v>298.98099999999999</v>
      </c>
    </row>
    <row r="202" spans="1:3" x14ac:dyDescent="0.2">
      <c r="A202" s="2">
        <v>44488</v>
      </c>
      <c r="B202" s="3" t="s">
        <v>5</v>
      </c>
      <c r="C202" s="3">
        <v>299.89699999999999</v>
      </c>
    </row>
    <row r="203" spans="1:3" x14ac:dyDescent="0.2">
      <c r="A203" s="2">
        <v>44489</v>
      </c>
      <c r="B203" s="3" t="s">
        <v>5</v>
      </c>
      <c r="C203" s="3">
        <v>299.09500000000003</v>
      </c>
    </row>
    <row r="204" spans="1:3" x14ac:dyDescent="0.2">
      <c r="A204" s="2">
        <v>44490</v>
      </c>
      <c r="B204" s="3" t="s">
        <v>5</v>
      </c>
      <c r="C204" s="3">
        <v>302.35000000000002</v>
      </c>
    </row>
    <row r="205" spans="1:3" x14ac:dyDescent="0.2">
      <c r="A205" s="2">
        <v>44491</v>
      </c>
      <c r="B205" s="3" t="s">
        <v>5</v>
      </c>
      <c r="C205" s="3">
        <v>300.79500000000002</v>
      </c>
    </row>
    <row r="206" spans="1:3" x14ac:dyDescent="0.2">
      <c r="A206" s="2">
        <v>44494</v>
      </c>
      <c r="B206" s="3" t="s">
        <v>5</v>
      </c>
      <c r="C206" s="3">
        <v>299.79899999999998</v>
      </c>
    </row>
    <row r="207" spans="1:3" x14ac:dyDescent="0.2">
      <c r="A207" s="2">
        <v>44495</v>
      </c>
      <c r="B207" s="3" t="s">
        <v>5</v>
      </c>
      <c r="C207" s="3">
        <v>301.714</v>
      </c>
    </row>
    <row r="208" spans="1:3" x14ac:dyDescent="0.2">
      <c r="A208" s="2">
        <v>44496</v>
      </c>
      <c r="B208" s="3" t="s">
        <v>5</v>
      </c>
      <c r="C208" s="3">
        <v>314.42200000000003</v>
      </c>
    </row>
    <row r="209" spans="1:3" x14ac:dyDescent="0.2">
      <c r="A209" s="2">
        <v>44497</v>
      </c>
      <c r="B209" s="3" t="s">
        <v>5</v>
      </c>
      <c r="C209" s="3">
        <v>315.57400000000001</v>
      </c>
    </row>
    <row r="210" spans="1:3" x14ac:dyDescent="0.2">
      <c r="A210" s="2">
        <v>44498</v>
      </c>
      <c r="B210" s="3" t="s">
        <v>5</v>
      </c>
      <c r="C210" s="3">
        <v>322.64400000000001</v>
      </c>
    </row>
    <row r="211" spans="1:3" x14ac:dyDescent="0.2">
      <c r="A211" s="2">
        <v>44501</v>
      </c>
      <c r="B211" s="3" t="s">
        <v>5</v>
      </c>
      <c r="C211" s="3">
        <v>320.45800000000003</v>
      </c>
    </row>
    <row r="212" spans="1:3" x14ac:dyDescent="0.2">
      <c r="A212" s="2">
        <v>44502</v>
      </c>
      <c r="B212" s="3" t="s">
        <v>5</v>
      </c>
      <c r="C212" s="3">
        <v>324.11</v>
      </c>
    </row>
    <row r="213" spans="1:3" x14ac:dyDescent="0.2">
      <c r="A213" s="2">
        <v>44503</v>
      </c>
      <c r="B213" s="3" t="s">
        <v>5</v>
      </c>
      <c r="C213" s="3">
        <v>324.96100000000001</v>
      </c>
    </row>
    <row r="214" spans="1:3" x14ac:dyDescent="0.2">
      <c r="A214" s="2">
        <v>44504</v>
      </c>
      <c r="B214" s="3" t="s">
        <v>5</v>
      </c>
      <c r="C214" s="3">
        <v>327.34300000000002</v>
      </c>
    </row>
    <row r="215" spans="1:3" x14ac:dyDescent="0.2">
      <c r="A215" s="2">
        <v>44505</v>
      </c>
      <c r="B215" s="3" t="s">
        <v>5</v>
      </c>
      <c r="C215" s="3">
        <v>326.97199999999998</v>
      </c>
    </row>
    <row r="216" spans="1:3" x14ac:dyDescent="0.2">
      <c r="A216" s="2">
        <v>44508</v>
      </c>
      <c r="B216" s="3" t="s">
        <v>5</v>
      </c>
      <c r="C216" s="3">
        <v>327.87099999999998</v>
      </c>
    </row>
    <row r="217" spans="1:3" x14ac:dyDescent="0.2">
      <c r="A217" s="2">
        <v>44509</v>
      </c>
      <c r="B217" s="3" t="s">
        <v>5</v>
      </c>
      <c r="C217" s="3">
        <v>326.86500000000001</v>
      </c>
    </row>
    <row r="218" spans="1:3" x14ac:dyDescent="0.2">
      <c r="A218" s="2">
        <v>44510</v>
      </c>
      <c r="B218" s="3" t="s">
        <v>5</v>
      </c>
      <c r="C218" s="3">
        <v>321.85399999999998</v>
      </c>
    </row>
    <row r="219" spans="1:3" x14ac:dyDescent="0.2">
      <c r="A219" s="2">
        <v>44511</v>
      </c>
      <c r="B219" s="3" t="s">
        <v>5</v>
      </c>
      <c r="C219" s="3">
        <v>323.43900000000002</v>
      </c>
    </row>
    <row r="220" spans="1:3" x14ac:dyDescent="0.2">
      <c r="A220" s="2">
        <v>44512</v>
      </c>
      <c r="B220" s="3" t="s">
        <v>5</v>
      </c>
      <c r="C220" s="3">
        <v>327.61700000000002</v>
      </c>
    </row>
    <row r="221" spans="1:3" x14ac:dyDescent="0.2">
      <c r="A221" s="2">
        <v>44515</v>
      </c>
      <c r="B221" s="3" t="s">
        <v>5</v>
      </c>
      <c r="C221" s="3">
        <v>326.98200000000003</v>
      </c>
    </row>
    <row r="222" spans="1:3" x14ac:dyDescent="0.2">
      <c r="A222" s="2">
        <v>44516</v>
      </c>
      <c r="B222" s="3" t="s">
        <v>5</v>
      </c>
      <c r="C222" s="3">
        <v>330.322</v>
      </c>
    </row>
    <row r="223" spans="1:3" x14ac:dyDescent="0.2">
      <c r="A223" s="2">
        <v>44517</v>
      </c>
      <c r="B223" s="3" t="s">
        <v>5</v>
      </c>
      <c r="C223" s="3">
        <v>330.548</v>
      </c>
    </row>
    <row r="224" spans="1:3" x14ac:dyDescent="0.2">
      <c r="A224" s="2">
        <v>44518</v>
      </c>
      <c r="B224" s="3" t="s">
        <v>5</v>
      </c>
      <c r="C224" s="3">
        <v>332.64600000000002</v>
      </c>
    </row>
    <row r="225" spans="1:3" x14ac:dyDescent="0.2">
      <c r="A225" s="2">
        <v>44519</v>
      </c>
      <c r="B225" s="3" t="s">
        <v>5</v>
      </c>
      <c r="C225" s="3">
        <v>334.43299999999999</v>
      </c>
    </row>
    <row r="226" spans="1:3" x14ac:dyDescent="0.2">
      <c r="A226" s="2">
        <v>44522</v>
      </c>
      <c r="B226" s="3" t="s">
        <v>5</v>
      </c>
      <c r="C226" s="3">
        <v>331.24</v>
      </c>
    </row>
    <row r="227" spans="1:3" x14ac:dyDescent="0.2">
      <c r="A227" s="2">
        <v>44523</v>
      </c>
      <c r="B227" s="3" t="s">
        <v>5</v>
      </c>
      <c r="C227" s="3">
        <v>329.14100000000002</v>
      </c>
    </row>
    <row r="228" spans="1:3" x14ac:dyDescent="0.2">
      <c r="A228" s="2">
        <v>44524</v>
      </c>
      <c r="B228" s="3" t="s">
        <v>5</v>
      </c>
      <c r="C228" s="3">
        <v>329.36599999999999</v>
      </c>
    </row>
    <row r="229" spans="1:3" x14ac:dyDescent="0.2">
      <c r="A229" s="2">
        <v>44526</v>
      </c>
      <c r="B229" s="3" t="s">
        <v>5</v>
      </c>
      <c r="C229" s="3">
        <v>321.34699999999998</v>
      </c>
    </row>
    <row r="230" spans="1:3" x14ac:dyDescent="0.2">
      <c r="A230" s="2">
        <v>44529</v>
      </c>
      <c r="B230" s="3" t="s">
        <v>5</v>
      </c>
      <c r="C230" s="3">
        <v>328.12400000000002</v>
      </c>
    </row>
    <row r="231" spans="1:3" x14ac:dyDescent="0.2">
      <c r="A231" s="2">
        <v>44530</v>
      </c>
      <c r="B231" s="3" t="s">
        <v>5</v>
      </c>
      <c r="C231" s="3">
        <v>322.23500000000001</v>
      </c>
    </row>
    <row r="232" spans="1:3" x14ac:dyDescent="0.2">
      <c r="A232" s="2">
        <v>44531</v>
      </c>
      <c r="B232" s="3" t="s">
        <v>5</v>
      </c>
      <c r="C232" s="3">
        <v>321.73599999999999</v>
      </c>
    </row>
    <row r="233" spans="1:3" x14ac:dyDescent="0.2">
      <c r="A233" s="2">
        <v>44532</v>
      </c>
      <c r="B233" s="3" t="s">
        <v>5</v>
      </c>
      <c r="C233" s="3">
        <v>321.161</v>
      </c>
    </row>
    <row r="234" spans="1:3" x14ac:dyDescent="0.2">
      <c r="A234" s="2">
        <v>44533</v>
      </c>
      <c r="B234" s="3" t="s">
        <v>5</v>
      </c>
      <c r="C234" s="3">
        <v>314.84100000000001</v>
      </c>
    </row>
    <row r="235" spans="1:3" x14ac:dyDescent="0.2">
      <c r="A235" s="2">
        <v>44536</v>
      </c>
      <c r="B235" s="3" t="s">
        <v>5</v>
      </c>
      <c r="C235" s="3">
        <v>317.94799999999998</v>
      </c>
    </row>
    <row r="236" spans="1:3" x14ac:dyDescent="0.2">
      <c r="A236" s="2">
        <v>44537</v>
      </c>
      <c r="B236" s="3" t="s">
        <v>5</v>
      </c>
      <c r="C236" s="3">
        <v>326.45400000000001</v>
      </c>
    </row>
    <row r="237" spans="1:3" x14ac:dyDescent="0.2">
      <c r="A237" s="2">
        <v>44538</v>
      </c>
      <c r="B237" s="3" t="s">
        <v>5</v>
      </c>
      <c r="C237" s="3">
        <v>326.50299999999999</v>
      </c>
    </row>
    <row r="238" spans="1:3" x14ac:dyDescent="0.2">
      <c r="A238" s="2">
        <v>44539</v>
      </c>
      <c r="B238" s="3" t="s">
        <v>5</v>
      </c>
      <c r="C238" s="3">
        <v>324.678</v>
      </c>
    </row>
    <row r="239" spans="1:3" x14ac:dyDescent="0.2">
      <c r="A239" s="2">
        <v>44540</v>
      </c>
      <c r="B239" s="3" t="s">
        <v>5</v>
      </c>
      <c r="C239" s="3">
        <v>333.87799999999999</v>
      </c>
    </row>
    <row r="240" spans="1:3" x14ac:dyDescent="0.2">
      <c r="A240" s="2">
        <v>44543</v>
      </c>
      <c r="B240" s="3" t="s">
        <v>5</v>
      </c>
      <c r="C240" s="3">
        <v>330.82100000000003</v>
      </c>
    </row>
    <row r="241" spans="1:3" x14ac:dyDescent="0.2">
      <c r="A241" s="2">
        <v>44544</v>
      </c>
      <c r="B241" s="3" t="s">
        <v>5</v>
      </c>
      <c r="C241" s="3">
        <v>320.03800000000001</v>
      </c>
    </row>
    <row r="242" spans="1:3" x14ac:dyDescent="0.2">
      <c r="A242" s="2">
        <v>44545</v>
      </c>
      <c r="B242" s="3" t="s">
        <v>5</v>
      </c>
      <c r="C242" s="3">
        <v>326.19099999999997</v>
      </c>
    </row>
    <row r="243" spans="1:3" x14ac:dyDescent="0.2">
      <c r="A243" s="2">
        <v>44546</v>
      </c>
      <c r="B243" s="3" t="s">
        <v>5</v>
      </c>
      <c r="C243" s="3">
        <v>316.68799999999999</v>
      </c>
    </row>
    <row r="244" spans="1:3" x14ac:dyDescent="0.2">
      <c r="A244" s="2">
        <v>44547</v>
      </c>
      <c r="B244" s="3" t="s">
        <v>5</v>
      </c>
      <c r="C244" s="3">
        <v>315.613</v>
      </c>
    </row>
    <row r="245" spans="1:3" x14ac:dyDescent="0.2">
      <c r="A245" s="2">
        <v>44550</v>
      </c>
      <c r="B245" s="3" t="s">
        <v>5</v>
      </c>
      <c r="C245" s="3">
        <v>311.822</v>
      </c>
    </row>
    <row r="246" spans="1:3" x14ac:dyDescent="0.2">
      <c r="A246" s="2">
        <v>44551</v>
      </c>
      <c r="B246" s="3" t="s">
        <v>5</v>
      </c>
      <c r="C246" s="3">
        <v>319.01100000000002</v>
      </c>
    </row>
    <row r="247" spans="1:3" x14ac:dyDescent="0.2">
      <c r="A247" s="2">
        <v>44552</v>
      </c>
      <c r="B247" s="3" t="s">
        <v>5</v>
      </c>
      <c r="C247" s="3">
        <v>324.774</v>
      </c>
    </row>
    <row r="248" spans="1:3" x14ac:dyDescent="0.2">
      <c r="A248" s="2">
        <v>44553</v>
      </c>
      <c r="B248" s="3" t="s">
        <v>5</v>
      </c>
      <c r="C248" s="3">
        <v>326.23099999999999</v>
      </c>
    </row>
    <row r="249" spans="1:3" x14ac:dyDescent="0.2">
      <c r="A249" s="2">
        <v>44557</v>
      </c>
      <c r="B249" s="3" t="s">
        <v>5</v>
      </c>
      <c r="C249" s="3">
        <v>333.79</v>
      </c>
    </row>
    <row r="250" spans="1:3" x14ac:dyDescent="0.2">
      <c r="A250" s="2">
        <v>44558</v>
      </c>
      <c r="B250" s="3" t="s">
        <v>5</v>
      </c>
      <c r="C250" s="3">
        <v>332.62599999999998</v>
      </c>
    </row>
    <row r="251" spans="1:3" x14ac:dyDescent="0.2">
      <c r="A251" s="2">
        <v>44559</v>
      </c>
      <c r="B251" s="3" t="s">
        <v>5</v>
      </c>
      <c r="C251" s="3">
        <v>333.30200000000002</v>
      </c>
    </row>
    <row r="252" spans="1:3" x14ac:dyDescent="0.2">
      <c r="A252" s="2">
        <v>44560</v>
      </c>
      <c r="B252" s="3" t="s">
        <v>5</v>
      </c>
      <c r="C252" s="3">
        <v>330.74299999999999</v>
      </c>
    </row>
    <row r="253" spans="1:3" x14ac:dyDescent="0.2">
      <c r="A253" s="2">
        <v>44561</v>
      </c>
      <c r="B253" s="3" t="s">
        <v>5</v>
      </c>
      <c r="C253" s="3">
        <v>327.822</v>
      </c>
    </row>
    <row r="254" spans="1:3" x14ac:dyDescent="0.2">
      <c r="A254" s="2">
        <v>44564</v>
      </c>
      <c r="B254" s="3" t="s">
        <v>5</v>
      </c>
      <c r="C254" s="3">
        <v>326.28800000000001</v>
      </c>
    </row>
    <row r="255" spans="1:3" x14ac:dyDescent="0.2">
      <c r="A255" s="2">
        <v>44565</v>
      </c>
      <c r="B255" s="3" t="s">
        <v>5</v>
      </c>
      <c r="C255" s="3">
        <v>320.69200000000001</v>
      </c>
    </row>
    <row r="256" spans="1:3" x14ac:dyDescent="0.2">
      <c r="A256" s="2">
        <v>44566</v>
      </c>
      <c r="B256" s="3" t="s">
        <v>5</v>
      </c>
      <c r="C256" s="3">
        <v>308.38600000000002</v>
      </c>
    </row>
    <row r="257" spans="1:3" x14ac:dyDescent="0.2">
      <c r="A257" s="2">
        <v>44567</v>
      </c>
      <c r="B257" s="3" t="s">
        <v>5</v>
      </c>
      <c r="C257" s="3">
        <v>305.94200000000001</v>
      </c>
    </row>
    <row r="258" spans="1:3" x14ac:dyDescent="0.2">
      <c r="A258" s="2">
        <v>44568</v>
      </c>
      <c r="B258" s="3" t="s">
        <v>5</v>
      </c>
      <c r="C258" s="3">
        <v>306.10000000000002</v>
      </c>
    </row>
    <row r="259" spans="1:3" x14ac:dyDescent="0.2">
      <c r="A259" s="2">
        <v>44571</v>
      </c>
      <c r="B259" s="3" t="s">
        <v>5</v>
      </c>
      <c r="C259" s="3">
        <v>306.32400000000001</v>
      </c>
    </row>
    <row r="260" spans="1:3" x14ac:dyDescent="0.2">
      <c r="A260" s="2">
        <v>44572</v>
      </c>
      <c r="B260" s="3" t="s">
        <v>5</v>
      </c>
      <c r="C260" s="3">
        <v>307.01799999999997</v>
      </c>
    </row>
    <row r="261" spans="1:3" x14ac:dyDescent="0.2">
      <c r="A261" s="2">
        <v>44573</v>
      </c>
      <c r="B261" s="3" t="s">
        <v>5</v>
      </c>
      <c r="C261" s="3">
        <v>310.221</v>
      </c>
    </row>
    <row r="262" spans="1:3" x14ac:dyDescent="0.2">
      <c r="A262" s="2">
        <v>44574</v>
      </c>
      <c r="B262" s="3" t="s">
        <v>5</v>
      </c>
      <c r="C262" s="3">
        <v>297.09300000000002</v>
      </c>
    </row>
    <row r="263" spans="1:3" x14ac:dyDescent="0.2">
      <c r="A263" s="2">
        <v>44575</v>
      </c>
      <c r="B263" s="3" t="s">
        <v>5</v>
      </c>
      <c r="C263" s="3">
        <v>302.36</v>
      </c>
    </row>
    <row r="264" spans="1:3" x14ac:dyDescent="0.2">
      <c r="A264" s="2">
        <v>44579</v>
      </c>
      <c r="B264" s="3" t="s">
        <v>5</v>
      </c>
      <c r="C264" s="3">
        <v>295.00400000000002</v>
      </c>
    </row>
    <row r="265" spans="1:3" x14ac:dyDescent="0.2">
      <c r="A265" s="2">
        <v>44580</v>
      </c>
      <c r="B265" s="3" t="s">
        <v>5</v>
      </c>
      <c r="C265" s="3">
        <v>295.65699999999998</v>
      </c>
    </row>
    <row r="266" spans="1:3" x14ac:dyDescent="0.2">
      <c r="A266" s="2">
        <v>44581</v>
      </c>
      <c r="B266" s="3" t="s">
        <v>5</v>
      </c>
      <c r="C266" s="3">
        <v>293.97899999999998</v>
      </c>
    </row>
    <row r="267" spans="1:3" x14ac:dyDescent="0.2">
      <c r="A267" s="2">
        <v>44582</v>
      </c>
      <c r="B267" s="3" t="s">
        <v>5</v>
      </c>
      <c r="C267" s="3">
        <v>288.54700000000003</v>
      </c>
    </row>
    <row r="268" spans="1:3" x14ac:dyDescent="0.2">
      <c r="A268" s="2">
        <v>44585</v>
      </c>
      <c r="B268" s="3" t="s">
        <v>5</v>
      </c>
      <c r="C268" s="3">
        <v>288.88</v>
      </c>
    </row>
    <row r="269" spans="1:3" x14ac:dyDescent="0.2">
      <c r="A269" s="2">
        <v>44586</v>
      </c>
      <c r="B269" s="3" t="s">
        <v>5</v>
      </c>
      <c r="C269" s="3">
        <v>281.19299999999998</v>
      </c>
    </row>
    <row r="270" spans="1:3" x14ac:dyDescent="0.2">
      <c r="A270" s="2">
        <v>44587</v>
      </c>
      <c r="B270" s="3" t="s">
        <v>5</v>
      </c>
      <c r="C270" s="3">
        <v>289.21199999999999</v>
      </c>
    </row>
    <row r="271" spans="1:3" x14ac:dyDescent="0.2">
      <c r="A271" s="2">
        <v>44588</v>
      </c>
      <c r="B271" s="3" t="s">
        <v>5</v>
      </c>
      <c r="C271" s="3">
        <v>292.26</v>
      </c>
    </row>
    <row r="272" spans="1:3" x14ac:dyDescent="0.2">
      <c r="A272" s="2">
        <v>44589</v>
      </c>
      <c r="B272" s="3" t="s">
        <v>5</v>
      </c>
      <c r="C272" s="3">
        <v>300.464</v>
      </c>
    </row>
    <row r="273" spans="1:3" x14ac:dyDescent="0.2">
      <c r="A273" s="2">
        <v>44592</v>
      </c>
      <c r="B273" s="3" t="s">
        <v>5</v>
      </c>
      <c r="C273" s="3">
        <v>303.12</v>
      </c>
    </row>
    <row r="274" spans="1:3" x14ac:dyDescent="0.2">
      <c r="A274" s="2">
        <v>44593</v>
      </c>
      <c r="B274" s="3" t="s">
        <v>5</v>
      </c>
      <c r="C274" s="3">
        <v>300.952</v>
      </c>
    </row>
    <row r="275" spans="1:3" x14ac:dyDescent="0.2">
      <c r="A275" s="2">
        <v>44594</v>
      </c>
      <c r="B275" s="3" t="s">
        <v>5</v>
      </c>
      <c r="C275" s="3">
        <v>305.53199999999998</v>
      </c>
    </row>
    <row r="276" spans="1:3" x14ac:dyDescent="0.2">
      <c r="A276" s="2">
        <v>44595</v>
      </c>
      <c r="B276" s="3" t="s">
        <v>5</v>
      </c>
      <c r="C276" s="3">
        <v>293.63600000000002</v>
      </c>
    </row>
    <row r="277" spans="1:3" x14ac:dyDescent="0.2">
      <c r="A277" s="2">
        <v>44596</v>
      </c>
      <c r="B277" s="3" t="s">
        <v>5</v>
      </c>
      <c r="C277" s="3">
        <v>298.20699999999999</v>
      </c>
    </row>
    <row r="278" spans="1:3" x14ac:dyDescent="0.2">
      <c r="A278" s="2">
        <v>44599</v>
      </c>
      <c r="B278" s="3" t="s">
        <v>5</v>
      </c>
      <c r="C278" s="3">
        <v>293.34199999999998</v>
      </c>
    </row>
    <row r="279" spans="1:3" x14ac:dyDescent="0.2">
      <c r="A279" s="2">
        <v>44600</v>
      </c>
      <c r="B279" s="3" t="s">
        <v>5</v>
      </c>
      <c r="C279" s="3">
        <v>296.86099999999999</v>
      </c>
    </row>
    <row r="280" spans="1:3" x14ac:dyDescent="0.2">
      <c r="A280" s="2">
        <v>44601</v>
      </c>
      <c r="B280" s="3" t="s">
        <v>5</v>
      </c>
      <c r="C280" s="3">
        <v>303.346</v>
      </c>
    </row>
    <row r="281" spans="1:3" x14ac:dyDescent="0.2">
      <c r="A281" s="2">
        <v>44602</v>
      </c>
      <c r="B281" s="3" t="s">
        <v>5</v>
      </c>
      <c r="C281" s="3">
        <v>294.74</v>
      </c>
    </row>
    <row r="282" spans="1:3" x14ac:dyDescent="0.2">
      <c r="A282" s="2">
        <v>44603</v>
      </c>
      <c r="B282" s="3" t="s">
        <v>5</v>
      </c>
      <c r="C282" s="3">
        <v>287.58</v>
      </c>
    </row>
    <row r="283" spans="1:3" x14ac:dyDescent="0.2">
      <c r="A283" s="2">
        <v>44606</v>
      </c>
      <c r="B283" s="3" t="s">
        <v>5</v>
      </c>
      <c r="C283" s="3">
        <v>287.54000000000002</v>
      </c>
    </row>
    <row r="284" spans="1:3" x14ac:dyDescent="0.2">
      <c r="A284" s="2">
        <v>44607</v>
      </c>
      <c r="B284" s="3" t="s">
        <v>5</v>
      </c>
      <c r="C284" s="3">
        <v>292.87299999999999</v>
      </c>
    </row>
    <row r="285" spans="1:3" x14ac:dyDescent="0.2">
      <c r="A285" s="2">
        <v>44608</v>
      </c>
      <c r="B285" s="3" t="s">
        <v>5</v>
      </c>
      <c r="C285" s="3">
        <v>292.53199999999998</v>
      </c>
    </row>
    <row r="286" spans="1:3" x14ac:dyDescent="0.2">
      <c r="A286" s="2">
        <v>44609</v>
      </c>
      <c r="B286" s="3" t="s">
        <v>5</v>
      </c>
      <c r="C286" s="3">
        <v>283.96699999999998</v>
      </c>
    </row>
    <row r="287" spans="1:3" x14ac:dyDescent="0.2">
      <c r="A287" s="2">
        <v>44610</v>
      </c>
      <c r="B287" s="3" t="s">
        <v>5</v>
      </c>
      <c r="C287" s="3">
        <v>281.23200000000003</v>
      </c>
    </row>
    <row r="288" spans="1:3" x14ac:dyDescent="0.2">
      <c r="A288" s="2">
        <v>44614</v>
      </c>
      <c r="B288" s="3" t="s">
        <v>5</v>
      </c>
      <c r="C288" s="3">
        <v>281.02300000000002</v>
      </c>
    </row>
    <row r="289" spans="1:3" x14ac:dyDescent="0.2">
      <c r="A289" s="2">
        <v>44615</v>
      </c>
      <c r="B289" s="3" t="s">
        <v>5</v>
      </c>
      <c r="C289" s="3">
        <v>273.75099999999998</v>
      </c>
    </row>
    <row r="290" spans="1:3" x14ac:dyDescent="0.2">
      <c r="A290" s="2">
        <v>44616</v>
      </c>
      <c r="B290" s="3" t="s">
        <v>5</v>
      </c>
      <c r="C290" s="3">
        <v>287.73599999999999</v>
      </c>
    </row>
    <row r="291" spans="1:3" x14ac:dyDescent="0.2">
      <c r="A291" s="2">
        <v>44617</v>
      </c>
      <c r="B291" s="3" t="s">
        <v>5</v>
      </c>
      <c r="C291" s="3">
        <v>290.39400000000001</v>
      </c>
    </row>
    <row r="292" spans="1:3" x14ac:dyDescent="0.2">
      <c r="A292" s="2">
        <v>44620</v>
      </c>
      <c r="B292" s="3" t="s">
        <v>5</v>
      </c>
      <c r="C292" s="3">
        <v>291.83999999999997</v>
      </c>
    </row>
    <row r="293" spans="1:3" x14ac:dyDescent="0.2">
      <c r="A293" s="2">
        <v>44621</v>
      </c>
      <c r="B293" s="3" t="s">
        <v>5</v>
      </c>
      <c r="C293" s="3">
        <v>288.08800000000002</v>
      </c>
    </row>
    <row r="294" spans="1:3" x14ac:dyDescent="0.2">
      <c r="A294" s="2">
        <v>44622</v>
      </c>
      <c r="B294" s="3" t="s">
        <v>5</v>
      </c>
      <c r="C294" s="3">
        <v>293.20499999999998</v>
      </c>
    </row>
    <row r="295" spans="1:3" x14ac:dyDescent="0.2">
      <c r="A295" s="2">
        <v>44623</v>
      </c>
      <c r="B295" s="3" t="s">
        <v>5</v>
      </c>
      <c r="C295" s="3">
        <v>289.03500000000003</v>
      </c>
    </row>
    <row r="296" spans="1:3" x14ac:dyDescent="0.2">
      <c r="A296" s="2">
        <v>44624</v>
      </c>
      <c r="B296" s="3" t="s">
        <v>5</v>
      </c>
      <c r="C296" s="3">
        <v>283.11599999999999</v>
      </c>
    </row>
    <row r="297" spans="1:3" x14ac:dyDescent="0.2">
      <c r="A297" s="2">
        <v>44627</v>
      </c>
      <c r="B297" s="3" t="s">
        <v>5</v>
      </c>
      <c r="C297" s="3">
        <v>272.423</v>
      </c>
    </row>
    <row r="298" spans="1:3" x14ac:dyDescent="0.2">
      <c r="A298" s="2">
        <v>44628</v>
      </c>
      <c r="B298" s="3" t="s">
        <v>5</v>
      </c>
      <c r="C298" s="3">
        <v>269.43200000000002</v>
      </c>
    </row>
    <row r="299" spans="1:3" x14ac:dyDescent="0.2">
      <c r="A299" s="2">
        <v>44629</v>
      </c>
      <c r="B299" s="3" t="s">
        <v>5</v>
      </c>
      <c r="C299" s="3">
        <v>281.78899999999999</v>
      </c>
    </row>
    <row r="300" spans="1:3" x14ac:dyDescent="0.2">
      <c r="A300" s="2">
        <v>44630</v>
      </c>
      <c r="B300" s="3" t="s">
        <v>5</v>
      </c>
      <c r="C300" s="3">
        <v>278.94600000000003</v>
      </c>
    </row>
    <row r="301" spans="1:3" x14ac:dyDescent="0.2">
      <c r="A301" s="2">
        <v>44631</v>
      </c>
      <c r="B301" s="3" t="s">
        <v>5</v>
      </c>
      <c r="C301" s="3">
        <v>273.553</v>
      </c>
    </row>
    <row r="302" spans="1:3" x14ac:dyDescent="0.2">
      <c r="A302" s="2">
        <v>44634</v>
      </c>
      <c r="B302" s="3" t="s">
        <v>5</v>
      </c>
      <c r="C302" s="3">
        <v>270.01</v>
      </c>
    </row>
    <row r="303" spans="1:3" x14ac:dyDescent="0.2">
      <c r="A303" s="2">
        <v>44635</v>
      </c>
      <c r="B303" s="3" t="s">
        <v>5</v>
      </c>
      <c r="C303" s="3">
        <v>280.47000000000003</v>
      </c>
    </row>
    <row r="304" spans="1:3" x14ac:dyDescent="0.2">
      <c r="A304" s="2">
        <v>44636</v>
      </c>
      <c r="B304" s="3" t="s">
        <v>5</v>
      </c>
      <c r="C304" s="3">
        <v>287.54000000000002</v>
      </c>
    </row>
    <row r="305" spans="1:3" x14ac:dyDescent="0.2">
      <c r="A305" s="2">
        <v>44637</v>
      </c>
      <c r="B305" s="3" t="s">
        <v>5</v>
      </c>
      <c r="C305" s="3">
        <v>288.35199999999998</v>
      </c>
    </row>
    <row r="306" spans="1:3" x14ac:dyDescent="0.2">
      <c r="A306" s="2">
        <v>44638</v>
      </c>
      <c r="B306" s="3" t="s">
        <v>5</v>
      </c>
      <c r="C306" s="3">
        <v>293.44099999999997</v>
      </c>
    </row>
    <row r="307" spans="1:3" x14ac:dyDescent="0.2">
      <c r="A307" s="2">
        <v>44641</v>
      </c>
      <c r="B307" s="3" t="s">
        <v>5</v>
      </c>
      <c r="C307" s="3">
        <v>292.2</v>
      </c>
    </row>
    <row r="308" spans="1:3" x14ac:dyDescent="0.2">
      <c r="A308" s="2">
        <v>44642</v>
      </c>
      <c r="B308" s="3" t="s">
        <v>5</v>
      </c>
      <c r="C308" s="3">
        <v>296.98599999999999</v>
      </c>
    </row>
    <row r="309" spans="1:3" x14ac:dyDescent="0.2">
      <c r="A309" s="2">
        <v>44643</v>
      </c>
      <c r="B309" s="3" t="s">
        <v>5</v>
      </c>
      <c r="C309" s="3">
        <v>292.52199999999999</v>
      </c>
    </row>
    <row r="310" spans="1:3" x14ac:dyDescent="0.2">
      <c r="A310" s="2">
        <v>44644</v>
      </c>
      <c r="B310" s="3" t="s">
        <v>5</v>
      </c>
      <c r="C310" s="3">
        <v>297.02499999999998</v>
      </c>
    </row>
    <row r="311" spans="1:3" x14ac:dyDescent="0.2">
      <c r="A311" s="2">
        <v>44645</v>
      </c>
      <c r="B311" s="3" t="s">
        <v>5</v>
      </c>
      <c r="C311" s="3">
        <v>296.613</v>
      </c>
    </row>
    <row r="312" spans="1:3" x14ac:dyDescent="0.2">
      <c r="A312" s="2">
        <v>44648</v>
      </c>
      <c r="B312" s="3" t="s">
        <v>5</v>
      </c>
      <c r="C312" s="3">
        <v>303.47199999999998</v>
      </c>
    </row>
    <row r="313" spans="1:3" x14ac:dyDescent="0.2">
      <c r="A313" s="2">
        <v>44649</v>
      </c>
      <c r="B313" s="3" t="s">
        <v>5</v>
      </c>
      <c r="C313" s="3">
        <v>308.07299999999998</v>
      </c>
    </row>
    <row r="314" spans="1:3" x14ac:dyDescent="0.2">
      <c r="A314" s="2">
        <v>44650</v>
      </c>
      <c r="B314" s="3" t="s">
        <v>5</v>
      </c>
      <c r="C314" s="3">
        <v>306.55900000000003</v>
      </c>
    </row>
    <row r="315" spans="1:3" x14ac:dyDescent="0.2">
      <c r="A315" s="2">
        <v>44651</v>
      </c>
      <c r="B315" s="3" t="s">
        <v>5</v>
      </c>
      <c r="C315" s="3">
        <v>301.13600000000002</v>
      </c>
    </row>
    <row r="316" spans="1:3" x14ac:dyDescent="0.2">
      <c r="A316" s="2">
        <v>44652</v>
      </c>
      <c r="B316" s="3" t="s">
        <v>5</v>
      </c>
      <c r="C316" s="3">
        <v>302.22199999999998</v>
      </c>
    </row>
    <row r="317" spans="1:3" x14ac:dyDescent="0.2">
      <c r="A317" s="2">
        <v>44655</v>
      </c>
      <c r="B317" s="3" t="s">
        <v>5</v>
      </c>
      <c r="C317" s="3">
        <v>307.642</v>
      </c>
    </row>
    <row r="318" spans="1:3" x14ac:dyDescent="0.2">
      <c r="A318" s="2">
        <v>44656</v>
      </c>
      <c r="B318" s="3" t="s">
        <v>5</v>
      </c>
      <c r="C318" s="3">
        <v>303.64699999999999</v>
      </c>
    </row>
    <row r="319" spans="1:3" x14ac:dyDescent="0.2">
      <c r="A319" s="2">
        <v>44657</v>
      </c>
      <c r="B319" s="3" t="s">
        <v>5</v>
      </c>
      <c r="C319" s="3">
        <v>292.53199999999998</v>
      </c>
    </row>
    <row r="320" spans="1:3" x14ac:dyDescent="0.2">
      <c r="A320" s="2">
        <v>44658</v>
      </c>
      <c r="B320" s="3" t="s">
        <v>5</v>
      </c>
      <c r="C320" s="3">
        <v>294.35899999999998</v>
      </c>
    </row>
    <row r="321" spans="1:3" x14ac:dyDescent="0.2">
      <c r="A321" s="2">
        <v>44659</v>
      </c>
      <c r="B321" s="3" t="s">
        <v>5</v>
      </c>
      <c r="C321" s="3">
        <v>290.06099999999998</v>
      </c>
    </row>
    <row r="322" spans="1:3" x14ac:dyDescent="0.2">
      <c r="A322" s="2">
        <v>44662</v>
      </c>
      <c r="B322" s="3" t="s">
        <v>5</v>
      </c>
      <c r="C322" s="3">
        <v>278.62299999999999</v>
      </c>
    </row>
    <row r="323" spans="1:3" x14ac:dyDescent="0.2">
      <c r="A323" s="2">
        <v>44663</v>
      </c>
      <c r="B323" s="3" t="s">
        <v>5</v>
      </c>
      <c r="C323" s="3">
        <v>275.49900000000002</v>
      </c>
    </row>
    <row r="324" spans="1:3" x14ac:dyDescent="0.2">
      <c r="A324" s="2">
        <v>44664</v>
      </c>
      <c r="B324" s="3" t="s">
        <v>5</v>
      </c>
      <c r="C324" s="3">
        <v>280.93099999999998</v>
      </c>
    </row>
    <row r="325" spans="1:3" x14ac:dyDescent="0.2">
      <c r="A325" s="2">
        <v>44665</v>
      </c>
      <c r="B325" s="3" t="s">
        <v>5</v>
      </c>
      <c r="C325" s="3">
        <v>273.32100000000003</v>
      </c>
    </row>
    <row r="326" spans="1:3" x14ac:dyDescent="0.2">
      <c r="A326" s="2">
        <v>44669</v>
      </c>
      <c r="B326" s="3" t="s">
        <v>5</v>
      </c>
      <c r="C326" s="3">
        <v>273.99299999999999</v>
      </c>
    </row>
    <row r="327" spans="1:3" x14ac:dyDescent="0.2">
      <c r="A327" s="2">
        <v>44670</v>
      </c>
      <c r="B327" s="3" t="s">
        <v>5</v>
      </c>
      <c r="C327" s="3">
        <v>278.66199999999998</v>
      </c>
    </row>
    <row r="328" spans="1:3" x14ac:dyDescent="0.2">
      <c r="A328" s="2">
        <v>44671</v>
      </c>
      <c r="B328" s="3" t="s">
        <v>5</v>
      </c>
      <c r="C328" s="3">
        <v>279.69900000000001</v>
      </c>
    </row>
    <row r="329" spans="1:3" x14ac:dyDescent="0.2">
      <c r="A329" s="2">
        <v>44672</v>
      </c>
      <c r="B329" s="3" t="s">
        <v>5</v>
      </c>
      <c r="C329" s="3">
        <v>274.27600000000001</v>
      </c>
    </row>
    <row r="330" spans="1:3" x14ac:dyDescent="0.2">
      <c r="A330" s="2">
        <v>44673</v>
      </c>
      <c r="B330" s="3" t="s">
        <v>5</v>
      </c>
      <c r="C330" s="3">
        <v>267.654</v>
      </c>
    </row>
    <row r="331" spans="1:3" x14ac:dyDescent="0.2">
      <c r="A331" s="2">
        <v>44676</v>
      </c>
      <c r="B331" s="3" t="s">
        <v>5</v>
      </c>
      <c r="C331" s="3">
        <v>274.19099999999997</v>
      </c>
    </row>
    <row r="332" spans="1:3" x14ac:dyDescent="0.2">
      <c r="A332" s="2">
        <v>44677</v>
      </c>
      <c r="B332" s="3" t="s">
        <v>5</v>
      </c>
      <c r="C332" s="3">
        <v>263.93299999999999</v>
      </c>
    </row>
    <row r="333" spans="1:3" x14ac:dyDescent="0.2">
      <c r="A333" s="2">
        <v>44678</v>
      </c>
      <c r="B333" s="3" t="s">
        <v>5</v>
      </c>
      <c r="C333" s="3">
        <v>276.63099999999997</v>
      </c>
    </row>
    <row r="334" spans="1:3" x14ac:dyDescent="0.2">
      <c r="A334" s="2">
        <v>44679</v>
      </c>
      <c r="B334" s="3" t="s">
        <v>5</v>
      </c>
      <c r="C334" s="3">
        <v>282.89299999999997</v>
      </c>
    </row>
    <row r="335" spans="1:3" x14ac:dyDescent="0.2">
      <c r="A335" s="2">
        <v>44680</v>
      </c>
      <c r="B335" s="3" t="s">
        <v>5</v>
      </c>
      <c r="C335" s="3">
        <v>271.065</v>
      </c>
    </row>
    <row r="336" spans="1:3" x14ac:dyDescent="0.2">
      <c r="A336" s="2">
        <v>44683</v>
      </c>
      <c r="B336" s="3" t="s">
        <v>5</v>
      </c>
      <c r="C336" s="3">
        <v>277.85199999999998</v>
      </c>
    </row>
    <row r="337" spans="1:3" x14ac:dyDescent="0.2">
      <c r="A337" s="2">
        <v>44684</v>
      </c>
      <c r="B337" s="3" t="s">
        <v>5</v>
      </c>
      <c r="C337" s="3">
        <v>275.22500000000002</v>
      </c>
    </row>
    <row r="338" spans="1:3" x14ac:dyDescent="0.2">
      <c r="A338" s="2">
        <v>44685</v>
      </c>
      <c r="B338" s="3" t="s">
        <v>5</v>
      </c>
      <c r="C338" s="3">
        <v>283.23399999999998</v>
      </c>
    </row>
    <row r="339" spans="1:3" x14ac:dyDescent="0.2">
      <c r="A339" s="2">
        <v>44686</v>
      </c>
      <c r="B339" s="3" t="s">
        <v>5</v>
      </c>
      <c r="C339" s="3">
        <v>270.899</v>
      </c>
    </row>
    <row r="340" spans="1:3" x14ac:dyDescent="0.2">
      <c r="A340" s="2">
        <v>44687</v>
      </c>
      <c r="B340" s="3" t="s">
        <v>5</v>
      </c>
      <c r="C340" s="3">
        <v>268.33800000000002</v>
      </c>
    </row>
    <row r="341" spans="1:3" x14ac:dyDescent="0.2">
      <c r="A341" s="2">
        <v>44690</v>
      </c>
      <c r="B341" s="3" t="s">
        <v>5</v>
      </c>
      <c r="C341" s="3">
        <v>258.42500000000001</v>
      </c>
    </row>
    <row r="342" spans="1:3" x14ac:dyDescent="0.2">
      <c r="A342" s="2">
        <v>44691</v>
      </c>
      <c r="B342" s="3" t="s">
        <v>5</v>
      </c>
      <c r="C342" s="3">
        <v>263.23</v>
      </c>
    </row>
    <row r="343" spans="1:3" x14ac:dyDescent="0.2">
      <c r="A343" s="2">
        <v>44692</v>
      </c>
      <c r="B343" s="3" t="s">
        <v>5</v>
      </c>
      <c r="C343" s="3">
        <v>254.489</v>
      </c>
    </row>
    <row r="344" spans="1:3" x14ac:dyDescent="0.2">
      <c r="A344" s="2">
        <v>44693</v>
      </c>
      <c r="B344" s="3" t="s">
        <v>5</v>
      </c>
      <c r="C344" s="3">
        <v>249.41</v>
      </c>
    </row>
    <row r="345" spans="1:3" x14ac:dyDescent="0.2">
      <c r="A345" s="2">
        <v>44694</v>
      </c>
      <c r="B345" s="3" t="s">
        <v>5</v>
      </c>
      <c r="C345" s="3">
        <v>255.04300000000001</v>
      </c>
    </row>
    <row r="346" spans="1:3" x14ac:dyDescent="0.2">
      <c r="A346" s="2">
        <v>44697</v>
      </c>
      <c r="B346" s="3" t="s">
        <v>5</v>
      </c>
      <c r="C346" s="3">
        <v>255.416</v>
      </c>
    </row>
    <row r="347" spans="1:3" x14ac:dyDescent="0.2">
      <c r="A347" s="2">
        <v>44698</v>
      </c>
      <c r="B347" s="3" t="s">
        <v>5</v>
      </c>
      <c r="C347" s="3">
        <v>260.61099999999999</v>
      </c>
    </row>
    <row r="348" spans="1:3" x14ac:dyDescent="0.2">
      <c r="A348" s="2">
        <v>44699</v>
      </c>
      <c r="B348" s="3" t="s">
        <v>5</v>
      </c>
      <c r="C348" s="3">
        <v>248.74600000000001</v>
      </c>
    </row>
    <row r="349" spans="1:3" x14ac:dyDescent="0.2">
      <c r="A349" s="2">
        <v>44700</v>
      </c>
      <c r="B349" s="3" t="s">
        <v>5</v>
      </c>
      <c r="C349" s="3">
        <v>247.82599999999999</v>
      </c>
    </row>
    <row r="350" spans="1:3" x14ac:dyDescent="0.2">
      <c r="A350" s="2">
        <v>44701</v>
      </c>
      <c r="B350" s="3" t="s">
        <v>5</v>
      </c>
      <c r="C350" s="3">
        <v>247.25800000000001</v>
      </c>
    </row>
    <row r="351" spans="1:3" x14ac:dyDescent="0.2">
      <c r="A351" s="2">
        <v>44704</v>
      </c>
      <c r="B351" s="3" t="s">
        <v>5</v>
      </c>
      <c r="C351" s="3">
        <v>255.179</v>
      </c>
    </row>
    <row r="352" spans="1:3" x14ac:dyDescent="0.2">
      <c r="A352" s="2">
        <v>44705</v>
      </c>
      <c r="B352" s="3" t="s">
        <v>5</v>
      </c>
      <c r="C352" s="3">
        <v>254.17099999999999</v>
      </c>
    </row>
    <row r="353" spans="1:3" x14ac:dyDescent="0.2">
      <c r="A353" s="2">
        <v>44706</v>
      </c>
      <c r="B353" s="3" t="s">
        <v>5</v>
      </c>
      <c r="C353" s="3">
        <v>257.01100000000002</v>
      </c>
    </row>
    <row r="354" spans="1:3" x14ac:dyDescent="0.2">
      <c r="A354" s="2">
        <v>44707</v>
      </c>
      <c r="B354" s="3" t="s">
        <v>5</v>
      </c>
      <c r="C354" s="3">
        <v>260.32</v>
      </c>
    </row>
    <row r="355" spans="1:3" x14ac:dyDescent="0.2">
      <c r="A355" s="2">
        <v>44708</v>
      </c>
      <c r="B355" s="3" t="s">
        <v>5</v>
      </c>
      <c r="C355" s="3">
        <v>267.50599999999997</v>
      </c>
    </row>
    <row r="356" spans="1:3" x14ac:dyDescent="0.2">
      <c r="A356" s="2">
        <v>44712</v>
      </c>
      <c r="B356" s="3" t="s">
        <v>5</v>
      </c>
      <c r="C356" s="3">
        <v>266.16300000000001</v>
      </c>
    </row>
    <row r="357" spans="1:3" x14ac:dyDescent="0.2">
      <c r="A357" s="2">
        <v>44713</v>
      </c>
      <c r="B357" s="3" t="s">
        <v>5</v>
      </c>
      <c r="C357" s="3">
        <v>266.702</v>
      </c>
    </row>
    <row r="358" spans="1:3" x14ac:dyDescent="0.2">
      <c r="A358" s="2">
        <v>44714</v>
      </c>
      <c r="B358" s="3" t="s">
        <v>5</v>
      </c>
      <c r="C358" s="3">
        <v>268.815</v>
      </c>
    </row>
    <row r="359" spans="1:3" x14ac:dyDescent="0.2">
      <c r="A359" s="2">
        <v>44715</v>
      </c>
      <c r="B359" s="3" t="s">
        <v>5</v>
      </c>
      <c r="C359" s="3">
        <v>264.35199999999998</v>
      </c>
    </row>
    <row r="360" spans="1:3" x14ac:dyDescent="0.2">
      <c r="A360" s="2">
        <v>44718</v>
      </c>
      <c r="B360" s="3" t="s">
        <v>5</v>
      </c>
      <c r="C360" s="3">
        <v>263.11</v>
      </c>
    </row>
    <row r="361" spans="1:3" x14ac:dyDescent="0.2">
      <c r="A361" s="2">
        <v>44719</v>
      </c>
      <c r="B361" s="3" t="s">
        <v>5</v>
      </c>
      <c r="C361" s="3">
        <v>266.78100000000001</v>
      </c>
    </row>
    <row r="362" spans="1:3" x14ac:dyDescent="0.2">
      <c r="A362" s="2">
        <v>44720</v>
      </c>
      <c r="B362" s="3" t="s">
        <v>5</v>
      </c>
      <c r="C362" s="3">
        <v>264.73599999999999</v>
      </c>
    </row>
    <row r="363" spans="1:3" x14ac:dyDescent="0.2">
      <c r="A363" s="2">
        <v>44721</v>
      </c>
      <c r="B363" s="3" t="s">
        <v>5</v>
      </c>
      <c r="C363" s="3">
        <v>259.233</v>
      </c>
    </row>
    <row r="364" spans="1:3" x14ac:dyDescent="0.2">
      <c r="A364" s="2">
        <v>44722</v>
      </c>
      <c r="B364" s="3" t="s">
        <v>5</v>
      </c>
      <c r="C364" s="3">
        <v>247.68100000000001</v>
      </c>
    </row>
    <row r="365" spans="1:3" x14ac:dyDescent="0.2">
      <c r="A365" s="2">
        <v>44725</v>
      </c>
      <c r="B365" s="3" t="s">
        <v>5</v>
      </c>
      <c r="C365" s="3">
        <v>237.17599999999999</v>
      </c>
    </row>
    <row r="366" spans="1:3" x14ac:dyDescent="0.2">
      <c r="A366" s="2">
        <v>44726</v>
      </c>
      <c r="B366" s="3" t="s">
        <v>5</v>
      </c>
      <c r="C366" s="3">
        <v>239.35900000000001</v>
      </c>
    </row>
    <row r="367" spans="1:3" x14ac:dyDescent="0.2">
      <c r="A367" s="2">
        <v>44727</v>
      </c>
      <c r="B367" s="3" t="s">
        <v>5</v>
      </c>
      <c r="C367" s="3">
        <v>246.477</v>
      </c>
    </row>
    <row r="368" spans="1:3" x14ac:dyDescent="0.2">
      <c r="A368" s="2">
        <v>44728</v>
      </c>
      <c r="B368" s="3" t="s">
        <v>5</v>
      </c>
      <c r="C368" s="3">
        <v>239.82900000000001</v>
      </c>
    </row>
    <row r="369" spans="1:3" x14ac:dyDescent="0.2">
      <c r="A369" s="2">
        <v>44729</v>
      </c>
      <c r="B369" s="3" t="s">
        <v>5</v>
      </c>
      <c r="C369" s="3">
        <v>242.452</v>
      </c>
    </row>
    <row r="370" spans="1:3" x14ac:dyDescent="0.2">
      <c r="A370" s="2">
        <v>44733</v>
      </c>
      <c r="B370" s="3" t="s">
        <v>5</v>
      </c>
      <c r="C370" s="3">
        <v>248.41399999999999</v>
      </c>
    </row>
    <row r="371" spans="1:3" x14ac:dyDescent="0.2">
      <c r="A371" s="2">
        <v>44734</v>
      </c>
      <c r="B371" s="3" t="s">
        <v>5</v>
      </c>
      <c r="C371" s="3">
        <v>247.816</v>
      </c>
    </row>
    <row r="372" spans="1:3" x14ac:dyDescent="0.2">
      <c r="A372" s="2">
        <v>44735</v>
      </c>
      <c r="B372" s="3" t="s">
        <v>5</v>
      </c>
      <c r="C372" s="3">
        <v>253.42699999999999</v>
      </c>
    </row>
    <row r="373" spans="1:3" x14ac:dyDescent="0.2">
      <c r="A373" s="2">
        <v>44736</v>
      </c>
      <c r="B373" s="3" t="s">
        <v>5</v>
      </c>
      <c r="C373" s="3">
        <v>262.08</v>
      </c>
    </row>
    <row r="374" spans="1:3" x14ac:dyDescent="0.2">
      <c r="A374" s="2">
        <v>44739</v>
      </c>
      <c r="B374" s="3" t="s">
        <v>5</v>
      </c>
      <c r="C374" s="3">
        <v>259.33</v>
      </c>
    </row>
    <row r="375" spans="1:3" x14ac:dyDescent="0.2">
      <c r="A375" s="2">
        <v>44740</v>
      </c>
      <c r="B375" s="3" t="s">
        <v>5</v>
      </c>
      <c r="C375" s="3">
        <v>251.09700000000001</v>
      </c>
    </row>
    <row r="376" spans="1:3" x14ac:dyDescent="0.2">
      <c r="A376" s="2">
        <v>44741</v>
      </c>
      <c r="B376" s="3" t="s">
        <v>5</v>
      </c>
      <c r="C376" s="3">
        <v>254.797</v>
      </c>
    </row>
    <row r="377" spans="1:3" x14ac:dyDescent="0.2">
      <c r="A377" s="2">
        <v>44742</v>
      </c>
      <c r="B377" s="3" t="s">
        <v>5</v>
      </c>
      <c r="C377" s="3">
        <v>251.44</v>
      </c>
    </row>
    <row r="378" spans="1:3" x14ac:dyDescent="0.2">
      <c r="A378" s="2">
        <v>44743</v>
      </c>
      <c r="B378" s="3" t="s">
        <v>5</v>
      </c>
      <c r="C378" s="3">
        <v>254.131</v>
      </c>
    </row>
    <row r="379" spans="1:3" x14ac:dyDescent="0.2">
      <c r="A379" s="2">
        <v>44747</v>
      </c>
      <c r="B379" s="3" t="s">
        <v>5</v>
      </c>
      <c r="C379" s="3">
        <v>257.33300000000003</v>
      </c>
    </row>
    <row r="380" spans="1:3" x14ac:dyDescent="0.2">
      <c r="A380" s="2">
        <v>44748</v>
      </c>
      <c r="B380" s="3" t="s">
        <v>5</v>
      </c>
      <c r="C380" s="3">
        <v>260.62099999999998</v>
      </c>
    </row>
    <row r="381" spans="1:3" x14ac:dyDescent="0.2">
      <c r="A381" s="2">
        <v>44749</v>
      </c>
      <c r="B381" s="3" t="s">
        <v>5</v>
      </c>
      <c r="C381" s="3">
        <v>262.76499999999999</v>
      </c>
    </row>
    <row r="382" spans="1:3" x14ac:dyDescent="0.2">
      <c r="A382" s="2">
        <v>44750</v>
      </c>
      <c r="B382" s="3" t="s">
        <v>5</v>
      </c>
      <c r="C382" s="3">
        <v>262.04199999999997</v>
      </c>
    </row>
    <row r="383" spans="1:3" x14ac:dyDescent="0.2">
      <c r="A383" s="2">
        <v>44753</v>
      </c>
      <c r="B383" s="3" t="s">
        <v>5</v>
      </c>
      <c r="C383" s="3">
        <v>258.95699999999999</v>
      </c>
    </row>
    <row r="384" spans="1:3" x14ac:dyDescent="0.2">
      <c r="A384" s="2">
        <v>44754</v>
      </c>
      <c r="B384" s="3" t="s">
        <v>5</v>
      </c>
      <c r="C384" s="3">
        <v>248.345</v>
      </c>
    </row>
    <row r="385" spans="1:3" x14ac:dyDescent="0.2">
      <c r="A385" s="2">
        <v>44755</v>
      </c>
      <c r="B385" s="3" t="s">
        <v>5</v>
      </c>
      <c r="C385" s="3">
        <v>247.416</v>
      </c>
    </row>
    <row r="386" spans="1:3" x14ac:dyDescent="0.2">
      <c r="A386" s="2">
        <v>44756</v>
      </c>
      <c r="B386" s="3" t="s">
        <v>5</v>
      </c>
      <c r="C386" s="3">
        <v>248.74600000000001</v>
      </c>
    </row>
    <row r="387" spans="1:3" x14ac:dyDescent="0.2">
      <c r="A387" s="2">
        <v>44757</v>
      </c>
      <c r="B387" s="3" t="s">
        <v>5</v>
      </c>
      <c r="C387" s="3">
        <v>251.33199999999999</v>
      </c>
    </row>
    <row r="388" spans="1:3" x14ac:dyDescent="0.2">
      <c r="A388" s="2">
        <v>44760</v>
      </c>
      <c r="B388" s="3" t="s">
        <v>5</v>
      </c>
      <c r="C388" s="3">
        <v>248.91300000000001</v>
      </c>
    </row>
    <row r="389" spans="1:3" x14ac:dyDescent="0.2">
      <c r="A389" s="2">
        <v>44761</v>
      </c>
      <c r="B389" s="3" t="s">
        <v>5</v>
      </c>
      <c r="C389" s="3">
        <v>254.08099999999999</v>
      </c>
    </row>
    <row r="390" spans="1:3" x14ac:dyDescent="0.2">
      <c r="A390" s="2">
        <v>44762</v>
      </c>
      <c r="B390" s="3" t="s">
        <v>5</v>
      </c>
      <c r="C390" s="3">
        <v>256.76499999999999</v>
      </c>
    </row>
    <row r="391" spans="1:3" x14ac:dyDescent="0.2">
      <c r="A391" s="2">
        <v>44763</v>
      </c>
      <c r="B391" s="3" t="s">
        <v>5</v>
      </c>
      <c r="C391" s="3">
        <v>259.28300000000002</v>
      </c>
    </row>
    <row r="392" spans="1:3" x14ac:dyDescent="0.2">
      <c r="A392" s="2">
        <v>44764</v>
      </c>
      <c r="B392" s="3" t="s">
        <v>5</v>
      </c>
      <c r="C392" s="3">
        <v>254.89599999999999</v>
      </c>
    </row>
    <row r="393" spans="1:3" x14ac:dyDescent="0.2">
      <c r="A393" s="2">
        <v>44767</v>
      </c>
      <c r="B393" s="3" t="s">
        <v>5</v>
      </c>
      <c r="C393" s="3">
        <v>253.398</v>
      </c>
    </row>
    <row r="394" spans="1:3" x14ac:dyDescent="0.2">
      <c r="A394" s="2">
        <v>44768</v>
      </c>
      <c r="B394" s="3" t="s">
        <v>5</v>
      </c>
      <c r="C394" s="3">
        <v>246.613</v>
      </c>
    </row>
    <row r="395" spans="1:3" x14ac:dyDescent="0.2">
      <c r="A395" s="2">
        <v>44769</v>
      </c>
      <c r="B395" s="3" t="s">
        <v>5</v>
      </c>
      <c r="C395" s="3">
        <v>263.10000000000002</v>
      </c>
    </row>
    <row r="396" spans="1:3" x14ac:dyDescent="0.2">
      <c r="A396" s="2">
        <v>44770</v>
      </c>
      <c r="B396" s="3" t="s">
        <v>5</v>
      </c>
      <c r="C396" s="3">
        <v>270.61</v>
      </c>
    </row>
    <row r="397" spans="1:3" x14ac:dyDescent="0.2">
      <c r="A397" s="2">
        <v>44771</v>
      </c>
      <c r="B397" s="3" t="s">
        <v>5</v>
      </c>
      <c r="C397" s="3">
        <v>274.84800000000001</v>
      </c>
    </row>
    <row r="398" spans="1:3" x14ac:dyDescent="0.2">
      <c r="A398" s="2">
        <v>44774</v>
      </c>
      <c r="B398" s="3" t="s">
        <v>5</v>
      </c>
      <c r="C398" s="3">
        <v>272.173</v>
      </c>
    </row>
    <row r="399" spans="1:3" x14ac:dyDescent="0.2">
      <c r="A399" s="2">
        <v>44775</v>
      </c>
      <c r="B399" s="3" t="s">
        <v>5</v>
      </c>
      <c r="C399" s="3">
        <v>269.05200000000002</v>
      </c>
    </row>
    <row r="400" spans="1:3" x14ac:dyDescent="0.2">
      <c r="A400" s="2">
        <v>44776</v>
      </c>
      <c r="B400" s="3" t="s">
        <v>5</v>
      </c>
      <c r="C400" s="3">
        <v>276.54199999999997</v>
      </c>
    </row>
    <row r="401" spans="1:3" x14ac:dyDescent="0.2">
      <c r="A401" s="2">
        <v>44777</v>
      </c>
      <c r="B401" s="3" t="s">
        <v>5</v>
      </c>
      <c r="C401" s="3">
        <v>277.69600000000003</v>
      </c>
    </row>
    <row r="402" spans="1:3" x14ac:dyDescent="0.2">
      <c r="A402" s="2">
        <v>44778</v>
      </c>
      <c r="B402" s="3" t="s">
        <v>5</v>
      </c>
      <c r="C402" s="3">
        <v>276.97399999999999</v>
      </c>
    </row>
    <row r="403" spans="1:3" x14ac:dyDescent="0.2">
      <c r="A403" s="2">
        <v>44781</v>
      </c>
      <c r="B403" s="3" t="s">
        <v>5</v>
      </c>
      <c r="C403" s="3">
        <v>274.43599999999998</v>
      </c>
    </row>
    <row r="404" spans="1:3" x14ac:dyDescent="0.2">
      <c r="A404" s="2">
        <v>44782</v>
      </c>
      <c r="B404" s="3" t="s">
        <v>5</v>
      </c>
      <c r="C404" s="3">
        <v>276.375</v>
      </c>
    </row>
    <row r="405" spans="1:3" x14ac:dyDescent="0.2">
      <c r="A405" s="2">
        <v>44783</v>
      </c>
      <c r="B405" s="3" t="s">
        <v>5</v>
      </c>
      <c r="C405" s="3">
        <v>283.09100000000001</v>
      </c>
    </row>
    <row r="406" spans="1:3" x14ac:dyDescent="0.2">
      <c r="A406" s="2">
        <v>44784</v>
      </c>
      <c r="B406" s="3" t="s">
        <v>5</v>
      </c>
      <c r="C406" s="3">
        <v>280.995</v>
      </c>
    </row>
    <row r="407" spans="1:3" x14ac:dyDescent="0.2">
      <c r="A407" s="2">
        <v>44785</v>
      </c>
      <c r="B407" s="3" t="s">
        <v>5</v>
      </c>
      <c r="C407" s="3">
        <v>285.78399999999999</v>
      </c>
    </row>
    <row r="408" spans="1:3" x14ac:dyDescent="0.2">
      <c r="A408" s="2">
        <v>44788</v>
      </c>
      <c r="B408" s="3" t="s">
        <v>5</v>
      </c>
      <c r="C408" s="3">
        <v>287.31</v>
      </c>
    </row>
    <row r="409" spans="1:3" x14ac:dyDescent="0.2">
      <c r="A409" s="2">
        <v>44789</v>
      </c>
      <c r="B409" s="3" t="s">
        <v>5</v>
      </c>
      <c r="C409" s="3">
        <v>286.565</v>
      </c>
    </row>
    <row r="410" spans="1:3" x14ac:dyDescent="0.2">
      <c r="A410" s="2">
        <v>44790</v>
      </c>
      <c r="B410" s="3" t="s">
        <v>5</v>
      </c>
      <c r="C410" s="3">
        <v>285.81099999999998</v>
      </c>
    </row>
    <row r="411" spans="1:3" x14ac:dyDescent="0.2">
      <c r="A411" s="2">
        <v>44791</v>
      </c>
      <c r="B411" s="3" t="s">
        <v>5</v>
      </c>
      <c r="C411" s="3">
        <v>284.68400000000003</v>
      </c>
    </row>
    <row r="412" spans="1:3" x14ac:dyDescent="0.2">
      <c r="A412" s="2">
        <v>44792</v>
      </c>
      <c r="B412" s="3" t="s">
        <v>5</v>
      </c>
      <c r="C412" s="3">
        <v>280.73899999999998</v>
      </c>
    </row>
    <row r="413" spans="1:3" x14ac:dyDescent="0.2">
      <c r="A413" s="2">
        <v>44795</v>
      </c>
      <c r="B413" s="3" t="s">
        <v>5</v>
      </c>
      <c r="C413" s="3">
        <v>272.49799999999999</v>
      </c>
    </row>
    <row r="414" spans="1:3" x14ac:dyDescent="0.2">
      <c r="A414" s="2">
        <v>44796</v>
      </c>
      <c r="B414" s="3" t="s">
        <v>5</v>
      </c>
      <c r="C414" s="3">
        <v>271.21100000000001</v>
      </c>
    </row>
    <row r="415" spans="1:3" x14ac:dyDescent="0.2">
      <c r="A415" s="2">
        <v>44797</v>
      </c>
      <c r="B415" s="3" t="s">
        <v>5</v>
      </c>
      <c r="C415" s="3">
        <v>270.57499999999999</v>
      </c>
    </row>
    <row r="416" spans="1:3" x14ac:dyDescent="0.2">
      <c r="A416" s="2">
        <v>44798</v>
      </c>
      <c r="B416" s="3" t="s">
        <v>5</v>
      </c>
      <c r="C416" s="3">
        <v>273.57600000000002</v>
      </c>
    </row>
    <row r="417" spans="1:3" x14ac:dyDescent="0.2">
      <c r="A417" s="2">
        <v>44799</v>
      </c>
      <c r="B417" s="3" t="s">
        <v>5</v>
      </c>
      <c r="C417" s="3">
        <v>263.02100000000002</v>
      </c>
    </row>
    <row r="418" spans="1:3" x14ac:dyDescent="0.2">
      <c r="A418" s="2">
        <v>44802</v>
      </c>
      <c r="B418" s="3" t="s">
        <v>5</v>
      </c>
      <c r="C418" s="3">
        <v>260.21499999999997</v>
      </c>
    </row>
    <row r="419" spans="1:3" x14ac:dyDescent="0.2">
      <c r="A419" s="2">
        <v>44803</v>
      </c>
      <c r="B419" s="3" t="s">
        <v>5</v>
      </c>
      <c r="C419" s="3">
        <v>257.99700000000001</v>
      </c>
    </row>
    <row r="420" spans="1:3" x14ac:dyDescent="0.2">
      <c r="A420" s="2">
        <v>44804</v>
      </c>
      <c r="B420" s="3" t="s">
        <v>5</v>
      </c>
      <c r="C420" s="3">
        <v>256.52699999999999</v>
      </c>
    </row>
    <row r="421" spans="1:3" x14ac:dyDescent="0.2">
      <c r="A421" s="2">
        <v>44805</v>
      </c>
      <c r="B421" s="3" t="s">
        <v>5</v>
      </c>
      <c r="C421" s="3">
        <v>255.476</v>
      </c>
    </row>
    <row r="422" spans="1:3" x14ac:dyDescent="0.2">
      <c r="A422" s="2">
        <v>44806</v>
      </c>
      <c r="B422" s="3" t="s">
        <v>5</v>
      </c>
      <c r="C422" s="3">
        <v>251.21600000000001</v>
      </c>
    </row>
    <row r="423" spans="1:3" x14ac:dyDescent="0.2">
      <c r="A423" s="2">
        <v>44810</v>
      </c>
      <c r="B423" s="3" t="s">
        <v>5</v>
      </c>
      <c r="C423" s="3">
        <v>248.46100000000001</v>
      </c>
    </row>
    <row r="424" spans="1:3" x14ac:dyDescent="0.2">
      <c r="A424" s="2">
        <v>44811</v>
      </c>
      <c r="B424" s="3" t="s">
        <v>5</v>
      </c>
      <c r="C424" s="3">
        <v>253.21</v>
      </c>
    </row>
    <row r="425" spans="1:3" x14ac:dyDescent="0.2">
      <c r="A425" s="2">
        <v>44812</v>
      </c>
      <c r="B425" s="3" t="s">
        <v>5</v>
      </c>
      <c r="C425" s="3">
        <v>253.63</v>
      </c>
    </row>
    <row r="426" spans="1:3" x14ac:dyDescent="0.2">
      <c r="A426" s="2">
        <v>44813</v>
      </c>
      <c r="B426" s="3" t="s">
        <v>5</v>
      </c>
      <c r="C426" s="3">
        <v>259.45800000000003</v>
      </c>
    </row>
    <row r="427" spans="1:3" x14ac:dyDescent="0.2">
      <c r="A427" s="2">
        <v>44816</v>
      </c>
      <c r="B427" s="3" t="s">
        <v>5</v>
      </c>
      <c r="C427" s="3">
        <v>261.608</v>
      </c>
    </row>
    <row r="428" spans="1:3" x14ac:dyDescent="0.2">
      <c r="A428" s="2">
        <v>44817</v>
      </c>
      <c r="B428" s="3" t="s">
        <v>5</v>
      </c>
      <c r="C428" s="3">
        <v>247.22399999999999</v>
      </c>
    </row>
    <row r="429" spans="1:3" x14ac:dyDescent="0.2">
      <c r="A429" s="2">
        <v>44818</v>
      </c>
      <c r="B429" s="3" t="s">
        <v>5</v>
      </c>
      <c r="C429" s="3">
        <v>247.45099999999999</v>
      </c>
    </row>
    <row r="430" spans="1:3" x14ac:dyDescent="0.2">
      <c r="A430" s="2">
        <v>44819</v>
      </c>
      <c r="B430" s="3" t="s">
        <v>5</v>
      </c>
      <c r="C430" s="3">
        <v>240.739</v>
      </c>
    </row>
    <row r="431" spans="1:3" x14ac:dyDescent="0.2">
      <c r="A431" s="2">
        <v>44820</v>
      </c>
      <c r="B431" s="3" t="s">
        <v>5</v>
      </c>
      <c r="C431" s="3">
        <v>240.11</v>
      </c>
    </row>
    <row r="432" spans="1:3" x14ac:dyDescent="0.2">
      <c r="A432" s="2">
        <v>44823</v>
      </c>
      <c r="B432" s="3" t="s">
        <v>5</v>
      </c>
      <c r="C432" s="3">
        <v>239.89599999999999</v>
      </c>
    </row>
    <row r="433" spans="1:3" x14ac:dyDescent="0.2">
      <c r="A433" s="2">
        <v>44824</v>
      </c>
      <c r="B433" s="3" t="s">
        <v>5</v>
      </c>
      <c r="C433" s="3">
        <v>237.86600000000001</v>
      </c>
    </row>
    <row r="434" spans="1:3" x14ac:dyDescent="0.2">
      <c r="A434" s="2">
        <v>44825</v>
      </c>
      <c r="B434" s="3" t="s">
        <v>5</v>
      </c>
      <c r="C434" s="3">
        <v>234.43299999999999</v>
      </c>
    </row>
    <row r="435" spans="1:3" x14ac:dyDescent="0.2">
      <c r="A435" s="2">
        <v>44826</v>
      </c>
      <c r="B435" s="3" t="s">
        <v>5</v>
      </c>
      <c r="C435" s="3">
        <v>236.42400000000001</v>
      </c>
    </row>
    <row r="436" spans="1:3" x14ac:dyDescent="0.2">
      <c r="A436" s="2">
        <v>44827</v>
      </c>
      <c r="B436" s="3" t="s">
        <v>5</v>
      </c>
      <c r="C436" s="3">
        <v>233.42</v>
      </c>
    </row>
    <row r="437" spans="1:3" x14ac:dyDescent="0.2">
      <c r="A437" s="2">
        <v>44830</v>
      </c>
      <c r="B437" s="3" t="s">
        <v>5</v>
      </c>
      <c r="C437" s="3">
        <v>232.96</v>
      </c>
    </row>
    <row r="438" spans="1:3" x14ac:dyDescent="0.2">
      <c r="A438" s="2">
        <v>44831</v>
      </c>
      <c r="B438" s="3" t="s">
        <v>5</v>
      </c>
      <c r="C438" s="3">
        <v>231.94</v>
      </c>
    </row>
    <row r="439" spans="1:3" x14ac:dyDescent="0.2">
      <c r="A439" s="2">
        <v>44832</v>
      </c>
      <c r="B439" s="3" t="s">
        <v>5</v>
      </c>
      <c r="C439" s="3">
        <v>236.511</v>
      </c>
    </row>
    <row r="440" spans="1:3" x14ac:dyDescent="0.2">
      <c r="A440" s="2">
        <v>44833</v>
      </c>
      <c r="B440" s="3" t="s">
        <v>5</v>
      </c>
      <c r="C440" s="3">
        <v>233.01</v>
      </c>
    </row>
    <row r="441" spans="1:3" x14ac:dyDescent="0.2">
      <c r="A441" s="2">
        <v>44834</v>
      </c>
      <c r="B441" s="3" t="s">
        <v>5</v>
      </c>
      <c r="C441" s="3">
        <v>228.49600000000001</v>
      </c>
    </row>
    <row r="442" spans="1:3" x14ac:dyDescent="0.2">
      <c r="A442" s="2">
        <v>44837</v>
      </c>
      <c r="B442" s="3" t="s">
        <v>5</v>
      </c>
      <c r="C442" s="3">
        <v>236.18600000000001</v>
      </c>
    </row>
    <row r="443" spans="1:3" x14ac:dyDescent="0.2">
      <c r="A443" s="2">
        <v>44838</v>
      </c>
      <c r="B443" s="3" t="s">
        <v>5</v>
      </c>
      <c r="C443" s="3">
        <v>244.17400000000001</v>
      </c>
    </row>
    <row r="444" spans="1:3" x14ac:dyDescent="0.2">
      <c r="A444" s="2">
        <v>44839</v>
      </c>
      <c r="B444" s="3" t="s">
        <v>5</v>
      </c>
      <c r="C444" s="3">
        <v>244.48599999999999</v>
      </c>
    </row>
    <row r="445" spans="1:3" x14ac:dyDescent="0.2">
      <c r="A445" s="2">
        <v>44840</v>
      </c>
      <c r="B445" s="3" t="s">
        <v>5</v>
      </c>
      <c r="C445" s="3">
        <v>242.12299999999999</v>
      </c>
    </row>
    <row r="446" spans="1:3" x14ac:dyDescent="0.2">
      <c r="A446" s="2">
        <v>44841</v>
      </c>
      <c r="B446" s="3" t="s">
        <v>5</v>
      </c>
      <c r="C446" s="3">
        <v>229.81100000000001</v>
      </c>
    </row>
    <row r="447" spans="1:3" x14ac:dyDescent="0.2">
      <c r="A447" s="2">
        <v>44844</v>
      </c>
      <c r="B447" s="3" t="s">
        <v>5</v>
      </c>
      <c r="C447" s="3">
        <v>224.916</v>
      </c>
    </row>
    <row r="448" spans="1:3" x14ac:dyDescent="0.2">
      <c r="A448" s="2">
        <v>44845</v>
      </c>
      <c r="B448" s="3" t="s">
        <v>5</v>
      </c>
      <c r="C448" s="3">
        <v>221.148</v>
      </c>
    </row>
    <row r="449" spans="1:3" x14ac:dyDescent="0.2">
      <c r="A449" s="2">
        <v>44846</v>
      </c>
      <c r="B449" s="3" t="s">
        <v>5</v>
      </c>
      <c r="C449" s="3">
        <v>221.482</v>
      </c>
    </row>
    <row r="450" spans="1:3" x14ac:dyDescent="0.2">
      <c r="A450" s="2">
        <v>44847</v>
      </c>
      <c r="B450" s="3" t="s">
        <v>5</v>
      </c>
      <c r="C450" s="3">
        <v>229.81100000000001</v>
      </c>
    </row>
    <row r="451" spans="1:3" x14ac:dyDescent="0.2">
      <c r="A451" s="2">
        <v>44848</v>
      </c>
      <c r="B451" s="3" t="s">
        <v>5</v>
      </c>
      <c r="C451" s="3">
        <v>224.238</v>
      </c>
    </row>
    <row r="452" spans="1:3" x14ac:dyDescent="0.2">
      <c r="A452" s="2">
        <v>44851</v>
      </c>
      <c r="B452" s="3" t="s">
        <v>5</v>
      </c>
      <c r="C452" s="3">
        <v>233.03800000000001</v>
      </c>
    </row>
    <row r="453" spans="1:3" x14ac:dyDescent="0.2">
      <c r="A453" s="2">
        <v>44852</v>
      </c>
      <c r="B453" s="3" t="s">
        <v>5</v>
      </c>
      <c r="C453" s="3">
        <v>233.99100000000001</v>
      </c>
    </row>
    <row r="454" spans="1:3" x14ac:dyDescent="0.2">
      <c r="A454" s="2">
        <v>44853</v>
      </c>
      <c r="B454" s="3" t="s">
        <v>5</v>
      </c>
      <c r="C454" s="3">
        <v>232.00899999999999</v>
      </c>
    </row>
    <row r="455" spans="1:3" x14ac:dyDescent="0.2">
      <c r="A455" s="2">
        <v>44854</v>
      </c>
      <c r="B455" s="3" t="s">
        <v>5</v>
      </c>
      <c r="C455" s="3">
        <v>231.685</v>
      </c>
    </row>
    <row r="456" spans="1:3" x14ac:dyDescent="0.2">
      <c r="A456" s="2">
        <v>44855</v>
      </c>
      <c r="B456" s="3" t="s">
        <v>5</v>
      </c>
      <c r="C456" s="3">
        <v>237.542</v>
      </c>
    </row>
    <row r="457" spans="1:3" x14ac:dyDescent="0.2">
      <c r="A457" s="2">
        <v>44858</v>
      </c>
      <c r="B457" s="3" t="s">
        <v>5</v>
      </c>
      <c r="C457" s="3">
        <v>242.57499999999999</v>
      </c>
    </row>
    <row r="458" spans="1:3" x14ac:dyDescent="0.2">
      <c r="A458" s="2">
        <v>44859</v>
      </c>
      <c r="B458" s="3" t="s">
        <v>5</v>
      </c>
      <c r="C458" s="3">
        <v>245.92099999999999</v>
      </c>
    </row>
    <row r="459" spans="1:3" x14ac:dyDescent="0.2">
      <c r="A459" s="2">
        <v>44860</v>
      </c>
      <c r="B459" s="3" t="s">
        <v>5</v>
      </c>
      <c r="C459" s="3">
        <v>226.946</v>
      </c>
    </row>
    <row r="460" spans="1:3" x14ac:dyDescent="0.2">
      <c r="A460" s="2">
        <v>44861</v>
      </c>
      <c r="B460" s="3" t="s">
        <v>5</v>
      </c>
      <c r="C460" s="3">
        <v>222.46199999999999</v>
      </c>
    </row>
    <row r="461" spans="1:3" x14ac:dyDescent="0.2">
      <c r="A461" s="2">
        <v>44862</v>
      </c>
      <c r="B461" s="3" t="s">
        <v>5</v>
      </c>
      <c r="C461" s="3">
        <v>231.40899999999999</v>
      </c>
    </row>
    <row r="462" spans="1:3" x14ac:dyDescent="0.2">
      <c r="A462" s="2">
        <v>44865</v>
      </c>
      <c r="B462" s="3" t="s">
        <v>5</v>
      </c>
      <c r="C462" s="3">
        <v>227.74</v>
      </c>
    </row>
    <row r="463" spans="1:3" x14ac:dyDescent="0.2">
      <c r="A463" s="2">
        <v>44866</v>
      </c>
      <c r="B463" s="3" t="s">
        <v>5</v>
      </c>
      <c r="C463" s="3">
        <v>223.857</v>
      </c>
    </row>
    <row r="464" spans="1:3" x14ac:dyDescent="0.2">
      <c r="A464" s="2">
        <v>44867</v>
      </c>
      <c r="B464" s="3" t="s">
        <v>5</v>
      </c>
      <c r="C464" s="3">
        <v>215.93600000000001</v>
      </c>
    </row>
    <row r="465" spans="1:3" x14ac:dyDescent="0.2">
      <c r="A465" s="2">
        <v>44868</v>
      </c>
      <c r="B465" s="3" t="s">
        <v>5</v>
      </c>
      <c r="C465" s="3">
        <v>210.197</v>
      </c>
    </row>
    <row r="466" spans="1:3" x14ac:dyDescent="0.2">
      <c r="A466" s="2">
        <v>44869</v>
      </c>
      <c r="B466" s="3" t="s">
        <v>5</v>
      </c>
      <c r="C466" s="3">
        <v>217.20400000000001</v>
      </c>
    </row>
    <row r="467" spans="1:3" x14ac:dyDescent="0.2">
      <c r="A467" s="2">
        <v>44872</v>
      </c>
      <c r="B467" s="3" t="s">
        <v>5</v>
      </c>
      <c r="C467" s="3">
        <v>223.56100000000001</v>
      </c>
    </row>
    <row r="468" spans="1:3" x14ac:dyDescent="0.2">
      <c r="A468" s="2">
        <v>44873</v>
      </c>
      <c r="B468" s="3" t="s">
        <v>5</v>
      </c>
      <c r="C468" s="3">
        <v>224.541</v>
      </c>
    </row>
    <row r="469" spans="1:3" x14ac:dyDescent="0.2">
      <c r="A469" s="2">
        <v>44874</v>
      </c>
      <c r="B469" s="3" t="s">
        <v>5</v>
      </c>
      <c r="C469" s="3">
        <v>220.26400000000001</v>
      </c>
    </row>
    <row r="470" spans="1:3" x14ac:dyDescent="0.2">
      <c r="A470" s="2">
        <v>44875</v>
      </c>
      <c r="B470" s="3" t="s">
        <v>5</v>
      </c>
      <c r="C470" s="3">
        <v>238.38499999999999</v>
      </c>
    </row>
    <row r="471" spans="1:3" x14ac:dyDescent="0.2">
      <c r="A471" s="2">
        <v>44876</v>
      </c>
      <c r="B471" s="3" t="s">
        <v>5</v>
      </c>
      <c r="C471" s="3">
        <v>242.43700000000001</v>
      </c>
    </row>
    <row r="472" spans="1:3" x14ac:dyDescent="0.2">
      <c r="A472" s="2">
        <v>44879</v>
      </c>
      <c r="B472" s="3" t="s">
        <v>5</v>
      </c>
      <c r="C472" s="3">
        <v>236.98099999999999</v>
      </c>
    </row>
    <row r="473" spans="1:3" x14ac:dyDescent="0.2">
      <c r="A473" s="2">
        <v>44880</v>
      </c>
      <c r="B473" s="3" t="s">
        <v>5</v>
      </c>
      <c r="C473" s="3">
        <v>237.39500000000001</v>
      </c>
    </row>
    <row r="474" spans="1:3" x14ac:dyDescent="0.2">
      <c r="A474" s="2">
        <v>44881</v>
      </c>
      <c r="B474" s="3" t="s">
        <v>5</v>
      </c>
      <c r="C474" s="3">
        <v>237.827</v>
      </c>
    </row>
    <row r="475" spans="1:3" x14ac:dyDescent="0.2">
      <c r="A475" s="2">
        <v>44882</v>
      </c>
      <c r="B475" s="3" t="s">
        <v>5</v>
      </c>
      <c r="C475" s="3">
        <v>237.77799999999999</v>
      </c>
    </row>
    <row r="476" spans="1:3" x14ac:dyDescent="0.2">
      <c r="A476" s="2">
        <v>44883</v>
      </c>
      <c r="B476" s="3" t="s">
        <v>5</v>
      </c>
      <c r="C476" s="3">
        <v>237.32499999999999</v>
      </c>
    </row>
    <row r="477" spans="1:3" x14ac:dyDescent="0.2">
      <c r="A477" s="2">
        <v>44886</v>
      </c>
      <c r="B477" s="3" t="s">
        <v>5</v>
      </c>
      <c r="C477" s="3">
        <v>238.14099999999999</v>
      </c>
    </row>
    <row r="478" spans="1:3" x14ac:dyDescent="0.2">
      <c r="A478" s="2">
        <v>44887</v>
      </c>
      <c r="B478" s="3" t="s">
        <v>5</v>
      </c>
      <c r="C478" s="3">
        <v>241.07499999999999</v>
      </c>
    </row>
    <row r="479" spans="1:3" x14ac:dyDescent="0.2">
      <c r="A479" s="2">
        <v>44888</v>
      </c>
      <c r="B479" s="3" t="s">
        <v>5</v>
      </c>
      <c r="C479" s="3">
        <v>243.58099999999999</v>
      </c>
    </row>
    <row r="480" spans="1:3" x14ac:dyDescent="0.2">
      <c r="A480" s="2">
        <v>44890</v>
      </c>
      <c r="B480" s="3" t="s">
        <v>5</v>
      </c>
      <c r="C480" s="3">
        <v>243.494</v>
      </c>
    </row>
    <row r="481" spans="1:3" x14ac:dyDescent="0.2">
      <c r="A481" s="2">
        <v>44893</v>
      </c>
      <c r="B481" s="3" t="s">
        <v>5</v>
      </c>
      <c r="C481" s="3">
        <v>237.857</v>
      </c>
    </row>
    <row r="482" spans="1:3" x14ac:dyDescent="0.2">
      <c r="A482" s="2">
        <v>44894</v>
      </c>
      <c r="B482" s="3" t="s">
        <v>5</v>
      </c>
      <c r="C482" s="3">
        <v>236.45</v>
      </c>
    </row>
    <row r="483" spans="1:3" x14ac:dyDescent="0.2">
      <c r="A483" s="2">
        <v>44895</v>
      </c>
      <c r="B483" s="3" t="s">
        <v>5</v>
      </c>
      <c r="C483" s="3">
        <v>251.02199999999999</v>
      </c>
    </row>
    <row r="484" spans="1:3" x14ac:dyDescent="0.2">
      <c r="A484" s="2">
        <v>44896</v>
      </c>
      <c r="B484" s="3" t="s">
        <v>5</v>
      </c>
      <c r="C484" s="3">
        <v>250.577</v>
      </c>
    </row>
    <row r="485" spans="1:3" x14ac:dyDescent="0.2">
      <c r="A485" s="2">
        <v>44897</v>
      </c>
      <c r="B485" s="3" t="s">
        <v>5</v>
      </c>
      <c r="C485" s="3">
        <v>250.90299999999999</v>
      </c>
    </row>
    <row r="486" spans="1:3" x14ac:dyDescent="0.2">
      <c r="A486" s="2">
        <v>44900</v>
      </c>
      <c r="B486" s="3" t="s">
        <v>5</v>
      </c>
      <c r="C486" s="3">
        <v>246.16</v>
      </c>
    </row>
    <row r="487" spans="1:3" x14ac:dyDescent="0.2">
      <c r="A487" s="2">
        <v>44901</v>
      </c>
      <c r="B487" s="3" t="s">
        <v>5</v>
      </c>
      <c r="C487" s="3">
        <v>241.16300000000001</v>
      </c>
    </row>
    <row r="488" spans="1:3" x14ac:dyDescent="0.2">
      <c r="A488" s="2">
        <v>44902</v>
      </c>
      <c r="B488" s="3" t="s">
        <v>5</v>
      </c>
      <c r="C488" s="3">
        <v>240.42400000000001</v>
      </c>
    </row>
    <row r="489" spans="1:3" x14ac:dyDescent="0.2">
      <c r="A489" s="2">
        <v>44903</v>
      </c>
      <c r="B489" s="3" t="s">
        <v>5</v>
      </c>
      <c r="C489" s="3">
        <v>243.405</v>
      </c>
    </row>
    <row r="490" spans="1:3" x14ac:dyDescent="0.2">
      <c r="A490" s="2">
        <v>44904</v>
      </c>
      <c r="B490" s="3" t="s">
        <v>5</v>
      </c>
      <c r="C490" s="3">
        <v>241.458</v>
      </c>
    </row>
    <row r="491" spans="1:3" x14ac:dyDescent="0.2">
      <c r="A491" s="2">
        <v>44907</v>
      </c>
      <c r="B491" s="3" t="s">
        <v>5</v>
      </c>
      <c r="C491" s="3">
        <v>248.43299999999999</v>
      </c>
    </row>
    <row r="492" spans="1:3" x14ac:dyDescent="0.2">
      <c r="A492" s="2">
        <v>44908</v>
      </c>
      <c r="B492" s="3" t="s">
        <v>5</v>
      </c>
      <c r="C492" s="3">
        <v>252.77099999999999</v>
      </c>
    </row>
    <row r="493" spans="1:3" x14ac:dyDescent="0.2">
      <c r="A493" s="2">
        <v>44909</v>
      </c>
      <c r="B493" s="3" t="s">
        <v>5</v>
      </c>
      <c r="C493" s="3">
        <v>253.066</v>
      </c>
    </row>
    <row r="494" spans="1:3" x14ac:dyDescent="0.2">
      <c r="A494" s="2">
        <v>44910</v>
      </c>
      <c r="B494" s="3" t="s">
        <v>5</v>
      </c>
      <c r="C494" s="3">
        <v>244.989</v>
      </c>
    </row>
    <row r="495" spans="1:3" x14ac:dyDescent="0.2">
      <c r="A495" s="2">
        <v>44911</v>
      </c>
      <c r="B495" s="3" t="s">
        <v>5</v>
      </c>
      <c r="C495" s="3">
        <v>240.739</v>
      </c>
    </row>
    <row r="496" spans="1:3" x14ac:dyDescent="0.2">
      <c r="A496" s="2">
        <v>44914</v>
      </c>
      <c r="B496" s="3" t="s">
        <v>5</v>
      </c>
      <c r="C496" s="3">
        <v>236.56700000000001</v>
      </c>
    </row>
    <row r="497" spans="1:3" x14ac:dyDescent="0.2">
      <c r="A497" s="2">
        <v>44915</v>
      </c>
      <c r="B497" s="3" t="s">
        <v>5</v>
      </c>
      <c r="C497" s="3">
        <v>237.89699999999999</v>
      </c>
    </row>
    <row r="498" spans="1:3" x14ac:dyDescent="0.2">
      <c r="A498" s="2">
        <v>44916</v>
      </c>
      <c r="B498" s="3" t="s">
        <v>5</v>
      </c>
      <c r="C498" s="3">
        <v>240.48400000000001</v>
      </c>
    </row>
    <row r="499" spans="1:3" x14ac:dyDescent="0.2">
      <c r="A499" s="2">
        <v>44917</v>
      </c>
      <c r="B499" s="3" t="s">
        <v>5</v>
      </c>
      <c r="C499" s="3">
        <v>234.345</v>
      </c>
    </row>
    <row r="500" spans="1:3" x14ac:dyDescent="0.2">
      <c r="A500" s="2">
        <v>44918</v>
      </c>
      <c r="B500" s="3" t="s">
        <v>5</v>
      </c>
      <c r="C500" s="3">
        <v>234.87700000000001</v>
      </c>
    </row>
    <row r="501" spans="1:3" x14ac:dyDescent="0.2">
      <c r="A501" s="2">
        <v>44922</v>
      </c>
      <c r="B501" s="3" t="s">
        <v>5</v>
      </c>
      <c r="C501" s="3">
        <v>233.13300000000001</v>
      </c>
    </row>
    <row r="502" spans="1:3" x14ac:dyDescent="0.2">
      <c r="A502" s="2">
        <v>44923</v>
      </c>
      <c r="B502" s="3" t="s">
        <v>5</v>
      </c>
      <c r="C502" s="3">
        <v>230.74299999999999</v>
      </c>
    </row>
    <row r="503" spans="1:3" x14ac:dyDescent="0.2">
      <c r="A503" s="2">
        <v>44924</v>
      </c>
      <c r="B503" s="3" t="s">
        <v>5</v>
      </c>
      <c r="C503" s="3">
        <v>237.119</v>
      </c>
    </row>
    <row r="504" spans="1:3" x14ac:dyDescent="0.2">
      <c r="A504" s="2">
        <v>44925</v>
      </c>
      <c r="B504" s="3" t="s">
        <v>5</v>
      </c>
      <c r="C504" s="3">
        <v>235.94900000000001</v>
      </c>
    </row>
    <row r="505" spans="1:3" x14ac:dyDescent="0.2">
      <c r="A505" s="2">
        <v>44929</v>
      </c>
      <c r="B505" s="3" t="s">
        <v>5</v>
      </c>
      <c r="C505" s="3">
        <v>235.71100000000001</v>
      </c>
    </row>
    <row r="506" spans="1:3" x14ac:dyDescent="0.2">
      <c r="A506" s="2">
        <v>44930</v>
      </c>
      <c r="B506" s="3" t="s">
        <v>5</v>
      </c>
      <c r="C506" s="3">
        <v>225.40199999999999</v>
      </c>
    </row>
    <row r="507" spans="1:3" x14ac:dyDescent="0.2">
      <c r="A507" s="2">
        <v>44931</v>
      </c>
      <c r="B507" s="3" t="s">
        <v>5</v>
      </c>
      <c r="C507" s="3">
        <v>218.721</v>
      </c>
    </row>
    <row r="508" spans="1:3" x14ac:dyDescent="0.2">
      <c r="A508" s="2">
        <v>44932</v>
      </c>
      <c r="B508" s="3" t="s">
        <v>5</v>
      </c>
      <c r="C508" s="3">
        <v>221.297</v>
      </c>
    </row>
    <row r="509" spans="1:3" x14ac:dyDescent="0.2">
      <c r="A509" s="2">
        <v>44935</v>
      </c>
      <c r="B509" s="3" t="s">
        <v>5</v>
      </c>
      <c r="C509" s="3">
        <v>223.452</v>
      </c>
    </row>
    <row r="510" spans="1:3" x14ac:dyDescent="0.2">
      <c r="A510" s="2">
        <v>44936</v>
      </c>
      <c r="B510" s="3" t="s">
        <v>5</v>
      </c>
      <c r="C510" s="3">
        <v>225.154</v>
      </c>
    </row>
    <row r="511" spans="1:3" x14ac:dyDescent="0.2">
      <c r="A511" s="2">
        <v>44937</v>
      </c>
      <c r="B511" s="3" t="s">
        <v>5</v>
      </c>
      <c r="C511" s="3">
        <v>231.964</v>
      </c>
    </row>
    <row r="512" spans="1:3" x14ac:dyDescent="0.2">
      <c r="A512" s="2">
        <v>44938</v>
      </c>
      <c r="B512" s="3" t="s">
        <v>5</v>
      </c>
      <c r="C512" s="3">
        <v>234.65799999999999</v>
      </c>
    </row>
    <row r="513" spans="1:3" x14ac:dyDescent="0.2">
      <c r="A513" s="2">
        <v>44939</v>
      </c>
      <c r="B513" s="3" t="s">
        <v>5</v>
      </c>
      <c r="C513" s="3">
        <v>235.36699999999999</v>
      </c>
    </row>
    <row r="514" spans="1:3" x14ac:dyDescent="0.2">
      <c r="A514" s="2">
        <v>44943</v>
      </c>
      <c r="B514" s="3" t="s">
        <v>5</v>
      </c>
      <c r="C514" s="3">
        <v>236.47</v>
      </c>
    </row>
    <row r="515" spans="1:3" x14ac:dyDescent="0.2">
      <c r="A515" s="2">
        <v>44944</v>
      </c>
      <c r="B515" s="3" t="s">
        <v>5</v>
      </c>
      <c r="C515" s="3">
        <v>232.00399999999999</v>
      </c>
    </row>
    <row r="516" spans="1:3" x14ac:dyDescent="0.2">
      <c r="A516" s="2">
        <v>44945</v>
      </c>
      <c r="B516" s="3" t="s">
        <v>5</v>
      </c>
      <c r="C516" s="3">
        <v>228.185</v>
      </c>
    </row>
    <row r="517" spans="1:3" x14ac:dyDescent="0.2">
      <c r="A517" s="2">
        <v>44946</v>
      </c>
      <c r="B517" s="3" t="s">
        <v>5</v>
      </c>
      <c r="C517" s="3">
        <v>236.34100000000001</v>
      </c>
    </row>
    <row r="518" spans="1:3" x14ac:dyDescent="0.2">
      <c r="A518" s="2">
        <v>44949</v>
      </c>
      <c r="B518" s="3" t="s">
        <v>5</v>
      </c>
      <c r="C518" s="3">
        <v>238.66300000000001</v>
      </c>
    </row>
    <row r="519" spans="1:3" x14ac:dyDescent="0.2">
      <c r="A519" s="2">
        <v>44950</v>
      </c>
      <c r="B519" s="3" t="s">
        <v>5</v>
      </c>
      <c r="C519" s="3">
        <v>238.131</v>
      </c>
    </row>
    <row r="520" spans="1:3" x14ac:dyDescent="0.2">
      <c r="A520" s="2">
        <v>44951</v>
      </c>
      <c r="B520" s="3" t="s">
        <v>5</v>
      </c>
      <c r="C520" s="3">
        <v>236.72399999999999</v>
      </c>
    </row>
    <row r="521" spans="1:3" x14ac:dyDescent="0.2">
      <c r="A521" s="2">
        <v>44952</v>
      </c>
      <c r="B521" s="3" t="s">
        <v>5</v>
      </c>
      <c r="C521" s="3">
        <v>243.994</v>
      </c>
    </row>
    <row r="522" spans="1:3" x14ac:dyDescent="0.2">
      <c r="A522" s="2">
        <v>44953</v>
      </c>
      <c r="B522" s="3" t="s">
        <v>5</v>
      </c>
      <c r="C522" s="3">
        <v>244.15299999999999</v>
      </c>
    </row>
    <row r="523" spans="1:3" x14ac:dyDescent="0.2">
      <c r="A523" s="2">
        <v>44956</v>
      </c>
      <c r="B523" s="3" t="s">
        <v>5</v>
      </c>
      <c r="C523" s="3">
        <v>238.79300000000001</v>
      </c>
    </row>
    <row r="524" spans="1:3" x14ac:dyDescent="0.2">
      <c r="A524" s="2">
        <v>44957</v>
      </c>
      <c r="B524" s="3" t="s">
        <v>5</v>
      </c>
      <c r="C524" s="3">
        <v>243.81</v>
      </c>
    </row>
    <row r="525" spans="1:3" x14ac:dyDescent="0.2">
      <c r="A525" s="2">
        <v>44958</v>
      </c>
      <c r="B525" s="3" t="s">
        <v>5</v>
      </c>
      <c r="C525" s="3">
        <v>248.67099999999999</v>
      </c>
    </row>
    <row r="526" spans="1:3" x14ac:dyDescent="0.2">
      <c r="A526" s="2">
        <v>44959</v>
      </c>
      <c r="B526" s="3" t="s">
        <v>5</v>
      </c>
      <c r="C526" s="3">
        <v>260.32900000000001</v>
      </c>
    </row>
    <row r="527" spans="1:3" x14ac:dyDescent="0.2">
      <c r="A527" s="2">
        <v>44960</v>
      </c>
      <c r="B527" s="3" t="s">
        <v>5</v>
      </c>
      <c r="C527" s="3">
        <v>254.179</v>
      </c>
    </row>
    <row r="528" spans="1:3" x14ac:dyDescent="0.2">
      <c r="A528" s="2">
        <v>44963</v>
      </c>
      <c r="B528" s="3" t="s">
        <v>5</v>
      </c>
      <c r="C528" s="3">
        <v>252.62299999999999</v>
      </c>
    </row>
    <row r="529" spans="1:3" x14ac:dyDescent="0.2">
      <c r="A529" s="2">
        <v>44964</v>
      </c>
      <c r="B529" s="3" t="s">
        <v>5</v>
      </c>
      <c r="C529" s="3">
        <v>263.24</v>
      </c>
    </row>
    <row r="530" spans="1:3" x14ac:dyDescent="0.2">
      <c r="A530" s="2">
        <v>44965</v>
      </c>
      <c r="B530" s="3" t="s">
        <v>5</v>
      </c>
      <c r="C530" s="3">
        <v>262.42399999999998</v>
      </c>
    </row>
    <row r="531" spans="1:3" x14ac:dyDescent="0.2">
      <c r="A531" s="2">
        <v>44966</v>
      </c>
      <c r="B531" s="3" t="s">
        <v>5</v>
      </c>
      <c r="C531" s="3">
        <v>259.36399999999998</v>
      </c>
    </row>
    <row r="532" spans="1:3" x14ac:dyDescent="0.2">
      <c r="A532" s="2">
        <v>44967</v>
      </c>
      <c r="B532" s="3" t="s">
        <v>5</v>
      </c>
      <c r="C532" s="3">
        <v>258.85399999999998</v>
      </c>
    </row>
    <row r="533" spans="1:3" x14ac:dyDescent="0.2">
      <c r="A533" s="2">
        <v>44970</v>
      </c>
      <c r="B533" s="3" t="s">
        <v>5</v>
      </c>
      <c r="C533" s="3">
        <v>266.94</v>
      </c>
    </row>
    <row r="534" spans="1:3" x14ac:dyDescent="0.2">
      <c r="A534" s="2">
        <v>44971</v>
      </c>
      <c r="B534" s="3" t="s">
        <v>5</v>
      </c>
      <c r="C534" s="3">
        <v>267.77499999999998</v>
      </c>
    </row>
    <row r="535" spans="1:3" x14ac:dyDescent="0.2">
      <c r="A535" s="2">
        <v>44972</v>
      </c>
      <c r="B535" s="3" t="s">
        <v>5</v>
      </c>
      <c r="C535" s="3">
        <v>265.63499999999999</v>
      </c>
    </row>
    <row r="536" spans="1:3" x14ac:dyDescent="0.2">
      <c r="A536" s="2">
        <v>44973</v>
      </c>
      <c r="B536" s="3" t="s">
        <v>5</v>
      </c>
      <c r="C536" s="3">
        <v>258.56200000000001</v>
      </c>
    </row>
    <row r="537" spans="1:3" x14ac:dyDescent="0.2">
      <c r="A537" s="2">
        <v>44974</v>
      </c>
      <c r="B537" s="3" t="s">
        <v>5</v>
      </c>
      <c r="C537" s="3">
        <v>254.53</v>
      </c>
    </row>
    <row r="538" spans="1:3" x14ac:dyDescent="0.2">
      <c r="A538" s="2">
        <v>44978</v>
      </c>
      <c r="B538" s="3" t="s">
        <v>5</v>
      </c>
      <c r="C538" s="3">
        <v>249.21299999999999</v>
      </c>
    </row>
    <row r="539" spans="1:3" x14ac:dyDescent="0.2">
      <c r="A539" s="2">
        <v>44979</v>
      </c>
      <c r="B539" s="3" t="s">
        <v>5</v>
      </c>
      <c r="C539" s="3">
        <v>248.06899999999999</v>
      </c>
    </row>
    <row r="540" spans="1:3" x14ac:dyDescent="0.2">
      <c r="A540" s="2">
        <v>44980</v>
      </c>
      <c r="B540" s="3" t="s">
        <v>5</v>
      </c>
      <c r="C540" s="3">
        <v>251.28399999999999</v>
      </c>
    </row>
    <row r="541" spans="1:3" x14ac:dyDescent="0.2">
      <c r="A541" s="2">
        <v>44981</v>
      </c>
      <c r="B541" s="3" t="s">
        <v>5</v>
      </c>
      <c r="C541" s="3">
        <v>245.81</v>
      </c>
    </row>
    <row r="542" spans="1:3" x14ac:dyDescent="0.2">
      <c r="A542" s="2">
        <v>44984</v>
      </c>
      <c r="B542" s="3" t="s">
        <v>5</v>
      </c>
      <c r="C542" s="3">
        <v>246.73599999999999</v>
      </c>
    </row>
    <row r="543" spans="1:3" x14ac:dyDescent="0.2">
      <c r="A543" s="2">
        <v>44985</v>
      </c>
      <c r="B543" s="3" t="s">
        <v>5</v>
      </c>
      <c r="C543" s="3">
        <v>246.00899999999999</v>
      </c>
    </row>
    <row r="544" spans="1:3" x14ac:dyDescent="0.2">
      <c r="A544" s="2">
        <v>44986</v>
      </c>
      <c r="B544" s="3" t="s">
        <v>5</v>
      </c>
      <c r="C544" s="3">
        <v>242.9</v>
      </c>
    </row>
    <row r="545" spans="1:3" x14ac:dyDescent="0.2">
      <c r="A545" s="2">
        <v>44987</v>
      </c>
      <c r="B545" s="3" t="s">
        <v>5</v>
      </c>
      <c r="C545" s="3">
        <v>247.67500000000001</v>
      </c>
    </row>
    <row r="546" spans="1:3" x14ac:dyDescent="0.2">
      <c r="A546" s="2">
        <v>44988</v>
      </c>
      <c r="B546" s="3" t="s">
        <v>5</v>
      </c>
      <c r="C546" s="3">
        <v>251.797</v>
      </c>
    </row>
    <row r="547" spans="1:3" x14ac:dyDescent="0.2">
      <c r="A547" s="2">
        <v>44991</v>
      </c>
      <c r="B547" s="3" t="s">
        <v>5</v>
      </c>
      <c r="C547" s="3">
        <v>253.35499999999999</v>
      </c>
    </row>
    <row r="548" spans="1:3" x14ac:dyDescent="0.2">
      <c r="A548" s="2">
        <v>44992</v>
      </c>
      <c r="B548" s="3" t="s">
        <v>5</v>
      </c>
      <c r="C548" s="3">
        <v>250.672</v>
      </c>
    </row>
    <row r="549" spans="1:3" x14ac:dyDescent="0.2">
      <c r="A549" s="2">
        <v>44993</v>
      </c>
      <c r="B549" s="3" t="s">
        <v>5</v>
      </c>
      <c r="C549" s="3">
        <v>250.22900000000001</v>
      </c>
    </row>
    <row r="550" spans="1:3" x14ac:dyDescent="0.2">
      <c r="A550" s="2">
        <v>44994</v>
      </c>
      <c r="B550" s="3" t="s">
        <v>5</v>
      </c>
      <c r="C550" s="3">
        <v>248.86799999999999</v>
      </c>
    </row>
    <row r="551" spans="1:3" x14ac:dyDescent="0.2">
      <c r="A551" s="2">
        <v>44995</v>
      </c>
      <c r="B551" s="3" t="s">
        <v>5</v>
      </c>
      <c r="C551" s="3">
        <v>245.18899999999999</v>
      </c>
    </row>
    <row r="552" spans="1:3" x14ac:dyDescent="0.2">
      <c r="A552" s="2">
        <v>44998</v>
      </c>
      <c r="B552" s="3" t="s">
        <v>5</v>
      </c>
      <c r="C552" s="3">
        <v>250.447</v>
      </c>
    </row>
    <row r="553" spans="1:3" x14ac:dyDescent="0.2">
      <c r="A553" s="2">
        <v>44999</v>
      </c>
      <c r="B553" s="3" t="s">
        <v>5</v>
      </c>
      <c r="C553" s="3">
        <v>257.221</v>
      </c>
    </row>
    <row r="554" spans="1:3" x14ac:dyDescent="0.2">
      <c r="A554" s="2">
        <v>45000</v>
      </c>
      <c r="B554" s="3" t="s">
        <v>5</v>
      </c>
      <c r="C554" s="3">
        <v>261.80799999999999</v>
      </c>
    </row>
    <row r="555" spans="1:3" x14ac:dyDescent="0.2">
      <c r="A555" s="2">
        <v>45001</v>
      </c>
      <c r="B555" s="3" t="s">
        <v>5</v>
      </c>
      <c r="C555" s="3">
        <v>272.42200000000003</v>
      </c>
    </row>
    <row r="556" spans="1:3" x14ac:dyDescent="0.2">
      <c r="A556" s="2">
        <v>45002</v>
      </c>
      <c r="B556" s="3" t="s">
        <v>5</v>
      </c>
      <c r="C556" s="3">
        <v>275.60500000000002</v>
      </c>
    </row>
    <row r="557" spans="1:3" x14ac:dyDescent="0.2">
      <c r="A557" s="2">
        <v>45005</v>
      </c>
      <c r="B557" s="3" t="s">
        <v>5</v>
      </c>
      <c r="C557" s="3">
        <v>268.50599999999997</v>
      </c>
    </row>
    <row r="558" spans="1:3" x14ac:dyDescent="0.2">
      <c r="A558" s="2">
        <v>45006</v>
      </c>
      <c r="B558" s="3" t="s">
        <v>5</v>
      </c>
      <c r="C558" s="3">
        <v>270.03399999999999</v>
      </c>
    </row>
    <row r="559" spans="1:3" x14ac:dyDescent="0.2">
      <c r="A559" s="2">
        <v>45007</v>
      </c>
      <c r="B559" s="3" t="s">
        <v>5</v>
      </c>
      <c r="C559" s="3">
        <v>268.565</v>
      </c>
    </row>
    <row r="560" spans="1:3" x14ac:dyDescent="0.2">
      <c r="A560" s="2">
        <v>45008</v>
      </c>
      <c r="B560" s="3" t="s">
        <v>5</v>
      </c>
      <c r="C560" s="3">
        <v>273.86099999999999</v>
      </c>
    </row>
    <row r="561" spans="1:3" x14ac:dyDescent="0.2">
      <c r="A561" s="2">
        <v>45009</v>
      </c>
      <c r="B561" s="3" t="s">
        <v>5</v>
      </c>
      <c r="C561" s="3">
        <v>276.73099999999999</v>
      </c>
    </row>
    <row r="562" spans="1:3" x14ac:dyDescent="0.2">
      <c r="A562" s="2">
        <v>45012</v>
      </c>
      <c r="B562" s="3" t="s">
        <v>5</v>
      </c>
      <c r="C562" s="3">
        <v>272.59800000000001</v>
      </c>
    </row>
    <row r="563" spans="1:3" x14ac:dyDescent="0.2">
      <c r="A563" s="2">
        <v>45013</v>
      </c>
      <c r="B563" s="3" t="s">
        <v>5</v>
      </c>
      <c r="C563" s="3">
        <v>271.46499999999997</v>
      </c>
    </row>
    <row r="564" spans="1:3" x14ac:dyDescent="0.2">
      <c r="A564" s="2">
        <v>45014</v>
      </c>
      <c r="B564" s="3" t="s">
        <v>5</v>
      </c>
      <c r="C564" s="3">
        <v>276.67099999999999</v>
      </c>
    </row>
    <row r="565" spans="1:3" x14ac:dyDescent="0.2">
      <c r="A565" s="2">
        <v>45015</v>
      </c>
      <c r="B565" s="3" t="s">
        <v>5</v>
      </c>
      <c r="C565" s="3">
        <v>280.16300000000001</v>
      </c>
    </row>
    <row r="566" spans="1:3" x14ac:dyDescent="0.2">
      <c r="A566" s="2">
        <v>45016</v>
      </c>
      <c r="B566" s="3" t="s">
        <v>5</v>
      </c>
      <c r="C566" s="3">
        <v>284.35500000000002</v>
      </c>
    </row>
    <row r="567" spans="1:3" x14ac:dyDescent="0.2">
      <c r="A567" s="2">
        <v>45019</v>
      </c>
      <c r="B567" s="3" t="s">
        <v>5</v>
      </c>
      <c r="C567" s="3">
        <v>283.29899999999998</v>
      </c>
    </row>
    <row r="568" spans="1:3" x14ac:dyDescent="0.2">
      <c r="A568" s="2">
        <v>45020</v>
      </c>
      <c r="B568" s="3" t="s">
        <v>5</v>
      </c>
      <c r="C568" s="3">
        <v>283.25099999999998</v>
      </c>
    </row>
    <row r="569" spans="1:3" x14ac:dyDescent="0.2">
      <c r="A569" s="2">
        <v>45021</v>
      </c>
      <c r="B569" s="3" t="s">
        <v>5</v>
      </c>
      <c r="C569" s="3">
        <v>280.45100000000002</v>
      </c>
    </row>
    <row r="570" spans="1:3" x14ac:dyDescent="0.2">
      <c r="A570" s="2">
        <v>45022</v>
      </c>
      <c r="B570" s="3" t="s">
        <v>5</v>
      </c>
      <c r="C570" s="3">
        <v>287.61</v>
      </c>
    </row>
    <row r="571" spans="1:3" x14ac:dyDescent="0.2">
      <c r="A571" s="2">
        <v>45026</v>
      </c>
      <c r="B571" s="3" t="s">
        <v>5</v>
      </c>
      <c r="C571" s="3">
        <v>285.43099999999998</v>
      </c>
    </row>
    <row r="572" spans="1:3" x14ac:dyDescent="0.2">
      <c r="A572" s="2">
        <v>45027</v>
      </c>
      <c r="B572" s="3" t="s">
        <v>5</v>
      </c>
      <c r="C572" s="3">
        <v>278.96100000000001</v>
      </c>
    </row>
    <row r="573" spans="1:3" x14ac:dyDescent="0.2">
      <c r="A573" s="2">
        <v>45028</v>
      </c>
      <c r="B573" s="3" t="s">
        <v>5</v>
      </c>
      <c r="C573" s="3">
        <v>279.61099999999999</v>
      </c>
    </row>
    <row r="574" spans="1:3" x14ac:dyDescent="0.2">
      <c r="A574" s="2">
        <v>45029</v>
      </c>
      <c r="B574" s="3" t="s">
        <v>5</v>
      </c>
      <c r="C574" s="3">
        <v>285.87400000000002</v>
      </c>
    </row>
    <row r="575" spans="1:3" x14ac:dyDescent="0.2">
      <c r="A575" s="2">
        <v>45030</v>
      </c>
      <c r="B575" s="3" t="s">
        <v>5</v>
      </c>
      <c r="C575" s="3">
        <v>282.22500000000002</v>
      </c>
    </row>
    <row r="576" spans="1:3" x14ac:dyDescent="0.2">
      <c r="A576" s="2">
        <v>45033</v>
      </c>
      <c r="B576" s="3" t="s">
        <v>5</v>
      </c>
      <c r="C576" s="3">
        <v>284.84899999999999</v>
      </c>
    </row>
    <row r="577" spans="1:3" x14ac:dyDescent="0.2">
      <c r="A577" s="2">
        <v>45034</v>
      </c>
      <c r="B577" s="3" t="s">
        <v>5</v>
      </c>
      <c r="C577" s="3">
        <v>284.42399999999998</v>
      </c>
    </row>
    <row r="578" spans="1:3" x14ac:dyDescent="0.2">
      <c r="A578" s="2">
        <v>45035</v>
      </c>
      <c r="B578" s="3" t="s">
        <v>5</v>
      </c>
      <c r="C578" s="3">
        <v>284.50400000000002</v>
      </c>
    </row>
    <row r="579" spans="1:3" x14ac:dyDescent="0.2">
      <c r="A579" s="2">
        <v>45036</v>
      </c>
      <c r="B579" s="3" t="s">
        <v>5</v>
      </c>
      <c r="C579" s="3">
        <v>282.19499999999999</v>
      </c>
    </row>
    <row r="580" spans="1:3" x14ac:dyDescent="0.2">
      <c r="A580" s="2">
        <v>45037</v>
      </c>
      <c r="B580" s="3" t="s">
        <v>5</v>
      </c>
      <c r="C580" s="3">
        <v>281.85199999999998</v>
      </c>
    </row>
    <row r="581" spans="1:3" x14ac:dyDescent="0.2">
      <c r="A581" s="2">
        <v>45040</v>
      </c>
      <c r="B581" s="3" t="s">
        <v>5</v>
      </c>
      <c r="C581" s="3">
        <v>277.91500000000002</v>
      </c>
    </row>
    <row r="582" spans="1:3" x14ac:dyDescent="0.2">
      <c r="A582" s="2">
        <v>45041</v>
      </c>
      <c r="B582" s="3" t="s">
        <v>5</v>
      </c>
      <c r="C582" s="3">
        <v>271.65100000000001</v>
      </c>
    </row>
    <row r="583" spans="1:3" x14ac:dyDescent="0.2">
      <c r="A583" s="2">
        <v>45042</v>
      </c>
      <c r="B583" s="3" t="s">
        <v>5</v>
      </c>
      <c r="C583" s="3">
        <v>291.32900000000001</v>
      </c>
    </row>
    <row r="584" spans="1:3" x14ac:dyDescent="0.2">
      <c r="A584" s="2">
        <v>45043</v>
      </c>
      <c r="B584" s="3" t="s">
        <v>5</v>
      </c>
      <c r="C584" s="3">
        <v>300.65899999999999</v>
      </c>
    </row>
    <row r="585" spans="1:3" x14ac:dyDescent="0.2">
      <c r="A585" s="2">
        <v>45044</v>
      </c>
      <c r="B585" s="3" t="s">
        <v>5</v>
      </c>
      <c r="C585" s="3">
        <v>303.05500000000001</v>
      </c>
    </row>
    <row r="586" spans="1:3" x14ac:dyDescent="0.2">
      <c r="A586" s="2">
        <v>45047</v>
      </c>
      <c r="B586" s="3" t="s">
        <v>5</v>
      </c>
      <c r="C586" s="3">
        <v>301.38</v>
      </c>
    </row>
    <row r="587" spans="1:3" x14ac:dyDescent="0.2">
      <c r="A587" s="2">
        <v>45048</v>
      </c>
      <c r="B587" s="3" t="s">
        <v>5</v>
      </c>
      <c r="C587" s="3">
        <v>301.23200000000003</v>
      </c>
    </row>
    <row r="588" spans="1:3" x14ac:dyDescent="0.2">
      <c r="A588" s="2">
        <v>45049</v>
      </c>
      <c r="B588" s="3" t="s">
        <v>5</v>
      </c>
      <c r="C588" s="3">
        <v>300.23500000000001</v>
      </c>
    </row>
    <row r="589" spans="1:3" x14ac:dyDescent="0.2">
      <c r="A589" s="2">
        <v>45050</v>
      </c>
      <c r="B589" s="3" t="s">
        <v>5</v>
      </c>
      <c r="C589" s="3">
        <v>301.23200000000003</v>
      </c>
    </row>
    <row r="590" spans="1:3" x14ac:dyDescent="0.2">
      <c r="A590" s="2">
        <v>45051</v>
      </c>
      <c r="B590" s="3" t="s">
        <v>5</v>
      </c>
      <c r="C590" s="3">
        <v>306.399</v>
      </c>
    </row>
    <row r="591" spans="1:3" x14ac:dyDescent="0.2">
      <c r="A591" s="2">
        <v>45054</v>
      </c>
      <c r="B591" s="3" t="s">
        <v>5</v>
      </c>
      <c r="C591" s="3">
        <v>304.42700000000002</v>
      </c>
    </row>
    <row r="592" spans="1:3" x14ac:dyDescent="0.2">
      <c r="A592" s="2">
        <v>45055</v>
      </c>
      <c r="B592" s="3" t="s">
        <v>5</v>
      </c>
      <c r="C592" s="3">
        <v>302.8</v>
      </c>
    </row>
    <row r="593" spans="1:3" x14ac:dyDescent="0.2">
      <c r="A593" s="2">
        <v>45056</v>
      </c>
      <c r="B593" s="3" t="s">
        <v>5</v>
      </c>
      <c r="C593" s="3">
        <v>308.03699999999998</v>
      </c>
    </row>
    <row r="594" spans="1:3" x14ac:dyDescent="0.2">
      <c r="A594" s="2">
        <v>45057</v>
      </c>
      <c r="B594" s="3" t="s">
        <v>5</v>
      </c>
      <c r="C594" s="3">
        <v>305.86799999999999</v>
      </c>
    </row>
    <row r="595" spans="1:3" x14ac:dyDescent="0.2">
      <c r="A595" s="2">
        <v>45058</v>
      </c>
      <c r="B595" s="3" t="s">
        <v>5</v>
      </c>
      <c r="C595" s="3">
        <v>304.74299999999999</v>
      </c>
    </row>
    <row r="596" spans="1:3" x14ac:dyDescent="0.2">
      <c r="A596" s="2">
        <v>45061</v>
      </c>
      <c r="B596" s="3" t="s">
        <v>5</v>
      </c>
      <c r="C596" s="3">
        <v>305.226</v>
      </c>
    </row>
    <row r="597" spans="1:3" x14ac:dyDescent="0.2">
      <c r="A597" s="2">
        <v>45062</v>
      </c>
      <c r="B597" s="3" t="s">
        <v>5</v>
      </c>
      <c r="C597" s="3">
        <v>307.47500000000002</v>
      </c>
    </row>
    <row r="598" spans="1:3" x14ac:dyDescent="0.2">
      <c r="A598" s="2">
        <v>45063</v>
      </c>
      <c r="B598" s="3" t="s">
        <v>5</v>
      </c>
      <c r="C598" s="3">
        <v>310.38099999999997</v>
      </c>
    </row>
    <row r="599" spans="1:3" x14ac:dyDescent="0.2">
      <c r="A599" s="2">
        <v>45064</v>
      </c>
      <c r="B599" s="3" t="s">
        <v>5</v>
      </c>
      <c r="C599" s="3">
        <v>314.84800000000001</v>
      </c>
    </row>
    <row r="600" spans="1:3" x14ac:dyDescent="0.2">
      <c r="A600" s="2">
        <v>45065</v>
      </c>
      <c r="B600" s="3" t="s">
        <v>5</v>
      </c>
      <c r="C600" s="3">
        <v>314.67099999999999</v>
      </c>
    </row>
    <row r="601" spans="1:3" x14ac:dyDescent="0.2">
      <c r="A601" s="2">
        <v>45068</v>
      </c>
      <c r="B601" s="3" t="s">
        <v>5</v>
      </c>
      <c r="C601" s="3">
        <v>317.47899999999998</v>
      </c>
    </row>
    <row r="602" spans="1:3" x14ac:dyDescent="0.2">
      <c r="A602" s="2">
        <v>45069</v>
      </c>
      <c r="B602" s="3" t="s">
        <v>5</v>
      </c>
      <c r="C602" s="3">
        <v>311.62599999999998</v>
      </c>
    </row>
    <row r="603" spans="1:3" x14ac:dyDescent="0.2">
      <c r="A603" s="2">
        <v>45070</v>
      </c>
      <c r="B603" s="3" t="s">
        <v>5</v>
      </c>
      <c r="C603" s="3">
        <v>310.233</v>
      </c>
    </row>
    <row r="604" spans="1:3" x14ac:dyDescent="0.2">
      <c r="A604" s="2">
        <v>45071</v>
      </c>
      <c r="B604" s="3" t="s">
        <v>5</v>
      </c>
      <c r="C604" s="3">
        <v>322.16300000000001</v>
      </c>
    </row>
    <row r="605" spans="1:3" x14ac:dyDescent="0.2">
      <c r="A605" s="2">
        <v>45072</v>
      </c>
      <c r="B605" s="3" t="s">
        <v>5</v>
      </c>
      <c r="C605" s="3">
        <v>329.053</v>
      </c>
    </row>
    <row r="606" spans="1:3" x14ac:dyDescent="0.2">
      <c r="A606" s="2">
        <v>45076</v>
      </c>
      <c r="B606" s="3" t="s">
        <v>5</v>
      </c>
      <c r="C606" s="3">
        <v>327.39299999999997</v>
      </c>
    </row>
    <row r="607" spans="1:3" x14ac:dyDescent="0.2">
      <c r="A607" s="2">
        <v>45077</v>
      </c>
      <c r="B607" s="3" t="s">
        <v>5</v>
      </c>
      <c r="C607" s="3">
        <v>324.60399999999998</v>
      </c>
    </row>
    <row r="608" spans="1:3" x14ac:dyDescent="0.2">
      <c r="A608" s="2">
        <v>45078</v>
      </c>
      <c r="B608" s="3" t="s">
        <v>5</v>
      </c>
      <c r="C608" s="3">
        <v>328.74700000000001</v>
      </c>
    </row>
    <row r="609" spans="1:3" x14ac:dyDescent="0.2">
      <c r="A609" s="2">
        <v>45079</v>
      </c>
      <c r="B609" s="3" t="s">
        <v>5</v>
      </c>
      <c r="C609" s="3">
        <v>331.53300000000002</v>
      </c>
    </row>
    <row r="610" spans="1:3" x14ac:dyDescent="0.2">
      <c r="A610" s="2">
        <v>45082</v>
      </c>
      <c r="B610" s="3" t="s">
        <v>5</v>
      </c>
      <c r="C610" s="3">
        <v>332.06700000000001</v>
      </c>
    </row>
    <row r="611" spans="1:3" x14ac:dyDescent="0.2">
      <c r="A611" s="2">
        <v>45083</v>
      </c>
      <c r="B611" s="3" t="s">
        <v>5</v>
      </c>
      <c r="C611" s="3">
        <v>329.83499999999998</v>
      </c>
    </row>
    <row r="612" spans="1:3" x14ac:dyDescent="0.2">
      <c r="A612" s="2">
        <v>45084</v>
      </c>
      <c r="B612" s="3" t="s">
        <v>5</v>
      </c>
      <c r="C612" s="3">
        <v>319.65300000000002</v>
      </c>
    </row>
    <row r="613" spans="1:3" x14ac:dyDescent="0.2">
      <c r="A613" s="2">
        <v>45085</v>
      </c>
      <c r="B613" s="3" t="s">
        <v>5</v>
      </c>
      <c r="C613" s="3">
        <v>321.51100000000002</v>
      </c>
    </row>
    <row r="614" spans="1:3" x14ac:dyDescent="0.2">
      <c r="A614" s="2">
        <v>45086</v>
      </c>
      <c r="B614" s="3" t="s">
        <v>5</v>
      </c>
      <c r="C614" s="3">
        <v>323.02300000000002</v>
      </c>
    </row>
    <row r="615" spans="1:3" x14ac:dyDescent="0.2">
      <c r="A615" s="2">
        <v>45089</v>
      </c>
      <c r="B615" s="3" t="s">
        <v>5</v>
      </c>
      <c r="C615" s="3">
        <v>328.02499999999998</v>
      </c>
    </row>
    <row r="616" spans="1:3" x14ac:dyDescent="0.2">
      <c r="A616" s="2">
        <v>45090</v>
      </c>
      <c r="B616" s="3" t="s">
        <v>5</v>
      </c>
      <c r="C616" s="3">
        <v>330.43799999999999</v>
      </c>
    </row>
    <row r="617" spans="1:3" x14ac:dyDescent="0.2">
      <c r="A617" s="2">
        <v>45091</v>
      </c>
      <c r="B617" s="3" t="s">
        <v>5</v>
      </c>
      <c r="C617" s="3">
        <v>333.452</v>
      </c>
    </row>
    <row r="618" spans="1:3" x14ac:dyDescent="0.2">
      <c r="A618" s="2">
        <v>45092</v>
      </c>
      <c r="B618" s="3" t="s">
        <v>5</v>
      </c>
      <c r="C618" s="3">
        <v>344.08800000000002</v>
      </c>
    </row>
    <row r="619" spans="1:3" x14ac:dyDescent="0.2">
      <c r="A619" s="2">
        <v>45093</v>
      </c>
      <c r="B619" s="3" t="s">
        <v>5</v>
      </c>
      <c r="C619" s="3">
        <v>338.38499999999999</v>
      </c>
    </row>
    <row r="620" spans="1:3" x14ac:dyDescent="0.2">
      <c r="A620" s="2">
        <v>45097</v>
      </c>
      <c r="B620" s="3" t="s">
        <v>5</v>
      </c>
      <c r="C620" s="3">
        <v>334.15499999999997</v>
      </c>
    </row>
    <row r="621" spans="1:3" x14ac:dyDescent="0.2">
      <c r="A621" s="2">
        <v>45098</v>
      </c>
      <c r="B621" s="3" t="s">
        <v>5</v>
      </c>
      <c r="C621" s="3">
        <v>329.71600000000001</v>
      </c>
    </row>
    <row r="622" spans="1:3" x14ac:dyDescent="0.2">
      <c r="A622" s="2">
        <v>45099</v>
      </c>
      <c r="B622" s="3" t="s">
        <v>5</v>
      </c>
      <c r="C622" s="3">
        <v>335.79500000000002</v>
      </c>
    </row>
    <row r="623" spans="1:3" x14ac:dyDescent="0.2">
      <c r="A623" s="2">
        <v>45100</v>
      </c>
      <c r="B623" s="3" t="s">
        <v>5</v>
      </c>
      <c r="C623" s="3">
        <v>331.15800000000002</v>
      </c>
    </row>
    <row r="624" spans="1:3" x14ac:dyDescent="0.2">
      <c r="A624" s="2">
        <v>45103</v>
      </c>
      <c r="B624" s="3" t="s">
        <v>5</v>
      </c>
      <c r="C624" s="3">
        <v>324.81299999999999</v>
      </c>
    </row>
    <row r="625" spans="1:3" x14ac:dyDescent="0.2">
      <c r="A625" s="2">
        <v>45104</v>
      </c>
      <c r="B625" s="3" t="s">
        <v>5</v>
      </c>
      <c r="C625" s="3">
        <v>330.714</v>
      </c>
    </row>
    <row r="626" spans="1:3" x14ac:dyDescent="0.2">
      <c r="A626" s="2">
        <v>45105</v>
      </c>
      <c r="B626" s="3" t="s">
        <v>5</v>
      </c>
      <c r="C626" s="3">
        <v>331.97800000000001</v>
      </c>
    </row>
    <row r="627" spans="1:3" x14ac:dyDescent="0.2">
      <c r="A627" s="2">
        <v>45106</v>
      </c>
      <c r="B627" s="3" t="s">
        <v>5</v>
      </c>
      <c r="C627" s="3">
        <v>331.18799999999999</v>
      </c>
    </row>
    <row r="628" spans="1:3" x14ac:dyDescent="0.2">
      <c r="A628" s="2">
        <v>45107</v>
      </c>
      <c r="B628" s="3" t="s">
        <v>5</v>
      </c>
      <c r="C628" s="3">
        <v>336.61599999999999</v>
      </c>
    </row>
    <row r="629" spans="1:3" x14ac:dyDescent="0.2">
      <c r="A629" s="2">
        <v>45110</v>
      </c>
      <c r="B629" s="3" t="s">
        <v>5</v>
      </c>
      <c r="C629" s="3">
        <v>334.09500000000003</v>
      </c>
    </row>
    <row r="630" spans="1:3" x14ac:dyDescent="0.2">
      <c r="A630" s="2">
        <v>45112</v>
      </c>
      <c r="B630" s="3" t="s">
        <v>5</v>
      </c>
      <c r="C630" s="3">
        <v>334.25299999999999</v>
      </c>
    </row>
    <row r="631" spans="1:3" x14ac:dyDescent="0.2">
      <c r="A631" s="2">
        <v>45113</v>
      </c>
      <c r="B631" s="3" t="s">
        <v>5</v>
      </c>
      <c r="C631" s="3">
        <v>337.33699999999999</v>
      </c>
    </row>
    <row r="632" spans="1:3" x14ac:dyDescent="0.2">
      <c r="A632" s="2">
        <v>45114</v>
      </c>
      <c r="B632" s="3" t="s">
        <v>5</v>
      </c>
      <c r="C632" s="3">
        <v>333.33300000000003</v>
      </c>
    </row>
    <row r="633" spans="1:3" x14ac:dyDescent="0.2">
      <c r="A633" s="2">
        <v>45117</v>
      </c>
      <c r="B633" s="3" t="s">
        <v>5</v>
      </c>
      <c r="C633" s="3">
        <v>328.005</v>
      </c>
    </row>
    <row r="634" spans="1:3" x14ac:dyDescent="0.2">
      <c r="A634" s="2">
        <v>45118</v>
      </c>
      <c r="B634" s="3" t="s">
        <v>5</v>
      </c>
      <c r="C634" s="3">
        <v>328.63799999999998</v>
      </c>
    </row>
    <row r="635" spans="1:3" x14ac:dyDescent="0.2">
      <c r="A635" s="2">
        <v>45119</v>
      </c>
      <c r="B635" s="3" t="s">
        <v>5</v>
      </c>
      <c r="C635" s="3">
        <v>333.31400000000002</v>
      </c>
    </row>
    <row r="636" spans="1:3" x14ac:dyDescent="0.2">
      <c r="A636" s="2">
        <v>45120</v>
      </c>
      <c r="B636" s="3" t="s">
        <v>5</v>
      </c>
      <c r="C636" s="3">
        <v>338.71</v>
      </c>
    </row>
    <row r="637" spans="1:3" x14ac:dyDescent="0.2">
      <c r="A637" s="2">
        <v>45121</v>
      </c>
      <c r="B637" s="3" t="s">
        <v>5</v>
      </c>
      <c r="C637" s="3">
        <v>341.26100000000002</v>
      </c>
    </row>
    <row r="638" spans="1:3" x14ac:dyDescent="0.2">
      <c r="A638" s="2">
        <v>45124</v>
      </c>
      <c r="B638" s="3" t="s">
        <v>5</v>
      </c>
      <c r="C638" s="3">
        <v>341.745</v>
      </c>
    </row>
    <row r="639" spans="1:3" x14ac:dyDescent="0.2">
      <c r="A639" s="2">
        <v>45125</v>
      </c>
      <c r="B639" s="3" t="s">
        <v>5</v>
      </c>
      <c r="C639" s="3">
        <v>355.346</v>
      </c>
    </row>
    <row r="640" spans="1:3" x14ac:dyDescent="0.2">
      <c r="A640" s="2">
        <v>45126</v>
      </c>
      <c r="B640" s="3" t="s">
        <v>5</v>
      </c>
      <c r="C640" s="3">
        <v>350.98700000000002</v>
      </c>
    </row>
    <row r="641" spans="1:3" x14ac:dyDescent="0.2">
      <c r="A641" s="2">
        <v>45127</v>
      </c>
      <c r="B641" s="3" t="s">
        <v>5</v>
      </c>
      <c r="C641" s="3">
        <v>342.87200000000001</v>
      </c>
    </row>
    <row r="642" spans="1:3" x14ac:dyDescent="0.2">
      <c r="A642" s="2">
        <v>45128</v>
      </c>
      <c r="B642" s="3" t="s">
        <v>5</v>
      </c>
      <c r="C642" s="3">
        <v>339.80799999999999</v>
      </c>
    </row>
    <row r="643" spans="1:3" x14ac:dyDescent="0.2">
      <c r="A643" s="2">
        <v>45131</v>
      </c>
      <c r="B643" s="3" t="s">
        <v>5</v>
      </c>
      <c r="C643" s="3">
        <v>341.13200000000001</v>
      </c>
    </row>
    <row r="644" spans="1:3" x14ac:dyDescent="0.2">
      <c r="A644" s="2">
        <v>45132</v>
      </c>
      <c r="B644" s="3" t="s">
        <v>5</v>
      </c>
      <c r="C644" s="3">
        <v>346.935</v>
      </c>
    </row>
    <row r="645" spans="1:3" x14ac:dyDescent="0.2">
      <c r="A645" s="2">
        <v>45133</v>
      </c>
      <c r="B645" s="3" t="s">
        <v>5</v>
      </c>
      <c r="C645" s="3">
        <v>333.87599999999998</v>
      </c>
    </row>
    <row r="646" spans="1:3" x14ac:dyDescent="0.2">
      <c r="A646" s="2">
        <v>45134</v>
      </c>
      <c r="B646" s="3" t="s">
        <v>5</v>
      </c>
      <c r="C646" s="3">
        <v>326.90899999999999</v>
      </c>
    </row>
    <row r="647" spans="1:3" x14ac:dyDescent="0.2">
      <c r="A647" s="2">
        <v>45135</v>
      </c>
      <c r="B647" s="3" t="s">
        <v>5</v>
      </c>
      <c r="C647" s="3">
        <v>334.47</v>
      </c>
    </row>
    <row r="648" spans="1:3" x14ac:dyDescent="0.2">
      <c r="A648" s="2">
        <v>45138</v>
      </c>
      <c r="B648" s="3" t="s">
        <v>5</v>
      </c>
      <c r="C648" s="3">
        <v>332.048</v>
      </c>
    </row>
    <row r="649" spans="1:3" x14ac:dyDescent="0.2">
      <c r="A649" s="2">
        <v>45139</v>
      </c>
      <c r="B649" s="3" t="s">
        <v>5</v>
      </c>
      <c r="C649" s="3">
        <v>332.464</v>
      </c>
    </row>
    <row r="650" spans="1:3" x14ac:dyDescent="0.2">
      <c r="A650" s="2">
        <v>45140</v>
      </c>
      <c r="B650" s="3" t="s">
        <v>5</v>
      </c>
      <c r="C650" s="3">
        <v>323.72500000000002</v>
      </c>
    </row>
    <row r="651" spans="1:3" x14ac:dyDescent="0.2">
      <c r="A651" s="2">
        <v>45141</v>
      </c>
      <c r="B651" s="3" t="s">
        <v>5</v>
      </c>
      <c r="C651" s="3">
        <v>322.89600000000002</v>
      </c>
    </row>
    <row r="652" spans="1:3" x14ac:dyDescent="0.2">
      <c r="A652" s="2">
        <v>45142</v>
      </c>
      <c r="B652" s="3" t="s">
        <v>5</v>
      </c>
      <c r="C652" s="3">
        <v>324</v>
      </c>
    </row>
    <row r="653" spans="1:3" x14ac:dyDescent="0.2">
      <c r="A653" s="2">
        <v>45145</v>
      </c>
      <c r="B653" s="3" t="s">
        <v>5</v>
      </c>
      <c r="C653" s="3">
        <v>326.30599999999998</v>
      </c>
    </row>
    <row r="654" spans="1:3" x14ac:dyDescent="0.2">
      <c r="A654" s="2">
        <v>45146</v>
      </c>
      <c r="B654" s="3" t="s">
        <v>5</v>
      </c>
      <c r="C654" s="3">
        <v>322.29199999999997</v>
      </c>
    </row>
    <row r="655" spans="1:3" x14ac:dyDescent="0.2">
      <c r="A655" s="2">
        <v>45147</v>
      </c>
      <c r="B655" s="3" t="s">
        <v>5</v>
      </c>
      <c r="C655" s="3">
        <v>318.51600000000002</v>
      </c>
    </row>
    <row r="656" spans="1:3" x14ac:dyDescent="0.2">
      <c r="A656" s="2">
        <v>45148</v>
      </c>
      <c r="B656" s="3" t="s">
        <v>5</v>
      </c>
      <c r="C656" s="3">
        <v>319.20800000000003</v>
      </c>
    </row>
    <row r="657" spans="1:3" x14ac:dyDescent="0.2">
      <c r="A657" s="2">
        <v>45149</v>
      </c>
      <c r="B657" s="3" t="s">
        <v>5</v>
      </c>
      <c r="C657" s="3">
        <v>317.31</v>
      </c>
    </row>
    <row r="658" spans="1:3" x14ac:dyDescent="0.2">
      <c r="A658" s="2">
        <v>45152</v>
      </c>
      <c r="B658" s="3" t="s">
        <v>5</v>
      </c>
      <c r="C658" s="3">
        <v>320.30500000000001</v>
      </c>
    </row>
    <row r="659" spans="1:3" x14ac:dyDescent="0.2">
      <c r="A659" s="2">
        <v>45153</v>
      </c>
      <c r="B659" s="3" t="s">
        <v>5</v>
      </c>
      <c r="C659" s="3">
        <v>318.149</v>
      </c>
    </row>
    <row r="660" spans="1:3" x14ac:dyDescent="0.2">
      <c r="A660" s="2">
        <v>45154</v>
      </c>
      <c r="B660" s="3" t="s">
        <v>5</v>
      </c>
      <c r="C660" s="3">
        <v>317.37799999999999</v>
      </c>
    </row>
    <row r="661" spans="1:3" x14ac:dyDescent="0.2">
      <c r="A661" s="2">
        <v>45155</v>
      </c>
      <c r="B661" s="3" t="s">
        <v>5</v>
      </c>
      <c r="C661" s="3">
        <v>313.89100000000002</v>
      </c>
    </row>
    <row r="662" spans="1:3" x14ac:dyDescent="0.2">
      <c r="A662" s="2">
        <v>45156</v>
      </c>
      <c r="B662" s="3" t="s">
        <v>5</v>
      </c>
      <c r="C662" s="3">
        <v>313.49400000000003</v>
      </c>
    </row>
    <row r="663" spans="1:3" x14ac:dyDescent="0.2">
      <c r="A663" s="2">
        <v>45159</v>
      </c>
      <c r="B663" s="3" t="s">
        <v>5</v>
      </c>
      <c r="C663" s="3">
        <v>318.84399999999999</v>
      </c>
    </row>
    <row r="664" spans="1:3" x14ac:dyDescent="0.2">
      <c r="A664" s="2">
        <v>45160</v>
      </c>
      <c r="B664" s="3" t="s">
        <v>5</v>
      </c>
      <c r="C664" s="3">
        <v>319.41899999999998</v>
      </c>
    </row>
    <row r="665" spans="1:3" x14ac:dyDescent="0.2">
      <c r="A665" s="2">
        <v>45161</v>
      </c>
      <c r="B665" s="3" t="s">
        <v>5</v>
      </c>
      <c r="C665" s="3">
        <v>323.91699999999997</v>
      </c>
    </row>
    <row r="666" spans="1:3" x14ac:dyDescent="0.2">
      <c r="A666" s="2">
        <v>45162</v>
      </c>
      <c r="B666" s="3" t="s">
        <v>5</v>
      </c>
      <c r="C666" s="3">
        <v>316.95299999999997</v>
      </c>
    </row>
    <row r="667" spans="1:3" x14ac:dyDescent="0.2">
      <c r="A667" s="2">
        <v>45163</v>
      </c>
      <c r="B667" s="3" t="s">
        <v>5</v>
      </c>
      <c r="C667" s="3">
        <v>319.93400000000003</v>
      </c>
    </row>
    <row r="668" spans="1:3" x14ac:dyDescent="0.2">
      <c r="A668" s="2">
        <v>45166</v>
      </c>
      <c r="B668" s="3" t="s">
        <v>5</v>
      </c>
      <c r="C668" s="3">
        <v>320.64600000000002</v>
      </c>
    </row>
    <row r="669" spans="1:3" x14ac:dyDescent="0.2">
      <c r="A669" s="2">
        <v>45167</v>
      </c>
      <c r="B669" s="3" t="s">
        <v>5</v>
      </c>
      <c r="C669" s="3">
        <v>325.31200000000001</v>
      </c>
    </row>
    <row r="670" spans="1:3" x14ac:dyDescent="0.2">
      <c r="A670" s="2">
        <v>45168</v>
      </c>
      <c r="B670" s="3" t="s">
        <v>5</v>
      </c>
      <c r="C670" s="3">
        <v>325.68799999999999</v>
      </c>
    </row>
    <row r="671" spans="1:3" x14ac:dyDescent="0.2">
      <c r="A671" s="2">
        <v>45169</v>
      </c>
      <c r="B671" s="3" t="s">
        <v>5</v>
      </c>
      <c r="C671" s="3">
        <v>324.66800000000001</v>
      </c>
    </row>
    <row r="672" spans="1:3" x14ac:dyDescent="0.2">
      <c r="A672" s="2">
        <v>45170</v>
      </c>
      <c r="B672" s="3" t="s">
        <v>5</v>
      </c>
      <c r="C672" s="3">
        <v>325.56</v>
      </c>
    </row>
    <row r="673" spans="1:3" x14ac:dyDescent="0.2">
      <c r="A673" s="2">
        <v>45174</v>
      </c>
      <c r="B673" s="3" t="s">
        <v>5</v>
      </c>
      <c r="C673" s="3">
        <v>330.404</v>
      </c>
    </row>
    <row r="674" spans="1:3" x14ac:dyDescent="0.2">
      <c r="A674" s="2">
        <v>45175</v>
      </c>
      <c r="B674" s="3" t="s">
        <v>5</v>
      </c>
      <c r="C674" s="3">
        <v>329.74</v>
      </c>
    </row>
    <row r="675" spans="1:3" x14ac:dyDescent="0.2">
      <c r="A675" s="2">
        <v>45176</v>
      </c>
      <c r="B675" s="3" t="s">
        <v>5</v>
      </c>
      <c r="C675" s="3">
        <v>326.798</v>
      </c>
    </row>
    <row r="676" spans="1:3" x14ac:dyDescent="0.2">
      <c r="A676" s="2">
        <v>45177</v>
      </c>
      <c r="B676" s="3" t="s">
        <v>5</v>
      </c>
      <c r="C676" s="3">
        <v>331.11599999999999</v>
      </c>
    </row>
    <row r="677" spans="1:3" x14ac:dyDescent="0.2">
      <c r="A677" s="2">
        <v>45180</v>
      </c>
      <c r="B677" s="3" t="s">
        <v>5</v>
      </c>
      <c r="C677" s="3">
        <v>334.75099999999998</v>
      </c>
    </row>
    <row r="678" spans="1:3" x14ac:dyDescent="0.2">
      <c r="A678" s="2">
        <v>45181</v>
      </c>
      <c r="B678" s="3" t="s">
        <v>5</v>
      </c>
      <c r="C678" s="3">
        <v>328.64</v>
      </c>
    </row>
    <row r="679" spans="1:3" x14ac:dyDescent="0.2">
      <c r="A679" s="2">
        <v>45182</v>
      </c>
      <c r="B679" s="3" t="s">
        <v>5</v>
      </c>
      <c r="C679" s="3">
        <v>332.89</v>
      </c>
    </row>
    <row r="680" spans="1:3" x14ac:dyDescent="0.2">
      <c r="A680" s="2">
        <v>45183</v>
      </c>
      <c r="B680" s="3" t="s">
        <v>5</v>
      </c>
      <c r="C680" s="3">
        <v>335.505</v>
      </c>
    </row>
    <row r="681" spans="1:3" x14ac:dyDescent="0.2">
      <c r="A681" s="2">
        <v>45184</v>
      </c>
      <c r="B681" s="3" t="s">
        <v>5</v>
      </c>
      <c r="C681" s="3">
        <v>327.10500000000002</v>
      </c>
    </row>
    <row r="682" spans="1:3" x14ac:dyDescent="0.2">
      <c r="A682" s="2">
        <v>45187</v>
      </c>
      <c r="B682" s="3" t="s">
        <v>5</v>
      </c>
      <c r="C682" s="3">
        <v>325.95600000000002</v>
      </c>
    </row>
    <row r="683" spans="1:3" x14ac:dyDescent="0.2">
      <c r="A683" s="2">
        <v>45188</v>
      </c>
      <c r="B683" s="3" t="s">
        <v>5</v>
      </c>
      <c r="C683" s="3">
        <v>325.55</v>
      </c>
    </row>
    <row r="684" spans="1:3" x14ac:dyDescent="0.2">
      <c r="A684" s="2">
        <v>45189</v>
      </c>
      <c r="B684" s="3" t="s">
        <v>5</v>
      </c>
      <c r="C684" s="3">
        <v>317.74400000000003</v>
      </c>
    </row>
    <row r="685" spans="1:3" x14ac:dyDescent="0.2">
      <c r="A685" s="2">
        <v>45190</v>
      </c>
      <c r="B685" s="3" t="s">
        <v>5</v>
      </c>
      <c r="C685" s="3">
        <v>316.51499999999999</v>
      </c>
    </row>
    <row r="686" spans="1:3" x14ac:dyDescent="0.2">
      <c r="A686" s="2">
        <v>45191</v>
      </c>
      <c r="B686" s="3" t="s">
        <v>5</v>
      </c>
      <c r="C686" s="3">
        <v>314.01900000000001</v>
      </c>
    </row>
    <row r="687" spans="1:3" x14ac:dyDescent="0.2">
      <c r="A687" s="2">
        <v>45194</v>
      </c>
      <c r="B687" s="3" t="s">
        <v>5</v>
      </c>
      <c r="C687" s="3">
        <v>314.54399999999998</v>
      </c>
    </row>
    <row r="688" spans="1:3" x14ac:dyDescent="0.2">
      <c r="A688" s="2">
        <v>45195</v>
      </c>
      <c r="B688" s="3" t="s">
        <v>5</v>
      </c>
      <c r="C688" s="3">
        <v>309.19600000000003</v>
      </c>
    </row>
    <row r="689" spans="1:3" x14ac:dyDescent="0.2">
      <c r="A689" s="2">
        <v>45196</v>
      </c>
      <c r="B689" s="3" t="s">
        <v>5</v>
      </c>
      <c r="C689" s="3">
        <v>309.839</v>
      </c>
    </row>
    <row r="690" spans="1:3" x14ac:dyDescent="0.2">
      <c r="A690" s="2">
        <v>45197</v>
      </c>
      <c r="B690" s="3" t="s">
        <v>5</v>
      </c>
      <c r="C690" s="3">
        <v>310.68099999999998</v>
      </c>
    </row>
    <row r="691" spans="1:3" x14ac:dyDescent="0.2">
      <c r="A691" s="2">
        <v>45198</v>
      </c>
      <c r="B691" s="3" t="s">
        <v>5</v>
      </c>
      <c r="C691" s="3">
        <v>312.77100000000002</v>
      </c>
    </row>
    <row r="692" spans="1:3" x14ac:dyDescent="0.2">
      <c r="A692" s="2">
        <v>45201</v>
      </c>
      <c r="B692" s="3" t="s">
        <v>5</v>
      </c>
      <c r="C692" s="3">
        <v>318.76400000000001</v>
      </c>
    </row>
    <row r="693" spans="1:3" x14ac:dyDescent="0.2">
      <c r="A693" s="2">
        <v>45202</v>
      </c>
      <c r="B693" s="3" t="s">
        <v>5</v>
      </c>
      <c r="C693" s="3">
        <v>310.43400000000003</v>
      </c>
    </row>
    <row r="694" spans="1:3" x14ac:dyDescent="0.2">
      <c r="A694" s="2">
        <v>45203</v>
      </c>
      <c r="B694" s="3" t="s">
        <v>5</v>
      </c>
      <c r="C694" s="3">
        <v>315.94600000000003</v>
      </c>
    </row>
    <row r="695" spans="1:3" x14ac:dyDescent="0.2">
      <c r="A695" s="2">
        <v>45204</v>
      </c>
      <c r="B695" s="3" t="s">
        <v>5</v>
      </c>
      <c r="C695" s="3">
        <v>316.34800000000001</v>
      </c>
    </row>
    <row r="696" spans="1:3" x14ac:dyDescent="0.2">
      <c r="A696" s="2">
        <v>45205</v>
      </c>
      <c r="B696" s="3" t="s">
        <v>5</v>
      </c>
      <c r="C696" s="3">
        <v>324.173</v>
      </c>
    </row>
    <row r="697" spans="1:3" x14ac:dyDescent="0.2">
      <c r="A697" s="2">
        <v>45208</v>
      </c>
      <c r="B697" s="3" t="s">
        <v>5</v>
      </c>
      <c r="C697" s="3">
        <v>326.70800000000003</v>
      </c>
    </row>
    <row r="698" spans="1:3" x14ac:dyDescent="0.2">
      <c r="A698" s="2">
        <v>45209</v>
      </c>
      <c r="B698" s="3" t="s">
        <v>5</v>
      </c>
      <c r="C698" s="3">
        <v>325.29300000000001</v>
      </c>
    </row>
    <row r="699" spans="1:3" x14ac:dyDescent="0.2">
      <c r="A699" s="2">
        <v>45210</v>
      </c>
      <c r="B699" s="3" t="s">
        <v>5</v>
      </c>
      <c r="C699" s="3">
        <v>329.28500000000003</v>
      </c>
    </row>
    <row r="700" spans="1:3" x14ac:dyDescent="0.2">
      <c r="A700" s="2">
        <v>45211</v>
      </c>
      <c r="B700" s="3" t="s">
        <v>5</v>
      </c>
      <c r="C700" s="3">
        <v>328.036</v>
      </c>
    </row>
    <row r="701" spans="1:3" x14ac:dyDescent="0.2">
      <c r="A701" s="2">
        <v>45212</v>
      </c>
      <c r="B701" s="3" t="s">
        <v>5</v>
      </c>
      <c r="C701" s="3">
        <v>324.63799999999998</v>
      </c>
    </row>
    <row r="702" spans="1:3" x14ac:dyDescent="0.2">
      <c r="A702" s="2">
        <v>45215</v>
      </c>
      <c r="B702" s="3" t="s">
        <v>5</v>
      </c>
      <c r="C702" s="3">
        <v>329.50099999999998</v>
      </c>
    </row>
    <row r="703" spans="1:3" x14ac:dyDescent="0.2">
      <c r="A703" s="2">
        <v>45216</v>
      </c>
      <c r="B703" s="3" t="s">
        <v>5</v>
      </c>
      <c r="C703" s="3">
        <v>328.92700000000002</v>
      </c>
    </row>
    <row r="704" spans="1:3" x14ac:dyDescent="0.2">
      <c r="A704" s="2">
        <v>45217</v>
      </c>
      <c r="B704" s="3" t="s">
        <v>5</v>
      </c>
      <c r="C704" s="3">
        <v>326.995</v>
      </c>
    </row>
    <row r="705" spans="1:3" x14ac:dyDescent="0.2">
      <c r="A705" s="2">
        <v>45218</v>
      </c>
      <c r="B705" s="3" t="s">
        <v>5</v>
      </c>
      <c r="C705" s="3">
        <v>328.19499999999999</v>
      </c>
    </row>
    <row r="706" spans="1:3" x14ac:dyDescent="0.2">
      <c r="A706" s="2">
        <v>45219</v>
      </c>
      <c r="B706" s="3" t="s">
        <v>5</v>
      </c>
      <c r="C706" s="3">
        <v>323.58800000000002</v>
      </c>
    </row>
    <row r="707" spans="1:3" x14ac:dyDescent="0.2">
      <c r="A707" s="2">
        <v>45222</v>
      </c>
      <c r="B707" s="3" t="s">
        <v>5</v>
      </c>
      <c r="C707" s="3">
        <v>326.21300000000002</v>
      </c>
    </row>
    <row r="708" spans="1:3" x14ac:dyDescent="0.2">
      <c r="A708" s="2">
        <v>45223</v>
      </c>
      <c r="B708" s="3" t="s">
        <v>5</v>
      </c>
      <c r="C708" s="3">
        <v>327.41199999999998</v>
      </c>
    </row>
    <row r="709" spans="1:3" x14ac:dyDescent="0.2">
      <c r="A709" s="2">
        <v>45224</v>
      </c>
      <c r="B709" s="3" t="s">
        <v>5</v>
      </c>
      <c r="C709" s="3">
        <v>337.45699999999999</v>
      </c>
    </row>
    <row r="710" spans="1:3" x14ac:dyDescent="0.2">
      <c r="A710" s="2">
        <v>45225</v>
      </c>
      <c r="B710" s="3" t="s">
        <v>5</v>
      </c>
      <c r="C710" s="3">
        <v>324.79700000000003</v>
      </c>
    </row>
    <row r="711" spans="1:3" x14ac:dyDescent="0.2">
      <c r="A711" s="2">
        <v>45226</v>
      </c>
      <c r="B711" s="3" t="s">
        <v>5</v>
      </c>
      <c r="C711" s="3">
        <v>326.69799999999998</v>
      </c>
    </row>
    <row r="712" spans="1:3" x14ac:dyDescent="0.2">
      <c r="A712" s="2">
        <v>45229</v>
      </c>
      <c r="B712" s="3" t="s">
        <v>5</v>
      </c>
      <c r="C712" s="3">
        <v>334.12900000000002</v>
      </c>
    </row>
    <row r="713" spans="1:3" x14ac:dyDescent="0.2">
      <c r="A713" s="2">
        <v>45230</v>
      </c>
      <c r="B713" s="3" t="s">
        <v>5</v>
      </c>
      <c r="C713" s="3">
        <v>334.92099999999999</v>
      </c>
    </row>
    <row r="714" spans="1:3" x14ac:dyDescent="0.2">
      <c r="A714" s="2">
        <v>45231</v>
      </c>
      <c r="B714" s="3" t="s">
        <v>5</v>
      </c>
      <c r="C714" s="3">
        <v>342.80599999999998</v>
      </c>
    </row>
    <row r="715" spans="1:3" x14ac:dyDescent="0.2">
      <c r="A715" s="2">
        <v>45232</v>
      </c>
      <c r="B715" s="3" t="s">
        <v>5</v>
      </c>
      <c r="C715" s="3">
        <v>345.03300000000002</v>
      </c>
    </row>
    <row r="716" spans="1:3" x14ac:dyDescent="0.2">
      <c r="A716" s="2">
        <v>45233</v>
      </c>
      <c r="B716" s="3" t="s">
        <v>5</v>
      </c>
      <c r="C716" s="3">
        <v>349.471</v>
      </c>
    </row>
    <row r="717" spans="1:3" x14ac:dyDescent="0.2">
      <c r="A717" s="2">
        <v>45236</v>
      </c>
      <c r="B717" s="3" t="s">
        <v>5</v>
      </c>
      <c r="C717" s="3">
        <v>353.16699999999997</v>
      </c>
    </row>
    <row r="718" spans="1:3" x14ac:dyDescent="0.2">
      <c r="A718" s="2">
        <v>45237</v>
      </c>
      <c r="B718" s="3" t="s">
        <v>5</v>
      </c>
      <c r="C718" s="3">
        <v>357.12900000000002</v>
      </c>
    </row>
    <row r="719" spans="1:3" x14ac:dyDescent="0.2">
      <c r="A719" s="2">
        <v>45238</v>
      </c>
      <c r="B719" s="3" t="s">
        <v>5</v>
      </c>
      <c r="C719" s="3">
        <v>359.774</v>
      </c>
    </row>
    <row r="720" spans="1:3" x14ac:dyDescent="0.2">
      <c r="A720" s="2">
        <v>45239</v>
      </c>
      <c r="B720" s="3" t="s">
        <v>5</v>
      </c>
      <c r="C720" s="3">
        <v>357.28800000000001</v>
      </c>
    </row>
    <row r="721" spans="1:3" x14ac:dyDescent="0.2">
      <c r="A721" s="2">
        <v>45240</v>
      </c>
      <c r="B721" s="3" t="s">
        <v>5</v>
      </c>
      <c r="C721" s="3">
        <v>366.18299999999999</v>
      </c>
    </row>
    <row r="722" spans="1:3" x14ac:dyDescent="0.2">
      <c r="A722" s="2">
        <v>45243</v>
      </c>
      <c r="B722" s="3" t="s">
        <v>5</v>
      </c>
      <c r="C722" s="3">
        <v>363.221</v>
      </c>
    </row>
    <row r="723" spans="1:3" x14ac:dyDescent="0.2">
      <c r="A723" s="2">
        <v>45244</v>
      </c>
      <c r="B723" s="3" t="s">
        <v>5</v>
      </c>
      <c r="C723" s="3">
        <v>366.77800000000002</v>
      </c>
    </row>
    <row r="724" spans="1:3" x14ac:dyDescent="0.2">
      <c r="A724" s="2">
        <v>45245</v>
      </c>
      <c r="B724" s="3" t="s">
        <v>5</v>
      </c>
      <c r="C724" s="3">
        <v>366.92700000000002</v>
      </c>
    </row>
    <row r="725" spans="1:3" x14ac:dyDescent="0.2">
      <c r="A725" s="2">
        <v>45246</v>
      </c>
      <c r="B725" s="3" t="s">
        <v>5</v>
      </c>
      <c r="C725" s="3">
        <v>373.37900000000002</v>
      </c>
    </row>
    <row r="726" spans="1:3" x14ac:dyDescent="0.2">
      <c r="A726" s="2">
        <v>45247</v>
      </c>
      <c r="B726" s="3" t="s">
        <v>5</v>
      </c>
      <c r="C726" s="3">
        <v>367.10399999999998</v>
      </c>
    </row>
    <row r="727" spans="1:3" x14ac:dyDescent="0.2">
      <c r="A727" s="2">
        <v>45250</v>
      </c>
      <c r="B727" s="3" t="s">
        <v>5</v>
      </c>
      <c r="C727" s="3">
        <v>374.63799999999998</v>
      </c>
    </row>
    <row r="728" spans="1:3" x14ac:dyDescent="0.2">
      <c r="A728" s="2">
        <v>45251</v>
      </c>
      <c r="B728" s="3" t="s">
        <v>5</v>
      </c>
      <c r="C728" s="3">
        <v>370.30099999999999</v>
      </c>
    </row>
    <row r="729" spans="1:3" x14ac:dyDescent="0.2">
      <c r="A729" s="2">
        <v>45252</v>
      </c>
      <c r="B729" s="3" t="s">
        <v>5</v>
      </c>
      <c r="C729" s="3">
        <v>375.04599999999999</v>
      </c>
    </row>
    <row r="730" spans="1:3" x14ac:dyDescent="0.2">
      <c r="A730" s="2">
        <v>45254</v>
      </c>
      <c r="B730" s="3" t="s">
        <v>5</v>
      </c>
      <c r="C730" s="3">
        <v>374.62799999999999</v>
      </c>
    </row>
    <row r="731" spans="1:3" x14ac:dyDescent="0.2">
      <c r="A731" s="2">
        <v>45257</v>
      </c>
      <c r="B731" s="3" t="s">
        <v>5</v>
      </c>
      <c r="C731" s="3">
        <v>375.8</v>
      </c>
    </row>
    <row r="732" spans="1:3" x14ac:dyDescent="0.2">
      <c r="A732" s="2">
        <v>45258</v>
      </c>
      <c r="B732" s="3" t="s">
        <v>5</v>
      </c>
      <c r="C732" s="3">
        <v>379.86</v>
      </c>
    </row>
    <row r="733" spans="1:3" x14ac:dyDescent="0.2">
      <c r="A733" s="2">
        <v>45259</v>
      </c>
      <c r="B733" s="3" t="s">
        <v>5</v>
      </c>
      <c r="C733" s="3">
        <v>376.03800000000001</v>
      </c>
    </row>
    <row r="734" spans="1:3" x14ac:dyDescent="0.2">
      <c r="A734" s="2">
        <v>45260</v>
      </c>
      <c r="B734" s="3" t="s">
        <v>5</v>
      </c>
      <c r="C734" s="3">
        <v>376.09800000000001</v>
      </c>
    </row>
    <row r="735" spans="1:3" x14ac:dyDescent="0.2">
      <c r="A735" s="2">
        <v>45261</v>
      </c>
      <c r="B735" s="3" t="s">
        <v>5</v>
      </c>
      <c r="C735" s="3">
        <v>371.73099999999999</v>
      </c>
    </row>
    <row r="736" spans="1:3" x14ac:dyDescent="0.2">
      <c r="A736" s="2">
        <v>45264</v>
      </c>
      <c r="B736" s="3" t="s">
        <v>5</v>
      </c>
      <c r="C736" s="3">
        <v>366.40100000000001</v>
      </c>
    </row>
    <row r="737" spans="1:3" x14ac:dyDescent="0.2">
      <c r="A737" s="2">
        <v>45265</v>
      </c>
      <c r="B737" s="3" t="s">
        <v>5</v>
      </c>
      <c r="C737" s="3">
        <v>369.755</v>
      </c>
    </row>
    <row r="738" spans="1:3" x14ac:dyDescent="0.2">
      <c r="A738" s="2">
        <v>45266</v>
      </c>
      <c r="B738" s="3" t="s">
        <v>5</v>
      </c>
      <c r="C738" s="3">
        <v>366.06200000000001</v>
      </c>
    </row>
    <row r="739" spans="1:3" x14ac:dyDescent="0.2">
      <c r="A739" s="2">
        <v>45267</v>
      </c>
      <c r="B739" s="3" t="s">
        <v>5</v>
      </c>
      <c r="C739" s="3">
        <v>368.19600000000003</v>
      </c>
    </row>
    <row r="740" spans="1:3" x14ac:dyDescent="0.2">
      <c r="A740" s="2">
        <v>45268</v>
      </c>
      <c r="B740" s="3" t="s">
        <v>5</v>
      </c>
      <c r="C740" s="3">
        <v>371.45100000000002</v>
      </c>
    </row>
    <row r="741" spans="1:3" x14ac:dyDescent="0.2">
      <c r="A741" s="2">
        <v>45271</v>
      </c>
      <c r="B741" s="3" t="s">
        <v>5</v>
      </c>
      <c r="C741" s="3">
        <v>368.54399999999998</v>
      </c>
    </row>
    <row r="742" spans="1:3" x14ac:dyDescent="0.2">
      <c r="A742" s="2">
        <v>45272</v>
      </c>
      <c r="B742" s="3" t="s">
        <v>5</v>
      </c>
      <c r="C742" s="3">
        <v>371.601</v>
      </c>
    </row>
    <row r="743" spans="1:3" x14ac:dyDescent="0.2">
      <c r="A743" s="2">
        <v>45273</v>
      </c>
      <c r="B743" s="3" t="s">
        <v>5</v>
      </c>
      <c r="C743" s="3">
        <v>371.59100000000001</v>
      </c>
    </row>
    <row r="744" spans="1:3" x14ac:dyDescent="0.2">
      <c r="A744" s="2">
        <v>45274</v>
      </c>
      <c r="B744" s="3" t="s">
        <v>5</v>
      </c>
      <c r="C744" s="3">
        <v>363.214</v>
      </c>
    </row>
    <row r="745" spans="1:3" x14ac:dyDescent="0.2">
      <c r="A745" s="2">
        <v>45275</v>
      </c>
      <c r="B745" s="3" t="s">
        <v>5</v>
      </c>
      <c r="C745" s="3">
        <v>367.97800000000001</v>
      </c>
    </row>
    <row r="746" spans="1:3" x14ac:dyDescent="0.2">
      <c r="A746" s="2">
        <v>45278</v>
      </c>
      <c r="B746" s="3" t="s">
        <v>5</v>
      </c>
      <c r="C746" s="3">
        <v>369.88400000000001</v>
      </c>
    </row>
    <row r="747" spans="1:3" x14ac:dyDescent="0.2">
      <c r="A747" s="2">
        <v>45279</v>
      </c>
      <c r="B747" s="3" t="s">
        <v>5</v>
      </c>
      <c r="C747" s="3">
        <v>370.48899999999998</v>
      </c>
    </row>
    <row r="748" spans="1:3" x14ac:dyDescent="0.2">
      <c r="A748" s="2">
        <v>45280</v>
      </c>
      <c r="B748" s="3" t="s">
        <v>5</v>
      </c>
      <c r="C748" s="3">
        <v>367.87</v>
      </c>
    </row>
    <row r="749" spans="1:3" x14ac:dyDescent="0.2">
      <c r="A749" s="2">
        <v>45281</v>
      </c>
      <c r="B749" s="3" t="s">
        <v>5</v>
      </c>
      <c r="C749" s="3">
        <v>370.76799999999997</v>
      </c>
    </row>
    <row r="750" spans="1:3" x14ac:dyDescent="0.2">
      <c r="A750" s="2">
        <v>45282</v>
      </c>
      <c r="B750" s="3" t="s">
        <v>5</v>
      </c>
      <c r="C750" s="3">
        <v>371.80099999999999</v>
      </c>
    </row>
    <row r="751" spans="1:3" x14ac:dyDescent="0.2">
      <c r="A751" s="2">
        <v>45286</v>
      </c>
      <c r="B751" s="3" t="s">
        <v>5</v>
      </c>
      <c r="C751" s="3">
        <v>371.87900000000002</v>
      </c>
    </row>
    <row r="752" spans="1:3" x14ac:dyDescent="0.2">
      <c r="A752" s="2">
        <v>45287</v>
      </c>
      <c r="B752" s="3" t="s">
        <v>5</v>
      </c>
      <c r="C752" s="3">
        <v>371.29399999999998</v>
      </c>
    </row>
    <row r="753" spans="1:3" x14ac:dyDescent="0.2">
      <c r="A753" s="2">
        <v>45288</v>
      </c>
      <c r="B753" s="3" t="s">
        <v>5</v>
      </c>
      <c r="C753" s="3">
        <v>372.49400000000003</v>
      </c>
    </row>
    <row r="754" spans="1:3" x14ac:dyDescent="0.2">
      <c r="A754" s="2">
        <v>45289</v>
      </c>
      <c r="B754" s="3" t="s">
        <v>5</v>
      </c>
      <c r="C754" s="3">
        <v>373.24900000000002</v>
      </c>
    </row>
    <row r="755" spans="1:3" x14ac:dyDescent="0.2">
      <c r="A755" s="2">
        <v>45293</v>
      </c>
      <c r="B755" s="3" t="s">
        <v>5</v>
      </c>
      <c r="C755" s="3">
        <v>368.11599999999999</v>
      </c>
    </row>
    <row r="756" spans="1:3" x14ac:dyDescent="0.2">
      <c r="A756" s="2">
        <v>45294</v>
      </c>
      <c r="B756" s="3" t="s">
        <v>5</v>
      </c>
      <c r="C756" s="3">
        <v>367.85</v>
      </c>
    </row>
    <row r="757" spans="1:3" x14ac:dyDescent="0.2">
      <c r="A757" s="2">
        <v>45295</v>
      </c>
      <c r="B757" s="3" t="s">
        <v>5</v>
      </c>
      <c r="C757" s="3">
        <v>365.209</v>
      </c>
    </row>
    <row r="758" spans="1:3" x14ac:dyDescent="0.2">
      <c r="A758" s="2">
        <v>45296</v>
      </c>
      <c r="B758" s="3" t="s">
        <v>5</v>
      </c>
      <c r="C758" s="3">
        <v>365.02</v>
      </c>
    </row>
    <row r="759" spans="1:3" x14ac:dyDescent="0.2">
      <c r="A759" s="2">
        <v>45299</v>
      </c>
      <c r="B759" s="3" t="s">
        <v>5</v>
      </c>
      <c r="C759" s="3">
        <v>371.90899999999999</v>
      </c>
    </row>
    <row r="760" spans="1:3" x14ac:dyDescent="0.2">
      <c r="A760" s="2">
        <v>45300</v>
      </c>
      <c r="B760" s="3" t="s">
        <v>5</v>
      </c>
      <c r="C760" s="3">
        <v>373</v>
      </c>
    </row>
    <row r="761" spans="1:3" x14ac:dyDescent="0.2">
      <c r="A761" s="2">
        <v>45301</v>
      </c>
      <c r="B761" s="3" t="s">
        <v>5</v>
      </c>
      <c r="C761" s="3">
        <v>379.92899999999997</v>
      </c>
    </row>
    <row r="762" spans="1:3" x14ac:dyDescent="0.2">
      <c r="A762" s="2">
        <v>45302</v>
      </c>
      <c r="B762" s="3" t="s">
        <v>5</v>
      </c>
      <c r="C762" s="3">
        <v>381.77600000000001</v>
      </c>
    </row>
    <row r="763" spans="1:3" x14ac:dyDescent="0.2">
      <c r="A763" s="2">
        <v>45303</v>
      </c>
      <c r="B763" s="3" t="s">
        <v>5</v>
      </c>
      <c r="C763" s="3">
        <v>385.58699999999999</v>
      </c>
    </row>
    <row r="764" spans="1:3" x14ac:dyDescent="0.2">
      <c r="A764" s="2">
        <v>45307</v>
      </c>
      <c r="B764" s="3" t="s">
        <v>5</v>
      </c>
      <c r="C764" s="3">
        <v>387.37400000000002</v>
      </c>
    </row>
    <row r="765" spans="1:3" x14ac:dyDescent="0.2">
      <c r="A765" s="2">
        <v>45308</v>
      </c>
      <c r="B765" s="3" t="s">
        <v>5</v>
      </c>
      <c r="C765" s="3">
        <v>386.57900000000001</v>
      </c>
    </row>
    <row r="766" spans="1:3" x14ac:dyDescent="0.2">
      <c r="A766" s="2">
        <v>45309</v>
      </c>
      <c r="B766" s="3" t="s">
        <v>5</v>
      </c>
      <c r="C766" s="3">
        <v>390.94600000000003</v>
      </c>
    </row>
    <row r="767" spans="1:3" x14ac:dyDescent="0.2">
      <c r="A767" s="2">
        <v>45310</v>
      </c>
      <c r="B767" s="3" t="s">
        <v>5</v>
      </c>
      <c r="C767" s="3">
        <v>395.71100000000001</v>
      </c>
    </row>
    <row r="768" spans="1:3" x14ac:dyDescent="0.2">
      <c r="A768" s="2">
        <v>45313</v>
      </c>
      <c r="B768" s="3" t="s">
        <v>5</v>
      </c>
      <c r="C768" s="3">
        <v>393.56599999999997</v>
      </c>
    </row>
    <row r="769" spans="1:3" x14ac:dyDescent="0.2">
      <c r="A769" s="2">
        <v>45314</v>
      </c>
      <c r="B769" s="3" t="s">
        <v>5</v>
      </c>
      <c r="C769" s="3">
        <v>395.93900000000002</v>
      </c>
    </row>
    <row r="770" spans="1:3" x14ac:dyDescent="0.2">
      <c r="A770" s="2">
        <v>45315</v>
      </c>
      <c r="B770" s="3" t="s">
        <v>5</v>
      </c>
      <c r="C770" s="3">
        <v>399.572</v>
      </c>
    </row>
    <row r="771" spans="1:3" x14ac:dyDescent="0.2">
      <c r="A771" s="2">
        <v>45316</v>
      </c>
      <c r="B771" s="3" t="s">
        <v>5</v>
      </c>
      <c r="C771" s="3">
        <v>401.86500000000001</v>
      </c>
    </row>
    <row r="772" spans="1:3" x14ac:dyDescent="0.2">
      <c r="A772" s="2">
        <v>45317</v>
      </c>
      <c r="B772" s="3" t="s">
        <v>5</v>
      </c>
      <c r="C772" s="3">
        <v>400.93099999999998</v>
      </c>
    </row>
    <row r="773" spans="1:3" x14ac:dyDescent="0.2">
      <c r="A773" s="2">
        <v>45320</v>
      </c>
      <c r="B773" s="3" t="s">
        <v>5</v>
      </c>
      <c r="C773" s="3">
        <v>406.68</v>
      </c>
    </row>
    <row r="774" spans="1:3" x14ac:dyDescent="0.2">
      <c r="A774" s="2">
        <v>45321</v>
      </c>
      <c r="B774" s="3" t="s">
        <v>5</v>
      </c>
      <c r="C774" s="3">
        <v>405.55799999999999</v>
      </c>
    </row>
    <row r="775" spans="1:3" x14ac:dyDescent="0.2">
      <c r="A775" s="2">
        <v>45322</v>
      </c>
      <c r="B775" s="3" t="s">
        <v>5</v>
      </c>
      <c r="C775" s="3">
        <v>394.62799999999999</v>
      </c>
    </row>
    <row r="776" spans="1:3" x14ac:dyDescent="0.2">
      <c r="A776" s="2">
        <v>45323</v>
      </c>
      <c r="B776" s="3" t="s">
        <v>5</v>
      </c>
      <c r="C776" s="3">
        <v>400.78300000000002</v>
      </c>
    </row>
    <row r="777" spans="1:3" x14ac:dyDescent="0.2">
      <c r="A777" s="2">
        <v>45324</v>
      </c>
      <c r="B777" s="3" t="s">
        <v>5</v>
      </c>
      <c r="C777" s="3">
        <v>408.16800000000001</v>
      </c>
    </row>
    <row r="778" spans="1:3" x14ac:dyDescent="0.2">
      <c r="A778" s="2">
        <v>45327</v>
      </c>
      <c r="B778" s="3" t="s">
        <v>5</v>
      </c>
      <c r="C778" s="3">
        <v>402.63900000000001</v>
      </c>
    </row>
    <row r="779" spans="1:3" x14ac:dyDescent="0.2">
      <c r="A779" s="2">
        <v>45328</v>
      </c>
      <c r="B779" s="3" t="s">
        <v>5</v>
      </c>
      <c r="C779" s="3">
        <v>402.48</v>
      </c>
    </row>
    <row r="780" spans="1:3" x14ac:dyDescent="0.2">
      <c r="A780" s="2">
        <v>45329</v>
      </c>
      <c r="B780" s="3" t="s">
        <v>5</v>
      </c>
      <c r="C780" s="3">
        <v>410.97699999999998</v>
      </c>
    </row>
    <row r="781" spans="1:3" x14ac:dyDescent="0.2">
      <c r="A781" s="2">
        <v>45330</v>
      </c>
      <c r="B781" s="3" t="s">
        <v>5</v>
      </c>
      <c r="C781" s="3">
        <v>411.03699999999998</v>
      </c>
    </row>
    <row r="782" spans="1:3" x14ac:dyDescent="0.2">
      <c r="A782" s="2">
        <v>45331</v>
      </c>
      <c r="B782" s="3" t="s">
        <v>5</v>
      </c>
      <c r="C782" s="3">
        <v>417.428</v>
      </c>
    </row>
    <row r="783" spans="1:3" x14ac:dyDescent="0.2">
      <c r="A783" s="2">
        <v>45334</v>
      </c>
      <c r="B783" s="3" t="s">
        <v>5</v>
      </c>
      <c r="C783" s="3">
        <v>412.178</v>
      </c>
    </row>
    <row r="784" spans="1:3" x14ac:dyDescent="0.2">
      <c r="A784" s="2">
        <v>45335</v>
      </c>
      <c r="B784" s="3" t="s">
        <v>5</v>
      </c>
      <c r="C784" s="3">
        <v>403.30500000000001</v>
      </c>
    </row>
    <row r="785" spans="1:3" x14ac:dyDescent="0.2">
      <c r="A785" s="2">
        <v>45336</v>
      </c>
      <c r="B785" s="3" t="s">
        <v>5</v>
      </c>
      <c r="C785" s="3">
        <v>407.20299999999997</v>
      </c>
    </row>
    <row r="786" spans="1:3" x14ac:dyDescent="0.2">
      <c r="A786" s="2">
        <v>45337</v>
      </c>
      <c r="B786" s="3" t="s">
        <v>5</v>
      </c>
      <c r="C786" s="3">
        <v>404.28899999999999</v>
      </c>
    </row>
    <row r="787" spans="1:3" x14ac:dyDescent="0.2">
      <c r="A787" s="2">
        <v>45338</v>
      </c>
      <c r="B787" s="3" t="s">
        <v>5</v>
      </c>
      <c r="C787" s="3">
        <v>401.803</v>
      </c>
    </row>
    <row r="788" spans="1:3" x14ac:dyDescent="0.2">
      <c r="A788" s="2">
        <v>45342</v>
      </c>
      <c r="B788" s="3" t="s">
        <v>5</v>
      </c>
      <c r="C788" s="3">
        <v>400.54</v>
      </c>
    </row>
    <row r="789" spans="1:3" x14ac:dyDescent="0.2">
      <c r="A789" s="2">
        <v>45343</v>
      </c>
      <c r="B789" s="3" t="s">
        <v>5</v>
      </c>
      <c r="C789" s="3">
        <v>399.93299999999999</v>
      </c>
    </row>
    <row r="790" spans="1:3" x14ac:dyDescent="0.2">
      <c r="A790" s="2">
        <v>45344</v>
      </c>
      <c r="B790" s="3" t="s">
        <v>5</v>
      </c>
      <c r="C790" s="3">
        <v>409.351</v>
      </c>
    </row>
    <row r="791" spans="1:3" x14ac:dyDescent="0.2">
      <c r="A791" s="2">
        <v>45345</v>
      </c>
      <c r="B791" s="3" t="s">
        <v>5</v>
      </c>
      <c r="C791" s="3">
        <v>408.04700000000003</v>
      </c>
    </row>
    <row r="792" spans="1:3" x14ac:dyDescent="0.2">
      <c r="A792" s="2">
        <v>45348</v>
      </c>
      <c r="B792" s="3" t="s">
        <v>5</v>
      </c>
      <c r="C792" s="3">
        <v>405.26299999999998</v>
      </c>
    </row>
    <row r="793" spans="1:3" x14ac:dyDescent="0.2">
      <c r="A793" s="2">
        <v>45349</v>
      </c>
      <c r="B793" s="3" t="s">
        <v>5</v>
      </c>
      <c r="C793" s="3">
        <v>405.20299999999997</v>
      </c>
    </row>
    <row r="794" spans="1:3" x14ac:dyDescent="0.2">
      <c r="A794" s="2">
        <v>45350</v>
      </c>
      <c r="B794" s="3" t="s">
        <v>5</v>
      </c>
      <c r="C794" s="3">
        <v>405.44200000000001</v>
      </c>
    </row>
    <row r="795" spans="1:3" x14ac:dyDescent="0.2">
      <c r="A795" s="2">
        <v>45351</v>
      </c>
      <c r="B795" s="3" t="s">
        <v>5</v>
      </c>
      <c r="C795" s="3">
        <v>411.32900000000001</v>
      </c>
    </row>
    <row r="796" spans="1:3" x14ac:dyDescent="0.2">
      <c r="A796" s="2">
        <v>45352</v>
      </c>
      <c r="B796" s="3" t="s">
        <v>5</v>
      </c>
      <c r="C796" s="3">
        <v>413.17899999999997</v>
      </c>
    </row>
    <row r="797" spans="1:3" x14ac:dyDescent="0.2">
      <c r="A797" s="2">
        <v>45355</v>
      </c>
      <c r="B797" s="3" t="s">
        <v>5</v>
      </c>
      <c r="C797" s="3">
        <v>412.60199999999998</v>
      </c>
    </row>
    <row r="798" spans="1:3" x14ac:dyDescent="0.2">
      <c r="A798" s="2">
        <v>45356</v>
      </c>
      <c r="B798" s="3" t="s">
        <v>5</v>
      </c>
      <c r="C798" s="3">
        <v>400.40100000000001</v>
      </c>
    </row>
    <row r="799" spans="1:3" x14ac:dyDescent="0.2">
      <c r="A799" s="2">
        <v>45357</v>
      </c>
      <c r="B799" s="3" t="s">
        <v>5</v>
      </c>
      <c r="C799" s="3">
        <v>399.84399999999999</v>
      </c>
    </row>
    <row r="800" spans="1:3" x14ac:dyDescent="0.2">
      <c r="A800" s="2">
        <v>45358</v>
      </c>
      <c r="B800" s="3" t="s">
        <v>5</v>
      </c>
      <c r="C800" s="3">
        <v>406.85399999999998</v>
      </c>
    </row>
    <row r="801" spans="1:3" x14ac:dyDescent="0.2">
      <c r="A801" s="2">
        <v>45359</v>
      </c>
      <c r="B801" s="3" t="s">
        <v>5</v>
      </c>
      <c r="C801" s="3">
        <v>403.95</v>
      </c>
    </row>
    <row r="802" spans="1:3" x14ac:dyDescent="0.2">
      <c r="A802" s="2">
        <v>45362</v>
      </c>
      <c r="B802" s="3" t="s">
        <v>5</v>
      </c>
      <c r="C802" s="3">
        <v>402.26100000000002</v>
      </c>
    </row>
    <row r="803" spans="1:3" x14ac:dyDescent="0.2">
      <c r="A803" s="2">
        <v>45363</v>
      </c>
      <c r="B803" s="3" t="s">
        <v>5</v>
      </c>
      <c r="C803" s="3">
        <v>412.959</v>
      </c>
    </row>
    <row r="804" spans="1:3" x14ac:dyDescent="0.2">
      <c r="A804" s="2">
        <v>45364</v>
      </c>
      <c r="B804" s="3" t="s">
        <v>5</v>
      </c>
      <c r="C804" s="3">
        <v>412.78199999999998</v>
      </c>
    </row>
    <row r="805" spans="1:3" x14ac:dyDescent="0.2">
      <c r="A805" s="2">
        <v>45365</v>
      </c>
      <c r="B805" s="3" t="s">
        <v>5</v>
      </c>
      <c r="C805" s="3">
        <v>422.84399999999999</v>
      </c>
    </row>
    <row r="806" spans="1:3" x14ac:dyDescent="0.2">
      <c r="A806" s="2">
        <v>45366</v>
      </c>
      <c r="B806" s="3" t="s">
        <v>5</v>
      </c>
      <c r="C806" s="3">
        <v>414.09300000000002</v>
      </c>
    </row>
    <row r="807" spans="1:3" x14ac:dyDescent="0.2">
      <c r="A807" s="2">
        <v>45369</v>
      </c>
      <c r="B807" s="3" t="s">
        <v>5</v>
      </c>
      <c r="C807" s="3">
        <v>414.98899999999998</v>
      </c>
    </row>
    <row r="808" spans="1:3" x14ac:dyDescent="0.2">
      <c r="A808" s="2">
        <v>45370</v>
      </c>
      <c r="B808" s="3" t="s">
        <v>5</v>
      </c>
      <c r="C808" s="3">
        <v>419.05500000000001</v>
      </c>
    </row>
    <row r="809" spans="1:3" x14ac:dyDescent="0.2">
      <c r="A809" s="2">
        <v>45371</v>
      </c>
      <c r="B809" s="3" t="s">
        <v>5</v>
      </c>
      <c r="C809" s="3">
        <v>422.85399999999998</v>
      </c>
    </row>
    <row r="810" spans="1:3" x14ac:dyDescent="0.2">
      <c r="A810" s="2">
        <v>45372</v>
      </c>
      <c r="B810" s="3" t="s">
        <v>5</v>
      </c>
      <c r="C810" s="3">
        <v>426.971</v>
      </c>
    </row>
    <row r="811" spans="1:3" x14ac:dyDescent="0.2">
      <c r="A811" s="2">
        <v>45373</v>
      </c>
      <c r="B811" s="3" t="s">
        <v>5</v>
      </c>
      <c r="C811" s="3">
        <v>426.34500000000003</v>
      </c>
    </row>
    <row r="812" spans="1:3" x14ac:dyDescent="0.2">
      <c r="A812" s="2">
        <v>45376</v>
      </c>
      <c r="B812" s="3" t="s">
        <v>5</v>
      </c>
      <c r="C812" s="3">
        <v>420.49799999999999</v>
      </c>
    </row>
    <row r="813" spans="1:3" x14ac:dyDescent="0.2">
      <c r="A813" s="2">
        <v>45377</v>
      </c>
      <c r="B813" s="3" t="s">
        <v>5</v>
      </c>
      <c r="C813" s="3">
        <v>419.29500000000002</v>
      </c>
    </row>
    <row r="814" spans="1:3" x14ac:dyDescent="0.2">
      <c r="A814" s="2">
        <v>45378</v>
      </c>
      <c r="B814" s="3" t="s">
        <v>5</v>
      </c>
      <c r="C814" s="3">
        <v>419.07499999999999</v>
      </c>
    </row>
    <row r="815" spans="1:3" x14ac:dyDescent="0.2">
      <c r="A815" s="2">
        <v>45379</v>
      </c>
      <c r="B815" s="3" t="s">
        <v>5</v>
      </c>
      <c r="C815" s="3">
        <v>418.37</v>
      </c>
    </row>
    <row r="816" spans="1:3" x14ac:dyDescent="0.2">
      <c r="A816" s="2">
        <v>45383</v>
      </c>
      <c r="B816" s="3" t="s">
        <v>5</v>
      </c>
      <c r="C816" s="3">
        <v>422.19900000000001</v>
      </c>
    </row>
    <row r="817" spans="1:3" x14ac:dyDescent="0.2">
      <c r="A817" s="2">
        <v>45384</v>
      </c>
      <c r="B817" s="3" t="s">
        <v>5</v>
      </c>
      <c r="C817" s="3">
        <v>419.08499999999998</v>
      </c>
    </row>
    <row r="818" spans="1:3" x14ac:dyDescent="0.2">
      <c r="A818" s="2">
        <v>45385</v>
      </c>
      <c r="B818" s="3" t="s">
        <v>5</v>
      </c>
      <c r="C818" s="3">
        <v>418.101</v>
      </c>
    </row>
    <row r="819" spans="1:3" x14ac:dyDescent="0.2">
      <c r="A819" s="2">
        <v>45386</v>
      </c>
      <c r="B819" s="3" t="s">
        <v>5</v>
      </c>
      <c r="C819" s="3">
        <v>415.54599999999999</v>
      </c>
    </row>
    <row r="820" spans="1:3" x14ac:dyDescent="0.2">
      <c r="A820" s="2">
        <v>45387</v>
      </c>
      <c r="B820" s="3" t="s">
        <v>5</v>
      </c>
      <c r="C820" s="3">
        <v>423.14299999999997</v>
      </c>
    </row>
    <row r="821" spans="1:3" x14ac:dyDescent="0.2">
      <c r="A821" s="2">
        <v>45390</v>
      </c>
      <c r="B821" s="3" t="s">
        <v>5</v>
      </c>
      <c r="C821" s="3">
        <v>422.28699999999998</v>
      </c>
    </row>
    <row r="822" spans="1:3" x14ac:dyDescent="0.2">
      <c r="A822" s="2">
        <v>45391</v>
      </c>
      <c r="B822" s="3" t="s">
        <v>5</v>
      </c>
      <c r="C822" s="3">
        <v>423.89800000000002</v>
      </c>
    </row>
    <row r="823" spans="1:3" x14ac:dyDescent="0.2">
      <c r="A823" s="2">
        <v>45392</v>
      </c>
      <c r="B823" s="3" t="s">
        <v>5</v>
      </c>
      <c r="C823" s="3">
        <v>420.89600000000002</v>
      </c>
    </row>
    <row r="824" spans="1:3" x14ac:dyDescent="0.2">
      <c r="A824" s="2">
        <v>45393</v>
      </c>
      <c r="B824" s="3" t="s">
        <v>5</v>
      </c>
      <c r="C824" s="3">
        <v>425.53899999999999</v>
      </c>
    </row>
    <row r="825" spans="1:3" x14ac:dyDescent="0.2">
      <c r="A825" s="2">
        <v>45394</v>
      </c>
      <c r="B825" s="3" t="s">
        <v>5</v>
      </c>
      <c r="C825" s="3">
        <v>419.54199999999997</v>
      </c>
    </row>
    <row r="826" spans="1:3" x14ac:dyDescent="0.2">
      <c r="A826" s="2">
        <v>45397</v>
      </c>
      <c r="B826" s="3" t="s">
        <v>5</v>
      </c>
      <c r="C826" s="3">
        <v>411.32900000000001</v>
      </c>
    </row>
    <row r="827" spans="1:3" x14ac:dyDescent="0.2">
      <c r="A827" s="2">
        <v>45398</v>
      </c>
      <c r="B827" s="3" t="s">
        <v>5</v>
      </c>
      <c r="C827" s="3">
        <v>412.26400000000001</v>
      </c>
    </row>
    <row r="828" spans="1:3" x14ac:dyDescent="0.2">
      <c r="A828" s="2">
        <v>45399</v>
      </c>
      <c r="B828" s="3" t="s">
        <v>5</v>
      </c>
      <c r="C828" s="3">
        <v>409.53800000000001</v>
      </c>
    </row>
    <row r="829" spans="1:3" x14ac:dyDescent="0.2">
      <c r="A829" s="2">
        <v>45400</v>
      </c>
      <c r="B829" s="3" t="s">
        <v>5</v>
      </c>
      <c r="C829" s="3">
        <v>402.01100000000002</v>
      </c>
    </row>
    <row r="830" spans="1:3" x14ac:dyDescent="0.2">
      <c r="A830" s="2">
        <v>45401</v>
      </c>
      <c r="B830" s="3" t="s">
        <v>5</v>
      </c>
      <c r="C830" s="3">
        <v>396.89</v>
      </c>
    </row>
    <row r="831" spans="1:3" x14ac:dyDescent="0.2">
      <c r="A831" s="2">
        <v>45404</v>
      </c>
      <c r="B831" s="3" t="s">
        <v>5</v>
      </c>
      <c r="C831" s="3">
        <v>398.72</v>
      </c>
    </row>
    <row r="832" spans="1:3" x14ac:dyDescent="0.2">
      <c r="A832" s="2">
        <v>45405</v>
      </c>
      <c r="B832" s="3" t="s">
        <v>5</v>
      </c>
      <c r="C832" s="3">
        <v>405.29300000000001</v>
      </c>
    </row>
    <row r="833" spans="1:3" x14ac:dyDescent="0.2">
      <c r="A833" s="2">
        <v>45406</v>
      </c>
      <c r="B833" s="3" t="s">
        <v>5</v>
      </c>
      <c r="C833" s="3">
        <v>406.77499999999998</v>
      </c>
    </row>
    <row r="834" spans="1:3" x14ac:dyDescent="0.2">
      <c r="A834" s="2">
        <v>45407</v>
      </c>
      <c r="B834" s="3" t="s">
        <v>5</v>
      </c>
      <c r="C834" s="3">
        <v>396.81099999999998</v>
      </c>
    </row>
    <row r="835" spans="1:3" x14ac:dyDescent="0.2">
      <c r="A835" s="2">
        <v>45408</v>
      </c>
      <c r="B835" s="3" t="s">
        <v>5</v>
      </c>
      <c r="C835" s="3">
        <v>404.04899999999998</v>
      </c>
    </row>
    <row r="836" spans="1:3" x14ac:dyDescent="0.2">
      <c r="A836" s="2">
        <v>45411</v>
      </c>
      <c r="B836" s="3" t="s">
        <v>5</v>
      </c>
      <c r="C836" s="3">
        <v>400.00299999999999</v>
      </c>
    </row>
    <row r="837" spans="1:3" x14ac:dyDescent="0.2">
      <c r="A837" s="2">
        <v>45412</v>
      </c>
      <c r="B837" s="3" t="s">
        <v>5</v>
      </c>
      <c r="C837" s="3">
        <v>387.15499999999997</v>
      </c>
    </row>
    <row r="838" spans="1:3" x14ac:dyDescent="0.2">
      <c r="A838" s="2">
        <v>45413</v>
      </c>
      <c r="B838" s="3" t="s">
        <v>5</v>
      </c>
      <c r="C838" s="3">
        <v>392.73399999999998</v>
      </c>
    </row>
    <row r="839" spans="1:3" x14ac:dyDescent="0.2">
      <c r="A839" s="2">
        <v>45414</v>
      </c>
      <c r="B839" s="3" t="s">
        <v>5</v>
      </c>
      <c r="C839" s="3">
        <v>395.61799999999999</v>
      </c>
    </row>
    <row r="840" spans="1:3" x14ac:dyDescent="0.2">
      <c r="A840" s="2">
        <v>45415</v>
      </c>
      <c r="B840" s="3" t="s">
        <v>5</v>
      </c>
      <c r="C840" s="3">
        <v>404.38900000000001</v>
      </c>
    </row>
    <row r="841" spans="1:3" x14ac:dyDescent="0.2">
      <c r="A841" s="2">
        <v>45418</v>
      </c>
      <c r="B841" s="3" t="s">
        <v>5</v>
      </c>
      <c r="C841" s="3">
        <v>411.22899999999998</v>
      </c>
    </row>
    <row r="842" spans="1:3" x14ac:dyDescent="0.2">
      <c r="A842" s="2">
        <v>45419</v>
      </c>
      <c r="B842" s="3" t="s">
        <v>5</v>
      </c>
      <c r="C842" s="3">
        <v>407.053</v>
      </c>
    </row>
    <row r="843" spans="1:3" x14ac:dyDescent="0.2">
      <c r="A843" s="2">
        <v>45420</v>
      </c>
      <c r="B843" s="3" t="s">
        <v>5</v>
      </c>
      <c r="C843" s="3">
        <v>408.24700000000001</v>
      </c>
    </row>
    <row r="844" spans="1:3" x14ac:dyDescent="0.2">
      <c r="A844" s="2">
        <v>45421</v>
      </c>
      <c r="B844" s="3" t="s">
        <v>5</v>
      </c>
      <c r="C844" s="3">
        <v>410.017</v>
      </c>
    </row>
    <row r="845" spans="1:3" x14ac:dyDescent="0.2">
      <c r="A845" s="2">
        <v>45422</v>
      </c>
      <c r="B845" s="3" t="s">
        <v>5</v>
      </c>
      <c r="C845" s="3">
        <v>412.42200000000003</v>
      </c>
    </row>
    <row r="846" spans="1:3" x14ac:dyDescent="0.2">
      <c r="A846" s="2">
        <v>45425</v>
      </c>
      <c r="B846" s="3" t="s">
        <v>5</v>
      </c>
      <c r="C846" s="3">
        <v>411.40899999999999</v>
      </c>
    </row>
    <row r="847" spans="1:3" x14ac:dyDescent="0.2">
      <c r="A847" s="2">
        <v>45426</v>
      </c>
      <c r="B847" s="3" t="s">
        <v>5</v>
      </c>
      <c r="C847" s="3">
        <v>414.233</v>
      </c>
    </row>
    <row r="848" spans="1:3" x14ac:dyDescent="0.2">
      <c r="A848" s="2">
        <v>45427</v>
      </c>
      <c r="B848" s="3" t="s">
        <v>5</v>
      </c>
      <c r="C848" s="3">
        <v>421.47500000000002</v>
      </c>
    </row>
    <row r="849" spans="1:3" x14ac:dyDescent="0.2">
      <c r="A849" s="2">
        <v>45428</v>
      </c>
      <c r="B849" s="3" t="s">
        <v>5</v>
      </c>
      <c r="C849" s="3">
        <v>419.39400000000001</v>
      </c>
    </row>
    <row r="850" spans="1:3" x14ac:dyDescent="0.2">
      <c r="A850" s="2">
        <v>45429</v>
      </c>
      <c r="B850" s="3" t="s">
        <v>5</v>
      </c>
      <c r="C850" s="3">
        <v>418.61599999999999</v>
      </c>
    </row>
    <row r="851" spans="1:3" x14ac:dyDescent="0.2">
      <c r="A851" s="2">
        <v>45432</v>
      </c>
      <c r="B851" s="3" t="s">
        <v>5</v>
      </c>
      <c r="C851" s="3">
        <v>423.72699999999998</v>
      </c>
    </row>
    <row r="852" spans="1:3" x14ac:dyDescent="0.2">
      <c r="A852" s="2">
        <v>45433</v>
      </c>
      <c r="B852" s="3" t="s">
        <v>5</v>
      </c>
      <c r="C852" s="3">
        <v>427.41199999999998</v>
      </c>
    </row>
    <row r="853" spans="1:3" x14ac:dyDescent="0.2">
      <c r="A853" s="2">
        <v>45434</v>
      </c>
      <c r="B853" s="3" t="s">
        <v>5</v>
      </c>
      <c r="C853" s="3">
        <v>428.887</v>
      </c>
    </row>
    <row r="854" spans="1:3" x14ac:dyDescent="0.2">
      <c r="A854" s="2">
        <v>45435</v>
      </c>
      <c r="B854" s="3" t="s">
        <v>5</v>
      </c>
      <c r="C854" s="3">
        <v>425.38099999999997</v>
      </c>
    </row>
    <row r="855" spans="1:3" x14ac:dyDescent="0.2">
      <c r="A855" s="2">
        <v>45436</v>
      </c>
      <c r="B855" s="3" t="s">
        <v>5</v>
      </c>
      <c r="C855" s="3">
        <v>428.52800000000002</v>
      </c>
    </row>
    <row r="856" spans="1:3" x14ac:dyDescent="0.2">
      <c r="A856" s="2">
        <v>45440</v>
      </c>
      <c r="B856" s="3" t="s">
        <v>5</v>
      </c>
      <c r="C856" s="3">
        <v>428.68799999999999</v>
      </c>
    </row>
    <row r="857" spans="1:3" x14ac:dyDescent="0.2">
      <c r="A857" s="2">
        <v>45441</v>
      </c>
      <c r="B857" s="3" t="s">
        <v>5</v>
      </c>
      <c r="C857" s="3">
        <v>427.54199999999997</v>
      </c>
    </row>
    <row r="858" spans="1:3" x14ac:dyDescent="0.2">
      <c r="A858" s="2">
        <v>45442</v>
      </c>
      <c r="B858" s="3" t="s">
        <v>5</v>
      </c>
      <c r="C858" s="3">
        <v>413.09699999999998</v>
      </c>
    </row>
    <row r="859" spans="1:3" x14ac:dyDescent="0.2">
      <c r="A859" s="2">
        <v>45443</v>
      </c>
      <c r="B859" s="3" t="s">
        <v>5</v>
      </c>
      <c r="C859" s="3">
        <v>413.55500000000001</v>
      </c>
    </row>
    <row r="860" spans="1:3" x14ac:dyDescent="0.2">
      <c r="A860" s="2">
        <v>45446</v>
      </c>
      <c r="B860" s="3" t="s">
        <v>5</v>
      </c>
      <c r="C860" s="3">
        <v>411.95100000000002</v>
      </c>
    </row>
    <row r="861" spans="1:3" x14ac:dyDescent="0.2">
      <c r="A861" s="2">
        <v>45447</v>
      </c>
      <c r="B861" s="3" t="s">
        <v>5</v>
      </c>
      <c r="C861" s="3">
        <v>414.49099999999999</v>
      </c>
    </row>
    <row r="862" spans="1:3" x14ac:dyDescent="0.2">
      <c r="A862" s="2">
        <v>45448</v>
      </c>
      <c r="B862" s="3" t="s">
        <v>5</v>
      </c>
      <c r="C862" s="3">
        <v>422.40199999999999</v>
      </c>
    </row>
    <row r="863" spans="1:3" x14ac:dyDescent="0.2">
      <c r="A863" s="2">
        <v>45449</v>
      </c>
      <c r="B863" s="3" t="s">
        <v>5</v>
      </c>
      <c r="C863" s="3">
        <v>422.90899999999999</v>
      </c>
    </row>
    <row r="864" spans="1:3" x14ac:dyDescent="0.2">
      <c r="A864" s="2">
        <v>45450</v>
      </c>
      <c r="B864" s="3" t="s">
        <v>5</v>
      </c>
      <c r="C864" s="3">
        <v>422.24200000000002</v>
      </c>
    </row>
    <row r="865" spans="1:3" x14ac:dyDescent="0.2">
      <c r="A865" s="2">
        <v>45453</v>
      </c>
      <c r="B865" s="3" t="s">
        <v>5</v>
      </c>
      <c r="C865" s="3">
        <v>426.24700000000001</v>
      </c>
    </row>
    <row r="866" spans="1:3" x14ac:dyDescent="0.2">
      <c r="A866" s="2">
        <v>45454</v>
      </c>
      <c r="B866" s="3" t="s">
        <v>5</v>
      </c>
      <c r="C866" s="3">
        <v>431.03899999999999</v>
      </c>
    </row>
    <row r="867" spans="1:3" x14ac:dyDescent="0.2">
      <c r="A867" s="2">
        <v>45455</v>
      </c>
      <c r="B867" s="3" t="s">
        <v>5</v>
      </c>
      <c r="C867" s="3">
        <v>439.387</v>
      </c>
    </row>
    <row r="868" spans="1:3" x14ac:dyDescent="0.2">
      <c r="A868" s="2">
        <v>45456</v>
      </c>
      <c r="B868" s="3" t="s">
        <v>5</v>
      </c>
      <c r="C868" s="3">
        <v>439.90499999999997</v>
      </c>
    </row>
    <row r="869" spans="1:3" x14ac:dyDescent="0.2">
      <c r="A869" s="2">
        <v>45457</v>
      </c>
      <c r="B869" s="3" t="s">
        <v>5</v>
      </c>
      <c r="C869" s="3">
        <v>440.89100000000002</v>
      </c>
    </row>
    <row r="870" spans="1:3" x14ac:dyDescent="0.2">
      <c r="A870" s="2">
        <v>45460</v>
      </c>
      <c r="B870" s="3" t="s">
        <v>5</v>
      </c>
      <c r="C870" s="3">
        <v>446.66899999999998</v>
      </c>
    </row>
    <row r="871" spans="1:3" x14ac:dyDescent="0.2">
      <c r="A871" s="2">
        <v>45461</v>
      </c>
      <c r="B871" s="3" t="s">
        <v>5</v>
      </c>
      <c r="C871" s="3">
        <v>444.64699999999999</v>
      </c>
    </row>
    <row r="872" spans="1:3" x14ac:dyDescent="0.2">
      <c r="A872" s="2">
        <v>45463</v>
      </c>
      <c r="B872" s="3" t="s">
        <v>5</v>
      </c>
      <c r="C872" s="3">
        <v>444.00900000000001</v>
      </c>
    </row>
    <row r="873" spans="1:3" x14ac:dyDescent="0.2">
      <c r="A873" s="2">
        <v>45464</v>
      </c>
      <c r="B873" s="3" t="s">
        <v>5</v>
      </c>
      <c r="C873" s="3">
        <v>448.07400000000001</v>
      </c>
    </row>
    <row r="874" spans="1:3" x14ac:dyDescent="0.2">
      <c r="A874" s="2">
        <v>45467</v>
      </c>
      <c r="B874" s="3" t="s">
        <v>5</v>
      </c>
      <c r="C874" s="3">
        <v>445.97199999999998</v>
      </c>
    </row>
    <row r="875" spans="1:3" x14ac:dyDescent="0.2">
      <c r="A875" s="2">
        <v>45468</v>
      </c>
      <c r="B875" s="3" t="s">
        <v>5</v>
      </c>
      <c r="C875" s="3">
        <v>449.24</v>
      </c>
    </row>
    <row r="876" spans="1:3" x14ac:dyDescent="0.2">
      <c r="A876" s="2">
        <v>45469</v>
      </c>
      <c r="B876" s="3" t="s">
        <v>5</v>
      </c>
      <c r="C876" s="3">
        <v>450.44400000000002</v>
      </c>
    </row>
    <row r="877" spans="1:3" x14ac:dyDescent="0.2">
      <c r="A877" s="2">
        <v>45470</v>
      </c>
      <c r="B877" s="3" t="s">
        <v>5</v>
      </c>
      <c r="C877" s="3">
        <v>451.13200000000001</v>
      </c>
    </row>
    <row r="878" spans="1:3" x14ac:dyDescent="0.2">
      <c r="A878" s="2">
        <v>45471</v>
      </c>
      <c r="B878" s="3" t="s">
        <v>5</v>
      </c>
      <c r="C878" s="3">
        <v>445.255</v>
      </c>
    </row>
    <row r="879" spans="1:3" x14ac:dyDescent="0.2">
      <c r="A879" s="2">
        <v>45474</v>
      </c>
      <c r="B879" s="3" t="s">
        <v>5</v>
      </c>
      <c r="C879" s="3">
        <v>454.99700000000001</v>
      </c>
    </row>
    <row r="880" spans="1:3" x14ac:dyDescent="0.2">
      <c r="A880" s="2">
        <v>45475</v>
      </c>
      <c r="B880" s="3" t="s">
        <v>5</v>
      </c>
      <c r="C880" s="3">
        <v>457.53800000000001</v>
      </c>
    </row>
    <row r="881" spans="1:3" x14ac:dyDescent="0.2">
      <c r="A881" s="2">
        <v>45476</v>
      </c>
      <c r="B881" s="3" t="s">
        <v>5</v>
      </c>
      <c r="C881" s="3">
        <v>459.02199999999999</v>
      </c>
    </row>
    <row r="882" spans="1:3" x14ac:dyDescent="0.2">
      <c r="A882" s="2">
        <v>45478</v>
      </c>
      <c r="B882" s="3" t="s">
        <v>5</v>
      </c>
      <c r="C882" s="3">
        <v>465.78699999999998</v>
      </c>
    </row>
    <row r="883" spans="1:3" x14ac:dyDescent="0.2">
      <c r="A883" s="2">
        <v>45481</v>
      </c>
      <c r="B883" s="3" t="s">
        <v>5</v>
      </c>
      <c r="C883" s="3">
        <v>464.471</v>
      </c>
    </row>
    <row r="884" spans="1:3" x14ac:dyDescent="0.2">
      <c r="A884" s="2">
        <v>45482</v>
      </c>
      <c r="B884" s="3" t="s">
        <v>5</v>
      </c>
      <c r="C884" s="3">
        <v>457.79700000000003</v>
      </c>
    </row>
    <row r="885" spans="1:3" x14ac:dyDescent="0.2">
      <c r="A885" s="2">
        <v>45483</v>
      </c>
      <c r="B885" s="3" t="s">
        <v>5</v>
      </c>
      <c r="C885" s="3">
        <v>464.48099999999999</v>
      </c>
    </row>
    <row r="886" spans="1:3" x14ac:dyDescent="0.2">
      <c r="A886" s="2">
        <v>45484</v>
      </c>
      <c r="B886" s="3" t="s">
        <v>5</v>
      </c>
      <c r="C886" s="3">
        <v>452.97500000000002</v>
      </c>
    </row>
    <row r="887" spans="1:3" x14ac:dyDescent="0.2">
      <c r="A887" s="2">
        <v>45485</v>
      </c>
      <c r="B887" s="3" t="s">
        <v>5</v>
      </c>
      <c r="C887" s="3">
        <v>451.83</v>
      </c>
    </row>
    <row r="888" spans="1:3" x14ac:dyDescent="0.2">
      <c r="A888" s="2">
        <v>45488</v>
      </c>
      <c r="B888" s="3" t="s">
        <v>5</v>
      </c>
      <c r="C888" s="3">
        <v>452.238</v>
      </c>
    </row>
    <row r="889" spans="1:3" x14ac:dyDescent="0.2">
      <c r="A889" s="2">
        <v>45489</v>
      </c>
      <c r="B889" s="3" t="s">
        <v>5</v>
      </c>
      <c r="C889" s="3">
        <v>447.815</v>
      </c>
    </row>
    <row r="890" spans="1:3" x14ac:dyDescent="0.2">
      <c r="A890" s="2">
        <v>45490</v>
      </c>
      <c r="B890" s="3" t="s">
        <v>5</v>
      </c>
      <c r="C890" s="3">
        <v>441.83800000000002</v>
      </c>
    </row>
    <row r="891" spans="1:3" x14ac:dyDescent="0.2">
      <c r="A891" s="2">
        <v>45491</v>
      </c>
      <c r="B891" s="3" t="s">
        <v>5</v>
      </c>
      <c r="C891" s="3">
        <v>438.7</v>
      </c>
    </row>
    <row r="892" spans="1:3" x14ac:dyDescent="0.2">
      <c r="A892" s="2">
        <v>45492</v>
      </c>
      <c r="B892" s="3" t="s">
        <v>5</v>
      </c>
      <c r="C892" s="3">
        <v>435.452</v>
      </c>
    </row>
    <row r="893" spans="1:3" x14ac:dyDescent="0.2">
      <c r="A893" s="2">
        <v>45495</v>
      </c>
      <c r="B893" s="3" t="s">
        <v>5</v>
      </c>
      <c r="C893" s="3">
        <v>441.26</v>
      </c>
    </row>
    <row r="894" spans="1:3" x14ac:dyDescent="0.2">
      <c r="A894" s="2">
        <v>45496</v>
      </c>
      <c r="B894" s="3" t="s">
        <v>5</v>
      </c>
      <c r="C894" s="3">
        <v>443.16300000000001</v>
      </c>
    </row>
    <row r="895" spans="1:3" x14ac:dyDescent="0.2">
      <c r="A895" s="2">
        <v>45497</v>
      </c>
      <c r="B895" s="3" t="s">
        <v>5</v>
      </c>
      <c r="C895" s="3">
        <v>427.27300000000002</v>
      </c>
    </row>
    <row r="896" spans="1:3" x14ac:dyDescent="0.2">
      <c r="A896" s="2">
        <v>45498</v>
      </c>
      <c r="B896" s="3" t="s">
        <v>5</v>
      </c>
      <c r="C896" s="3">
        <v>416.81299999999999</v>
      </c>
    </row>
    <row r="897" spans="1:3" x14ac:dyDescent="0.2">
      <c r="A897" s="2">
        <v>45499</v>
      </c>
      <c r="B897" s="3" t="s">
        <v>5</v>
      </c>
      <c r="C897" s="3">
        <v>423.65699999999998</v>
      </c>
    </row>
    <row r="898" spans="1:3" x14ac:dyDescent="0.2">
      <c r="A898" s="2">
        <v>45502</v>
      </c>
      <c r="B898" s="3" t="s">
        <v>5</v>
      </c>
      <c r="C898" s="3">
        <v>425.11099999999999</v>
      </c>
    </row>
    <row r="899" spans="1:3" x14ac:dyDescent="0.2">
      <c r="A899" s="2">
        <v>45503</v>
      </c>
      <c r="B899" s="3" t="s">
        <v>5</v>
      </c>
      <c r="C899" s="3">
        <v>421.31599999999997</v>
      </c>
    </row>
    <row r="900" spans="1:3" x14ac:dyDescent="0.2">
      <c r="A900" s="2">
        <v>45504</v>
      </c>
      <c r="B900" s="3" t="s">
        <v>5</v>
      </c>
      <c r="C900" s="3">
        <v>416.76299999999998</v>
      </c>
    </row>
    <row r="901" spans="1:3" x14ac:dyDescent="0.2">
      <c r="A901" s="2">
        <v>45505</v>
      </c>
      <c r="B901" s="3" t="s">
        <v>5</v>
      </c>
      <c r="C901" s="3">
        <v>415.52800000000002</v>
      </c>
    </row>
    <row r="902" spans="1:3" x14ac:dyDescent="0.2">
      <c r="A902" s="2">
        <v>45506</v>
      </c>
      <c r="B902" s="3" t="s">
        <v>5</v>
      </c>
      <c r="C902" s="3">
        <v>406.94</v>
      </c>
    </row>
    <row r="903" spans="1:3" x14ac:dyDescent="0.2">
      <c r="A903" s="2">
        <v>45509</v>
      </c>
      <c r="B903" s="3" t="s">
        <v>5</v>
      </c>
      <c r="C903" s="3">
        <v>393.65100000000001</v>
      </c>
    </row>
    <row r="904" spans="1:3" x14ac:dyDescent="0.2">
      <c r="A904" s="2">
        <v>45510</v>
      </c>
      <c r="B904" s="3" t="s">
        <v>5</v>
      </c>
      <c r="C904" s="3">
        <v>398.09399999999999</v>
      </c>
    </row>
    <row r="905" spans="1:3" x14ac:dyDescent="0.2">
      <c r="A905" s="2">
        <v>45511</v>
      </c>
      <c r="B905" s="3" t="s">
        <v>5</v>
      </c>
      <c r="C905" s="3">
        <v>396.91899999999998</v>
      </c>
    </row>
    <row r="906" spans="1:3" x14ac:dyDescent="0.2">
      <c r="A906" s="2">
        <v>45512</v>
      </c>
      <c r="B906" s="3" t="s">
        <v>5</v>
      </c>
      <c r="C906" s="3">
        <v>401.16199999999998</v>
      </c>
    </row>
    <row r="907" spans="1:3" x14ac:dyDescent="0.2">
      <c r="A907" s="2">
        <v>45513</v>
      </c>
      <c r="B907" s="3" t="s">
        <v>5</v>
      </c>
      <c r="C907" s="3">
        <v>404.48</v>
      </c>
    </row>
    <row r="908" spans="1:3" x14ac:dyDescent="0.2">
      <c r="A908" s="2">
        <v>45516</v>
      </c>
      <c r="B908" s="3" t="s">
        <v>5</v>
      </c>
      <c r="C908" s="3">
        <v>405.267</v>
      </c>
    </row>
    <row r="909" spans="1:3" x14ac:dyDescent="0.2">
      <c r="A909" s="2">
        <v>45517</v>
      </c>
      <c r="B909" s="3" t="s">
        <v>5</v>
      </c>
      <c r="C909" s="3">
        <v>412.43900000000002</v>
      </c>
    </row>
    <row r="910" spans="1:3" x14ac:dyDescent="0.2">
      <c r="A910" s="2">
        <v>45518</v>
      </c>
      <c r="B910" s="3" t="s">
        <v>5</v>
      </c>
      <c r="C910" s="3">
        <v>415.279</v>
      </c>
    </row>
    <row r="911" spans="1:3" x14ac:dyDescent="0.2">
      <c r="A911" s="2">
        <v>45519</v>
      </c>
      <c r="B911" s="3" t="s">
        <v>5</v>
      </c>
      <c r="C911" s="3">
        <v>420.18900000000002</v>
      </c>
    </row>
    <row r="912" spans="1:3" x14ac:dyDescent="0.2">
      <c r="A912" s="2">
        <v>45520</v>
      </c>
      <c r="B912" s="3" t="s">
        <v>5</v>
      </c>
      <c r="C912" s="3">
        <v>417.63400000000001</v>
      </c>
    </row>
    <row r="913" spans="1:3" x14ac:dyDescent="0.2">
      <c r="A913" s="2">
        <v>45523</v>
      </c>
      <c r="B913" s="3" t="s">
        <v>5</v>
      </c>
      <c r="C913" s="3">
        <v>420.68799999999999</v>
      </c>
    </row>
    <row r="914" spans="1:3" x14ac:dyDescent="0.2">
      <c r="A914" s="2">
        <v>45524</v>
      </c>
      <c r="B914" s="3" t="s">
        <v>5</v>
      </c>
      <c r="C914" s="3">
        <v>423.95100000000002</v>
      </c>
    </row>
    <row r="915" spans="1:3" x14ac:dyDescent="0.2">
      <c r="A915" s="2">
        <v>45525</v>
      </c>
      <c r="B915" s="3" t="s">
        <v>5</v>
      </c>
      <c r="C915" s="3">
        <v>423.29300000000001</v>
      </c>
    </row>
    <row r="916" spans="1:3" x14ac:dyDescent="0.2">
      <c r="A916" s="2">
        <v>45526</v>
      </c>
      <c r="B916" s="3" t="s">
        <v>5</v>
      </c>
      <c r="C916" s="3">
        <v>414.72</v>
      </c>
    </row>
    <row r="917" spans="1:3" x14ac:dyDescent="0.2">
      <c r="A917" s="2">
        <v>45527</v>
      </c>
      <c r="B917" s="3" t="s">
        <v>5</v>
      </c>
      <c r="C917" s="3">
        <v>415.95699999999999</v>
      </c>
    </row>
    <row r="918" spans="1:3" x14ac:dyDescent="0.2">
      <c r="A918" s="2">
        <v>45530</v>
      </c>
      <c r="B918" s="3" t="s">
        <v>5</v>
      </c>
      <c r="C918" s="3">
        <v>412.66399999999999</v>
      </c>
    </row>
    <row r="919" spans="1:3" x14ac:dyDescent="0.2">
      <c r="A919" s="2">
        <v>45531</v>
      </c>
      <c r="B919" s="3" t="s">
        <v>5</v>
      </c>
      <c r="C919" s="3">
        <v>413.01299999999998</v>
      </c>
    </row>
    <row r="920" spans="1:3" x14ac:dyDescent="0.2">
      <c r="A920" s="2">
        <v>45532</v>
      </c>
      <c r="B920" s="3" t="s">
        <v>5</v>
      </c>
      <c r="C920" s="3">
        <v>409.78</v>
      </c>
    </row>
    <row r="921" spans="1:3" x14ac:dyDescent="0.2">
      <c r="A921" s="2">
        <v>45533</v>
      </c>
      <c r="B921" s="3" t="s">
        <v>5</v>
      </c>
      <c r="C921" s="3">
        <v>412.29500000000002</v>
      </c>
    </row>
    <row r="922" spans="1:3" x14ac:dyDescent="0.2">
      <c r="A922" s="2">
        <v>45534</v>
      </c>
      <c r="B922" s="3" t="s">
        <v>5</v>
      </c>
      <c r="C922" s="3">
        <v>416.30700000000002</v>
      </c>
    </row>
    <row r="923" spans="1:3" x14ac:dyDescent="0.2">
      <c r="A923" s="2">
        <v>45538</v>
      </c>
      <c r="B923" s="3" t="s">
        <v>5</v>
      </c>
      <c r="C923" s="3">
        <v>408.62200000000001</v>
      </c>
    </row>
    <row r="924" spans="1:3" x14ac:dyDescent="0.2">
      <c r="A924" s="2">
        <v>45539</v>
      </c>
      <c r="B924" s="3" t="s">
        <v>5</v>
      </c>
      <c r="C924" s="3">
        <v>408.08300000000003</v>
      </c>
    </row>
    <row r="925" spans="1:3" x14ac:dyDescent="0.2">
      <c r="A925" s="2">
        <v>45540</v>
      </c>
      <c r="B925" s="3" t="s">
        <v>5</v>
      </c>
      <c r="C925" s="3">
        <v>407.57400000000001</v>
      </c>
    </row>
    <row r="926" spans="1:3" x14ac:dyDescent="0.2">
      <c r="A926" s="2">
        <v>45541</v>
      </c>
      <c r="B926" s="3" t="s">
        <v>5</v>
      </c>
      <c r="C926" s="3">
        <v>400.89800000000002</v>
      </c>
    </row>
    <row r="927" spans="1:3" x14ac:dyDescent="0.2">
      <c r="A927" s="2">
        <v>45544</v>
      </c>
      <c r="B927" s="3" t="s">
        <v>5</v>
      </c>
      <c r="C927" s="3">
        <v>404.91</v>
      </c>
    </row>
    <row r="928" spans="1:3" x14ac:dyDescent="0.2">
      <c r="A928" s="2">
        <v>45545</v>
      </c>
      <c r="B928" s="3" t="s">
        <v>5</v>
      </c>
      <c r="C928" s="3">
        <v>413.37299999999999</v>
      </c>
    </row>
    <row r="929" spans="1:3" x14ac:dyDescent="0.2">
      <c r="A929" s="2">
        <v>45546</v>
      </c>
      <c r="B929" s="3" t="s">
        <v>5</v>
      </c>
      <c r="C929" s="3">
        <v>422.19499999999999</v>
      </c>
    </row>
    <row r="930" spans="1:3" x14ac:dyDescent="0.2">
      <c r="A930" s="2">
        <v>45547</v>
      </c>
      <c r="B930" s="3" t="s">
        <v>5</v>
      </c>
      <c r="C930" s="3">
        <v>426.14699999999999</v>
      </c>
    </row>
    <row r="931" spans="1:3" x14ac:dyDescent="0.2">
      <c r="A931" s="2">
        <v>45548</v>
      </c>
      <c r="B931" s="3" t="s">
        <v>5</v>
      </c>
      <c r="C931" s="3">
        <v>429.73</v>
      </c>
    </row>
    <row r="932" spans="1:3" x14ac:dyDescent="0.2">
      <c r="A932" s="2">
        <v>45551</v>
      </c>
      <c r="B932" s="3" t="s">
        <v>5</v>
      </c>
      <c r="C932" s="3">
        <v>430.47800000000001</v>
      </c>
    </row>
    <row r="933" spans="1:3" x14ac:dyDescent="0.2">
      <c r="A933" s="2">
        <v>45552</v>
      </c>
      <c r="B933" s="3" t="s">
        <v>5</v>
      </c>
      <c r="C933" s="3">
        <v>434.28100000000001</v>
      </c>
    </row>
    <row r="934" spans="1:3" x14ac:dyDescent="0.2">
      <c r="A934" s="2">
        <v>45553</v>
      </c>
      <c r="B934" s="3" t="s">
        <v>5</v>
      </c>
      <c r="C934" s="3">
        <v>429.94900000000001</v>
      </c>
    </row>
    <row r="935" spans="1:3" x14ac:dyDescent="0.2">
      <c r="A935" s="2">
        <v>45554</v>
      </c>
      <c r="B935" s="3" t="s">
        <v>5</v>
      </c>
      <c r="C935" s="3">
        <v>437.81400000000002</v>
      </c>
    </row>
    <row r="936" spans="1:3" x14ac:dyDescent="0.2">
      <c r="A936" s="2">
        <v>45555</v>
      </c>
      <c r="B936" s="3" t="s">
        <v>5</v>
      </c>
      <c r="C936" s="3">
        <v>434.4</v>
      </c>
    </row>
    <row r="937" spans="1:3" x14ac:dyDescent="0.2">
      <c r="A937" s="2">
        <v>45558</v>
      </c>
      <c r="B937" s="3" t="s">
        <v>5</v>
      </c>
      <c r="C937" s="3">
        <v>432.64400000000001</v>
      </c>
    </row>
    <row r="938" spans="1:3" x14ac:dyDescent="0.2">
      <c r="A938" s="2">
        <v>45559</v>
      </c>
      <c r="B938" s="3" t="s">
        <v>5</v>
      </c>
      <c r="C938" s="3">
        <v>428.31299999999999</v>
      </c>
    </row>
    <row r="939" spans="1:3" x14ac:dyDescent="0.2">
      <c r="A939" s="2">
        <v>45560</v>
      </c>
      <c r="B939" s="3" t="s">
        <v>5</v>
      </c>
      <c r="C939" s="3">
        <v>431.24700000000001</v>
      </c>
    </row>
    <row r="940" spans="1:3" x14ac:dyDescent="0.2">
      <c r="A940" s="2">
        <v>45561</v>
      </c>
      <c r="B940" s="3" t="s">
        <v>5</v>
      </c>
      <c r="C940" s="3">
        <v>430.44799999999998</v>
      </c>
    </row>
    <row r="941" spans="1:3" x14ac:dyDescent="0.2">
      <c r="A941" s="2">
        <v>45562</v>
      </c>
      <c r="B941" s="3" t="s">
        <v>5</v>
      </c>
      <c r="C941" s="3">
        <v>427.16500000000002</v>
      </c>
    </row>
    <row r="942" spans="1:3" x14ac:dyDescent="0.2">
      <c r="A942" s="2">
        <v>45565</v>
      </c>
      <c r="B942" s="3" t="s">
        <v>5</v>
      </c>
      <c r="C942" s="3">
        <v>429.44</v>
      </c>
    </row>
    <row r="943" spans="1:3" x14ac:dyDescent="0.2">
      <c r="A943" s="2">
        <v>45566</v>
      </c>
      <c r="B943" s="3" t="s">
        <v>5</v>
      </c>
      <c r="C943" s="3">
        <v>419.85</v>
      </c>
    </row>
    <row r="944" spans="1:3" x14ac:dyDescent="0.2">
      <c r="A944" s="2">
        <v>45567</v>
      </c>
      <c r="B944" s="3" t="s">
        <v>5</v>
      </c>
      <c r="C944" s="3">
        <v>416.29700000000003</v>
      </c>
    </row>
    <row r="945" spans="1:3" x14ac:dyDescent="0.2">
      <c r="A945" s="2">
        <v>45568</v>
      </c>
      <c r="B945" s="3" t="s">
        <v>5</v>
      </c>
      <c r="C945" s="3">
        <v>415.70800000000003</v>
      </c>
    </row>
    <row r="946" spans="1:3" x14ac:dyDescent="0.2">
      <c r="A946" s="2">
        <v>45569</v>
      </c>
      <c r="B946" s="3" t="s">
        <v>5</v>
      </c>
      <c r="C946" s="3">
        <v>415.22899999999998</v>
      </c>
    </row>
    <row r="947" spans="1:3" x14ac:dyDescent="0.2">
      <c r="A947" s="2">
        <v>45572</v>
      </c>
      <c r="B947" s="3" t="s">
        <v>5</v>
      </c>
      <c r="C947" s="3">
        <v>408.72199999999998</v>
      </c>
    </row>
    <row r="948" spans="1:3" x14ac:dyDescent="0.2">
      <c r="A948" s="2">
        <v>45573</v>
      </c>
      <c r="B948" s="3" t="s">
        <v>5</v>
      </c>
      <c r="C948" s="3">
        <v>413.88200000000001</v>
      </c>
    </row>
    <row r="949" spans="1:3" x14ac:dyDescent="0.2">
      <c r="A949" s="2">
        <v>45574</v>
      </c>
      <c r="B949" s="3" t="s">
        <v>5</v>
      </c>
      <c r="C949" s="3">
        <v>416.62599999999998</v>
      </c>
    </row>
    <row r="950" spans="1:3" x14ac:dyDescent="0.2">
      <c r="A950" s="2">
        <v>45575</v>
      </c>
      <c r="B950" s="3" t="s">
        <v>5</v>
      </c>
      <c r="C950" s="3">
        <v>415.00900000000001</v>
      </c>
    </row>
    <row r="951" spans="1:3" x14ac:dyDescent="0.2">
      <c r="A951" s="2">
        <v>45576</v>
      </c>
      <c r="B951" s="3" t="s">
        <v>5</v>
      </c>
      <c r="C951" s="3">
        <v>415.488</v>
      </c>
    </row>
    <row r="952" spans="1:3" x14ac:dyDescent="0.2">
      <c r="A952" s="2">
        <v>45579</v>
      </c>
      <c r="B952" s="3" t="s">
        <v>5</v>
      </c>
      <c r="C952" s="3">
        <v>418.303</v>
      </c>
    </row>
    <row r="953" spans="1:3" x14ac:dyDescent="0.2">
      <c r="A953" s="2">
        <v>45580</v>
      </c>
      <c r="B953" s="3" t="s">
        <v>5</v>
      </c>
      <c r="C953" s="3">
        <v>417.904</v>
      </c>
    </row>
    <row r="954" spans="1:3" x14ac:dyDescent="0.2">
      <c r="A954" s="2">
        <v>45581</v>
      </c>
      <c r="B954" s="3" t="s">
        <v>5</v>
      </c>
      <c r="C954" s="3">
        <v>415.28899999999999</v>
      </c>
    </row>
    <row r="955" spans="1:3" x14ac:dyDescent="0.2">
      <c r="A955" s="2">
        <v>45582</v>
      </c>
      <c r="B955" s="3" t="s">
        <v>5</v>
      </c>
      <c r="C955" s="3">
        <v>415.88799999999998</v>
      </c>
    </row>
    <row r="956" spans="1:3" x14ac:dyDescent="0.2">
      <c r="A956" s="2">
        <v>45583</v>
      </c>
      <c r="B956" s="3" t="s">
        <v>5</v>
      </c>
      <c r="C956" s="3">
        <v>417.32499999999999</v>
      </c>
    </row>
    <row r="957" spans="1:3" x14ac:dyDescent="0.2">
      <c r="A957" s="2">
        <v>45586</v>
      </c>
      <c r="B957" s="3" t="s">
        <v>5</v>
      </c>
      <c r="C957" s="3">
        <v>417.94299999999998</v>
      </c>
    </row>
    <row r="958" spans="1:3" x14ac:dyDescent="0.2">
      <c r="A958" s="2">
        <v>45587</v>
      </c>
      <c r="B958" s="3" t="s">
        <v>5</v>
      </c>
      <c r="C958" s="3">
        <v>426.65600000000001</v>
      </c>
    </row>
    <row r="959" spans="1:3" x14ac:dyDescent="0.2">
      <c r="A959" s="2">
        <v>45588</v>
      </c>
      <c r="B959" s="3" t="s">
        <v>5</v>
      </c>
      <c r="C959" s="3">
        <v>423.75200000000001</v>
      </c>
    </row>
    <row r="960" spans="1:3" x14ac:dyDescent="0.2">
      <c r="A960" s="2">
        <v>45589</v>
      </c>
      <c r="B960" s="3" t="s">
        <v>5</v>
      </c>
      <c r="C960" s="3">
        <v>423.88200000000001</v>
      </c>
    </row>
    <row r="961" spans="1:3" x14ac:dyDescent="0.2">
      <c r="A961" s="2">
        <v>45590</v>
      </c>
      <c r="B961" s="3" t="s">
        <v>5</v>
      </c>
      <c r="C961" s="3">
        <v>427.29500000000002</v>
      </c>
    </row>
    <row r="962" spans="1:3" x14ac:dyDescent="0.2">
      <c r="A962" s="2">
        <v>45593</v>
      </c>
      <c r="B962" s="3" t="s">
        <v>5</v>
      </c>
      <c r="C962" s="3">
        <v>425.738</v>
      </c>
    </row>
    <row r="963" spans="1:3" x14ac:dyDescent="0.2">
      <c r="A963" s="2">
        <v>45594</v>
      </c>
      <c r="B963" s="3" t="s">
        <v>5</v>
      </c>
      <c r="C963" s="3">
        <v>431.08699999999999</v>
      </c>
    </row>
    <row r="964" spans="1:3" x14ac:dyDescent="0.2">
      <c r="A964" s="2">
        <v>45595</v>
      </c>
      <c r="B964" s="3" t="s">
        <v>5</v>
      </c>
      <c r="C964" s="3">
        <v>431.666</v>
      </c>
    </row>
    <row r="965" spans="1:3" x14ac:dyDescent="0.2">
      <c r="A965" s="2">
        <v>45596</v>
      </c>
      <c r="B965" s="3" t="s">
        <v>5</v>
      </c>
      <c r="C965" s="3">
        <v>405.53800000000001</v>
      </c>
    </row>
    <row r="966" spans="1:3" x14ac:dyDescent="0.2">
      <c r="A966" s="2">
        <v>45597</v>
      </c>
      <c r="B966" s="3" t="s">
        <v>5</v>
      </c>
      <c r="C966" s="3">
        <v>409.55</v>
      </c>
    </row>
    <row r="967" spans="1:3" x14ac:dyDescent="0.2">
      <c r="A967" s="2">
        <v>45600</v>
      </c>
      <c r="B967" s="3" t="s">
        <v>5</v>
      </c>
      <c r="C967" s="3">
        <v>407.64400000000001</v>
      </c>
    </row>
    <row r="968" spans="1:3" x14ac:dyDescent="0.2">
      <c r="A968" s="2">
        <v>45601</v>
      </c>
      <c r="B968" s="3" t="s">
        <v>5</v>
      </c>
      <c r="C968" s="3">
        <v>410.63799999999998</v>
      </c>
    </row>
    <row r="969" spans="1:3" x14ac:dyDescent="0.2">
      <c r="A969" s="2">
        <v>45602</v>
      </c>
      <c r="B969" s="3" t="s">
        <v>5</v>
      </c>
      <c r="C969" s="3">
        <v>419.34100000000001</v>
      </c>
    </row>
    <row r="970" spans="1:3" x14ac:dyDescent="0.2">
      <c r="A970" s="2">
        <v>45603</v>
      </c>
      <c r="B970" s="3" t="s">
        <v>5</v>
      </c>
      <c r="C970" s="3">
        <v>424.58</v>
      </c>
    </row>
    <row r="971" spans="1:3" x14ac:dyDescent="0.2">
      <c r="A971" s="2">
        <v>45604</v>
      </c>
      <c r="B971" s="3" t="s">
        <v>5</v>
      </c>
      <c r="C971" s="3">
        <v>421.69600000000003</v>
      </c>
    </row>
    <row r="972" spans="1:3" x14ac:dyDescent="0.2">
      <c r="A972" s="2">
        <v>45607</v>
      </c>
      <c r="B972" s="3" t="s">
        <v>5</v>
      </c>
      <c r="C972" s="3">
        <v>417.17500000000001</v>
      </c>
    </row>
    <row r="973" spans="1:3" x14ac:dyDescent="0.2">
      <c r="A973" s="2">
        <v>45608</v>
      </c>
      <c r="B973" s="3" t="s">
        <v>5</v>
      </c>
      <c r="C973" s="3">
        <v>422.185</v>
      </c>
    </row>
    <row r="974" spans="1:3" x14ac:dyDescent="0.2">
      <c r="A974" s="2">
        <v>45609</v>
      </c>
      <c r="B974" s="3" t="s">
        <v>5</v>
      </c>
      <c r="C974" s="3">
        <v>424.351</v>
      </c>
    </row>
    <row r="975" spans="1:3" x14ac:dyDescent="0.2">
      <c r="A975" s="2">
        <v>45610</v>
      </c>
      <c r="B975" s="3" t="s">
        <v>5</v>
      </c>
      <c r="C975" s="3">
        <v>426.03699999999998</v>
      </c>
    </row>
    <row r="976" spans="1:3" x14ac:dyDescent="0.2">
      <c r="A976" s="2">
        <v>45611</v>
      </c>
      <c r="B976" s="3" t="s">
        <v>5</v>
      </c>
      <c r="C976" s="3">
        <v>414.17099999999999</v>
      </c>
    </row>
    <row r="977" spans="1:3" x14ac:dyDescent="0.2">
      <c r="A977" s="2">
        <v>45614</v>
      </c>
      <c r="B977" s="3" t="s">
        <v>5</v>
      </c>
      <c r="C977" s="3">
        <v>414.92899999999997</v>
      </c>
    </row>
    <row r="978" spans="1:3" x14ac:dyDescent="0.2">
      <c r="A978" s="2">
        <v>45615</v>
      </c>
      <c r="B978" s="3" t="s">
        <v>5</v>
      </c>
      <c r="C978" s="3">
        <v>416.95499999999998</v>
      </c>
    </row>
    <row r="979" spans="1:3" x14ac:dyDescent="0.2">
      <c r="A979" s="2">
        <v>45616</v>
      </c>
      <c r="B979" s="3" t="s">
        <v>5</v>
      </c>
      <c r="C979" s="3">
        <v>414.66</v>
      </c>
    </row>
    <row r="980" spans="1:3" x14ac:dyDescent="0.2">
      <c r="A980" s="2">
        <v>45617</v>
      </c>
      <c r="B980" s="3" t="s">
        <v>5</v>
      </c>
      <c r="C980" s="3">
        <v>412.87</v>
      </c>
    </row>
    <row r="981" spans="1:3" x14ac:dyDescent="0.2">
      <c r="A981" s="2">
        <v>45618</v>
      </c>
      <c r="B981" s="3" t="s">
        <v>5</v>
      </c>
      <c r="C981" s="3">
        <v>417</v>
      </c>
    </row>
    <row r="982" spans="1:3" x14ac:dyDescent="0.2">
      <c r="A982" s="2">
        <v>45621</v>
      </c>
      <c r="B982" s="3" t="s">
        <v>5</v>
      </c>
      <c r="C982" s="3">
        <v>418.79</v>
      </c>
    </row>
    <row r="983" spans="1:3" x14ac:dyDescent="0.2">
      <c r="A983" s="2">
        <v>45622</v>
      </c>
      <c r="B983" s="3" t="s">
        <v>5</v>
      </c>
      <c r="C983" s="3">
        <v>427.99</v>
      </c>
    </row>
    <row r="984" spans="1:3" x14ac:dyDescent="0.2">
      <c r="A984" s="2">
        <v>45623</v>
      </c>
      <c r="B984" s="3" t="s">
        <v>5</v>
      </c>
      <c r="C984" s="3">
        <v>422.99</v>
      </c>
    </row>
    <row r="985" spans="1:3" x14ac:dyDescent="0.2">
      <c r="A985" s="2">
        <v>45625</v>
      </c>
      <c r="B985" s="3" t="s">
        <v>5</v>
      </c>
      <c r="C985" s="3">
        <v>423.46</v>
      </c>
    </row>
    <row r="986" spans="1:3" x14ac:dyDescent="0.2">
      <c r="A986" s="2">
        <v>45628</v>
      </c>
      <c r="B986" s="3" t="s">
        <v>5</v>
      </c>
      <c r="C986" s="3">
        <v>430.98</v>
      </c>
    </row>
    <row r="987" spans="1:3" x14ac:dyDescent="0.2">
      <c r="A987" s="2">
        <v>45629</v>
      </c>
      <c r="B987" s="3" t="s">
        <v>5</v>
      </c>
      <c r="C987" s="3">
        <v>431.2</v>
      </c>
    </row>
    <row r="988" spans="1:3" x14ac:dyDescent="0.2">
      <c r="A988" s="2">
        <v>45630</v>
      </c>
      <c r="B988" s="3" t="s">
        <v>5</v>
      </c>
      <c r="C988" s="3">
        <v>437.42</v>
      </c>
    </row>
    <row r="989" spans="1:3" x14ac:dyDescent="0.2">
      <c r="A989" s="2">
        <v>45631</v>
      </c>
      <c r="B989" s="3" t="s">
        <v>5</v>
      </c>
      <c r="C989" s="3">
        <v>442.62</v>
      </c>
    </row>
    <row r="990" spans="1:3" x14ac:dyDescent="0.2">
      <c r="A990" s="2">
        <v>45632</v>
      </c>
      <c r="B990" s="3" t="s">
        <v>5</v>
      </c>
      <c r="C990" s="3">
        <v>443.57</v>
      </c>
    </row>
    <row r="991" spans="1:3" x14ac:dyDescent="0.2">
      <c r="A991" s="2">
        <v>45635</v>
      </c>
      <c r="B991" s="3" t="s">
        <v>5</v>
      </c>
      <c r="C991" s="3">
        <v>446.02</v>
      </c>
    </row>
    <row r="992" spans="1:3" x14ac:dyDescent="0.2">
      <c r="A992" s="2">
        <v>45636</v>
      </c>
      <c r="B992" s="3" t="s">
        <v>5</v>
      </c>
      <c r="C992" s="3">
        <v>443.33</v>
      </c>
    </row>
    <row r="993" spans="1:3" x14ac:dyDescent="0.2">
      <c r="A993" s="2">
        <v>45637</v>
      </c>
      <c r="B993" s="3" t="s">
        <v>5</v>
      </c>
      <c r="C993" s="3">
        <v>448.99</v>
      </c>
    </row>
    <row r="994" spans="1:3" x14ac:dyDescent="0.2">
      <c r="A994" s="2">
        <v>45638</v>
      </c>
      <c r="B994" s="3" t="s">
        <v>5</v>
      </c>
      <c r="C994" s="3">
        <v>449.56</v>
      </c>
    </row>
    <row r="995" spans="1:3" x14ac:dyDescent="0.2">
      <c r="A995" s="2">
        <v>45639</v>
      </c>
      <c r="B995" s="3" t="s">
        <v>5</v>
      </c>
      <c r="C995" s="3">
        <v>447.27</v>
      </c>
    </row>
    <row r="996" spans="1:3" x14ac:dyDescent="0.2">
      <c r="A996" s="2">
        <v>45642</v>
      </c>
      <c r="B996" s="3" t="s">
        <v>5</v>
      </c>
      <c r="C996" s="3">
        <v>451.59</v>
      </c>
    </row>
    <row r="997" spans="1:3" x14ac:dyDescent="0.2">
      <c r="A997" s="2">
        <v>45643</v>
      </c>
      <c r="B997" s="3" t="s">
        <v>5</v>
      </c>
      <c r="C997" s="3">
        <v>454.46</v>
      </c>
    </row>
    <row r="998" spans="1:3" x14ac:dyDescent="0.2">
      <c r="A998" s="2">
        <v>45644</v>
      </c>
      <c r="B998" s="3" t="s">
        <v>5</v>
      </c>
      <c r="C998" s="3">
        <v>437.39</v>
      </c>
    </row>
    <row r="999" spans="1:3" x14ac:dyDescent="0.2">
      <c r="A999" s="2">
        <v>45645</v>
      </c>
      <c r="B999" s="3" t="s">
        <v>5</v>
      </c>
      <c r="C999" s="3">
        <v>437.03</v>
      </c>
    </row>
    <row r="1000" spans="1:3" x14ac:dyDescent="0.2">
      <c r="A1000" s="2">
        <v>45646</v>
      </c>
      <c r="B1000" s="3" t="s">
        <v>5</v>
      </c>
      <c r="C1000" s="3">
        <v>436.6</v>
      </c>
    </row>
    <row r="1001" spans="1:3" x14ac:dyDescent="0.2">
      <c r="A1001" s="2">
        <v>45649</v>
      </c>
      <c r="B1001" s="3" t="s">
        <v>5</v>
      </c>
      <c r="C1001" s="3">
        <v>435.25</v>
      </c>
    </row>
    <row r="1002" spans="1:3" x14ac:dyDescent="0.2">
      <c r="A1002" s="2">
        <v>45650</v>
      </c>
      <c r="B1002" s="3" t="s">
        <v>5</v>
      </c>
      <c r="C1002" s="3">
        <v>439.33</v>
      </c>
    </row>
    <row r="1003" spans="1:3" x14ac:dyDescent="0.2">
      <c r="A1003" s="2">
        <v>45652</v>
      </c>
      <c r="B1003" s="3" t="s">
        <v>5</v>
      </c>
      <c r="C1003" s="3">
        <v>438.11</v>
      </c>
    </row>
    <row r="1004" spans="1:3" x14ac:dyDescent="0.2">
      <c r="A1004" s="2">
        <v>45653</v>
      </c>
      <c r="B1004" s="3" t="s">
        <v>5</v>
      </c>
      <c r="C1004" s="3">
        <v>430.53</v>
      </c>
    </row>
    <row r="1005" spans="1:3" x14ac:dyDescent="0.2">
      <c r="A1005" s="2">
        <v>45656</v>
      </c>
      <c r="B1005" s="3" t="s">
        <v>5</v>
      </c>
      <c r="C1005" s="3">
        <v>424.83</v>
      </c>
    </row>
    <row r="1006" spans="1:3" x14ac:dyDescent="0.2">
      <c r="A1006" s="2">
        <v>45657</v>
      </c>
      <c r="B1006" s="3" t="s">
        <v>5</v>
      </c>
      <c r="C1006" s="3">
        <v>421.5</v>
      </c>
    </row>
    <row r="1007" spans="1:3" x14ac:dyDescent="0.2">
      <c r="A1007" s="2">
        <v>45659</v>
      </c>
      <c r="B1007" s="3" t="s">
        <v>5</v>
      </c>
      <c r="C1007" s="3">
        <v>418.58</v>
      </c>
    </row>
    <row r="1008" spans="1:3" x14ac:dyDescent="0.2">
      <c r="A1008" s="2">
        <v>45660</v>
      </c>
      <c r="B1008" s="3" t="s">
        <v>5</v>
      </c>
      <c r="C1008" s="3">
        <v>423.35</v>
      </c>
    </row>
    <row r="1009" spans="1:3" x14ac:dyDescent="0.2">
      <c r="A1009" s="2">
        <v>45663</v>
      </c>
      <c r="B1009" s="3" t="s">
        <v>5</v>
      </c>
      <c r="C1009" s="3">
        <v>427.85</v>
      </c>
    </row>
    <row r="1010" spans="1:3" x14ac:dyDescent="0.2">
      <c r="A1010" s="2">
        <v>45664</v>
      </c>
      <c r="B1010" s="3" t="s">
        <v>5</v>
      </c>
      <c r="C1010" s="3">
        <v>422.37</v>
      </c>
    </row>
    <row r="1011" spans="1:3" x14ac:dyDescent="0.2">
      <c r="A1011" s="2">
        <v>45665</v>
      </c>
      <c r="B1011" s="3" t="s">
        <v>5</v>
      </c>
      <c r="C1011" s="3">
        <v>424.56</v>
      </c>
    </row>
    <row r="1012" spans="1:3" x14ac:dyDescent="0.2">
      <c r="A1012" s="2">
        <v>45667</v>
      </c>
      <c r="B1012" s="3" t="s">
        <v>5</v>
      </c>
      <c r="C1012" s="3">
        <v>418.95</v>
      </c>
    </row>
    <row r="1013" spans="1:3" x14ac:dyDescent="0.2">
      <c r="A1013" s="2">
        <v>45670</v>
      </c>
      <c r="B1013" s="3" t="s">
        <v>5</v>
      </c>
      <c r="C1013" s="3">
        <v>417.19</v>
      </c>
    </row>
    <row r="1014" spans="1:3" x14ac:dyDescent="0.2">
      <c r="A1014" s="2">
        <v>45671</v>
      </c>
      <c r="B1014" s="3" t="s">
        <v>5</v>
      </c>
      <c r="C1014" s="3">
        <v>415.67</v>
      </c>
    </row>
    <row r="1015" spans="1:3" x14ac:dyDescent="0.2">
      <c r="A1015" s="2">
        <v>45672</v>
      </c>
      <c r="B1015" s="3" t="s">
        <v>5</v>
      </c>
      <c r="C1015" s="3">
        <v>426.31</v>
      </c>
    </row>
    <row r="1016" spans="1:3" x14ac:dyDescent="0.2">
      <c r="A1016" s="2">
        <v>45673</v>
      </c>
      <c r="B1016" s="3" t="s">
        <v>5</v>
      </c>
      <c r="C1016" s="3">
        <v>424.58</v>
      </c>
    </row>
    <row r="1017" spans="1:3" x14ac:dyDescent="0.2">
      <c r="A1017" s="2">
        <v>45674</v>
      </c>
      <c r="B1017" s="3" t="s">
        <v>5</v>
      </c>
      <c r="C1017" s="3">
        <v>429.03</v>
      </c>
    </row>
    <row r="1018" spans="1:3" x14ac:dyDescent="0.2">
      <c r="A1018" s="2">
        <v>45678</v>
      </c>
      <c r="B1018" s="3" t="s">
        <v>5</v>
      </c>
      <c r="C1018" s="3">
        <v>428.5</v>
      </c>
    </row>
    <row r="1019" spans="1:3" x14ac:dyDescent="0.2">
      <c r="A1019" s="2">
        <v>45679</v>
      </c>
      <c r="B1019" s="3" t="s">
        <v>5</v>
      </c>
      <c r="C1019" s="3">
        <v>446.2</v>
      </c>
    </row>
    <row r="1020" spans="1:3" x14ac:dyDescent="0.2">
      <c r="A1020" s="2">
        <v>45680</v>
      </c>
      <c r="B1020" s="3" t="s">
        <v>5</v>
      </c>
      <c r="C1020" s="3">
        <v>446.71</v>
      </c>
    </row>
    <row r="1021" spans="1:3" x14ac:dyDescent="0.2">
      <c r="A1021" s="2">
        <v>45681</v>
      </c>
      <c r="B1021" s="3" t="s">
        <v>5</v>
      </c>
      <c r="C1021" s="3">
        <v>444.06</v>
      </c>
    </row>
    <row r="1022" spans="1:3" x14ac:dyDescent="0.2">
      <c r="A1022" s="2">
        <v>45684</v>
      </c>
      <c r="B1022" s="3" t="s">
        <v>5</v>
      </c>
      <c r="C1022" s="3">
        <v>434.56</v>
      </c>
    </row>
    <row r="1023" spans="1:3" x14ac:dyDescent="0.2">
      <c r="A1023" s="2">
        <v>45685</v>
      </c>
      <c r="B1023" s="3" t="s">
        <v>5</v>
      </c>
      <c r="C1023" s="3">
        <v>447.2</v>
      </c>
    </row>
    <row r="1024" spans="1:3" x14ac:dyDescent="0.2">
      <c r="A1024" s="2">
        <v>45686</v>
      </c>
      <c r="B1024" s="3" t="s">
        <v>5</v>
      </c>
      <c r="C1024" s="3">
        <v>442.33</v>
      </c>
    </row>
    <row r="1025" spans="1:3" x14ac:dyDescent="0.2">
      <c r="A1025" s="2">
        <v>45687</v>
      </c>
      <c r="B1025" s="3" t="s">
        <v>5</v>
      </c>
      <c r="C1025" s="3">
        <v>414.99</v>
      </c>
    </row>
    <row r="1026" spans="1:3" x14ac:dyDescent="0.2">
      <c r="A1026" s="2">
        <v>45688</v>
      </c>
      <c r="B1026" s="3" t="s">
        <v>5</v>
      </c>
      <c r="C1026" s="3">
        <v>415.06</v>
      </c>
    </row>
    <row r="1027" spans="1:3" x14ac:dyDescent="0.2">
      <c r="A1027" s="2">
        <v>45691</v>
      </c>
      <c r="B1027" s="3" t="s">
        <v>5</v>
      </c>
      <c r="C1027" s="3">
        <v>410.92</v>
      </c>
    </row>
    <row r="1028" spans="1:3" x14ac:dyDescent="0.2">
      <c r="A1028" s="2">
        <v>45692</v>
      </c>
      <c r="B1028" s="3" t="s">
        <v>5</v>
      </c>
      <c r="C1028" s="3">
        <v>412.37</v>
      </c>
    </row>
    <row r="1029" spans="1:3" x14ac:dyDescent="0.2">
      <c r="A1029" s="2">
        <v>45693</v>
      </c>
      <c r="B1029" s="3" t="s">
        <v>5</v>
      </c>
      <c r="C1029" s="3">
        <v>413.29</v>
      </c>
    </row>
    <row r="1030" spans="1:3" x14ac:dyDescent="0.2">
      <c r="A1030" s="2">
        <v>45694</v>
      </c>
      <c r="B1030" s="3" t="s">
        <v>5</v>
      </c>
      <c r="C1030" s="3">
        <v>415.82</v>
      </c>
    </row>
    <row r="1031" spans="1:3" x14ac:dyDescent="0.2">
      <c r="A1031" s="2">
        <v>45695</v>
      </c>
      <c r="B1031" s="3" t="s">
        <v>5</v>
      </c>
      <c r="C1031" s="3">
        <v>409.75</v>
      </c>
    </row>
    <row r="1032" spans="1:3" x14ac:dyDescent="0.2">
      <c r="A1032" s="2">
        <v>45698</v>
      </c>
      <c r="B1032" s="3" t="s">
        <v>5</v>
      </c>
      <c r="C1032" s="3">
        <v>412.22</v>
      </c>
    </row>
    <row r="1033" spans="1:3" x14ac:dyDescent="0.2">
      <c r="A1033" s="2">
        <v>45699</v>
      </c>
      <c r="B1033" s="3" t="s">
        <v>5</v>
      </c>
      <c r="C1033" s="3">
        <v>411.44</v>
      </c>
    </row>
    <row r="1034" spans="1:3" x14ac:dyDescent="0.2">
      <c r="A1034" s="2">
        <v>45700</v>
      </c>
      <c r="B1034" s="3" t="s">
        <v>5</v>
      </c>
      <c r="C1034" s="3">
        <v>409.04</v>
      </c>
    </row>
    <row r="1035" spans="1:3" x14ac:dyDescent="0.2">
      <c r="A1035" s="2">
        <v>45701</v>
      </c>
      <c r="B1035" s="3" t="s">
        <v>5</v>
      </c>
      <c r="C1035" s="3">
        <v>410.54</v>
      </c>
    </row>
    <row r="1036" spans="1:3" x14ac:dyDescent="0.2">
      <c r="A1036" s="2">
        <v>45702</v>
      </c>
      <c r="B1036" s="3" t="s">
        <v>5</v>
      </c>
      <c r="C1036" s="3">
        <v>408.43</v>
      </c>
    </row>
    <row r="1037" spans="1:3" x14ac:dyDescent="0.2">
      <c r="A1037" s="2">
        <v>45706</v>
      </c>
      <c r="B1037" s="3" t="s">
        <v>5</v>
      </c>
      <c r="C1037" s="3">
        <v>409.64</v>
      </c>
    </row>
    <row r="1038" spans="1:3" x14ac:dyDescent="0.2">
      <c r="A1038" s="2">
        <v>45707</v>
      </c>
      <c r="B1038" s="3" t="s">
        <v>5</v>
      </c>
      <c r="C1038" s="3">
        <v>414.77</v>
      </c>
    </row>
    <row r="1039" spans="1:3" x14ac:dyDescent="0.2">
      <c r="A1039" s="2">
        <v>45708</v>
      </c>
      <c r="B1039" s="3" t="s">
        <v>5</v>
      </c>
      <c r="C1039" s="3">
        <v>416.13</v>
      </c>
    </row>
    <row r="1040" spans="1:3" x14ac:dyDescent="0.2">
      <c r="A1040" s="2">
        <v>45709</v>
      </c>
      <c r="B1040" s="3" t="s">
        <v>5</v>
      </c>
      <c r="C1040" s="3">
        <v>408.21</v>
      </c>
    </row>
    <row r="1041" spans="1:3" x14ac:dyDescent="0.2">
      <c r="A1041" s="2">
        <v>45712</v>
      </c>
      <c r="B1041" s="3" t="s">
        <v>5</v>
      </c>
      <c r="C1041" s="3">
        <v>404</v>
      </c>
    </row>
    <row r="1042" spans="1:3" x14ac:dyDescent="0.2">
      <c r="A1042" s="2">
        <v>45713</v>
      </c>
      <c r="B1042" s="3" t="s">
        <v>5</v>
      </c>
      <c r="C1042" s="3">
        <v>397.9</v>
      </c>
    </row>
    <row r="1043" spans="1:3" x14ac:dyDescent="0.2">
      <c r="A1043" s="2">
        <v>45714</v>
      </c>
      <c r="B1043" s="3" t="s">
        <v>5</v>
      </c>
      <c r="C1043" s="3">
        <v>399.73</v>
      </c>
    </row>
    <row r="1044" spans="1:3" x14ac:dyDescent="0.2">
      <c r="A1044" s="2">
        <v>45715</v>
      </c>
      <c r="B1044" s="3" t="s">
        <v>5</v>
      </c>
      <c r="C1044" s="3">
        <v>392.53</v>
      </c>
    </row>
    <row r="1045" spans="1:3" x14ac:dyDescent="0.2">
      <c r="A1045" s="2">
        <v>45716</v>
      </c>
      <c r="B1045" s="3" t="s">
        <v>5</v>
      </c>
      <c r="C1045" s="3">
        <v>396.99</v>
      </c>
    </row>
    <row r="1046" spans="1:3" x14ac:dyDescent="0.2">
      <c r="A1046" s="2">
        <v>45719</v>
      </c>
      <c r="B1046" s="3" t="s">
        <v>5</v>
      </c>
      <c r="C1046" s="3">
        <v>388.49</v>
      </c>
    </row>
    <row r="1047" spans="1:3" x14ac:dyDescent="0.2">
      <c r="A1047" s="2">
        <v>45720</v>
      </c>
      <c r="B1047" s="3" t="s">
        <v>5</v>
      </c>
      <c r="C1047" s="3">
        <v>388.61</v>
      </c>
    </row>
    <row r="1048" spans="1:3" x14ac:dyDescent="0.2">
      <c r="A1048" s="2">
        <v>45721</v>
      </c>
      <c r="B1048" s="3" t="s">
        <v>5</v>
      </c>
      <c r="C1048" s="3">
        <v>401.02</v>
      </c>
    </row>
    <row r="1049" spans="1:3" x14ac:dyDescent="0.2">
      <c r="A1049" s="2">
        <v>45722</v>
      </c>
      <c r="B1049" s="3" t="s">
        <v>5</v>
      </c>
      <c r="C1049" s="3">
        <v>396.89</v>
      </c>
    </row>
    <row r="1050" spans="1:3" x14ac:dyDescent="0.2">
      <c r="A1050" s="2">
        <v>45723</v>
      </c>
      <c r="B1050" s="3" t="s">
        <v>5</v>
      </c>
      <c r="C1050" s="3">
        <v>393.31</v>
      </c>
    </row>
    <row r="1051" spans="1:3" x14ac:dyDescent="0.2">
      <c r="A1051" s="2">
        <v>45726</v>
      </c>
      <c r="B1051" s="3" t="s">
        <v>5</v>
      </c>
      <c r="C1051" s="3">
        <v>380.16</v>
      </c>
    </row>
    <row r="1052" spans="1:3" x14ac:dyDescent="0.2">
      <c r="A1052" s="2">
        <v>45727</v>
      </c>
      <c r="B1052" s="3" t="s">
        <v>5</v>
      </c>
      <c r="C1052" s="3">
        <v>380.45</v>
      </c>
    </row>
    <row r="1053" spans="1:3" x14ac:dyDescent="0.2">
      <c r="A1053" s="2">
        <v>45728</v>
      </c>
      <c r="B1053" s="3" t="s">
        <v>5</v>
      </c>
      <c r="C1053" s="3">
        <v>383.27</v>
      </c>
    </row>
    <row r="1054" spans="1:3" x14ac:dyDescent="0.2">
      <c r="A1054" s="2">
        <v>45729</v>
      </c>
      <c r="B1054" s="3" t="s">
        <v>5</v>
      </c>
      <c r="C1054" s="3">
        <v>378.77</v>
      </c>
    </row>
    <row r="1055" spans="1:3" x14ac:dyDescent="0.2">
      <c r="A1055" s="2">
        <v>45730</v>
      </c>
      <c r="B1055" s="3" t="s">
        <v>5</v>
      </c>
      <c r="C1055" s="3">
        <v>388.56</v>
      </c>
    </row>
    <row r="1056" spans="1:3" x14ac:dyDescent="0.2">
      <c r="A1056" s="2">
        <v>45733</v>
      </c>
      <c r="B1056" s="3" t="s">
        <v>5</v>
      </c>
      <c r="C1056" s="3">
        <v>388.7</v>
      </c>
    </row>
    <row r="1057" spans="1:3" x14ac:dyDescent="0.2">
      <c r="A1057" s="2">
        <v>45734</v>
      </c>
      <c r="B1057" s="3" t="s">
        <v>5</v>
      </c>
      <c r="C1057" s="3">
        <v>383.52</v>
      </c>
    </row>
    <row r="1058" spans="1:3" x14ac:dyDescent="0.2">
      <c r="A1058" s="2">
        <v>45735</v>
      </c>
      <c r="B1058" s="3" t="s">
        <v>5</v>
      </c>
      <c r="C1058" s="3">
        <v>387.82</v>
      </c>
    </row>
    <row r="1059" spans="1:3" x14ac:dyDescent="0.2">
      <c r="A1059" s="2">
        <v>45736</v>
      </c>
      <c r="B1059" s="3" t="s">
        <v>5</v>
      </c>
      <c r="C1059" s="3">
        <v>386.84</v>
      </c>
    </row>
    <row r="1060" spans="1:3" x14ac:dyDescent="0.2">
      <c r="A1060" s="2">
        <v>45737</v>
      </c>
      <c r="B1060" s="3" t="s">
        <v>5</v>
      </c>
      <c r="C1060" s="3">
        <v>391.26</v>
      </c>
    </row>
    <row r="1061" spans="1:3" x14ac:dyDescent="0.2">
      <c r="A1061" s="2">
        <v>45740</v>
      </c>
      <c r="B1061" s="3" t="s">
        <v>5</v>
      </c>
      <c r="C1061" s="3">
        <v>393.08</v>
      </c>
    </row>
    <row r="1062" spans="1:3" x14ac:dyDescent="0.2">
      <c r="A1062" s="2">
        <v>45741</v>
      </c>
      <c r="B1062" s="3" t="s">
        <v>5</v>
      </c>
      <c r="C1062" s="3">
        <v>395.16</v>
      </c>
    </row>
    <row r="1063" spans="1:3" x14ac:dyDescent="0.2">
      <c r="A1063" s="2">
        <v>45742</v>
      </c>
      <c r="B1063" s="3" t="s">
        <v>5</v>
      </c>
      <c r="C1063" s="3">
        <v>389.97</v>
      </c>
    </row>
    <row r="1064" spans="1:3" x14ac:dyDescent="0.2">
      <c r="A1064" s="2">
        <v>45743</v>
      </c>
      <c r="B1064" s="3" t="s">
        <v>5</v>
      </c>
      <c r="C1064" s="3">
        <v>390.58</v>
      </c>
    </row>
    <row r="1065" spans="1:3" x14ac:dyDescent="0.2">
      <c r="A1065" s="2">
        <v>45744</v>
      </c>
      <c r="B1065" s="3" t="s">
        <v>5</v>
      </c>
      <c r="C1065" s="3">
        <v>378.8</v>
      </c>
    </row>
    <row r="1066" spans="1:3" x14ac:dyDescent="0.2">
      <c r="A1066" s="2">
        <v>45747</v>
      </c>
      <c r="B1066" s="3" t="s">
        <v>5</v>
      </c>
      <c r="C1066" s="3">
        <v>375.39</v>
      </c>
    </row>
    <row r="1067" spans="1:3" x14ac:dyDescent="0.2">
      <c r="A1067" s="2">
        <v>45748</v>
      </c>
      <c r="B1067" s="3" t="s">
        <v>5</v>
      </c>
      <c r="C1067" s="3">
        <v>382.19</v>
      </c>
    </row>
    <row r="1068" spans="1:3" x14ac:dyDescent="0.2">
      <c r="A1068" s="2">
        <v>45749</v>
      </c>
      <c r="B1068" s="3" t="s">
        <v>5</v>
      </c>
      <c r="C1068" s="3">
        <v>382.14</v>
      </c>
    </row>
    <row r="1069" spans="1:3" x14ac:dyDescent="0.2">
      <c r="A1069" s="2">
        <v>45750</v>
      </c>
      <c r="B1069" s="3" t="s">
        <v>5</v>
      </c>
      <c r="C1069" s="3">
        <v>373.11</v>
      </c>
    </row>
    <row r="1070" spans="1:3" x14ac:dyDescent="0.2">
      <c r="A1070" s="2">
        <v>45751</v>
      </c>
      <c r="B1070" s="3" t="s">
        <v>5</v>
      </c>
      <c r="C1070" s="3">
        <v>359.84</v>
      </c>
    </row>
    <row r="1071" spans="1:3" x14ac:dyDescent="0.2">
      <c r="A1071" s="2">
        <v>45754</v>
      </c>
      <c r="B1071" s="3" t="s">
        <v>5</v>
      </c>
      <c r="C1071" s="3">
        <v>357.86</v>
      </c>
    </row>
    <row r="1072" spans="1:3" x14ac:dyDescent="0.2">
      <c r="A1072" s="2">
        <v>45755</v>
      </c>
      <c r="B1072" s="3" t="s">
        <v>5</v>
      </c>
      <c r="C1072" s="3">
        <v>354.56</v>
      </c>
    </row>
    <row r="1073" spans="1:3" x14ac:dyDescent="0.2">
      <c r="A1073" s="2">
        <v>45756</v>
      </c>
      <c r="B1073" s="3" t="s">
        <v>5</v>
      </c>
      <c r="C1073" s="3">
        <v>390.49</v>
      </c>
    </row>
    <row r="1074" spans="1:3" x14ac:dyDescent="0.2">
      <c r="A1074" s="2">
        <v>45757</v>
      </c>
      <c r="B1074" s="3" t="s">
        <v>5</v>
      </c>
      <c r="C1074" s="3">
        <v>381.35</v>
      </c>
    </row>
    <row r="1075" spans="1:3" x14ac:dyDescent="0.2">
      <c r="A1075" s="2">
        <v>45758</v>
      </c>
      <c r="B1075" s="3" t="s">
        <v>5</v>
      </c>
      <c r="C1075" s="3">
        <v>388.45</v>
      </c>
    </row>
    <row r="1076" spans="1:3" x14ac:dyDescent="0.2">
      <c r="A1076" s="2">
        <v>45761</v>
      </c>
      <c r="B1076" s="3" t="s">
        <v>5</v>
      </c>
      <c r="C1076" s="3">
        <v>387.81</v>
      </c>
    </row>
    <row r="1077" spans="1:3" x14ac:dyDescent="0.2">
      <c r="A1077" s="2">
        <v>45762</v>
      </c>
      <c r="B1077" s="3" t="s">
        <v>5</v>
      </c>
      <c r="C1077" s="3">
        <v>385.73</v>
      </c>
    </row>
    <row r="1078" spans="1:3" x14ac:dyDescent="0.2">
      <c r="A1078" s="2">
        <v>45763</v>
      </c>
      <c r="B1078" s="3" t="s">
        <v>5</v>
      </c>
      <c r="C1078" s="3">
        <v>371.61</v>
      </c>
    </row>
    <row r="1079" spans="1:3" x14ac:dyDescent="0.2">
      <c r="A1079" s="2">
        <v>45764</v>
      </c>
      <c r="B1079" s="3" t="s">
        <v>5</v>
      </c>
      <c r="C1079" s="3">
        <v>367.78</v>
      </c>
    </row>
    <row r="1080" spans="1:3" x14ac:dyDescent="0.2">
      <c r="A1080" s="2">
        <v>45768</v>
      </c>
      <c r="B1080" s="3" t="s">
        <v>5</v>
      </c>
      <c r="C1080" s="3">
        <v>359.12</v>
      </c>
    </row>
    <row r="1081" spans="1:3" x14ac:dyDescent="0.2">
      <c r="A1081" s="2">
        <v>45769</v>
      </c>
      <c r="B1081" s="3" t="s">
        <v>5</v>
      </c>
      <c r="C1081" s="3">
        <v>366.82</v>
      </c>
    </row>
    <row r="1082" spans="1:3" x14ac:dyDescent="0.2">
      <c r="A1082" s="2">
        <v>45770</v>
      </c>
      <c r="B1082" s="3" t="s">
        <v>5</v>
      </c>
      <c r="C1082" s="3">
        <v>374.39</v>
      </c>
    </row>
    <row r="1083" spans="1:3" x14ac:dyDescent="0.2">
      <c r="A1083" s="2">
        <v>45771</v>
      </c>
      <c r="B1083" s="3" t="s">
        <v>5</v>
      </c>
      <c r="C1083" s="3">
        <v>387.3</v>
      </c>
    </row>
    <row r="1084" spans="1:3" x14ac:dyDescent="0.2">
      <c r="A1084" s="2">
        <v>45772</v>
      </c>
      <c r="B1084" s="3" t="s">
        <v>5</v>
      </c>
      <c r="C1084" s="3">
        <v>391.85</v>
      </c>
    </row>
    <row r="1085" spans="1:3" x14ac:dyDescent="0.2">
      <c r="A1085" s="2">
        <v>45775</v>
      </c>
      <c r="B1085" s="3" t="s">
        <v>5</v>
      </c>
      <c r="C1085" s="3">
        <v>391.16</v>
      </c>
    </row>
    <row r="1086" spans="1:3" x14ac:dyDescent="0.2">
      <c r="A1086" s="2">
        <v>45776</v>
      </c>
      <c r="B1086" s="3" t="s">
        <v>5</v>
      </c>
      <c r="C1086" s="3">
        <v>394.04</v>
      </c>
    </row>
    <row r="1087" spans="1:3" x14ac:dyDescent="0.2">
      <c r="A1087" s="2">
        <v>45777</v>
      </c>
      <c r="B1087" s="3" t="s">
        <v>5</v>
      </c>
      <c r="C1087" s="3">
        <v>395.26</v>
      </c>
    </row>
    <row r="1088" spans="1:3" x14ac:dyDescent="0.2">
      <c r="A1088" s="2">
        <v>45778</v>
      </c>
      <c r="B1088" s="3" t="s">
        <v>5</v>
      </c>
      <c r="C1088" s="3">
        <v>425.4</v>
      </c>
    </row>
    <row r="1089" spans="1:3" x14ac:dyDescent="0.2">
      <c r="A1089" s="2">
        <v>45779</v>
      </c>
      <c r="B1089" s="3" t="s">
        <v>5</v>
      </c>
      <c r="C1089" s="3">
        <v>435.28</v>
      </c>
    </row>
    <row r="1090" spans="1:3" x14ac:dyDescent="0.2">
      <c r="A1090" s="2">
        <v>45782</v>
      </c>
      <c r="B1090" s="3" t="s">
        <v>5</v>
      </c>
      <c r="C1090" s="3">
        <v>436.17</v>
      </c>
    </row>
    <row r="1091" spans="1:3" x14ac:dyDescent="0.2">
      <c r="A1091" s="2">
        <v>45783</v>
      </c>
      <c r="B1091" s="3" t="s">
        <v>5</v>
      </c>
      <c r="C1091" s="3">
        <v>433.31</v>
      </c>
    </row>
    <row r="1092" spans="1:3" x14ac:dyDescent="0.2">
      <c r="A1092" s="2">
        <v>45784</v>
      </c>
      <c r="B1092" s="3" t="s">
        <v>5</v>
      </c>
      <c r="C1092" s="3">
        <v>433.35</v>
      </c>
    </row>
    <row r="1093" spans="1:3" x14ac:dyDescent="0.2">
      <c r="A1093" s="2">
        <v>45785</v>
      </c>
      <c r="B1093" s="3" t="s">
        <v>5</v>
      </c>
      <c r="C1093" s="3">
        <v>438.17</v>
      </c>
    </row>
    <row r="1094" spans="1:3" x14ac:dyDescent="0.2">
      <c r="A1094" s="2">
        <v>45786</v>
      </c>
      <c r="B1094" s="3" t="s">
        <v>5</v>
      </c>
      <c r="C1094" s="3">
        <v>438.73</v>
      </c>
    </row>
    <row r="1095" spans="1:3" x14ac:dyDescent="0.2">
      <c r="A1095" s="2">
        <v>45789</v>
      </c>
      <c r="B1095" s="3" t="s">
        <v>5</v>
      </c>
      <c r="C1095" s="3">
        <v>449.26</v>
      </c>
    </row>
    <row r="1096" spans="1:3" x14ac:dyDescent="0.2">
      <c r="A1096" s="2">
        <v>45790</v>
      </c>
      <c r="B1096" s="3" t="s">
        <v>5</v>
      </c>
      <c r="C1096" s="3">
        <v>449.14</v>
      </c>
    </row>
    <row r="1097" spans="1:3" x14ac:dyDescent="0.2">
      <c r="A1097" s="2">
        <v>45791</v>
      </c>
      <c r="B1097" s="3" t="s">
        <v>5</v>
      </c>
      <c r="C1097" s="3">
        <v>452.94</v>
      </c>
    </row>
    <row r="1098" spans="1:3" x14ac:dyDescent="0.2">
      <c r="A1098" s="2">
        <v>45792</v>
      </c>
      <c r="B1098" s="3" t="s">
        <v>5</v>
      </c>
      <c r="C1098" s="3">
        <v>453.13</v>
      </c>
    </row>
    <row r="1099" spans="1:3" x14ac:dyDescent="0.2">
      <c r="A1099" s="2">
        <v>45793</v>
      </c>
      <c r="B1099" s="3" t="s">
        <v>5</v>
      </c>
      <c r="C1099" s="3">
        <v>454.27</v>
      </c>
    </row>
    <row r="1100" spans="1:3" x14ac:dyDescent="0.2">
      <c r="A1100" s="2">
        <v>45796</v>
      </c>
      <c r="B1100" s="3" t="s">
        <v>5</v>
      </c>
      <c r="C1100" s="3">
        <v>458.87</v>
      </c>
    </row>
    <row r="1101" spans="1:3" x14ac:dyDescent="0.2">
      <c r="A1101" s="2">
        <v>45797</v>
      </c>
      <c r="B1101" s="3" t="s">
        <v>5</v>
      </c>
      <c r="C1101" s="3">
        <v>458.17</v>
      </c>
    </row>
    <row r="1102" spans="1:3" x14ac:dyDescent="0.2">
      <c r="A1102" s="2">
        <v>45798</v>
      </c>
      <c r="B1102" s="3" t="s">
        <v>5</v>
      </c>
      <c r="C1102" s="3">
        <v>452.57</v>
      </c>
    </row>
    <row r="1103" spans="1:3" x14ac:dyDescent="0.2">
      <c r="A1103" s="2">
        <v>45799</v>
      </c>
      <c r="B1103" s="3" t="s">
        <v>5</v>
      </c>
      <c r="C1103" s="3">
        <v>454.86</v>
      </c>
    </row>
    <row r="1104" spans="1:3" x14ac:dyDescent="0.2">
      <c r="A1104" s="2">
        <v>45800</v>
      </c>
      <c r="B1104" s="3" t="s">
        <v>5</v>
      </c>
      <c r="C1104" s="3">
        <v>450.18</v>
      </c>
    </row>
    <row r="1105" spans="1:3" x14ac:dyDescent="0.2">
      <c r="A1105" s="2">
        <v>45804</v>
      </c>
      <c r="B1105" s="3" t="s">
        <v>5</v>
      </c>
      <c r="C1105" s="3">
        <v>460.69</v>
      </c>
    </row>
    <row r="1106" spans="1:3" x14ac:dyDescent="0.2">
      <c r="A1106" s="2">
        <v>45805</v>
      </c>
      <c r="B1106" s="3" t="s">
        <v>5</v>
      </c>
      <c r="C1106" s="3">
        <v>457.36</v>
      </c>
    </row>
    <row r="1107" spans="1:3" x14ac:dyDescent="0.2">
      <c r="A1107" s="2">
        <v>45806</v>
      </c>
      <c r="B1107" s="3" t="s">
        <v>5</v>
      </c>
      <c r="C1107" s="3">
        <v>458.68</v>
      </c>
    </row>
    <row r="1108" spans="1:3" x14ac:dyDescent="0.2">
      <c r="A1108" s="2">
        <v>45807</v>
      </c>
      <c r="B1108" s="3" t="s">
        <v>5</v>
      </c>
      <c r="C1108" s="3">
        <v>460.36</v>
      </c>
    </row>
    <row r="1109" spans="1:3" x14ac:dyDescent="0.2">
      <c r="A1109" s="2">
        <v>45810</v>
      </c>
      <c r="B1109" s="3" t="s">
        <v>5</v>
      </c>
      <c r="C1109" s="3">
        <v>461.97</v>
      </c>
    </row>
    <row r="1110" spans="1:3" x14ac:dyDescent="0.2">
      <c r="A1110" s="2">
        <v>45811</v>
      </c>
      <c r="B1110" s="3" t="s">
        <v>5</v>
      </c>
      <c r="C1110" s="3">
        <v>462.97</v>
      </c>
    </row>
    <row r="1111" spans="1:3" x14ac:dyDescent="0.2">
      <c r="A1111" s="2">
        <v>45812</v>
      </c>
      <c r="B1111" s="3" t="s">
        <v>5</v>
      </c>
      <c r="C1111" s="3">
        <v>463.87</v>
      </c>
    </row>
    <row r="1112" spans="1:3" x14ac:dyDescent="0.2">
      <c r="A1112" s="2">
        <v>45813</v>
      </c>
      <c r="B1112" s="3" t="s">
        <v>5</v>
      </c>
      <c r="C1112" s="3">
        <v>467.68</v>
      </c>
    </row>
    <row r="1113" spans="1:3" x14ac:dyDescent="0.2">
      <c r="A1113" s="2">
        <v>45814</v>
      </c>
      <c r="B1113" s="3" t="s">
        <v>5</v>
      </c>
      <c r="C1113" s="3">
        <v>470.38</v>
      </c>
    </row>
    <row r="1114" spans="1:3" x14ac:dyDescent="0.2">
      <c r="A1114" s="2">
        <v>45817</v>
      </c>
      <c r="B1114" s="3" t="s">
        <v>5</v>
      </c>
      <c r="C1114" s="3">
        <v>472.75</v>
      </c>
    </row>
    <row r="1115" spans="1:3" x14ac:dyDescent="0.2">
      <c r="A1115" s="2">
        <v>45818</v>
      </c>
      <c r="B1115" s="3" t="s">
        <v>5</v>
      </c>
      <c r="C1115" s="3">
        <v>470.92</v>
      </c>
    </row>
    <row r="1116" spans="1:3" x14ac:dyDescent="0.2">
      <c r="A1116" s="2">
        <v>45819</v>
      </c>
      <c r="B1116" s="3" t="s">
        <v>5</v>
      </c>
      <c r="C1116" s="3">
        <v>472.62</v>
      </c>
    </row>
    <row r="1117" spans="1:3" x14ac:dyDescent="0.2">
      <c r="A1117" s="2">
        <v>45820</v>
      </c>
      <c r="B1117" s="3" t="s">
        <v>5</v>
      </c>
      <c r="C1117" s="3">
        <v>478.87</v>
      </c>
    </row>
    <row r="1118" spans="1:3" x14ac:dyDescent="0.2">
      <c r="A1118" s="2">
        <v>45821</v>
      </c>
      <c r="B1118" s="3" t="s">
        <v>5</v>
      </c>
      <c r="C1118" s="3">
        <v>474.96</v>
      </c>
    </row>
    <row r="1119" spans="1:3" x14ac:dyDescent="0.2">
      <c r="A1119" s="2">
        <v>45824</v>
      </c>
      <c r="B1119" s="3" t="s">
        <v>5</v>
      </c>
      <c r="C1119" s="3">
        <v>479.14</v>
      </c>
    </row>
    <row r="1120" spans="1:3" x14ac:dyDescent="0.2">
      <c r="A1120" s="2">
        <v>45825</v>
      </c>
      <c r="B1120" s="3" t="s">
        <v>5</v>
      </c>
      <c r="C1120" s="3">
        <v>478.04</v>
      </c>
    </row>
    <row r="1121" spans="1:3" x14ac:dyDescent="0.2">
      <c r="A1121" s="2">
        <v>45826</v>
      </c>
      <c r="B1121" s="3" t="s">
        <v>5</v>
      </c>
      <c r="C1121" s="3">
        <v>480.24</v>
      </c>
    </row>
    <row r="1122" spans="1:3" x14ac:dyDescent="0.2">
      <c r="A1122" s="2">
        <v>45828</v>
      </c>
      <c r="B1122" s="3" t="s">
        <v>5</v>
      </c>
      <c r="C1122" s="3">
        <v>477.4</v>
      </c>
    </row>
    <row r="1123" spans="1:3" x14ac:dyDescent="0.2">
      <c r="A1123" s="2">
        <v>45831</v>
      </c>
      <c r="B1123" s="3" t="s">
        <v>5</v>
      </c>
      <c r="C1123" s="3">
        <v>486</v>
      </c>
    </row>
    <row r="1124" spans="1:3" x14ac:dyDescent="0.2">
      <c r="A1124" s="2">
        <v>45832</v>
      </c>
      <c r="B1124" s="3" t="s">
        <v>5</v>
      </c>
      <c r="C1124" s="3">
        <v>490.11</v>
      </c>
    </row>
    <row r="1125" spans="1:3" x14ac:dyDescent="0.2">
      <c r="A1125" s="2">
        <v>45833</v>
      </c>
      <c r="B1125" s="3" t="s">
        <v>5</v>
      </c>
      <c r="C1125" s="3">
        <v>492.27</v>
      </c>
    </row>
    <row r="1126" spans="1:3" x14ac:dyDescent="0.2">
      <c r="A1126" s="2">
        <v>45834</v>
      </c>
      <c r="B1126" s="3" t="s">
        <v>5</v>
      </c>
      <c r="C1126" s="3">
        <v>497.45</v>
      </c>
    </row>
    <row r="1127" spans="1:3" x14ac:dyDescent="0.2">
      <c r="A1127" s="2">
        <v>45835</v>
      </c>
      <c r="B1127" s="3" t="s">
        <v>5</v>
      </c>
      <c r="C1127" s="3">
        <v>495.94</v>
      </c>
    </row>
    <row r="1128" spans="1:3" x14ac:dyDescent="0.2">
      <c r="A1128" s="2">
        <v>45838</v>
      </c>
      <c r="B1128" s="3" t="s">
        <v>5</v>
      </c>
      <c r="C1128" s="3">
        <v>497.41</v>
      </c>
    </row>
    <row r="1129" spans="1:3" x14ac:dyDescent="0.2">
      <c r="A1129" s="2">
        <v>45839</v>
      </c>
      <c r="B1129" s="3" t="s">
        <v>5</v>
      </c>
      <c r="C1129" s="3">
        <v>492.05</v>
      </c>
    </row>
    <row r="1130" spans="1:3" x14ac:dyDescent="0.2">
      <c r="A1130" s="2">
        <v>45840</v>
      </c>
      <c r="B1130" s="3" t="s">
        <v>5</v>
      </c>
      <c r="C1130" s="3">
        <v>491.09</v>
      </c>
    </row>
    <row r="1131" spans="1:3" x14ac:dyDescent="0.2">
      <c r="A1131" s="2">
        <v>45841</v>
      </c>
      <c r="B1131" s="3" t="s">
        <v>5</v>
      </c>
      <c r="C1131" s="3">
        <v>498.84</v>
      </c>
    </row>
    <row r="1132" spans="1:3" x14ac:dyDescent="0.2">
      <c r="A1132" s="2">
        <v>45845</v>
      </c>
      <c r="B1132" s="3" t="s">
        <v>5</v>
      </c>
      <c r="C1132" s="3">
        <v>497.72</v>
      </c>
    </row>
    <row r="1133" spans="1:3" x14ac:dyDescent="0.2">
      <c r="A1133" s="2">
        <v>45846</v>
      </c>
      <c r="B1133" s="3" t="s">
        <v>5</v>
      </c>
      <c r="C1133" s="3">
        <v>496.62</v>
      </c>
    </row>
    <row r="1134" spans="1:3" x14ac:dyDescent="0.2">
      <c r="A1134" s="2">
        <v>45847</v>
      </c>
      <c r="B1134" s="3" t="s">
        <v>5</v>
      </c>
      <c r="C1134" s="3">
        <v>503.51</v>
      </c>
    </row>
    <row r="1135" spans="1:3" x14ac:dyDescent="0.2">
      <c r="A1135" s="2">
        <v>45848</v>
      </c>
      <c r="B1135" s="3" t="s">
        <v>5</v>
      </c>
      <c r="C1135" s="3">
        <v>501.48</v>
      </c>
    </row>
    <row r="1136" spans="1:3" x14ac:dyDescent="0.2">
      <c r="A1136" s="2">
        <v>45849</v>
      </c>
      <c r="B1136" s="3" t="s">
        <v>5</v>
      </c>
      <c r="C1136" s="3">
        <v>503.32</v>
      </c>
    </row>
    <row r="1137" spans="1:3" x14ac:dyDescent="0.2">
      <c r="A1137" s="2">
        <v>45852</v>
      </c>
      <c r="B1137" s="3" t="s">
        <v>5</v>
      </c>
      <c r="C1137" s="3">
        <v>503.02</v>
      </c>
    </row>
    <row r="1138" spans="1:3" x14ac:dyDescent="0.2">
      <c r="A1138" s="2">
        <v>45853</v>
      </c>
      <c r="B1138" s="3" t="s">
        <v>5</v>
      </c>
      <c r="C1138" s="3">
        <v>505.82</v>
      </c>
    </row>
    <row r="1139" spans="1:3" x14ac:dyDescent="0.2">
      <c r="A1139" s="2">
        <v>45854</v>
      </c>
      <c r="B1139" s="3" t="s">
        <v>5</v>
      </c>
      <c r="C1139" s="3">
        <v>505.62</v>
      </c>
    </row>
    <row r="1140" spans="1:3" x14ac:dyDescent="0.2">
      <c r="A1140" s="2">
        <v>45855</v>
      </c>
      <c r="B1140" s="3" t="s">
        <v>5</v>
      </c>
      <c r="C1140" s="3">
        <v>511.7</v>
      </c>
    </row>
    <row r="1141" spans="1:3" x14ac:dyDescent="0.2">
      <c r="A1141" s="2">
        <v>45856</v>
      </c>
      <c r="B1141" s="3" t="s">
        <v>5</v>
      </c>
      <c r="C1141" s="3">
        <v>510.05</v>
      </c>
    </row>
    <row r="1142" spans="1:3" x14ac:dyDescent="0.2">
      <c r="A1142" s="2">
        <v>45859</v>
      </c>
      <c r="B1142" s="3" t="s">
        <v>5</v>
      </c>
      <c r="C1142" s="3">
        <v>510.06</v>
      </c>
    </row>
    <row r="1143" spans="1:3" x14ac:dyDescent="0.2">
      <c r="A1143" s="2">
        <v>45860</v>
      </c>
      <c r="B1143" s="3" t="s">
        <v>5</v>
      </c>
      <c r="C1143" s="3">
        <v>505.27</v>
      </c>
    </row>
    <row r="1144" spans="1:3" x14ac:dyDescent="0.2">
      <c r="A1144" s="2">
        <v>45861</v>
      </c>
      <c r="B1144" s="3" t="s">
        <v>5</v>
      </c>
      <c r="C1144" s="3">
        <v>505.87</v>
      </c>
    </row>
    <row r="1145" spans="1:3" x14ac:dyDescent="0.2">
      <c r="A1145" s="2">
        <v>45862</v>
      </c>
      <c r="B1145" s="3" t="s">
        <v>5</v>
      </c>
      <c r="C1145" s="3">
        <v>510.88</v>
      </c>
    </row>
    <row r="1146" spans="1:3" x14ac:dyDescent="0.2">
      <c r="A1146" s="2">
        <v>45863</v>
      </c>
      <c r="B1146" s="3" t="s">
        <v>5</v>
      </c>
      <c r="C1146" s="3">
        <v>513.71</v>
      </c>
    </row>
    <row r="1147" spans="1:3" x14ac:dyDescent="0.2">
      <c r="A1147" s="2">
        <v>45866</v>
      </c>
      <c r="B1147" s="3" t="s">
        <v>5</v>
      </c>
      <c r="C1147" s="3">
        <v>512.5</v>
      </c>
    </row>
    <row r="1148" spans="1:3" x14ac:dyDescent="0.2">
      <c r="A1148" s="2">
        <v>45867</v>
      </c>
      <c r="B1148" s="3" t="s">
        <v>5</v>
      </c>
      <c r="C1148" s="3">
        <v>512.57000000000005</v>
      </c>
    </row>
    <row r="1149" spans="1:3" x14ac:dyDescent="0.2">
      <c r="A1149" s="2">
        <v>45868</v>
      </c>
      <c r="B1149" s="3" t="s">
        <v>5</v>
      </c>
      <c r="C1149" s="3">
        <v>513.24</v>
      </c>
    </row>
    <row r="1150" spans="1:3" x14ac:dyDescent="0.2">
      <c r="A1150" s="2">
        <v>45869</v>
      </c>
      <c r="B1150" s="3" t="s">
        <v>5</v>
      </c>
      <c r="C1150" s="3">
        <v>533.5</v>
      </c>
    </row>
    <row r="1151" spans="1:3" x14ac:dyDescent="0.2">
      <c r="A1151" s="2">
        <v>45870</v>
      </c>
      <c r="B1151" s="3" t="s">
        <v>5</v>
      </c>
      <c r="C1151" s="3">
        <v>524.11</v>
      </c>
    </row>
    <row r="1152" spans="1:3" x14ac:dyDescent="0.2">
      <c r="A1152" s="2">
        <v>45873</v>
      </c>
      <c r="B1152" s="3" t="s">
        <v>5</v>
      </c>
      <c r="C1152" s="3">
        <v>535.64</v>
      </c>
    </row>
    <row r="1153" spans="1:3" x14ac:dyDescent="0.2">
      <c r="A1153" s="2">
        <v>45874</v>
      </c>
      <c r="B1153" s="3" t="s">
        <v>5</v>
      </c>
      <c r="C1153" s="3">
        <v>527.75</v>
      </c>
    </row>
    <row r="1154" spans="1:3" x14ac:dyDescent="0.2">
      <c r="A1154" s="2">
        <v>45875</v>
      </c>
      <c r="B1154" s="3" t="s">
        <v>5</v>
      </c>
      <c r="C1154" s="3">
        <v>524.94000000000005</v>
      </c>
    </row>
    <row r="1155" spans="1:3" x14ac:dyDescent="0.2">
      <c r="A1155" s="2">
        <v>45876</v>
      </c>
      <c r="B1155" s="3" t="s">
        <v>5</v>
      </c>
      <c r="C1155" s="3">
        <v>520.84</v>
      </c>
    </row>
    <row r="1156" spans="1:3" x14ac:dyDescent="0.2">
      <c r="A1156" s="2">
        <v>45877</v>
      </c>
      <c r="B1156" s="3" t="s">
        <v>5</v>
      </c>
      <c r="C1156" s="3">
        <v>522.04</v>
      </c>
    </row>
    <row r="1157" spans="1:3" x14ac:dyDescent="0.2">
      <c r="A1157" s="2">
        <v>45880</v>
      </c>
      <c r="B1157" s="3" t="s">
        <v>5</v>
      </c>
      <c r="C1157" s="3">
        <v>521.77</v>
      </c>
    </row>
    <row r="1158" spans="1:3" x14ac:dyDescent="0.2">
      <c r="A1158" s="2">
        <v>45881</v>
      </c>
      <c r="B1158" s="3" t="s">
        <v>5</v>
      </c>
      <c r="C1158" s="3">
        <v>529.24</v>
      </c>
    </row>
    <row r="1159" spans="1:3" x14ac:dyDescent="0.2">
      <c r="A1159" s="2">
        <v>45882</v>
      </c>
      <c r="B1159" s="3" t="s">
        <v>5</v>
      </c>
      <c r="C1159" s="3">
        <v>520.58000000000004</v>
      </c>
    </row>
    <row r="1160" spans="1:3" x14ac:dyDescent="0.2">
      <c r="A1160" s="2">
        <v>45883</v>
      </c>
      <c r="B1160" s="3" t="s">
        <v>5</v>
      </c>
      <c r="C1160" s="3">
        <v>522.48</v>
      </c>
    </row>
    <row r="1161" spans="1:3" x14ac:dyDescent="0.2">
      <c r="A1161" s="2">
        <v>45884</v>
      </c>
      <c r="B1161" s="3" t="s">
        <v>5</v>
      </c>
      <c r="C1161" s="3">
        <v>520.16999999999996</v>
      </c>
    </row>
    <row r="1162" spans="1:3" x14ac:dyDescent="0.2">
      <c r="A1162" s="2">
        <v>45887</v>
      </c>
      <c r="B1162" s="3" t="s">
        <v>5</v>
      </c>
      <c r="C1162" s="3">
        <v>517.1</v>
      </c>
    </row>
    <row r="1163" spans="1:3" x14ac:dyDescent="0.2">
      <c r="A1163" s="2">
        <v>45888</v>
      </c>
      <c r="B1163" s="3" t="s">
        <v>5</v>
      </c>
      <c r="C1163" s="3">
        <v>509.77</v>
      </c>
    </row>
    <row r="1164" spans="1:3" x14ac:dyDescent="0.2">
      <c r="A1164" s="2">
        <v>45889</v>
      </c>
      <c r="B1164" s="3" t="s">
        <v>5</v>
      </c>
      <c r="C1164" s="3">
        <v>505.72</v>
      </c>
    </row>
    <row r="1165" spans="1:3" x14ac:dyDescent="0.2">
      <c r="A1165" s="2">
        <v>45890</v>
      </c>
      <c r="B1165" s="3" t="s">
        <v>5</v>
      </c>
      <c r="C1165" s="3">
        <v>504.24</v>
      </c>
    </row>
    <row r="1166" spans="1:3" x14ac:dyDescent="0.2">
      <c r="A1166" s="2">
        <v>45891</v>
      </c>
      <c r="B1166" s="3" t="s">
        <v>5</v>
      </c>
      <c r="C1166" s="3">
        <v>507.23</v>
      </c>
    </row>
    <row r="1167" spans="1:3" x14ac:dyDescent="0.2">
      <c r="A1167" s="2">
        <v>45894</v>
      </c>
      <c r="B1167" s="3" t="s">
        <v>5</v>
      </c>
      <c r="C1167" s="3">
        <v>504.26</v>
      </c>
    </row>
    <row r="1168" spans="1:3" x14ac:dyDescent="0.2">
      <c r="A1168" s="2">
        <v>45895</v>
      </c>
      <c r="B1168" s="3" t="s">
        <v>5</v>
      </c>
      <c r="C1168" s="3">
        <v>502.04</v>
      </c>
    </row>
    <row r="1169" spans="1:3" x14ac:dyDescent="0.2">
      <c r="A1169" s="2">
        <v>45896</v>
      </c>
      <c r="B1169" s="3" t="s">
        <v>5</v>
      </c>
      <c r="C1169" s="3">
        <v>506.74</v>
      </c>
    </row>
    <row r="1170" spans="1:3" x14ac:dyDescent="0.2">
      <c r="A1170" s="2">
        <v>45897</v>
      </c>
      <c r="B1170" s="3" t="s">
        <v>5</v>
      </c>
      <c r="C1170" s="3">
        <v>509.64</v>
      </c>
    </row>
    <row r="1171" spans="1:3" x14ac:dyDescent="0.2">
      <c r="A1171" s="2">
        <v>45898</v>
      </c>
      <c r="B1171" s="3" t="s">
        <v>5</v>
      </c>
      <c r="C1171" s="3">
        <v>506.69</v>
      </c>
    </row>
    <row r="1172" spans="1:3" x14ac:dyDescent="0.2">
      <c r="A1172" s="2">
        <v>45902</v>
      </c>
      <c r="B1172" s="3" t="s">
        <v>5</v>
      </c>
      <c r="C1172" s="3">
        <v>505.12</v>
      </c>
    </row>
    <row r="1173" spans="1:3" x14ac:dyDescent="0.2">
      <c r="A1173" s="2">
        <v>45903</v>
      </c>
      <c r="B1173" s="3" t="s">
        <v>5</v>
      </c>
      <c r="C1173" s="3">
        <v>505.35</v>
      </c>
    </row>
    <row r="1174" spans="1:3" x14ac:dyDescent="0.2">
      <c r="A1174" s="2">
        <v>45904</v>
      </c>
      <c r="B1174" s="3" t="s">
        <v>5</v>
      </c>
      <c r="C1174" s="3">
        <v>507.97</v>
      </c>
    </row>
    <row r="1175" spans="1:3" x14ac:dyDescent="0.2">
      <c r="A1175" s="2">
        <v>45905</v>
      </c>
      <c r="B1175" s="3" t="s">
        <v>5</v>
      </c>
      <c r="C1175" s="3">
        <v>495</v>
      </c>
    </row>
    <row r="1176" spans="1:3" x14ac:dyDescent="0.2">
      <c r="A1176" s="2">
        <v>45908</v>
      </c>
      <c r="B1176" s="3" t="s">
        <v>5</v>
      </c>
      <c r="C1176" s="3">
        <v>498.2</v>
      </c>
    </row>
    <row r="1177" spans="1:3" x14ac:dyDescent="0.2">
      <c r="A1177" s="2">
        <v>45909</v>
      </c>
      <c r="B1177" s="3" t="s">
        <v>5</v>
      </c>
      <c r="C1177" s="3">
        <v>498.41</v>
      </c>
    </row>
    <row r="1178" spans="1:3" x14ac:dyDescent="0.2">
      <c r="A1178" s="2">
        <v>45910</v>
      </c>
      <c r="B1178" s="3" t="s">
        <v>5</v>
      </c>
      <c r="C1178" s="3">
        <v>500.37</v>
      </c>
    </row>
    <row r="1179" spans="1:3" x14ac:dyDescent="0.2">
      <c r="A1179" s="2">
        <v>45911</v>
      </c>
      <c r="B1179" s="3" t="s">
        <v>5</v>
      </c>
      <c r="C1179" s="3">
        <v>501.01</v>
      </c>
    </row>
    <row r="1180" spans="1:3" x14ac:dyDescent="0.2">
      <c r="A1180" s="2">
        <v>45912</v>
      </c>
      <c r="B1180" s="3" t="s">
        <v>5</v>
      </c>
      <c r="C1180" s="3">
        <v>509.9</v>
      </c>
    </row>
    <row r="1181" spans="1:3" x14ac:dyDescent="0.2">
      <c r="A1181" s="2">
        <v>45915</v>
      </c>
      <c r="B1181" s="3" t="s">
        <v>5</v>
      </c>
      <c r="C1181" s="3">
        <v>515.36</v>
      </c>
    </row>
    <row r="1182" spans="1:3" x14ac:dyDescent="0.2">
      <c r="A1182" s="2">
        <v>45916</v>
      </c>
      <c r="B1182" s="3" t="s">
        <v>5</v>
      </c>
      <c r="C1182" s="3">
        <v>509.04</v>
      </c>
    </row>
    <row r="1183" spans="1:3" x14ac:dyDescent="0.2">
      <c r="A1183" s="2">
        <v>45917</v>
      </c>
      <c r="B1183" s="3" t="s">
        <v>5</v>
      </c>
      <c r="C1183" s="3">
        <v>510.02</v>
      </c>
    </row>
    <row r="1184" spans="1:3" x14ac:dyDescent="0.2">
      <c r="A1184" s="2">
        <v>45918</v>
      </c>
      <c r="B1184" s="3" t="s">
        <v>5</v>
      </c>
      <c r="C1184" s="3">
        <v>508.45</v>
      </c>
    </row>
    <row r="1185" spans="1:3" x14ac:dyDescent="0.2">
      <c r="A1185" s="2">
        <v>45919</v>
      </c>
      <c r="B1185" s="3" t="s">
        <v>5</v>
      </c>
      <c r="C1185" s="3">
        <v>517.92999999999995</v>
      </c>
    </row>
    <row r="1186" spans="1:3" x14ac:dyDescent="0.2">
      <c r="A1186" s="2">
        <v>45922</v>
      </c>
      <c r="B1186" s="3" t="s">
        <v>5</v>
      </c>
      <c r="C1186" s="3">
        <v>514.45000000000005</v>
      </c>
    </row>
    <row r="1187" spans="1:3" x14ac:dyDescent="0.2">
      <c r="A1187" s="2">
        <v>45923</v>
      </c>
      <c r="B1187" s="3" t="s">
        <v>5</v>
      </c>
      <c r="C1187" s="3">
        <v>509.23</v>
      </c>
    </row>
    <row r="1188" spans="1:3" x14ac:dyDescent="0.2">
      <c r="A1188" s="2">
        <v>45924</v>
      </c>
      <c r="B1188" s="3" t="s">
        <v>5</v>
      </c>
      <c r="C1188" s="3">
        <v>510.15</v>
      </c>
    </row>
    <row r="1189" spans="1:3" x14ac:dyDescent="0.2">
      <c r="A1189" s="2">
        <v>45925</v>
      </c>
      <c r="B1189" s="3" t="s">
        <v>5</v>
      </c>
      <c r="C1189" s="3">
        <v>507.03</v>
      </c>
    </row>
    <row r="1190" spans="1:3" x14ac:dyDescent="0.2">
      <c r="A1190" s="2">
        <v>45926</v>
      </c>
      <c r="B1190" s="3" t="s">
        <v>5</v>
      </c>
      <c r="C1190" s="3">
        <v>511.46</v>
      </c>
    </row>
    <row r="1191" spans="1:3" x14ac:dyDescent="0.2">
      <c r="A1191" s="2">
        <v>45929</v>
      </c>
      <c r="B1191" s="3" t="s">
        <v>5</v>
      </c>
      <c r="C1191" s="3">
        <v>514.6</v>
      </c>
    </row>
    <row r="1192" spans="1:3" x14ac:dyDescent="0.2">
      <c r="A1192" s="2">
        <v>45930</v>
      </c>
      <c r="B1192" s="3" t="s">
        <v>5</v>
      </c>
      <c r="C1192" s="3">
        <v>517.95000000000005</v>
      </c>
    </row>
    <row r="1193" spans="1:3" x14ac:dyDescent="0.2">
      <c r="A1193" s="2">
        <v>45931</v>
      </c>
      <c r="B1193" s="3" t="s">
        <v>5</v>
      </c>
      <c r="C1193" s="3">
        <v>519.71</v>
      </c>
    </row>
    <row r="1194" spans="1:3" x14ac:dyDescent="0.2">
      <c r="A1194" s="2">
        <v>45932</v>
      </c>
      <c r="B1194" s="3" t="s">
        <v>5</v>
      </c>
      <c r="C1194" s="3">
        <v>515.74</v>
      </c>
    </row>
    <row r="1195" spans="1:3" x14ac:dyDescent="0.2">
      <c r="A1195" s="2">
        <v>45933</v>
      </c>
      <c r="B1195" s="3" t="s">
        <v>5</v>
      </c>
      <c r="C1195" s="3">
        <v>517.35</v>
      </c>
    </row>
    <row r="1196" spans="1:3" x14ac:dyDescent="0.2">
      <c r="A1196" s="2">
        <v>45936</v>
      </c>
      <c r="B1196" s="3" t="s">
        <v>5</v>
      </c>
      <c r="C1196" s="3">
        <v>528.57000000000005</v>
      </c>
    </row>
    <row r="1197" spans="1:3" x14ac:dyDescent="0.2">
      <c r="A1197" s="2">
        <v>45937</v>
      </c>
      <c r="B1197" s="3" t="s">
        <v>5</v>
      </c>
      <c r="C1197" s="3">
        <v>523.98</v>
      </c>
    </row>
    <row r="1198" spans="1:3" x14ac:dyDescent="0.2">
      <c r="A1198" s="2">
        <v>45938</v>
      </c>
      <c r="B1198" s="3" t="s">
        <v>5</v>
      </c>
      <c r="C1198" s="3">
        <v>524.85</v>
      </c>
    </row>
    <row r="1199" spans="1:3" x14ac:dyDescent="0.2">
      <c r="A1199" s="2">
        <v>45939</v>
      </c>
      <c r="B1199" s="3" t="s">
        <v>5</v>
      </c>
      <c r="C1199" s="3">
        <v>522.4</v>
      </c>
    </row>
    <row r="1200" spans="1:3" x14ac:dyDescent="0.2">
      <c r="A1200" s="2">
        <v>45940</v>
      </c>
      <c r="B1200" s="3" t="s">
        <v>5</v>
      </c>
      <c r="C1200" s="3">
        <v>510.96</v>
      </c>
    </row>
    <row r="1201" spans="1:3" x14ac:dyDescent="0.2">
      <c r="A1201" s="2">
        <v>45943</v>
      </c>
      <c r="B1201" s="3" t="s">
        <v>5</v>
      </c>
      <c r="C1201" s="3">
        <v>514.04999999999995</v>
      </c>
    </row>
    <row r="1202" spans="1:3" x14ac:dyDescent="0.2">
      <c r="A1202" s="2">
        <v>45944</v>
      </c>
      <c r="B1202" s="3" t="s">
        <v>5</v>
      </c>
      <c r="C1202" s="3">
        <v>513.57000000000005</v>
      </c>
    </row>
    <row r="1203" spans="1:3" x14ac:dyDescent="0.2">
      <c r="A1203" s="2">
        <v>45945</v>
      </c>
      <c r="B1203" s="3" t="s">
        <v>5</v>
      </c>
      <c r="C1203" s="3">
        <v>513.42999999999995</v>
      </c>
    </row>
    <row r="1204" spans="1:3" x14ac:dyDescent="0.2">
      <c r="A1204" s="2">
        <v>45946</v>
      </c>
      <c r="B1204" s="3" t="s">
        <v>5</v>
      </c>
      <c r="C1204" s="3">
        <v>511.61</v>
      </c>
    </row>
    <row r="1205" spans="1:3" x14ac:dyDescent="0.2">
      <c r="A1205" s="2">
        <v>45947</v>
      </c>
      <c r="B1205" s="3" t="s">
        <v>5</v>
      </c>
      <c r="C1205" s="3">
        <v>513.58000000000004</v>
      </c>
    </row>
    <row r="1206" spans="1:3" x14ac:dyDescent="0.2">
      <c r="A1206" s="2">
        <v>45950</v>
      </c>
      <c r="B1206" s="3" t="s">
        <v>5</v>
      </c>
      <c r="C1206" s="3">
        <v>516.79</v>
      </c>
    </row>
    <row r="1207" spans="1:3" x14ac:dyDescent="0.2">
      <c r="A1207" s="2">
        <v>45951</v>
      </c>
      <c r="B1207" s="3" t="s">
        <v>5</v>
      </c>
      <c r="C1207" s="3">
        <v>517.66</v>
      </c>
    </row>
    <row r="1208" spans="1:3" x14ac:dyDescent="0.2">
      <c r="A1208" s="2">
        <v>45952</v>
      </c>
      <c r="B1208" s="3" t="s">
        <v>5</v>
      </c>
      <c r="C1208" s="3">
        <v>520.54</v>
      </c>
    </row>
    <row r="1209" spans="1:3" x14ac:dyDescent="0.2">
      <c r="A1209" s="2">
        <v>45953</v>
      </c>
      <c r="B1209" s="3" t="s">
        <v>5</v>
      </c>
      <c r="C1209" s="3">
        <v>520.55999999999995</v>
      </c>
    </row>
    <row r="1210" spans="1:3" x14ac:dyDescent="0.2">
      <c r="A1210" s="2">
        <v>45954</v>
      </c>
      <c r="B1210" s="3" t="s">
        <v>5</v>
      </c>
      <c r="C1210" s="3">
        <v>523.61</v>
      </c>
    </row>
    <row r="1211" spans="1:3" x14ac:dyDescent="0.2">
      <c r="A1211" s="2">
        <v>45957</v>
      </c>
      <c r="B1211" s="3" t="s">
        <v>5</v>
      </c>
      <c r="C1211" s="3">
        <v>531.52</v>
      </c>
    </row>
    <row r="1212" spans="1:3" x14ac:dyDescent="0.2">
      <c r="A1212" s="2">
        <v>45958</v>
      </c>
      <c r="B1212" s="3" t="s">
        <v>5</v>
      </c>
      <c r="C1212" s="3">
        <v>542.07000000000005</v>
      </c>
    </row>
    <row r="1213" spans="1:3" x14ac:dyDescent="0.2">
      <c r="A1213" s="2">
        <v>45959</v>
      </c>
      <c r="B1213" s="3" t="s">
        <v>5</v>
      </c>
      <c r="C1213" s="3">
        <v>541.54999999999995</v>
      </c>
    </row>
    <row r="1214" spans="1:3" x14ac:dyDescent="0.2">
      <c r="A1214" s="2">
        <v>45960</v>
      </c>
      <c r="B1214" s="3" t="s">
        <v>5</v>
      </c>
      <c r="C1214" s="3">
        <v>525.76</v>
      </c>
    </row>
    <row r="1215" spans="1:3" x14ac:dyDescent="0.2">
      <c r="A1215" s="2">
        <v>45961</v>
      </c>
      <c r="B1215" s="3" t="s">
        <v>5</v>
      </c>
      <c r="C1215" s="3">
        <v>517.80999999999995</v>
      </c>
    </row>
    <row r="1216" spans="1:3" x14ac:dyDescent="0.2">
      <c r="A1216" s="2">
        <v>45964</v>
      </c>
      <c r="B1216" s="3" t="s">
        <v>5</v>
      </c>
      <c r="C1216" s="3">
        <v>517.03</v>
      </c>
    </row>
    <row r="1217" spans="1:3" x14ac:dyDescent="0.2">
      <c r="A1217" s="2">
        <v>45965</v>
      </c>
      <c r="B1217" s="3" t="s">
        <v>5</v>
      </c>
      <c r="C1217" s="3">
        <v>514.33000000000004</v>
      </c>
    </row>
    <row r="1218" spans="1:3" x14ac:dyDescent="0.2">
      <c r="A1218" s="2">
        <v>45966</v>
      </c>
      <c r="B1218" s="3" t="s">
        <v>5</v>
      </c>
      <c r="C1218" s="3">
        <v>507.16</v>
      </c>
    </row>
    <row r="1219" spans="1:3" x14ac:dyDescent="0.2">
      <c r="A1219" s="2">
        <v>45967</v>
      </c>
      <c r="B1219" s="3" t="s">
        <v>5</v>
      </c>
      <c r="C1219" s="3">
        <v>497.1</v>
      </c>
    </row>
    <row r="1220" spans="1:3" x14ac:dyDescent="0.2">
      <c r="A1220" s="2">
        <v>45968</v>
      </c>
      <c r="B1220" s="3" t="s">
        <v>5</v>
      </c>
      <c r="C1220" s="3">
        <v>496.82</v>
      </c>
    </row>
    <row r="1221" spans="1:3" x14ac:dyDescent="0.2">
      <c r="A1221" s="2">
        <v>45971</v>
      </c>
      <c r="B1221" s="3" t="s">
        <v>5</v>
      </c>
      <c r="C1221" s="3">
        <v>506</v>
      </c>
    </row>
    <row r="1222" spans="1:3" x14ac:dyDescent="0.2">
      <c r="A1222" s="2">
        <v>45972</v>
      </c>
      <c r="B1222" s="3" t="s">
        <v>5</v>
      </c>
      <c r="C1222" s="3">
        <v>508.68</v>
      </c>
    </row>
    <row r="1223" spans="1:3" x14ac:dyDescent="0.2">
      <c r="A1223" s="2">
        <v>45973</v>
      </c>
      <c r="B1223" s="3" t="s">
        <v>5</v>
      </c>
      <c r="C1223" s="3">
        <v>511.14</v>
      </c>
    </row>
    <row r="1224" spans="1:3" x14ac:dyDescent="0.2">
      <c r="A1224" s="2">
        <v>45974</v>
      </c>
      <c r="B1224" s="3" t="s">
        <v>5</v>
      </c>
      <c r="C1224" s="3">
        <v>503.29</v>
      </c>
    </row>
    <row r="1225" spans="1:3" x14ac:dyDescent="0.2">
      <c r="A1225" s="2">
        <v>45975</v>
      </c>
      <c r="B1225" s="3" t="s">
        <v>5</v>
      </c>
      <c r="C1225" s="3">
        <v>510.18</v>
      </c>
    </row>
    <row r="1226" spans="1:3" x14ac:dyDescent="0.2">
      <c r="A1226" s="2">
        <v>45978</v>
      </c>
      <c r="B1226" s="3" t="s">
        <v>5</v>
      </c>
      <c r="C1226" s="3">
        <v>507.49</v>
      </c>
    </row>
    <row r="1227" spans="1:3" x14ac:dyDescent="0.2">
      <c r="A1227" s="2">
        <v>45979</v>
      </c>
      <c r="B1227" s="3" t="s">
        <v>5</v>
      </c>
      <c r="C1227" s="3">
        <v>493.79</v>
      </c>
    </row>
    <row r="1228" spans="1:3" x14ac:dyDescent="0.2">
      <c r="A1228" s="2">
        <v>45980</v>
      </c>
      <c r="B1228" s="3" t="s">
        <v>5</v>
      </c>
      <c r="C1228" s="3">
        <v>487.12</v>
      </c>
    </row>
    <row r="1229" spans="1:3" x14ac:dyDescent="0.2">
      <c r="A1229" s="2">
        <v>45981</v>
      </c>
      <c r="B1229" s="3" t="s">
        <v>5</v>
      </c>
      <c r="C1229" s="3">
        <v>478.43</v>
      </c>
    </row>
    <row r="1230" spans="1:3" x14ac:dyDescent="0.2">
      <c r="A1230" s="2">
        <v>45982</v>
      </c>
      <c r="B1230" s="3" t="s">
        <v>5</v>
      </c>
      <c r="C1230" s="3">
        <v>472.12</v>
      </c>
    </row>
    <row r="1231" spans="1:3" x14ac:dyDescent="0.2">
      <c r="A1231" s="2">
        <v>45985</v>
      </c>
      <c r="B1231" s="3" t="s">
        <v>5</v>
      </c>
      <c r="C1231" s="3">
        <v>474</v>
      </c>
    </row>
    <row r="1232" spans="1:3" x14ac:dyDescent="0.2">
      <c r="A1232" s="2">
        <v>45986</v>
      </c>
      <c r="B1232" s="3" t="s">
        <v>5</v>
      </c>
      <c r="C1232" s="3">
        <v>476.99</v>
      </c>
    </row>
    <row r="1233" spans="1:3" x14ac:dyDescent="0.2">
      <c r="A1233" s="2">
        <v>45987</v>
      </c>
      <c r="B1233" s="3" t="s">
        <v>5</v>
      </c>
      <c r="C1233" s="3">
        <v>485.5</v>
      </c>
    </row>
    <row r="1234" spans="1:3" x14ac:dyDescent="0.2">
      <c r="A1234" s="2">
        <v>45989</v>
      </c>
      <c r="B1234" s="3" t="s">
        <v>5</v>
      </c>
      <c r="C1234" s="3">
        <v>492.01</v>
      </c>
    </row>
    <row r="1235" spans="1:3" x14ac:dyDescent="0.2">
      <c r="A1235" s="2">
        <v>45992</v>
      </c>
      <c r="B1235" s="3" t="s">
        <v>5</v>
      </c>
      <c r="C1235" s="3">
        <v>486.74</v>
      </c>
    </row>
    <row r="1236" spans="1:3" x14ac:dyDescent="0.2">
      <c r="A1236" s="2">
        <v>45993</v>
      </c>
      <c r="B1236" s="3" t="s">
        <v>5</v>
      </c>
      <c r="C1236" s="3">
        <v>490</v>
      </c>
    </row>
    <row r="1237" spans="1:3" x14ac:dyDescent="0.2">
      <c r="A1237" s="2">
        <v>45994</v>
      </c>
      <c r="B1237" s="3" t="s">
        <v>5</v>
      </c>
      <c r="C1237" s="3">
        <v>477.73</v>
      </c>
    </row>
    <row r="1238" spans="1:3" x14ac:dyDescent="0.2">
      <c r="A1238" s="2">
        <v>45995</v>
      </c>
      <c r="B1238" s="3" t="s">
        <v>5</v>
      </c>
      <c r="C1238" s="3">
        <v>480.84</v>
      </c>
    </row>
    <row r="1239" spans="1:3" x14ac:dyDescent="0.2">
      <c r="A1239" s="2">
        <v>45996</v>
      </c>
      <c r="B1239" s="3" t="s">
        <v>5</v>
      </c>
      <c r="C1239" s="3">
        <v>483.16</v>
      </c>
    </row>
    <row r="1240" spans="1:3" x14ac:dyDescent="0.2">
      <c r="A1240" s="2">
        <v>45999</v>
      </c>
      <c r="B1240" s="3" t="s">
        <v>5</v>
      </c>
      <c r="C1240" s="3">
        <v>491.02</v>
      </c>
    </row>
    <row r="1241" spans="1:3" x14ac:dyDescent="0.2">
      <c r="A1241" s="2">
        <v>46000</v>
      </c>
      <c r="B1241" s="3" t="s">
        <v>5</v>
      </c>
      <c r="C1241" s="3">
        <v>492.02</v>
      </c>
    </row>
    <row r="1242" spans="1:3" x14ac:dyDescent="0.2">
      <c r="A1242" s="2">
        <v>46001</v>
      </c>
      <c r="B1242" s="3" t="s">
        <v>5</v>
      </c>
      <c r="C1242" s="3">
        <v>478.56</v>
      </c>
    </row>
    <row r="1243" spans="1:3" x14ac:dyDescent="0.2">
      <c r="A1243" s="2">
        <v>46002</v>
      </c>
      <c r="B1243" s="3" t="s">
        <v>5</v>
      </c>
      <c r="C1243" s="3">
        <v>483.47</v>
      </c>
    </row>
    <row r="1244" spans="1:3" x14ac:dyDescent="0.2">
      <c r="A1244" s="2">
        <v>46003</v>
      </c>
      <c r="B1244" s="3" t="s">
        <v>5</v>
      </c>
      <c r="C1244" s="3">
        <v>478.53</v>
      </c>
    </row>
    <row r="1245" spans="1:3" x14ac:dyDescent="0.2">
      <c r="A1245" s="2">
        <v>46006</v>
      </c>
      <c r="B1245" s="3" t="s">
        <v>5</v>
      </c>
      <c r="C1245" s="3">
        <v>474.82</v>
      </c>
    </row>
    <row r="1246" spans="1:3" x14ac:dyDescent="0.2">
      <c r="A1246" s="2">
        <v>46007</v>
      </c>
      <c r="B1246" s="3" t="s">
        <v>5</v>
      </c>
      <c r="C1246" s="3">
        <v>476.39</v>
      </c>
    </row>
    <row r="1247" spans="1:3" x14ac:dyDescent="0.2">
      <c r="A1247" s="2">
        <v>46008</v>
      </c>
      <c r="B1247" s="3" t="s">
        <v>5</v>
      </c>
      <c r="C1247" s="3">
        <v>476.12</v>
      </c>
    </row>
    <row r="1248" spans="1:3" x14ac:dyDescent="0.2">
      <c r="A1248" s="2">
        <v>46009</v>
      </c>
      <c r="B1248" s="3" t="s">
        <v>5</v>
      </c>
      <c r="C1248" s="3">
        <v>483.98</v>
      </c>
    </row>
    <row r="1249" spans="1:3" x14ac:dyDescent="0.2">
      <c r="A1249" s="2">
        <v>46010</v>
      </c>
      <c r="B1249" s="3" t="s">
        <v>5</v>
      </c>
      <c r="C1249" s="3">
        <v>485.92</v>
      </c>
    </row>
    <row r="1250" spans="1:3" x14ac:dyDescent="0.2">
      <c r="A1250" s="2">
        <v>46013</v>
      </c>
      <c r="B1250" s="3" t="s">
        <v>5</v>
      </c>
      <c r="C1250" s="3">
        <v>484.92</v>
      </c>
    </row>
    <row r="1251" spans="1:3" x14ac:dyDescent="0.2">
      <c r="A1251" s="2">
        <v>46014</v>
      </c>
      <c r="B1251" s="3" t="s">
        <v>5</v>
      </c>
      <c r="C1251" s="3">
        <v>486.85</v>
      </c>
    </row>
    <row r="1252" spans="1:3" x14ac:dyDescent="0.2">
      <c r="A1252" s="2">
        <v>46015</v>
      </c>
      <c r="B1252" s="3" t="s">
        <v>5</v>
      </c>
      <c r="C1252" s="3">
        <v>488.02</v>
      </c>
    </row>
    <row r="1253" spans="1:3" x14ac:dyDescent="0.2">
      <c r="A1253" s="2">
        <v>46017</v>
      </c>
      <c r="B1253" s="3" t="s">
        <v>5</v>
      </c>
      <c r="C1253" s="3">
        <v>487.71</v>
      </c>
    </row>
    <row r="1254" spans="1:3" x14ac:dyDescent="0.2">
      <c r="A1254" s="2">
        <v>46020</v>
      </c>
      <c r="B1254" s="3" t="s">
        <v>5</v>
      </c>
      <c r="C1254" s="3">
        <v>487.1</v>
      </c>
    </row>
    <row r="1255" spans="1:3" x14ac:dyDescent="0.2">
      <c r="A1255" s="2">
        <v>46021</v>
      </c>
      <c r="B1255" s="3" t="s">
        <v>5</v>
      </c>
      <c r="C1255" s="3">
        <v>487.48</v>
      </c>
    </row>
    <row r="1256" spans="1:3" x14ac:dyDescent="0.2">
      <c r="A1256" s="2">
        <v>46022</v>
      </c>
      <c r="B1256" s="3" t="s">
        <v>5</v>
      </c>
      <c r="C1256" s="3">
        <v>483.62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7099-5B2E-4007-865E-8879AF85A411}">
  <sheetPr codeName="Sheet3"/>
  <dimension ref="A1:C1256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3" t="s">
        <v>4</v>
      </c>
      <c r="C2" s="3">
        <v>13.080399999999999</v>
      </c>
    </row>
    <row r="3" spans="1:3" x14ac:dyDescent="0.2">
      <c r="A3" s="2">
        <v>44201</v>
      </c>
      <c r="B3" s="3" t="s">
        <v>4</v>
      </c>
      <c r="C3" s="3">
        <v>13.3711</v>
      </c>
    </row>
    <row r="4" spans="1:3" x14ac:dyDescent="0.2">
      <c r="A4" s="2">
        <v>44202</v>
      </c>
      <c r="B4" s="3" t="s">
        <v>4</v>
      </c>
      <c r="C4" s="3">
        <v>12.5823</v>
      </c>
    </row>
    <row r="5" spans="1:3" x14ac:dyDescent="0.2">
      <c r="A5" s="2">
        <v>44203</v>
      </c>
      <c r="B5" s="3" t="s">
        <v>4</v>
      </c>
      <c r="C5" s="3">
        <v>13.3111</v>
      </c>
    </row>
    <row r="6" spans="1:3" x14ac:dyDescent="0.2">
      <c r="A6" s="2">
        <v>44204</v>
      </c>
      <c r="B6" s="3" t="s">
        <v>4</v>
      </c>
      <c r="C6" s="3">
        <v>13.2432</v>
      </c>
    </row>
    <row r="7" spans="1:3" x14ac:dyDescent="0.2">
      <c r="A7" s="2">
        <v>44207</v>
      </c>
      <c r="B7" s="3" t="s">
        <v>4</v>
      </c>
      <c r="C7" s="3">
        <v>13.5878</v>
      </c>
    </row>
    <row r="8" spans="1:3" x14ac:dyDescent="0.2">
      <c r="A8" s="2">
        <v>44208</v>
      </c>
      <c r="B8" s="3" t="s">
        <v>4</v>
      </c>
      <c r="C8" s="3">
        <v>13.451000000000001</v>
      </c>
    </row>
    <row r="9" spans="1:3" x14ac:dyDescent="0.2">
      <c r="A9" s="2">
        <v>44209</v>
      </c>
      <c r="B9" s="3" t="s">
        <v>4</v>
      </c>
      <c r="C9" s="3">
        <v>13.4978</v>
      </c>
    </row>
    <row r="10" spans="1:3" x14ac:dyDescent="0.2">
      <c r="A10" s="2">
        <v>44210</v>
      </c>
      <c r="B10" s="3" t="s">
        <v>4</v>
      </c>
      <c r="C10" s="3">
        <v>13.167299999999999</v>
      </c>
    </row>
    <row r="11" spans="1:3" x14ac:dyDescent="0.2">
      <c r="A11" s="2">
        <v>44211</v>
      </c>
      <c r="B11" s="3" t="s">
        <v>4</v>
      </c>
      <c r="C11" s="3">
        <v>12.8268</v>
      </c>
    </row>
    <row r="12" spans="1:3" x14ac:dyDescent="0.2">
      <c r="A12" s="2">
        <v>44215</v>
      </c>
      <c r="B12" s="3" t="s">
        <v>4</v>
      </c>
      <c r="C12" s="3">
        <v>12.992599999999999</v>
      </c>
    </row>
    <row r="13" spans="1:3" x14ac:dyDescent="0.2">
      <c r="A13" s="2">
        <v>44216</v>
      </c>
      <c r="B13" s="3" t="s">
        <v>4</v>
      </c>
      <c r="C13" s="3">
        <v>13.332100000000001</v>
      </c>
    </row>
    <row r="14" spans="1:3" x14ac:dyDescent="0.2">
      <c r="A14" s="2">
        <v>44217</v>
      </c>
      <c r="B14" s="3" t="s">
        <v>4</v>
      </c>
      <c r="C14" s="3">
        <v>13.833500000000001</v>
      </c>
    </row>
    <row r="15" spans="1:3" x14ac:dyDescent="0.2">
      <c r="A15" s="2">
        <v>44218</v>
      </c>
      <c r="B15" s="3" t="s">
        <v>4</v>
      </c>
      <c r="C15" s="3">
        <v>13.678699999999999</v>
      </c>
    </row>
    <row r="16" spans="1:3" x14ac:dyDescent="0.2">
      <c r="A16" s="2">
        <v>44221</v>
      </c>
      <c r="B16" s="3" t="s">
        <v>4</v>
      </c>
      <c r="C16" s="3">
        <v>13.6197</v>
      </c>
    </row>
    <row r="17" spans="1:3" x14ac:dyDescent="0.2">
      <c r="A17" s="2">
        <v>44222</v>
      </c>
      <c r="B17" s="3" t="s">
        <v>4</v>
      </c>
      <c r="C17" s="3">
        <v>13.4011</v>
      </c>
    </row>
    <row r="18" spans="1:3" x14ac:dyDescent="0.2">
      <c r="A18" s="2">
        <v>44223</v>
      </c>
      <c r="B18" s="3" t="s">
        <v>4</v>
      </c>
      <c r="C18" s="3">
        <v>12.8848</v>
      </c>
    </row>
    <row r="19" spans="1:3" x14ac:dyDescent="0.2">
      <c r="A19" s="2">
        <v>44224</v>
      </c>
      <c r="B19" s="3" t="s">
        <v>4</v>
      </c>
      <c r="C19" s="3">
        <v>13.0176</v>
      </c>
    </row>
    <row r="20" spans="1:3" x14ac:dyDescent="0.2">
      <c r="A20" s="2">
        <v>44225</v>
      </c>
      <c r="B20" s="3" t="s">
        <v>4</v>
      </c>
      <c r="C20" s="3">
        <v>12.9567</v>
      </c>
    </row>
    <row r="21" spans="1:3" x14ac:dyDescent="0.2">
      <c r="A21" s="2">
        <v>44228</v>
      </c>
      <c r="B21" s="3" t="s">
        <v>4</v>
      </c>
      <c r="C21" s="3">
        <v>13.2033</v>
      </c>
    </row>
    <row r="22" spans="1:3" x14ac:dyDescent="0.2">
      <c r="A22" s="2">
        <v>44229</v>
      </c>
      <c r="B22" s="3" t="s">
        <v>4</v>
      </c>
      <c r="C22" s="3">
        <v>13.5228</v>
      </c>
    </row>
    <row r="23" spans="1:3" x14ac:dyDescent="0.2">
      <c r="A23" s="2">
        <v>44230</v>
      </c>
      <c r="B23" s="3" t="s">
        <v>4</v>
      </c>
      <c r="C23" s="3">
        <v>13.4968</v>
      </c>
    </row>
    <row r="24" spans="1:3" x14ac:dyDescent="0.2">
      <c r="A24" s="2">
        <v>44231</v>
      </c>
      <c r="B24" s="3" t="s">
        <v>4</v>
      </c>
      <c r="C24" s="3">
        <v>13.630699999999999</v>
      </c>
    </row>
    <row r="25" spans="1:3" x14ac:dyDescent="0.2">
      <c r="A25" s="2">
        <v>44232</v>
      </c>
      <c r="B25" s="3" t="s">
        <v>4</v>
      </c>
      <c r="C25" s="3">
        <v>13.556800000000001</v>
      </c>
    </row>
    <row r="26" spans="1:3" x14ac:dyDescent="0.2">
      <c r="A26" s="2">
        <v>44235</v>
      </c>
      <c r="B26" s="3" t="s">
        <v>4</v>
      </c>
      <c r="C26" s="3">
        <v>14.4025</v>
      </c>
    </row>
    <row r="27" spans="1:3" x14ac:dyDescent="0.2">
      <c r="A27" s="2">
        <v>44236</v>
      </c>
      <c r="B27" s="3" t="s">
        <v>4</v>
      </c>
      <c r="C27" s="3">
        <v>14.226699999999999</v>
      </c>
    </row>
    <row r="28" spans="1:3" x14ac:dyDescent="0.2">
      <c r="A28" s="2">
        <v>44237</v>
      </c>
      <c r="B28" s="3" t="s">
        <v>4</v>
      </c>
      <c r="C28" s="3">
        <v>14.726000000000001</v>
      </c>
    </row>
    <row r="29" spans="1:3" x14ac:dyDescent="0.2">
      <c r="A29" s="2">
        <v>44238</v>
      </c>
      <c r="B29" s="3" t="s">
        <v>4</v>
      </c>
      <c r="C29" s="3">
        <v>15.212400000000001</v>
      </c>
    </row>
    <row r="30" spans="1:3" x14ac:dyDescent="0.2">
      <c r="A30" s="2">
        <v>44239</v>
      </c>
      <c r="B30" s="3" t="s">
        <v>4</v>
      </c>
      <c r="C30" s="3">
        <v>14.9229</v>
      </c>
    </row>
    <row r="31" spans="1:3" x14ac:dyDescent="0.2">
      <c r="A31" s="2">
        <v>44243</v>
      </c>
      <c r="B31" s="3" t="s">
        <v>4</v>
      </c>
      <c r="C31" s="3">
        <v>15.2902</v>
      </c>
    </row>
    <row r="32" spans="1:3" x14ac:dyDescent="0.2">
      <c r="A32" s="2">
        <v>44244</v>
      </c>
      <c r="B32" s="3" t="s">
        <v>4</v>
      </c>
      <c r="C32" s="3">
        <v>14.868</v>
      </c>
    </row>
    <row r="33" spans="1:3" x14ac:dyDescent="0.2">
      <c r="A33" s="2">
        <v>44245</v>
      </c>
      <c r="B33" s="3" t="s">
        <v>4</v>
      </c>
      <c r="C33" s="3">
        <v>14.791</v>
      </c>
    </row>
    <row r="34" spans="1:3" x14ac:dyDescent="0.2">
      <c r="A34" s="2">
        <v>44246</v>
      </c>
      <c r="B34" s="3" t="s">
        <v>4</v>
      </c>
      <c r="C34" s="3">
        <v>14.8879</v>
      </c>
    </row>
    <row r="35" spans="1:3" x14ac:dyDescent="0.2">
      <c r="A35" s="2">
        <v>44249</v>
      </c>
      <c r="B35" s="3" t="s">
        <v>4</v>
      </c>
      <c r="C35" s="3">
        <v>14.3195</v>
      </c>
    </row>
    <row r="36" spans="1:3" x14ac:dyDescent="0.2">
      <c r="A36" s="2">
        <v>44250</v>
      </c>
      <c r="B36" s="3" t="s">
        <v>4</v>
      </c>
      <c r="C36" s="3">
        <v>14.1068</v>
      </c>
    </row>
    <row r="37" spans="1:3" x14ac:dyDescent="0.2">
      <c r="A37" s="2">
        <v>44251</v>
      </c>
      <c r="B37" s="3" t="s">
        <v>4</v>
      </c>
      <c r="C37" s="3">
        <v>14.462300000000001</v>
      </c>
    </row>
    <row r="38" spans="1:3" x14ac:dyDescent="0.2">
      <c r="A38" s="2">
        <v>44252</v>
      </c>
      <c r="B38" s="3" t="s">
        <v>4</v>
      </c>
      <c r="C38" s="3">
        <v>13.2742</v>
      </c>
    </row>
    <row r="39" spans="1:3" x14ac:dyDescent="0.2">
      <c r="A39" s="2">
        <v>44253</v>
      </c>
      <c r="B39" s="3" t="s">
        <v>4</v>
      </c>
      <c r="C39" s="3">
        <v>13.6807</v>
      </c>
    </row>
    <row r="40" spans="1:3" x14ac:dyDescent="0.2">
      <c r="A40" s="2">
        <v>44256</v>
      </c>
      <c r="B40" s="3" t="s">
        <v>4</v>
      </c>
      <c r="C40" s="3">
        <v>13.807600000000001</v>
      </c>
    </row>
    <row r="41" spans="1:3" x14ac:dyDescent="0.2">
      <c r="A41" s="2">
        <v>44257</v>
      </c>
      <c r="B41" s="3" t="s">
        <v>4</v>
      </c>
      <c r="C41" s="3">
        <v>13.3721</v>
      </c>
    </row>
    <row r="42" spans="1:3" x14ac:dyDescent="0.2">
      <c r="A42" s="2">
        <v>44258</v>
      </c>
      <c r="B42" s="3" t="s">
        <v>4</v>
      </c>
      <c r="C42" s="3">
        <v>12.7719</v>
      </c>
    </row>
    <row r="43" spans="1:3" x14ac:dyDescent="0.2">
      <c r="A43" s="2">
        <v>44259</v>
      </c>
      <c r="B43" s="3" t="s">
        <v>4</v>
      </c>
      <c r="C43" s="3">
        <v>12.3384</v>
      </c>
    </row>
    <row r="44" spans="1:3" x14ac:dyDescent="0.2">
      <c r="A44" s="2">
        <v>44260</v>
      </c>
      <c r="B44" s="3" t="s">
        <v>4</v>
      </c>
      <c r="C44" s="3">
        <v>12.429399999999999</v>
      </c>
    </row>
    <row r="45" spans="1:3" x14ac:dyDescent="0.2">
      <c r="A45" s="2">
        <v>44263</v>
      </c>
      <c r="B45" s="3" t="s">
        <v>4</v>
      </c>
      <c r="C45" s="3">
        <v>11.563800000000001</v>
      </c>
    </row>
    <row r="46" spans="1:3" x14ac:dyDescent="0.2">
      <c r="A46" s="2">
        <v>44264</v>
      </c>
      <c r="B46" s="3" t="s">
        <v>4</v>
      </c>
      <c r="C46" s="3">
        <v>12.4924</v>
      </c>
    </row>
    <row r="47" spans="1:3" x14ac:dyDescent="0.2">
      <c r="A47" s="2">
        <v>44265</v>
      </c>
      <c r="B47" s="3" t="s">
        <v>4</v>
      </c>
      <c r="C47" s="3">
        <v>12.4404</v>
      </c>
    </row>
    <row r="48" spans="1:3" x14ac:dyDescent="0.2">
      <c r="A48" s="2">
        <v>44266</v>
      </c>
      <c r="B48" s="3" t="s">
        <v>4</v>
      </c>
      <c r="C48" s="3">
        <v>12.9657</v>
      </c>
    </row>
    <row r="49" spans="1:3" x14ac:dyDescent="0.2">
      <c r="A49" s="2">
        <v>44267</v>
      </c>
      <c r="B49" s="3" t="s">
        <v>4</v>
      </c>
      <c r="C49" s="3">
        <v>12.8278</v>
      </c>
    </row>
    <row r="50" spans="1:3" x14ac:dyDescent="0.2">
      <c r="A50" s="2">
        <v>44270</v>
      </c>
      <c r="B50" s="3" t="s">
        <v>4</v>
      </c>
      <c r="C50" s="3">
        <v>13.1623</v>
      </c>
    </row>
    <row r="51" spans="1:3" x14ac:dyDescent="0.2">
      <c r="A51" s="2">
        <v>44271</v>
      </c>
      <c r="B51" s="3" t="s">
        <v>4</v>
      </c>
      <c r="C51" s="3">
        <v>13.2622</v>
      </c>
    </row>
    <row r="52" spans="1:3" x14ac:dyDescent="0.2">
      <c r="A52" s="2">
        <v>44272</v>
      </c>
      <c r="B52" s="3" t="s">
        <v>4</v>
      </c>
      <c r="C52" s="3">
        <v>13.312099999999999</v>
      </c>
    </row>
    <row r="53" spans="1:3" x14ac:dyDescent="0.2">
      <c r="A53" s="2">
        <v>44273</v>
      </c>
      <c r="B53" s="3" t="s">
        <v>4</v>
      </c>
      <c r="C53" s="3">
        <v>12.694100000000001</v>
      </c>
    </row>
    <row r="54" spans="1:3" x14ac:dyDescent="0.2">
      <c r="A54" s="2">
        <v>44274</v>
      </c>
      <c r="B54" s="3" t="s">
        <v>4</v>
      </c>
      <c r="C54" s="3">
        <v>12.8178</v>
      </c>
    </row>
    <row r="55" spans="1:3" x14ac:dyDescent="0.2">
      <c r="A55" s="2">
        <v>44277</v>
      </c>
      <c r="B55" s="3" t="s">
        <v>4</v>
      </c>
      <c r="C55" s="3">
        <v>13.157299999999999</v>
      </c>
    </row>
    <row r="56" spans="1:3" x14ac:dyDescent="0.2">
      <c r="A56" s="2">
        <v>44278</v>
      </c>
      <c r="B56" s="3" t="s">
        <v>4</v>
      </c>
      <c r="C56" s="3">
        <v>13.0425</v>
      </c>
    </row>
    <row r="57" spans="1:3" x14ac:dyDescent="0.2">
      <c r="A57" s="2">
        <v>44279</v>
      </c>
      <c r="B57" s="3" t="s">
        <v>4</v>
      </c>
      <c r="C57" s="3">
        <v>12.6152</v>
      </c>
    </row>
    <row r="58" spans="1:3" x14ac:dyDescent="0.2">
      <c r="A58" s="2">
        <v>44280</v>
      </c>
      <c r="B58" s="3" t="s">
        <v>4</v>
      </c>
      <c r="C58" s="3">
        <v>12.507400000000001</v>
      </c>
    </row>
    <row r="59" spans="1:3" x14ac:dyDescent="0.2">
      <c r="A59" s="2">
        <v>44281</v>
      </c>
      <c r="B59" s="3" t="s">
        <v>4</v>
      </c>
      <c r="C59" s="3">
        <v>12.8108</v>
      </c>
    </row>
    <row r="60" spans="1:3" x14ac:dyDescent="0.2">
      <c r="A60" s="2">
        <v>44284</v>
      </c>
      <c r="B60" s="3" t="s">
        <v>4</v>
      </c>
      <c r="C60" s="3">
        <v>12.9198</v>
      </c>
    </row>
    <row r="61" spans="1:3" x14ac:dyDescent="0.2">
      <c r="A61" s="2">
        <v>44285</v>
      </c>
      <c r="B61" s="3" t="s">
        <v>4</v>
      </c>
      <c r="C61" s="3">
        <v>12.8438</v>
      </c>
    </row>
    <row r="62" spans="1:3" x14ac:dyDescent="0.2">
      <c r="A62" s="2">
        <v>44286</v>
      </c>
      <c r="B62" s="3" t="s">
        <v>4</v>
      </c>
      <c r="C62" s="3">
        <v>13.319100000000001</v>
      </c>
    </row>
    <row r="63" spans="1:3" x14ac:dyDescent="0.2">
      <c r="A63" s="2">
        <v>44287</v>
      </c>
      <c r="B63" s="3" t="s">
        <v>4</v>
      </c>
      <c r="C63" s="3">
        <v>13.7827</v>
      </c>
    </row>
    <row r="64" spans="1:3" x14ac:dyDescent="0.2">
      <c r="A64" s="2">
        <v>44291</v>
      </c>
      <c r="B64" s="3" t="s">
        <v>4</v>
      </c>
      <c r="C64" s="3">
        <v>13.958</v>
      </c>
    </row>
    <row r="65" spans="1:3" x14ac:dyDescent="0.2">
      <c r="A65" s="2">
        <v>44292</v>
      </c>
      <c r="B65" s="3" t="s">
        <v>4</v>
      </c>
      <c r="C65" s="3">
        <v>13.8325</v>
      </c>
    </row>
    <row r="66" spans="1:3" x14ac:dyDescent="0.2">
      <c r="A66" s="2">
        <v>44293</v>
      </c>
      <c r="B66" s="3" t="s">
        <v>4</v>
      </c>
      <c r="C66" s="3">
        <v>14.113799999999999</v>
      </c>
    </row>
    <row r="67" spans="1:3" x14ac:dyDescent="0.2">
      <c r="A67" s="2">
        <v>44294</v>
      </c>
      <c r="B67" s="3" t="s">
        <v>4</v>
      </c>
      <c r="C67" s="3">
        <v>14.285600000000001</v>
      </c>
    </row>
    <row r="68" spans="1:3" x14ac:dyDescent="0.2">
      <c r="A68" s="2">
        <v>44295</v>
      </c>
      <c r="B68" s="3" t="s">
        <v>4</v>
      </c>
      <c r="C68" s="3">
        <v>14.368499999999999</v>
      </c>
    </row>
    <row r="69" spans="1:3" x14ac:dyDescent="0.2">
      <c r="A69" s="2">
        <v>44298</v>
      </c>
      <c r="B69" s="3" t="s">
        <v>4</v>
      </c>
      <c r="C69" s="3">
        <v>15.1754</v>
      </c>
    </row>
    <row r="70" spans="1:3" x14ac:dyDescent="0.2">
      <c r="A70" s="2">
        <v>44299</v>
      </c>
      <c r="B70" s="3" t="s">
        <v>4</v>
      </c>
      <c r="C70" s="3">
        <v>15.643599999999999</v>
      </c>
    </row>
    <row r="71" spans="1:3" x14ac:dyDescent="0.2">
      <c r="A71" s="2">
        <v>44300</v>
      </c>
      <c r="B71" s="3" t="s">
        <v>4</v>
      </c>
      <c r="C71" s="3">
        <v>15.2422</v>
      </c>
    </row>
    <row r="72" spans="1:3" x14ac:dyDescent="0.2">
      <c r="A72" s="2">
        <v>44301</v>
      </c>
      <c r="B72" s="3" t="s">
        <v>4</v>
      </c>
      <c r="C72" s="3">
        <v>16.100999999999999</v>
      </c>
    </row>
    <row r="73" spans="1:3" x14ac:dyDescent="0.2">
      <c r="A73" s="2">
        <v>44302</v>
      </c>
      <c r="B73" s="3" t="s">
        <v>4</v>
      </c>
      <c r="C73" s="3">
        <v>15.876300000000001</v>
      </c>
    </row>
    <row r="74" spans="1:3" x14ac:dyDescent="0.2">
      <c r="A74" s="2">
        <v>44305</v>
      </c>
      <c r="B74" s="3" t="s">
        <v>4</v>
      </c>
      <c r="C74" s="3">
        <v>15.3271</v>
      </c>
    </row>
    <row r="75" spans="1:3" x14ac:dyDescent="0.2">
      <c r="A75" s="2">
        <v>44306</v>
      </c>
      <c r="B75" s="3" t="s">
        <v>4</v>
      </c>
      <c r="C75" s="3">
        <v>15.137499999999999</v>
      </c>
    </row>
    <row r="76" spans="1:3" x14ac:dyDescent="0.2">
      <c r="A76" s="2">
        <v>44307</v>
      </c>
      <c r="B76" s="3" t="s">
        <v>4</v>
      </c>
      <c r="C76" s="3">
        <v>15.325100000000001</v>
      </c>
    </row>
    <row r="77" spans="1:3" x14ac:dyDescent="0.2">
      <c r="A77" s="2">
        <v>44308</v>
      </c>
      <c r="B77" s="3" t="s">
        <v>4</v>
      </c>
      <c r="C77" s="3">
        <v>14.817</v>
      </c>
    </row>
    <row r="78" spans="1:3" x14ac:dyDescent="0.2">
      <c r="A78" s="2">
        <v>44309</v>
      </c>
      <c r="B78" s="3" t="s">
        <v>4</v>
      </c>
      <c r="C78" s="3">
        <v>15.231299999999999</v>
      </c>
    </row>
    <row r="79" spans="1:3" x14ac:dyDescent="0.2">
      <c r="A79" s="2">
        <v>44312</v>
      </c>
      <c r="B79" s="3" t="s">
        <v>4</v>
      </c>
      <c r="C79" s="3">
        <v>15.4428</v>
      </c>
    </row>
    <row r="80" spans="1:3" x14ac:dyDescent="0.2">
      <c r="A80" s="2">
        <v>44313</v>
      </c>
      <c r="B80" s="3" t="s">
        <v>4</v>
      </c>
      <c r="C80" s="3">
        <v>15.347099999999999</v>
      </c>
    </row>
    <row r="81" spans="1:3" x14ac:dyDescent="0.2">
      <c r="A81" s="2">
        <v>44314</v>
      </c>
      <c r="B81" s="3" t="s">
        <v>4</v>
      </c>
      <c r="C81" s="3">
        <v>15.2422</v>
      </c>
    </row>
    <row r="82" spans="1:3" x14ac:dyDescent="0.2">
      <c r="A82" s="2">
        <v>44315</v>
      </c>
      <c r="B82" s="3" t="s">
        <v>4</v>
      </c>
      <c r="C82" s="3">
        <v>15.2902</v>
      </c>
    </row>
    <row r="83" spans="1:3" x14ac:dyDescent="0.2">
      <c r="A83" s="2">
        <v>44316</v>
      </c>
      <c r="B83" s="3" t="s">
        <v>4</v>
      </c>
      <c r="C83" s="3">
        <v>14.976699999999999</v>
      </c>
    </row>
    <row r="84" spans="1:3" x14ac:dyDescent="0.2">
      <c r="A84" s="2">
        <v>44319</v>
      </c>
      <c r="B84" s="3" t="s">
        <v>4</v>
      </c>
      <c r="C84" s="3">
        <v>14.804</v>
      </c>
    </row>
    <row r="85" spans="1:3" x14ac:dyDescent="0.2">
      <c r="A85" s="2">
        <v>44320</v>
      </c>
      <c r="B85" s="3" t="s">
        <v>4</v>
      </c>
      <c r="C85" s="3">
        <v>14.3195</v>
      </c>
    </row>
    <row r="86" spans="1:3" x14ac:dyDescent="0.2">
      <c r="A86" s="2">
        <v>44321</v>
      </c>
      <c r="B86" s="3" t="s">
        <v>4</v>
      </c>
      <c r="C86" s="3">
        <v>14.426299999999999</v>
      </c>
    </row>
    <row r="87" spans="1:3" x14ac:dyDescent="0.2">
      <c r="A87" s="2">
        <v>44322</v>
      </c>
      <c r="B87" s="3" t="s">
        <v>4</v>
      </c>
      <c r="C87" s="3">
        <v>14.491300000000001</v>
      </c>
    </row>
    <row r="88" spans="1:3" x14ac:dyDescent="0.2">
      <c r="A88" s="2">
        <v>44323</v>
      </c>
      <c r="B88" s="3" t="s">
        <v>4</v>
      </c>
      <c r="C88" s="3">
        <v>14.779</v>
      </c>
    </row>
    <row r="89" spans="1:3" x14ac:dyDescent="0.2">
      <c r="A89" s="2">
        <v>44326</v>
      </c>
      <c r="B89" s="3" t="s">
        <v>4</v>
      </c>
      <c r="C89" s="3">
        <v>14.2347</v>
      </c>
    </row>
    <row r="90" spans="1:3" x14ac:dyDescent="0.2">
      <c r="A90" s="2">
        <v>44327</v>
      </c>
      <c r="B90" s="3" t="s">
        <v>4</v>
      </c>
      <c r="C90" s="3">
        <v>14.2746</v>
      </c>
    </row>
    <row r="91" spans="1:3" x14ac:dyDescent="0.2">
      <c r="A91" s="2">
        <v>44328</v>
      </c>
      <c r="B91" s="3" t="s">
        <v>4</v>
      </c>
      <c r="C91" s="3">
        <v>13.7287</v>
      </c>
    </row>
    <row r="92" spans="1:3" x14ac:dyDescent="0.2">
      <c r="A92" s="2">
        <v>44329</v>
      </c>
      <c r="B92" s="3" t="s">
        <v>4</v>
      </c>
      <c r="C92" s="3">
        <v>13.6357</v>
      </c>
    </row>
    <row r="93" spans="1:3" x14ac:dyDescent="0.2">
      <c r="A93" s="2">
        <v>44330</v>
      </c>
      <c r="B93" s="3" t="s">
        <v>4</v>
      </c>
      <c r="C93" s="3">
        <v>14.2118</v>
      </c>
    </row>
    <row r="94" spans="1:3" x14ac:dyDescent="0.2">
      <c r="A94" s="2">
        <v>44333</v>
      </c>
      <c r="B94" s="3" t="s">
        <v>4</v>
      </c>
      <c r="C94" s="3">
        <v>14.1358</v>
      </c>
    </row>
    <row r="95" spans="1:3" x14ac:dyDescent="0.2">
      <c r="A95" s="2">
        <v>44334</v>
      </c>
      <c r="B95" s="3" t="s">
        <v>4</v>
      </c>
      <c r="C95" s="3">
        <v>13.986000000000001</v>
      </c>
    </row>
    <row r="96" spans="1:3" x14ac:dyDescent="0.2">
      <c r="A96" s="2">
        <v>44335</v>
      </c>
      <c r="B96" s="3" t="s">
        <v>4</v>
      </c>
      <c r="C96" s="3">
        <v>14.0358</v>
      </c>
    </row>
    <row r="97" spans="1:3" x14ac:dyDescent="0.2">
      <c r="A97" s="2">
        <v>44336</v>
      </c>
      <c r="B97" s="3" t="s">
        <v>4</v>
      </c>
      <c r="C97" s="3">
        <v>14.580299999999999</v>
      </c>
    </row>
    <row r="98" spans="1:3" x14ac:dyDescent="0.2">
      <c r="A98" s="2">
        <v>44337</v>
      </c>
      <c r="B98" s="3" t="s">
        <v>4</v>
      </c>
      <c r="C98" s="3">
        <v>14.9589</v>
      </c>
    </row>
    <row r="99" spans="1:3" x14ac:dyDescent="0.2">
      <c r="A99" s="2">
        <v>44340</v>
      </c>
      <c r="B99" s="3" t="s">
        <v>4</v>
      </c>
      <c r="C99" s="3">
        <v>15.5768</v>
      </c>
    </row>
    <row r="100" spans="1:3" x14ac:dyDescent="0.2">
      <c r="A100" s="2">
        <v>44341</v>
      </c>
      <c r="B100" s="3" t="s">
        <v>4</v>
      </c>
      <c r="C100" s="3">
        <v>15.6127</v>
      </c>
    </row>
    <row r="101" spans="1:3" x14ac:dyDescent="0.2">
      <c r="A101" s="2">
        <v>44342</v>
      </c>
      <c r="B101" s="3" t="s">
        <v>4</v>
      </c>
      <c r="C101" s="3">
        <v>15.6646</v>
      </c>
    </row>
    <row r="102" spans="1:3" x14ac:dyDescent="0.2">
      <c r="A102" s="2">
        <v>44343</v>
      </c>
      <c r="B102" s="3" t="s">
        <v>4</v>
      </c>
      <c r="C102" s="3">
        <v>15.4528</v>
      </c>
    </row>
    <row r="103" spans="1:3" x14ac:dyDescent="0.2">
      <c r="A103" s="2">
        <v>44344</v>
      </c>
      <c r="B103" s="3" t="s">
        <v>4</v>
      </c>
      <c r="C103" s="3">
        <v>16.207899999999999</v>
      </c>
    </row>
    <row r="104" spans="1:3" x14ac:dyDescent="0.2">
      <c r="A104" s="2">
        <v>44348</v>
      </c>
      <c r="B104" s="3" t="s">
        <v>4</v>
      </c>
      <c r="C104" s="3">
        <v>16.2288</v>
      </c>
    </row>
    <row r="105" spans="1:3" x14ac:dyDescent="0.2">
      <c r="A105" s="2">
        <v>44349</v>
      </c>
      <c r="B105" s="3" t="s">
        <v>4</v>
      </c>
      <c r="C105" s="3">
        <v>16.741</v>
      </c>
    </row>
    <row r="106" spans="1:3" x14ac:dyDescent="0.2">
      <c r="A106" s="2">
        <v>44350</v>
      </c>
      <c r="B106" s="3" t="s">
        <v>4</v>
      </c>
      <c r="C106" s="3">
        <v>16.932700000000001</v>
      </c>
    </row>
    <row r="107" spans="1:3" x14ac:dyDescent="0.2">
      <c r="A107" s="2">
        <v>44351</v>
      </c>
      <c r="B107" s="3" t="s">
        <v>4</v>
      </c>
      <c r="C107" s="3">
        <v>17.54</v>
      </c>
    </row>
    <row r="108" spans="1:3" x14ac:dyDescent="0.2">
      <c r="A108" s="2">
        <v>44354</v>
      </c>
      <c r="B108" s="3" t="s">
        <v>4</v>
      </c>
      <c r="C108" s="3">
        <v>17.581</v>
      </c>
    </row>
    <row r="109" spans="1:3" x14ac:dyDescent="0.2">
      <c r="A109" s="2">
        <v>44355</v>
      </c>
      <c r="B109" s="3" t="s">
        <v>4</v>
      </c>
      <c r="C109" s="3">
        <v>17.419</v>
      </c>
    </row>
    <row r="110" spans="1:3" x14ac:dyDescent="0.2">
      <c r="A110" s="2">
        <v>44356</v>
      </c>
      <c r="B110" s="3" t="s">
        <v>4</v>
      </c>
      <c r="C110" s="3">
        <v>17.324200000000001</v>
      </c>
    </row>
    <row r="111" spans="1:3" x14ac:dyDescent="0.2">
      <c r="A111" s="2">
        <v>44357</v>
      </c>
      <c r="B111" s="3" t="s">
        <v>4</v>
      </c>
      <c r="C111" s="3">
        <v>17.390999999999998</v>
      </c>
    </row>
    <row r="112" spans="1:3" x14ac:dyDescent="0.2">
      <c r="A112" s="2">
        <v>44358</v>
      </c>
      <c r="B112" s="3" t="s">
        <v>4</v>
      </c>
      <c r="C112" s="3">
        <v>17.790400000000002</v>
      </c>
    </row>
    <row r="113" spans="1:3" x14ac:dyDescent="0.2">
      <c r="A113" s="2">
        <v>44361</v>
      </c>
      <c r="B113" s="3" t="s">
        <v>4</v>
      </c>
      <c r="C113" s="3">
        <v>17.984200000000001</v>
      </c>
    </row>
    <row r="114" spans="1:3" x14ac:dyDescent="0.2">
      <c r="A114" s="2">
        <v>44362</v>
      </c>
      <c r="B114" s="3" t="s">
        <v>4</v>
      </c>
      <c r="C114" s="3">
        <v>17.753499999999999</v>
      </c>
    </row>
    <row r="115" spans="1:3" x14ac:dyDescent="0.2">
      <c r="A115" s="2">
        <v>44363</v>
      </c>
      <c r="B115" s="3" t="s">
        <v>4</v>
      </c>
      <c r="C115" s="3">
        <v>17.775400000000001</v>
      </c>
    </row>
    <row r="116" spans="1:3" x14ac:dyDescent="0.2">
      <c r="A116" s="2">
        <v>44364</v>
      </c>
      <c r="B116" s="3" t="s">
        <v>4</v>
      </c>
      <c r="C116" s="3">
        <v>18.621300000000002</v>
      </c>
    </row>
    <row r="117" spans="1:3" x14ac:dyDescent="0.2">
      <c r="A117" s="2">
        <v>44365</v>
      </c>
      <c r="B117" s="3" t="s">
        <v>4</v>
      </c>
      <c r="C117" s="3">
        <v>18.603300000000001</v>
      </c>
    </row>
    <row r="118" spans="1:3" x14ac:dyDescent="0.2">
      <c r="A118" s="2">
        <v>44368</v>
      </c>
      <c r="B118" s="3" t="s">
        <v>4</v>
      </c>
      <c r="C118" s="3">
        <v>18.391500000000001</v>
      </c>
    </row>
    <row r="119" spans="1:3" x14ac:dyDescent="0.2">
      <c r="A119" s="2">
        <v>44369</v>
      </c>
      <c r="B119" s="3" t="s">
        <v>4</v>
      </c>
      <c r="C119" s="3">
        <v>18.8508</v>
      </c>
    </row>
    <row r="120" spans="1:3" x14ac:dyDescent="0.2">
      <c r="A120" s="2">
        <v>44370</v>
      </c>
      <c r="B120" s="3" t="s">
        <v>4</v>
      </c>
      <c r="C120" s="3">
        <v>19.020499999999998</v>
      </c>
    </row>
    <row r="121" spans="1:3" x14ac:dyDescent="0.2">
      <c r="A121" s="2">
        <v>44371</v>
      </c>
      <c r="B121" s="3" t="s">
        <v>4</v>
      </c>
      <c r="C121" s="3">
        <v>19.1693</v>
      </c>
    </row>
    <row r="122" spans="1:3" x14ac:dyDescent="0.2">
      <c r="A122" s="2">
        <v>44372</v>
      </c>
      <c r="B122" s="3" t="s">
        <v>4</v>
      </c>
      <c r="C122" s="3">
        <v>18.994599999999998</v>
      </c>
    </row>
    <row r="123" spans="1:3" x14ac:dyDescent="0.2">
      <c r="A123" s="2">
        <v>44375</v>
      </c>
      <c r="B123" s="3" t="s">
        <v>4</v>
      </c>
      <c r="C123" s="3">
        <v>19.946300000000001</v>
      </c>
    </row>
    <row r="124" spans="1:3" x14ac:dyDescent="0.2">
      <c r="A124" s="2">
        <v>44376</v>
      </c>
      <c r="B124" s="3" t="s">
        <v>4</v>
      </c>
      <c r="C124" s="3">
        <v>19.988299999999999</v>
      </c>
    </row>
    <row r="125" spans="1:3" x14ac:dyDescent="0.2">
      <c r="A125" s="2">
        <v>44377</v>
      </c>
      <c r="B125" s="3" t="s">
        <v>4</v>
      </c>
      <c r="C125" s="3">
        <v>19.9633</v>
      </c>
    </row>
    <row r="126" spans="1:3" x14ac:dyDescent="0.2">
      <c r="A126" s="2">
        <v>44378</v>
      </c>
      <c r="B126" s="3" t="s">
        <v>4</v>
      </c>
      <c r="C126" s="3">
        <v>20.172799999999999</v>
      </c>
    </row>
    <row r="127" spans="1:3" x14ac:dyDescent="0.2">
      <c r="A127" s="2">
        <v>44379</v>
      </c>
      <c r="B127" s="3" t="s">
        <v>4</v>
      </c>
      <c r="C127" s="3">
        <v>20.4465</v>
      </c>
    </row>
    <row r="128" spans="1:3" x14ac:dyDescent="0.2">
      <c r="A128" s="2">
        <v>44383</v>
      </c>
      <c r="B128" s="3" t="s">
        <v>4</v>
      </c>
      <c r="C128" s="3">
        <v>20.656199999999998</v>
      </c>
    </row>
    <row r="129" spans="1:3" x14ac:dyDescent="0.2">
      <c r="A129" s="2">
        <v>44384</v>
      </c>
      <c r="B129" s="3" t="s">
        <v>4</v>
      </c>
      <c r="C129" s="3">
        <v>20.332599999999999</v>
      </c>
    </row>
    <row r="130" spans="1:3" x14ac:dyDescent="0.2">
      <c r="A130" s="2">
        <v>44385</v>
      </c>
      <c r="B130" s="3" t="s">
        <v>4</v>
      </c>
      <c r="C130" s="3">
        <v>19.8644</v>
      </c>
    </row>
    <row r="131" spans="1:3" x14ac:dyDescent="0.2">
      <c r="A131" s="2">
        <v>44386</v>
      </c>
      <c r="B131" s="3" t="s">
        <v>4</v>
      </c>
      <c r="C131" s="3">
        <v>20.011199999999999</v>
      </c>
    </row>
    <row r="132" spans="1:3" x14ac:dyDescent="0.2">
      <c r="A132" s="2">
        <v>44389</v>
      </c>
      <c r="B132" s="3" t="s">
        <v>4</v>
      </c>
      <c r="C132" s="3">
        <v>20.471399999999999</v>
      </c>
    </row>
    <row r="133" spans="1:3" x14ac:dyDescent="0.2">
      <c r="A133" s="2">
        <v>44390</v>
      </c>
      <c r="B133" s="3" t="s">
        <v>4</v>
      </c>
      <c r="C133" s="3">
        <v>20.210799999999999</v>
      </c>
    </row>
    <row r="134" spans="1:3" x14ac:dyDescent="0.2">
      <c r="A134" s="2">
        <v>44391</v>
      </c>
      <c r="B134" s="3" t="s">
        <v>4</v>
      </c>
      <c r="C134" s="3">
        <v>19.804400000000001</v>
      </c>
    </row>
    <row r="135" spans="1:3" x14ac:dyDescent="0.2">
      <c r="A135" s="2">
        <v>44392</v>
      </c>
      <c r="B135" s="3" t="s">
        <v>4</v>
      </c>
      <c r="C135" s="3">
        <v>18.9297</v>
      </c>
    </row>
    <row r="136" spans="1:3" x14ac:dyDescent="0.2">
      <c r="A136" s="2">
        <v>44393</v>
      </c>
      <c r="B136" s="3" t="s">
        <v>4</v>
      </c>
      <c r="C136" s="3">
        <v>18.125900000000001</v>
      </c>
    </row>
    <row r="137" spans="1:3" x14ac:dyDescent="0.2">
      <c r="A137" s="2">
        <v>44396</v>
      </c>
      <c r="B137" s="3" t="s">
        <v>4</v>
      </c>
      <c r="C137" s="3">
        <v>18.7441</v>
      </c>
    </row>
    <row r="138" spans="1:3" x14ac:dyDescent="0.2">
      <c r="A138" s="2">
        <v>44397</v>
      </c>
      <c r="B138" s="3" t="s">
        <v>4</v>
      </c>
      <c r="C138" s="3">
        <v>18.5763</v>
      </c>
    </row>
    <row r="139" spans="1:3" x14ac:dyDescent="0.2">
      <c r="A139" s="2">
        <v>44398</v>
      </c>
      <c r="B139" s="3" t="s">
        <v>4</v>
      </c>
      <c r="C139" s="3">
        <v>19.373000000000001</v>
      </c>
    </row>
    <row r="140" spans="1:3" x14ac:dyDescent="0.2">
      <c r="A140" s="2">
        <v>44399</v>
      </c>
      <c r="B140" s="3" t="s">
        <v>4</v>
      </c>
      <c r="C140" s="3">
        <v>19.556999999999999</v>
      </c>
    </row>
    <row r="141" spans="1:3" x14ac:dyDescent="0.2">
      <c r="A141" s="2">
        <v>44400</v>
      </c>
      <c r="B141" s="3" t="s">
        <v>4</v>
      </c>
      <c r="C141" s="3">
        <v>19.521000000000001</v>
      </c>
    </row>
    <row r="142" spans="1:3" x14ac:dyDescent="0.2">
      <c r="A142" s="2">
        <v>44403</v>
      </c>
      <c r="B142" s="3" t="s">
        <v>4</v>
      </c>
      <c r="C142" s="3">
        <v>19.257300000000001</v>
      </c>
    </row>
    <row r="143" spans="1:3" x14ac:dyDescent="0.2">
      <c r="A143" s="2">
        <v>44404</v>
      </c>
      <c r="B143" s="3" t="s">
        <v>4</v>
      </c>
      <c r="C143" s="3">
        <v>19.171299999999999</v>
      </c>
    </row>
    <row r="144" spans="1:3" x14ac:dyDescent="0.2">
      <c r="A144" s="2">
        <v>44405</v>
      </c>
      <c r="B144" s="3" t="s">
        <v>4</v>
      </c>
      <c r="C144" s="3">
        <v>19.466000000000001</v>
      </c>
    </row>
    <row r="145" spans="1:3" x14ac:dyDescent="0.2">
      <c r="A145" s="2">
        <v>44406</v>
      </c>
      <c r="B145" s="3" t="s">
        <v>4</v>
      </c>
      <c r="C145" s="3">
        <v>19.6248</v>
      </c>
    </row>
    <row r="146" spans="1:3" x14ac:dyDescent="0.2">
      <c r="A146" s="2">
        <v>44407</v>
      </c>
      <c r="B146" s="3" t="s">
        <v>4</v>
      </c>
      <c r="C146" s="3">
        <v>19.462</v>
      </c>
    </row>
    <row r="147" spans="1:3" x14ac:dyDescent="0.2">
      <c r="A147" s="2">
        <v>44410</v>
      </c>
      <c r="B147" s="3" t="s">
        <v>4</v>
      </c>
      <c r="C147" s="3">
        <v>19.712599999999998</v>
      </c>
    </row>
    <row r="148" spans="1:3" x14ac:dyDescent="0.2">
      <c r="A148" s="2">
        <v>44411</v>
      </c>
      <c r="B148" s="3" t="s">
        <v>4</v>
      </c>
      <c r="C148" s="3">
        <v>19.7775</v>
      </c>
    </row>
    <row r="149" spans="1:3" x14ac:dyDescent="0.2">
      <c r="A149" s="2">
        <v>44412</v>
      </c>
      <c r="B149" s="3" t="s">
        <v>4</v>
      </c>
      <c r="C149" s="3">
        <v>20.2348</v>
      </c>
    </row>
    <row r="150" spans="1:3" x14ac:dyDescent="0.2">
      <c r="A150" s="2">
        <v>44413</v>
      </c>
      <c r="B150" s="3" t="s">
        <v>4</v>
      </c>
      <c r="C150" s="3">
        <v>20.595199999999998</v>
      </c>
    </row>
    <row r="151" spans="1:3" x14ac:dyDescent="0.2">
      <c r="A151" s="2">
        <v>44414</v>
      </c>
      <c r="B151" s="3" t="s">
        <v>4</v>
      </c>
      <c r="C151" s="3">
        <v>20.326599999999999</v>
      </c>
    </row>
    <row r="152" spans="1:3" x14ac:dyDescent="0.2">
      <c r="A152" s="2">
        <v>44417</v>
      </c>
      <c r="B152" s="3" t="s">
        <v>4</v>
      </c>
      <c r="C152" s="3">
        <v>20.255700000000001</v>
      </c>
    </row>
    <row r="153" spans="1:3" x14ac:dyDescent="0.2">
      <c r="A153" s="2">
        <v>44418</v>
      </c>
      <c r="B153" s="3" t="s">
        <v>4</v>
      </c>
      <c r="C153" s="3">
        <v>19.897400000000001</v>
      </c>
    </row>
    <row r="154" spans="1:3" x14ac:dyDescent="0.2">
      <c r="A154" s="2">
        <v>44419</v>
      </c>
      <c r="B154" s="3" t="s">
        <v>4</v>
      </c>
      <c r="C154" s="3">
        <v>19.661799999999999</v>
      </c>
    </row>
    <row r="155" spans="1:3" x14ac:dyDescent="0.2">
      <c r="A155" s="2">
        <v>44420</v>
      </c>
      <c r="B155" s="3" t="s">
        <v>4</v>
      </c>
      <c r="C155" s="3">
        <v>19.866399999999999</v>
      </c>
    </row>
    <row r="156" spans="1:3" x14ac:dyDescent="0.2">
      <c r="A156" s="2">
        <v>44421</v>
      </c>
      <c r="B156" s="3" t="s">
        <v>4</v>
      </c>
      <c r="C156" s="3">
        <v>20.148800000000001</v>
      </c>
    </row>
    <row r="157" spans="1:3" x14ac:dyDescent="0.2">
      <c r="A157" s="2">
        <v>44424</v>
      </c>
      <c r="B157" s="3" t="s">
        <v>4</v>
      </c>
      <c r="C157" s="3">
        <v>19.911300000000001</v>
      </c>
    </row>
    <row r="158" spans="1:3" x14ac:dyDescent="0.2">
      <c r="A158" s="2">
        <v>44425</v>
      </c>
      <c r="B158" s="3" t="s">
        <v>4</v>
      </c>
      <c r="C158" s="3">
        <v>19.420999999999999</v>
      </c>
    </row>
    <row r="159" spans="1:3" x14ac:dyDescent="0.2">
      <c r="A159" s="2">
        <v>44426</v>
      </c>
      <c r="B159" s="3" t="s">
        <v>4</v>
      </c>
      <c r="C159" s="3">
        <v>19.003499999999999</v>
      </c>
    </row>
    <row r="160" spans="1:3" x14ac:dyDescent="0.2">
      <c r="A160" s="2">
        <v>44427</v>
      </c>
      <c r="B160" s="3" t="s">
        <v>4</v>
      </c>
      <c r="C160" s="3">
        <v>19.7605</v>
      </c>
    </row>
    <row r="161" spans="1:3" x14ac:dyDescent="0.2">
      <c r="A161" s="2">
        <v>44428</v>
      </c>
      <c r="B161" s="3" t="s">
        <v>4</v>
      </c>
      <c r="C161" s="3">
        <v>20.774000000000001</v>
      </c>
    </row>
    <row r="162" spans="1:3" x14ac:dyDescent="0.2">
      <c r="A162" s="2">
        <v>44431</v>
      </c>
      <c r="B162" s="3" t="s">
        <v>4</v>
      </c>
      <c r="C162" s="3">
        <v>21.914400000000001</v>
      </c>
    </row>
    <row r="163" spans="1:3" x14ac:dyDescent="0.2">
      <c r="A163" s="2">
        <v>44432</v>
      </c>
      <c r="B163" s="3" t="s">
        <v>4</v>
      </c>
      <c r="C163" s="3">
        <v>21.749400000000001</v>
      </c>
    </row>
    <row r="164" spans="1:3" x14ac:dyDescent="0.2">
      <c r="A164" s="2">
        <v>44433</v>
      </c>
      <c r="B164" s="3" t="s">
        <v>4</v>
      </c>
      <c r="C164" s="3">
        <v>22.169</v>
      </c>
    </row>
    <row r="165" spans="1:3" x14ac:dyDescent="0.2">
      <c r="A165" s="2">
        <v>44434</v>
      </c>
      <c r="B165" s="3" t="s">
        <v>4</v>
      </c>
      <c r="C165" s="3">
        <v>22.0242</v>
      </c>
    </row>
    <row r="166" spans="1:3" x14ac:dyDescent="0.2">
      <c r="A166" s="2">
        <v>44435</v>
      </c>
      <c r="B166" s="3" t="s">
        <v>4</v>
      </c>
      <c r="C166" s="3">
        <v>22.591200000000001</v>
      </c>
    </row>
    <row r="167" spans="1:3" x14ac:dyDescent="0.2">
      <c r="A167" s="2">
        <v>44438</v>
      </c>
      <c r="B167" s="3" t="s">
        <v>4</v>
      </c>
      <c r="C167" s="3">
        <v>22.6432</v>
      </c>
    </row>
    <row r="168" spans="1:3" x14ac:dyDescent="0.2">
      <c r="A168" s="2">
        <v>44439</v>
      </c>
      <c r="B168" s="3" t="s">
        <v>4</v>
      </c>
      <c r="C168" s="3">
        <v>22.344899999999999</v>
      </c>
    </row>
    <row r="169" spans="1:3" x14ac:dyDescent="0.2">
      <c r="A169" s="2">
        <v>44440</v>
      </c>
      <c r="B169" s="3" t="s">
        <v>4</v>
      </c>
      <c r="C169" s="3">
        <v>22.400700000000001</v>
      </c>
    </row>
    <row r="170" spans="1:3" x14ac:dyDescent="0.2">
      <c r="A170" s="2">
        <v>44441</v>
      </c>
      <c r="B170" s="3" t="s">
        <v>4</v>
      </c>
      <c r="C170" s="3">
        <v>22.355899999999998</v>
      </c>
    </row>
    <row r="171" spans="1:3" x14ac:dyDescent="0.2">
      <c r="A171" s="2">
        <v>44442</v>
      </c>
      <c r="B171" s="3" t="s">
        <v>4</v>
      </c>
      <c r="C171" s="3">
        <v>22.8018</v>
      </c>
    </row>
    <row r="172" spans="1:3" x14ac:dyDescent="0.2">
      <c r="A172" s="2">
        <v>44446</v>
      </c>
      <c r="B172" s="3" t="s">
        <v>4</v>
      </c>
      <c r="C172" s="3">
        <v>22.621200000000002</v>
      </c>
    </row>
    <row r="173" spans="1:3" x14ac:dyDescent="0.2">
      <c r="A173" s="2">
        <v>44447</v>
      </c>
      <c r="B173" s="3" t="s">
        <v>4</v>
      </c>
      <c r="C173" s="3">
        <v>22.2989</v>
      </c>
    </row>
    <row r="174" spans="1:3" x14ac:dyDescent="0.2">
      <c r="A174" s="2">
        <v>44448</v>
      </c>
      <c r="B174" s="3" t="s">
        <v>4</v>
      </c>
      <c r="C174" s="3">
        <v>22.137</v>
      </c>
    </row>
    <row r="175" spans="1:3" x14ac:dyDescent="0.2">
      <c r="A175" s="2">
        <v>44449</v>
      </c>
      <c r="B175" s="3" t="s">
        <v>4</v>
      </c>
      <c r="C175" s="3">
        <v>22.4377</v>
      </c>
    </row>
    <row r="176" spans="1:3" x14ac:dyDescent="0.2">
      <c r="A176" s="2">
        <v>44452</v>
      </c>
      <c r="B176" s="3" t="s">
        <v>4</v>
      </c>
      <c r="C176" s="3">
        <v>22.111999999999998</v>
      </c>
    </row>
    <row r="177" spans="1:3" x14ac:dyDescent="0.2">
      <c r="A177" s="2">
        <v>44453</v>
      </c>
      <c r="B177" s="3" t="s">
        <v>4</v>
      </c>
      <c r="C177" s="3">
        <v>22.201899999999998</v>
      </c>
    </row>
    <row r="178" spans="1:3" x14ac:dyDescent="0.2">
      <c r="A178" s="2">
        <v>44454</v>
      </c>
      <c r="B178" s="3" t="s">
        <v>4</v>
      </c>
      <c r="C178" s="3">
        <v>22.300899999999999</v>
      </c>
    </row>
    <row r="179" spans="1:3" x14ac:dyDescent="0.2">
      <c r="A179" s="2">
        <v>44455</v>
      </c>
      <c r="B179" s="3" t="s">
        <v>4</v>
      </c>
      <c r="C179" s="3">
        <v>22.201899999999998</v>
      </c>
    </row>
    <row r="180" spans="1:3" x14ac:dyDescent="0.2">
      <c r="A180" s="2">
        <v>44456</v>
      </c>
      <c r="B180" s="3" t="s">
        <v>4</v>
      </c>
      <c r="C180" s="3">
        <v>21.860399999999998</v>
      </c>
    </row>
    <row r="181" spans="1:3" x14ac:dyDescent="0.2">
      <c r="A181" s="2">
        <v>44459</v>
      </c>
      <c r="B181" s="3" t="s">
        <v>4</v>
      </c>
      <c r="C181" s="3">
        <v>21.074400000000001</v>
      </c>
    </row>
    <row r="182" spans="1:3" x14ac:dyDescent="0.2">
      <c r="A182" s="2">
        <v>44460</v>
      </c>
      <c r="B182" s="3" t="s">
        <v>4</v>
      </c>
      <c r="C182" s="3">
        <v>21.2074</v>
      </c>
    </row>
    <row r="183" spans="1:3" x14ac:dyDescent="0.2">
      <c r="A183" s="2">
        <v>44461</v>
      </c>
      <c r="B183" s="3" t="s">
        <v>4</v>
      </c>
      <c r="C183" s="3">
        <v>21.901399999999999</v>
      </c>
    </row>
    <row r="184" spans="1:3" x14ac:dyDescent="0.2">
      <c r="A184" s="2">
        <v>44462</v>
      </c>
      <c r="B184" s="3" t="s">
        <v>4</v>
      </c>
      <c r="C184" s="3">
        <v>22.441600000000001</v>
      </c>
    </row>
    <row r="185" spans="1:3" x14ac:dyDescent="0.2">
      <c r="A185" s="2">
        <v>44463</v>
      </c>
      <c r="B185" s="3" t="s">
        <v>4</v>
      </c>
      <c r="C185" s="3">
        <v>22.0412</v>
      </c>
    </row>
    <row r="186" spans="1:3" x14ac:dyDescent="0.2">
      <c r="A186" s="2">
        <v>44466</v>
      </c>
      <c r="B186" s="3" t="s">
        <v>4</v>
      </c>
      <c r="C186" s="3">
        <v>21.620799999999999</v>
      </c>
    </row>
    <row r="187" spans="1:3" x14ac:dyDescent="0.2">
      <c r="A187" s="2">
        <v>44467</v>
      </c>
      <c r="B187" s="3" t="s">
        <v>4</v>
      </c>
      <c r="C187" s="3">
        <v>20.661200000000001</v>
      </c>
    </row>
    <row r="188" spans="1:3" x14ac:dyDescent="0.2">
      <c r="A188" s="2">
        <v>44468</v>
      </c>
      <c r="B188" s="3" t="s">
        <v>4</v>
      </c>
      <c r="C188" s="3">
        <v>20.480399999999999</v>
      </c>
    </row>
    <row r="189" spans="1:3" x14ac:dyDescent="0.2">
      <c r="A189" s="2">
        <v>44469</v>
      </c>
      <c r="B189" s="3" t="s">
        <v>4</v>
      </c>
      <c r="C189" s="3">
        <v>20.678100000000001</v>
      </c>
    </row>
    <row r="190" spans="1:3" x14ac:dyDescent="0.2">
      <c r="A190" s="2">
        <v>44470</v>
      </c>
      <c r="B190" s="3" t="s">
        <v>4</v>
      </c>
      <c r="C190" s="3">
        <v>20.7041</v>
      </c>
    </row>
    <row r="191" spans="1:3" x14ac:dyDescent="0.2">
      <c r="A191" s="2">
        <v>44473</v>
      </c>
      <c r="B191" s="3" t="s">
        <v>4</v>
      </c>
      <c r="C191" s="3">
        <v>19.697700000000001</v>
      </c>
    </row>
    <row r="192" spans="1:3" x14ac:dyDescent="0.2">
      <c r="A192" s="2">
        <v>44474</v>
      </c>
      <c r="B192" s="3" t="s">
        <v>4</v>
      </c>
      <c r="C192" s="3">
        <v>20.4145</v>
      </c>
    </row>
    <row r="193" spans="1:3" x14ac:dyDescent="0.2">
      <c r="A193" s="2">
        <v>44475</v>
      </c>
      <c r="B193" s="3" t="s">
        <v>4</v>
      </c>
      <c r="C193" s="3">
        <v>20.662199999999999</v>
      </c>
    </row>
    <row r="194" spans="1:3" x14ac:dyDescent="0.2">
      <c r="A194" s="2">
        <v>44476</v>
      </c>
      <c r="B194" s="3" t="s">
        <v>4</v>
      </c>
      <c r="C194" s="3">
        <v>21.0366</v>
      </c>
    </row>
    <row r="195" spans="1:3" x14ac:dyDescent="0.2">
      <c r="A195" s="2">
        <v>44477</v>
      </c>
      <c r="B195" s="3" t="s">
        <v>4</v>
      </c>
      <c r="C195" s="3">
        <v>20.792999999999999</v>
      </c>
    </row>
    <row r="196" spans="1:3" x14ac:dyDescent="0.2">
      <c r="A196" s="2">
        <v>44480</v>
      </c>
      <c r="B196" s="3" t="s">
        <v>4</v>
      </c>
      <c r="C196" s="3">
        <v>20.6572</v>
      </c>
    </row>
    <row r="197" spans="1:3" x14ac:dyDescent="0.2">
      <c r="A197" s="2">
        <v>44481</v>
      </c>
      <c r="B197" s="3" t="s">
        <v>4</v>
      </c>
      <c r="C197" s="3">
        <v>20.633199999999999</v>
      </c>
    </row>
    <row r="198" spans="1:3" x14ac:dyDescent="0.2">
      <c r="A198" s="2">
        <v>44482</v>
      </c>
      <c r="B198" s="3" t="s">
        <v>4</v>
      </c>
      <c r="C198" s="3">
        <v>20.9008</v>
      </c>
    </row>
    <row r="199" spans="1:3" x14ac:dyDescent="0.2">
      <c r="A199" s="2">
        <v>44483</v>
      </c>
      <c r="B199" s="3" t="s">
        <v>4</v>
      </c>
      <c r="C199" s="3">
        <v>21.706499999999998</v>
      </c>
    </row>
    <row r="200" spans="1:3" x14ac:dyDescent="0.2">
      <c r="A200" s="2">
        <v>44484</v>
      </c>
      <c r="B200" s="3" t="s">
        <v>4</v>
      </c>
      <c r="C200" s="3">
        <v>21.822399999999998</v>
      </c>
    </row>
    <row r="201" spans="1:3" x14ac:dyDescent="0.2">
      <c r="A201" s="2">
        <v>44487</v>
      </c>
      <c r="B201" s="3" t="s">
        <v>4</v>
      </c>
      <c r="C201" s="3">
        <v>22.181899999999999</v>
      </c>
    </row>
    <row r="202" spans="1:3" x14ac:dyDescent="0.2">
      <c r="A202" s="2">
        <v>44488</v>
      </c>
      <c r="B202" s="3" t="s">
        <v>4</v>
      </c>
      <c r="C202" s="3">
        <v>22.2499</v>
      </c>
    </row>
    <row r="203" spans="1:3" x14ac:dyDescent="0.2">
      <c r="A203" s="2">
        <v>44489</v>
      </c>
      <c r="B203" s="3" t="s">
        <v>4</v>
      </c>
      <c r="C203" s="3">
        <v>22.063199999999998</v>
      </c>
    </row>
    <row r="204" spans="1:3" x14ac:dyDescent="0.2">
      <c r="A204" s="2">
        <v>44490</v>
      </c>
      <c r="B204" s="3" t="s">
        <v>4</v>
      </c>
      <c r="C204" s="3">
        <v>22.651199999999999</v>
      </c>
    </row>
    <row r="205" spans="1:3" x14ac:dyDescent="0.2">
      <c r="A205" s="2">
        <v>44491</v>
      </c>
      <c r="B205" s="3" t="s">
        <v>4</v>
      </c>
      <c r="C205" s="3">
        <v>22.685099999999998</v>
      </c>
    </row>
    <row r="206" spans="1:3" x14ac:dyDescent="0.2">
      <c r="A206" s="2">
        <v>44494</v>
      </c>
      <c r="B206" s="3" t="s">
        <v>4</v>
      </c>
      <c r="C206" s="3">
        <v>23.124500000000001</v>
      </c>
    </row>
    <row r="207" spans="1:3" x14ac:dyDescent="0.2">
      <c r="A207" s="2">
        <v>44495</v>
      </c>
      <c r="B207" s="3" t="s">
        <v>4</v>
      </c>
      <c r="C207" s="3">
        <v>24.673200000000001</v>
      </c>
    </row>
    <row r="208" spans="1:3" x14ac:dyDescent="0.2">
      <c r="A208" s="2">
        <v>44496</v>
      </c>
      <c r="B208" s="3" t="s">
        <v>4</v>
      </c>
      <c r="C208" s="3">
        <v>24.407699999999998</v>
      </c>
    </row>
    <row r="209" spans="1:3" x14ac:dyDescent="0.2">
      <c r="A209" s="2">
        <v>44497</v>
      </c>
      <c r="B209" s="3" t="s">
        <v>4</v>
      </c>
      <c r="C209" s="3">
        <v>24.896799999999999</v>
      </c>
    </row>
    <row r="210" spans="1:3" x14ac:dyDescent="0.2">
      <c r="A210" s="2">
        <v>44498</v>
      </c>
      <c r="B210" s="3" t="s">
        <v>4</v>
      </c>
      <c r="C210" s="3">
        <v>25.521999999999998</v>
      </c>
    </row>
    <row r="211" spans="1:3" x14ac:dyDescent="0.2">
      <c r="A211" s="2">
        <v>44501</v>
      </c>
      <c r="B211" s="3" t="s">
        <v>4</v>
      </c>
      <c r="C211" s="3">
        <v>25.781400000000001</v>
      </c>
    </row>
    <row r="212" spans="1:3" x14ac:dyDescent="0.2">
      <c r="A212" s="2">
        <v>44502</v>
      </c>
      <c r="B212" s="3" t="s">
        <v>4</v>
      </c>
      <c r="C212" s="3">
        <v>26.354700000000001</v>
      </c>
    </row>
    <row r="213" spans="1:3" x14ac:dyDescent="0.2">
      <c r="A213" s="2">
        <v>44503</v>
      </c>
      <c r="B213" s="3" t="s">
        <v>4</v>
      </c>
      <c r="C213" s="3">
        <v>26.5505</v>
      </c>
    </row>
    <row r="214" spans="1:3" x14ac:dyDescent="0.2">
      <c r="A214" s="2">
        <v>44504</v>
      </c>
      <c r="B214" s="3" t="s">
        <v>4</v>
      </c>
      <c r="C214" s="3">
        <v>29.747699999999998</v>
      </c>
    </row>
    <row r="215" spans="1:3" x14ac:dyDescent="0.2">
      <c r="A215" s="2">
        <v>44505</v>
      </c>
      <c r="B215" s="3" t="s">
        <v>4</v>
      </c>
      <c r="C215" s="3">
        <v>29.698899999999998</v>
      </c>
    </row>
    <row r="216" spans="1:3" x14ac:dyDescent="0.2">
      <c r="A216" s="2">
        <v>44508</v>
      </c>
      <c r="B216" s="3" t="s">
        <v>4</v>
      </c>
      <c r="C216" s="3">
        <v>30.749300000000002</v>
      </c>
    </row>
    <row r="217" spans="1:3" x14ac:dyDescent="0.2">
      <c r="A217" s="2">
        <v>44509</v>
      </c>
      <c r="B217" s="3" t="s">
        <v>4</v>
      </c>
      <c r="C217" s="3">
        <v>30.602399999999999</v>
      </c>
    </row>
    <row r="218" spans="1:3" x14ac:dyDescent="0.2">
      <c r="A218" s="2">
        <v>44510</v>
      </c>
      <c r="B218" s="3" t="s">
        <v>4</v>
      </c>
      <c r="C218" s="3">
        <v>29.406300000000002</v>
      </c>
    </row>
    <row r="219" spans="1:3" x14ac:dyDescent="0.2">
      <c r="A219" s="2">
        <v>44511</v>
      </c>
      <c r="B219" s="3" t="s">
        <v>4</v>
      </c>
      <c r="C219" s="3">
        <v>30.335699999999999</v>
      </c>
    </row>
    <row r="220" spans="1:3" x14ac:dyDescent="0.2">
      <c r="A220" s="2">
        <v>44512</v>
      </c>
      <c r="B220" s="3" t="s">
        <v>4</v>
      </c>
      <c r="C220" s="3">
        <v>30.335699999999999</v>
      </c>
    </row>
    <row r="221" spans="1:3" x14ac:dyDescent="0.2">
      <c r="A221" s="2">
        <v>44515</v>
      </c>
      <c r="B221" s="3" t="s">
        <v>4</v>
      </c>
      <c r="C221" s="3">
        <v>29.9712</v>
      </c>
    </row>
    <row r="222" spans="1:3" x14ac:dyDescent="0.2">
      <c r="A222" s="2">
        <v>44516</v>
      </c>
      <c r="B222" s="3" t="s">
        <v>4</v>
      </c>
      <c r="C222" s="3">
        <v>30.148900000000001</v>
      </c>
    </row>
    <row r="223" spans="1:3" x14ac:dyDescent="0.2">
      <c r="A223" s="2">
        <v>44517</v>
      </c>
      <c r="B223" s="3" t="s">
        <v>4</v>
      </c>
      <c r="C223" s="3">
        <v>29.208300000000001</v>
      </c>
    </row>
    <row r="224" spans="1:3" x14ac:dyDescent="0.2">
      <c r="A224" s="2">
        <v>44518</v>
      </c>
      <c r="B224" s="3" t="s">
        <v>4</v>
      </c>
      <c r="C224" s="3">
        <v>31.6187</v>
      </c>
    </row>
    <row r="225" spans="1:3" x14ac:dyDescent="0.2">
      <c r="A225" s="2">
        <v>44519</v>
      </c>
      <c r="B225" s="3" t="s">
        <v>4</v>
      </c>
      <c r="C225" s="3">
        <v>32.925899999999999</v>
      </c>
    </row>
    <row r="226" spans="1:3" x14ac:dyDescent="0.2">
      <c r="A226" s="2">
        <v>44522</v>
      </c>
      <c r="B226" s="3" t="s">
        <v>4</v>
      </c>
      <c r="C226" s="3">
        <v>31.8994</v>
      </c>
    </row>
    <row r="227" spans="1:3" x14ac:dyDescent="0.2">
      <c r="A227" s="2">
        <v>44523</v>
      </c>
      <c r="B227" s="3" t="s">
        <v>4</v>
      </c>
      <c r="C227" s="3">
        <v>31.689699999999998</v>
      </c>
    </row>
    <row r="228" spans="1:3" x14ac:dyDescent="0.2">
      <c r="A228" s="2">
        <v>44524</v>
      </c>
      <c r="B228" s="3" t="s">
        <v>4</v>
      </c>
      <c r="C228" s="3">
        <v>32.615299999999998</v>
      </c>
    </row>
    <row r="229" spans="1:3" x14ac:dyDescent="0.2">
      <c r="A229" s="2">
        <v>44526</v>
      </c>
      <c r="B229" s="3" t="s">
        <v>4</v>
      </c>
      <c r="C229" s="3">
        <v>31.4468</v>
      </c>
    </row>
    <row r="230" spans="1:3" x14ac:dyDescent="0.2">
      <c r="A230" s="2">
        <v>44529</v>
      </c>
      <c r="B230" s="3" t="s">
        <v>4</v>
      </c>
      <c r="C230" s="3">
        <v>33.316299999999998</v>
      </c>
    </row>
    <row r="231" spans="1:3" x14ac:dyDescent="0.2">
      <c r="A231" s="2">
        <v>44530</v>
      </c>
      <c r="B231" s="3" t="s">
        <v>4</v>
      </c>
      <c r="C231" s="3">
        <v>32.6173</v>
      </c>
    </row>
    <row r="232" spans="1:3" x14ac:dyDescent="0.2">
      <c r="A232" s="2">
        <v>44531</v>
      </c>
      <c r="B232" s="3" t="s">
        <v>4</v>
      </c>
      <c r="C232" s="3">
        <v>31.383199999999999</v>
      </c>
    </row>
    <row r="233" spans="1:3" x14ac:dyDescent="0.2">
      <c r="A233" s="2">
        <v>44532</v>
      </c>
      <c r="B233" s="3" t="s">
        <v>4</v>
      </c>
      <c r="C233" s="3">
        <v>32.073300000000003</v>
      </c>
    </row>
    <row r="234" spans="1:3" x14ac:dyDescent="0.2">
      <c r="A234" s="2">
        <v>44533</v>
      </c>
      <c r="B234" s="3" t="s">
        <v>4</v>
      </c>
      <c r="C234" s="3">
        <v>30.642399999999999</v>
      </c>
    </row>
    <row r="235" spans="1:3" x14ac:dyDescent="0.2">
      <c r="A235" s="2">
        <v>44536</v>
      </c>
      <c r="B235" s="3" t="s">
        <v>4</v>
      </c>
      <c r="C235" s="3">
        <v>29.987200000000001</v>
      </c>
    </row>
    <row r="236" spans="1:3" x14ac:dyDescent="0.2">
      <c r="A236" s="2">
        <v>44537</v>
      </c>
      <c r="B236" s="3" t="s">
        <v>4</v>
      </c>
      <c r="C236" s="3">
        <v>32.372599999999998</v>
      </c>
    </row>
    <row r="237" spans="1:3" x14ac:dyDescent="0.2">
      <c r="A237" s="2">
        <v>44538</v>
      </c>
      <c r="B237" s="3" t="s">
        <v>4</v>
      </c>
      <c r="C237" s="3">
        <v>31.773599999999998</v>
      </c>
    </row>
    <row r="238" spans="1:3" x14ac:dyDescent="0.2">
      <c r="A238" s="2">
        <v>44539</v>
      </c>
      <c r="B238" s="3" t="s">
        <v>4</v>
      </c>
      <c r="C238" s="3">
        <v>30.439499999999999</v>
      </c>
    </row>
    <row r="239" spans="1:3" x14ac:dyDescent="0.2">
      <c r="A239" s="2">
        <v>44540</v>
      </c>
      <c r="B239" s="3" t="s">
        <v>4</v>
      </c>
      <c r="C239" s="3">
        <v>30.1479</v>
      </c>
    </row>
    <row r="240" spans="1:3" x14ac:dyDescent="0.2">
      <c r="A240" s="2">
        <v>44543</v>
      </c>
      <c r="B240" s="3" t="s">
        <v>4</v>
      </c>
      <c r="C240" s="3">
        <v>28.114000000000001</v>
      </c>
    </row>
    <row r="241" spans="1:3" x14ac:dyDescent="0.2">
      <c r="A241" s="2">
        <v>44544</v>
      </c>
      <c r="B241" s="3" t="s">
        <v>4</v>
      </c>
      <c r="C241" s="3">
        <v>28.29</v>
      </c>
    </row>
    <row r="242" spans="1:3" x14ac:dyDescent="0.2">
      <c r="A242" s="2">
        <v>44545</v>
      </c>
      <c r="B242" s="3" t="s">
        <v>4</v>
      </c>
      <c r="C242" s="3">
        <v>30.4087</v>
      </c>
    </row>
    <row r="243" spans="1:3" x14ac:dyDescent="0.2">
      <c r="A243" s="2">
        <v>44546</v>
      </c>
      <c r="B243" s="3" t="s">
        <v>4</v>
      </c>
      <c r="C243" s="3">
        <v>28.3398</v>
      </c>
    </row>
    <row r="244" spans="1:3" x14ac:dyDescent="0.2">
      <c r="A244" s="2">
        <v>44547</v>
      </c>
      <c r="B244" s="3" t="s">
        <v>4</v>
      </c>
      <c r="C244" s="3">
        <v>27.7545</v>
      </c>
    </row>
    <row r="245" spans="1:3" x14ac:dyDescent="0.2">
      <c r="A245" s="2">
        <v>44550</v>
      </c>
      <c r="B245" s="3" t="s">
        <v>4</v>
      </c>
      <c r="C245" s="3">
        <v>27.672599999999999</v>
      </c>
    </row>
    <row r="246" spans="1:3" x14ac:dyDescent="0.2">
      <c r="A246" s="2">
        <v>44551</v>
      </c>
      <c r="B246" s="3" t="s">
        <v>4</v>
      </c>
      <c r="C246" s="3">
        <v>29.026700000000002</v>
      </c>
    </row>
    <row r="247" spans="1:3" x14ac:dyDescent="0.2">
      <c r="A247" s="2">
        <v>44552</v>
      </c>
      <c r="B247" s="3" t="s">
        <v>4</v>
      </c>
      <c r="C247" s="3">
        <v>29.351299999999998</v>
      </c>
    </row>
    <row r="248" spans="1:3" x14ac:dyDescent="0.2">
      <c r="A248" s="2">
        <v>44553</v>
      </c>
      <c r="B248" s="3" t="s">
        <v>4</v>
      </c>
      <c r="C248" s="3">
        <v>29.590900000000001</v>
      </c>
    </row>
    <row r="249" spans="1:3" x14ac:dyDescent="0.2">
      <c r="A249" s="2">
        <v>44557</v>
      </c>
      <c r="B249" s="3" t="s">
        <v>4</v>
      </c>
      <c r="C249" s="3">
        <v>30.893999999999998</v>
      </c>
    </row>
    <row r="250" spans="1:3" x14ac:dyDescent="0.2">
      <c r="A250" s="2">
        <v>44558</v>
      </c>
      <c r="B250" s="3" t="s">
        <v>4</v>
      </c>
      <c r="C250" s="3">
        <v>30.271799999999999</v>
      </c>
    </row>
    <row r="251" spans="1:3" x14ac:dyDescent="0.2">
      <c r="A251" s="2">
        <v>44559</v>
      </c>
      <c r="B251" s="3" t="s">
        <v>4</v>
      </c>
      <c r="C251" s="3">
        <v>29.9512</v>
      </c>
    </row>
    <row r="252" spans="1:3" x14ac:dyDescent="0.2">
      <c r="A252" s="2">
        <v>44560</v>
      </c>
      <c r="B252" s="3" t="s">
        <v>4</v>
      </c>
      <c r="C252" s="3">
        <v>29.536899999999999</v>
      </c>
    </row>
    <row r="253" spans="1:3" x14ac:dyDescent="0.2">
      <c r="A253" s="2">
        <v>44561</v>
      </c>
      <c r="B253" s="3" t="s">
        <v>4</v>
      </c>
      <c r="C253" s="3">
        <v>29.362300000000001</v>
      </c>
    </row>
    <row r="254" spans="1:3" x14ac:dyDescent="0.2">
      <c r="A254" s="2">
        <v>44564</v>
      </c>
      <c r="B254" s="3" t="s">
        <v>4</v>
      </c>
      <c r="C254" s="3">
        <v>30.071100000000001</v>
      </c>
    </row>
    <row r="255" spans="1:3" x14ac:dyDescent="0.2">
      <c r="A255" s="2">
        <v>44565</v>
      </c>
      <c r="B255" s="3" t="s">
        <v>4</v>
      </c>
      <c r="C255" s="3">
        <v>29.241299999999999</v>
      </c>
    </row>
    <row r="256" spans="1:3" x14ac:dyDescent="0.2">
      <c r="A256" s="2">
        <v>44566</v>
      </c>
      <c r="B256" s="3" t="s">
        <v>4</v>
      </c>
      <c r="C256" s="3">
        <v>27.557700000000001</v>
      </c>
    </row>
    <row r="257" spans="1:3" x14ac:dyDescent="0.2">
      <c r="A257" s="2">
        <v>44567</v>
      </c>
      <c r="B257" s="3" t="s">
        <v>4</v>
      </c>
      <c r="C257" s="3">
        <v>28.131</v>
      </c>
    </row>
    <row r="258" spans="1:3" x14ac:dyDescent="0.2">
      <c r="A258" s="2">
        <v>44568</v>
      </c>
      <c r="B258" s="3" t="s">
        <v>4</v>
      </c>
      <c r="C258" s="3">
        <v>27.2014</v>
      </c>
    </row>
    <row r="259" spans="1:3" x14ac:dyDescent="0.2">
      <c r="A259" s="2">
        <v>44571</v>
      </c>
      <c r="B259" s="3" t="s">
        <v>4</v>
      </c>
      <c r="C259" s="3">
        <v>27.354299999999999</v>
      </c>
    </row>
    <row r="260" spans="1:3" x14ac:dyDescent="0.2">
      <c r="A260" s="2">
        <v>44572</v>
      </c>
      <c r="B260" s="3" t="s">
        <v>4</v>
      </c>
      <c r="C260" s="3">
        <v>27.770499999999998</v>
      </c>
    </row>
    <row r="261" spans="1:3" x14ac:dyDescent="0.2">
      <c r="A261" s="2">
        <v>44573</v>
      </c>
      <c r="B261" s="3" t="s">
        <v>4</v>
      </c>
      <c r="C261" s="3">
        <v>27.952200000000001</v>
      </c>
    </row>
    <row r="262" spans="1:3" x14ac:dyDescent="0.2">
      <c r="A262" s="2">
        <v>44574</v>
      </c>
      <c r="B262" s="3" t="s">
        <v>4</v>
      </c>
      <c r="C262" s="3">
        <v>26.5305</v>
      </c>
    </row>
    <row r="263" spans="1:3" x14ac:dyDescent="0.2">
      <c r="A263" s="2">
        <v>44575</v>
      </c>
      <c r="B263" s="3" t="s">
        <v>4</v>
      </c>
      <c r="C263" s="3">
        <v>26.896699999999999</v>
      </c>
    </row>
    <row r="264" spans="1:3" x14ac:dyDescent="0.2">
      <c r="A264" s="2">
        <v>44579</v>
      </c>
      <c r="B264" s="3" t="s">
        <v>4</v>
      </c>
      <c r="C264" s="3">
        <v>25.860399999999998</v>
      </c>
    </row>
    <row r="265" spans="1:3" x14ac:dyDescent="0.2">
      <c r="A265" s="2">
        <v>44580</v>
      </c>
      <c r="B265" s="3" t="s">
        <v>4</v>
      </c>
      <c r="C265" s="3">
        <v>25.025600000000001</v>
      </c>
    </row>
    <row r="266" spans="1:3" x14ac:dyDescent="0.2">
      <c r="A266" s="2">
        <v>44581</v>
      </c>
      <c r="B266" s="3" t="s">
        <v>4</v>
      </c>
      <c r="C266" s="3">
        <v>24.1099</v>
      </c>
    </row>
    <row r="267" spans="1:3" x14ac:dyDescent="0.2">
      <c r="A267" s="2">
        <v>44582</v>
      </c>
      <c r="B267" s="3" t="s">
        <v>4</v>
      </c>
      <c r="C267" s="3">
        <v>23.3352</v>
      </c>
    </row>
    <row r="268" spans="1:3" x14ac:dyDescent="0.2">
      <c r="A268" s="2">
        <v>44585</v>
      </c>
      <c r="B268" s="3" t="s">
        <v>4</v>
      </c>
      <c r="C268" s="3">
        <v>23.333200000000001</v>
      </c>
    </row>
    <row r="269" spans="1:3" x14ac:dyDescent="0.2">
      <c r="A269" s="2">
        <v>44586</v>
      </c>
      <c r="B269" s="3" t="s">
        <v>4</v>
      </c>
      <c r="C269" s="3">
        <v>22.286899999999999</v>
      </c>
    </row>
    <row r="270" spans="1:3" x14ac:dyDescent="0.2">
      <c r="A270" s="2">
        <v>44587</v>
      </c>
      <c r="B270" s="3" t="s">
        <v>4</v>
      </c>
      <c r="C270" s="3">
        <v>22.733899999999998</v>
      </c>
    </row>
    <row r="271" spans="1:3" x14ac:dyDescent="0.2">
      <c r="A271" s="2">
        <v>44588</v>
      </c>
      <c r="B271" s="3" t="s">
        <v>4</v>
      </c>
      <c r="C271" s="3">
        <v>21.907399999999999</v>
      </c>
    </row>
    <row r="272" spans="1:3" x14ac:dyDescent="0.2">
      <c r="A272" s="2">
        <v>44589</v>
      </c>
      <c r="B272" s="3" t="s">
        <v>4</v>
      </c>
      <c r="C272" s="3">
        <v>22.8018</v>
      </c>
    </row>
    <row r="273" spans="1:3" x14ac:dyDescent="0.2">
      <c r="A273" s="2">
        <v>44592</v>
      </c>
      <c r="B273" s="3" t="s">
        <v>4</v>
      </c>
      <c r="C273" s="3">
        <v>24.445499999999999</v>
      </c>
    </row>
    <row r="274" spans="1:3" x14ac:dyDescent="0.2">
      <c r="A274" s="2">
        <v>44593</v>
      </c>
      <c r="B274" s="3" t="s">
        <v>4</v>
      </c>
      <c r="C274" s="3">
        <v>24.597300000000001</v>
      </c>
    </row>
    <row r="275" spans="1:3" x14ac:dyDescent="0.2">
      <c r="A275" s="2">
        <v>44594</v>
      </c>
      <c r="B275" s="3" t="s">
        <v>4</v>
      </c>
      <c r="C275" s="3">
        <v>25.200299999999999</v>
      </c>
    </row>
    <row r="276" spans="1:3" x14ac:dyDescent="0.2">
      <c r="A276" s="2">
        <v>44595</v>
      </c>
      <c r="B276" s="3" t="s">
        <v>4</v>
      </c>
      <c r="C276" s="3">
        <v>23.908300000000001</v>
      </c>
    </row>
    <row r="277" spans="1:3" x14ac:dyDescent="0.2">
      <c r="A277" s="2">
        <v>44596</v>
      </c>
      <c r="B277" s="3" t="s">
        <v>4</v>
      </c>
      <c r="C277" s="3">
        <v>24.2789</v>
      </c>
    </row>
    <row r="278" spans="1:3" x14ac:dyDescent="0.2">
      <c r="A278" s="2">
        <v>44599</v>
      </c>
      <c r="B278" s="3" t="s">
        <v>4</v>
      </c>
      <c r="C278" s="3">
        <v>24.687200000000001</v>
      </c>
    </row>
    <row r="279" spans="1:3" x14ac:dyDescent="0.2">
      <c r="A279" s="2">
        <v>44600</v>
      </c>
      <c r="B279" s="3" t="s">
        <v>4</v>
      </c>
      <c r="C279" s="3">
        <v>25.066500000000001</v>
      </c>
    </row>
    <row r="280" spans="1:3" x14ac:dyDescent="0.2">
      <c r="A280" s="2">
        <v>44601</v>
      </c>
      <c r="B280" s="3" t="s">
        <v>4</v>
      </c>
      <c r="C280" s="3">
        <v>26.660299999999999</v>
      </c>
    </row>
    <row r="281" spans="1:3" x14ac:dyDescent="0.2">
      <c r="A281" s="2">
        <v>44602</v>
      </c>
      <c r="B281" s="3" t="s">
        <v>4</v>
      </c>
      <c r="C281" s="3">
        <v>25.781400000000001</v>
      </c>
    </row>
    <row r="282" spans="1:3" x14ac:dyDescent="0.2">
      <c r="A282" s="2">
        <v>44603</v>
      </c>
      <c r="B282" s="3" t="s">
        <v>4</v>
      </c>
      <c r="C282" s="3">
        <v>23.909300000000002</v>
      </c>
    </row>
    <row r="283" spans="1:3" x14ac:dyDescent="0.2">
      <c r="A283" s="2">
        <v>44606</v>
      </c>
      <c r="B283" s="3" t="s">
        <v>4</v>
      </c>
      <c r="C283" s="3">
        <v>24.226900000000001</v>
      </c>
    </row>
    <row r="284" spans="1:3" x14ac:dyDescent="0.2">
      <c r="A284" s="2">
        <v>44607</v>
      </c>
      <c r="B284" s="3" t="s">
        <v>4</v>
      </c>
      <c r="C284" s="3">
        <v>26.450500000000002</v>
      </c>
    </row>
    <row r="285" spans="1:3" x14ac:dyDescent="0.2">
      <c r="A285" s="2">
        <v>44608</v>
      </c>
      <c r="B285" s="3" t="s">
        <v>4</v>
      </c>
      <c r="C285" s="3">
        <v>26.4665</v>
      </c>
    </row>
    <row r="286" spans="1:3" x14ac:dyDescent="0.2">
      <c r="A286" s="2">
        <v>44609</v>
      </c>
      <c r="B286" s="3" t="s">
        <v>4</v>
      </c>
      <c r="C286" s="3">
        <v>24.4664</v>
      </c>
    </row>
    <row r="287" spans="1:3" x14ac:dyDescent="0.2">
      <c r="A287" s="2">
        <v>44610</v>
      </c>
      <c r="B287" s="3" t="s">
        <v>4</v>
      </c>
      <c r="C287" s="3">
        <v>23.603000000000002</v>
      </c>
    </row>
    <row r="288" spans="1:3" x14ac:dyDescent="0.2">
      <c r="A288" s="2">
        <v>44614</v>
      </c>
      <c r="B288" s="3" t="s">
        <v>4</v>
      </c>
      <c r="C288" s="3">
        <v>23.351199999999999</v>
      </c>
    </row>
    <row r="289" spans="1:3" x14ac:dyDescent="0.2">
      <c r="A289" s="2">
        <v>44615</v>
      </c>
      <c r="B289" s="3" t="s">
        <v>4</v>
      </c>
      <c r="C289" s="3">
        <v>22.349900000000002</v>
      </c>
    </row>
    <row r="290" spans="1:3" x14ac:dyDescent="0.2">
      <c r="A290" s="2">
        <v>44616</v>
      </c>
      <c r="B290" s="3" t="s">
        <v>4</v>
      </c>
      <c r="C290" s="3">
        <v>23.708600000000001</v>
      </c>
    </row>
    <row r="291" spans="1:3" x14ac:dyDescent="0.2">
      <c r="A291" s="2">
        <v>44617</v>
      </c>
      <c r="B291" s="3" t="s">
        <v>4</v>
      </c>
      <c r="C291" s="3">
        <v>24.116900000000001</v>
      </c>
    </row>
    <row r="292" spans="1:3" x14ac:dyDescent="0.2">
      <c r="A292" s="2">
        <v>44620</v>
      </c>
      <c r="B292" s="3" t="s">
        <v>4</v>
      </c>
      <c r="C292" s="3">
        <v>24.344799999999999</v>
      </c>
    </row>
    <row r="293" spans="1:3" x14ac:dyDescent="0.2">
      <c r="A293" s="2">
        <v>44621</v>
      </c>
      <c r="B293" s="3" t="s">
        <v>4</v>
      </c>
      <c r="C293" s="3">
        <v>23.437999999999999</v>
      </c>
    </row>
    <row r="294" spans="1:3" x14ac:dyDescent="0.2">
      <c r="A294" s="2">
        <v>44622</v>
      </c>
      <c r="B294" s="3" t="s">
        <v>4</v>
      </c>
      <c r="C294" s="3">
        <v>24.183900000000001</v>
      </c>
    </row>
    <row r="295" spans="1:3" x14ac:dyDescent="0.2">
      <c r="A295" s="2">
        <v>44623</v>
      </c>
      <c r="B295" s="3" t="s">
        <v>4</v>
      </c>
      <c r="C295" s="3">
        <v>23.678699999999999</v>
      </c>
    </row>
    <row r="296" spans="1:3" x14ac:dyDescent="0.2">
      <c r="A296" s="2">
        <v>44624</v>
      </c>
      <c r="B296" s="3" t="s">
        <v>4</v>
      </c>
      <c r="C296" s="3">
        <v>22.901700000000002</v>
      </c>
    </row>
    <row r="297" spans="1:3" x14ac:dyDescent="0.2">
      <c r="A297" s="2">
        <v>44627</v>
      </c>
      <c r="B297" s="3" t="s">
        <v>4</v>
      </c>
      <c r="C297" s="3">
        <v>21.3201</v>
      </c>
    </row>
    <row r="298" spans="1:3" x14ac:dyDescent="0.2">
      <c r="A298" s="2">
        <v>44628</v>
      </c>
      <c r="B298" s="3" t="s">
        <v>4</v>
      </c>
      <c r="C298" s="3">
        <v>21.4819</v>
      </c>
    </row>
    <row r="299" spans="1:3" x14ac:dyDescent="0.2">
      <c r="A299" s="2">
        <v>44629</v>
      </c>
      <c r="B299" s="3" t="s">
        <v>4</v>
      </c>
      <c r="C299" s="3">
        <v>22.979600000000001</v>
      </c>
    </row>
    <row r="300" spans="1:3" x14ac:dyDescent="0.2">
      <c r="A300" s="2">
        <v>44630</v>
      </c>
      <c r="B300" s="3" t="s">
        <v>4</v>
      </c>
      <c r="C300" s="3">
        <v>22.624199999999998</v>
      </c>
    </row>
    <row r="301" spans="1:3" x14ac:dyDescent="0.2">
      <c r="A301" s="2">
        <v>44631</v>
      </c>
      <c r="B301" s="3" t="s">
        <v>4</v>
      </c>
      <c r="C301" s="3">
        <v>22.0671</v>
      </c>
    </row>
    <row r="302" spans="1:3" x14ac:dyDescent="0.2">
      <c r="A302" s="2">
        <v>44634</v>
      </c>
      <c r="B302" s="3" t="s">
        <v>4</v>
      </c>
      <c r="C302" s="3">
        <v>21.298200000000001</v>
      </c>
    </row>
    <row r="303" spans="1:3" x14ac:dyDescent="0.2">
      <c r="A303" s="2">
        <v>44635</v>
      </c>
      <c r="B303" s="3" t="s">
        <v>4</v>
      </c>
      <c r="C303" s="3">
        <v>22.938600000000001</v>
      </c>
    </row>
    <row r="304" spans="1:3" x14ac:dyDescent="0.2">
      <c r="A304" s="2">
        <v>44636</v>
      </c>
      <c r="B304" s="3" t="s">
        <v>4</v>
      </c>
      <c r="C304" s="3">
        <v>24.459399999999999</v>
      </c>
    </row>
    <row r="305" spans="1:3" x14ac:dyDescent="0.2">
      <c r="A305" s="2">
        <v>44637</v>
      </c>
      <c r="B305" s="3" t="s">
        <v>4</v>
      </c>
      <c r="C305" s="3">
        <v>24.729099999999999</v>
      </c>
    </row>
    <row r="306" spans="1:3" x14ac:dyDescent="0.2">
      <c r="A306" s="2">
        <v>44638</v>
      </c>
      <c r="B306" s="3" t="s">
        <v>4</v>
      </c>
      <c r="C306" s="3">
        <v>26.413499999999999</v>
      </c>
    </row>
    <row r="307" spans="1:3" x14ac:dyDescent="0.2">
      <c r="A307" s="2">
        <v>44641</v>
      </c>
      <c r="B307" s="3" t="s">
        <v>4</v>
      </c>
      <c r="C307" s="3">
        <v>26.694199999999999</v>
      </c>
    </row>
    <row r="308" spans="1:3" x14ac:dyDescent="0.2">
      <c r="A308" s="2">
        <v>44642</v>
      </c>
      <c r="B308" s="3" t="s">
        <v>4</v>
      </c>
      <c r="C308" s="3">
        <v>26.484500000000001</v>
      </c>
    </row>
    <row r="309" spans="1:3" x14ac:dyDescent="0.2">
      <c r="A309" s="2">
        <v>44643</v>
      </c>
      <c r="B309" s="3" t="s">
        <v>4</v>
      </c>
      <c r="C309" s="3">
        <v>25.595700000000001</v>
      </c>
    </row>
    <row r="310" spans="1:3" x14ac:dyDescent="0.2">
      <c r="A310" s="2">
        <v>44644</v>
      </c>
      <c r="B310" s="3" t="s">
        <v>4</v>
      </c>
      <c r="C310" s="3">
        <v>28.1081</v>
      </c>
    </row>
    <row r="311" spans="1:3" x14ac:dyDescent="0.2">
      <c r="A311" s="2">
        <v>44645</v>
      </c>
      <c r="B311" s="3" t="s">
        <v>4</v>
      </c>
      <c r="C311" s="3">
        <v>27.650600000000001</v>
      </c>
    </row>
    <row r="312" spans="1:3" x14ac:dyDescent="0.2">
      <c r="A312" s="2">
        <v>44648</v>
      </c>
      <c r="B312" s="3" t="s">
        <v>4</v>
      </c>
      <c r="C312" s="3">
        <v>28.177</v>
      </c>
    </row>
    <row r="313" spans="1:3" x14ac:dyDescent="0.2">
      <c r="A313" s="2">
        <v>44649</v>
      </c>
      <c r="B313" s="3" t="s">
        <v>4</v>
      </c>
      <c r="C313" s="3">
        <v>28.613299999999999</v>
      </c>
    </row>
    <row r="314" spans="1:3" x14ac:dyDescent="0.2">
      <c r="A314" s="2">
        <v>44650</v>
      </c>
      <c r="B314" s="3" t="s">
        <v>4</v>
      </c>
      <c r="C314" s="3">
        <v>27.648599999999998</v>
      </c>
    </row>
    <row r="315" spans="1:3" x14ac:dyDescent="0.2">
      <c r="A315" s="2">
        <v>44651</v>
      </c>
      <c r="B315" s="3" t="s">
        <v>4</v>
      </c>
      <c r="C315" s="3">
        <v>27.2454</v>
      </c>
    </row>
    <row r="316" spans="1:3" x14ac:dyDescent="0.2">
      <c r="A316" s="2">
        <v>44652</v>
      </c>
      <c r="B316" s="3" t="s">
        <v>4</v>
      </c>
      <c r="C316" s="3">
        <v>26.6723</v>
      </c>
    </row>
    <row r="317" spans="1:3" x14ac:dyDescent="0.2">
      <c r="A317" s="2">
        <v>44655</v>
      </c>
      <c r="B317" s="3" t="s">
        <v>4</v>
      </c>
      <c r="C317" s="3">
        <v>27.319299999999998</v>
      </c>
    </row>
    <row r="318" spans="1:3" x14ac:dyDescent="0.2">
      <c r="A318" s="2">
        <v>44656</v>
      </c>
      <c r="B318" s="3" t="s">
        <v>4</v>
      </c>
      <c r="C318" s="3">
        <v>25.892399999999999</v>
      </c>
    </row>
    <row r="319" spans="1:3" x14ac:dyDescent="0.2">
      <c r="A319" s="2">
        <v>44657</v>
      </c>
      <c r="B319" s="3" t="s">
        <v>4</v>
      </c>
      <c r="C319" s="3">
        <v>24.370799999999999</v>
      </c>
    </row>
    <row r="320" spans="1:3" x14ac:dyDescent="0.2">
      <c r="A320" s="2">
        <v>44658</v>
      </c>
      <c r="B320" s="3" t="s">
        <v>4</v>
      </c>
      <c r="C320" s="3">
        <v>24.171900000000001</v>
      </c>
    </row>
    <row r="321" spans="1:3" x14ac:dyDescent="0.2">
      <c r="A321" s="2">
        <v>44659</v>
      </c>
      <c r="B321" s="3" t="s">
        <v>4</v>
      </c>
      <c r="C321" s="3">
        <v>23.084499999999998</v>
      </c>
    </row>
    <row r="322" spans="1:3" x14ac:dyDescent="0.2">
      <c r="A322" s="2">
        <v>44662</v>
      </c>
      <c r="B322" s="3" t="s">
        <v>4</v>
      </c>
      <c r="C322" s="3">
        <v>21.884399999999999</v>
      </c>
    </row>
    <row r="323" spans="1:3" x14ac:dyDescent="0.2">
      <c r="A323" s="2">
        <v>44663</v>
      </c>
      <c r="B323" s="3" t="s">
        <v>4</v>
      </c>
      <c r="C323" s="3">
        <v>21.472000000000001</v>
      </c>
    </row>
    <row r="324" spans="1:3" x14ac:dyDescent="0.2">
      <c r="A324" s="2">
        <v>44664</v>
      </c>
      <c r="B324" s="3" t="s">
        <v>4</v>
      </c>
      <c r="C324" s="3">
        <v>22.17</v>
      </c>
    </row>
    <row r="325" spans="1:3" x14ac:dyDescent="0.2">
      <c r="A325" s="2">
        <v>44665</v>
      </c>
      <c r="B325" s="3" t="s">
        <v>4</v>
      </c>
      <c r="C325" s="3">
        <v>21.226400000000002</v>
      </c>
    </row>
    <row r="326" spans="1:3" x14ac:dyDescent="0.2">
      <c r="A326" s="2">
        <v>44669</v>
      </c>
      <c r="B326" s="3" t="s">
        <v>4</v>
      </c>
      <c r="C326" s="3">
        <v>21.750399999999999</v>
      </c>
    </row>
    <row r="327" spans="1:3" x14ac:dyDescent="0.2">
      <c r="A327" s="2">
        <v>44670</v>
      </c>
      <c r="B327" s="3" t="s">
        <v>4</v>
      </c>
      <c r="C327" s="3">
        <v>22.164999999999999</v>
      </c>
    </row>
    <row r="328" spans="1:3" x14ac:dyDescent="0.2">
      <c r="A328" s="2">
        <v>44671</v>
      </c>
      <c r="B328" s="3" t="s">
        <v>4</v>
      </c>
      <c r="C328" s="3">
        <v>21.45</v>
      </c>
    </row>
    <row r="329" spans="1:3" x14ac:dyDescent="0.2">
      <c r="A329" s="2">
        <v>44672</v>
      </c>
      <c r="B329" s="3" t="s">
        <v>4</v>
      </c>
      <c r="C329" s="3">
        <v>20.152799999999999</v>
      </c>
    </row>
    <row r="330" spans="1:3" x14ac:dyDescent="0.2">
      <c r="A330" s="2">
        <v>44673</v>
      </c>
      <c r="B330" s="3" t="s">
        <v>4</v>
      </c>
      <c r="C330" s="3">
        <v>19.486000000000001</v>
      </c>
    </row>
    <row r="331" spans="1:3" x14ac:dyDescent="0.2">
      <c r="A331" s="2">
        <v>44676</v>
      </c>
      <c r="B331" s="3" t="s">
        <v>4</v>
      </c>
      <c r="C331" s="3">
        <v>19.872399999999999</v>
      </c>
    </row>
    <row r="332" spans="1:3" x14ac:dyDescent="0.2">
      <c r="A332" s="2">
        <v>44677</v>
      </c>
      <c r="B332" s="3" t="s">
        <v>4</v>
      </c>
      <c r="C332" s="3">
        <v>18.760100000000001</v>
      </c>
    </row>
    <row r="333" spans="1:3" x14ac:dyDescent="0.2">
      <c r="A333" s="2">
        <v>44678</v>
      </c>
      <c r="B333" s="3" t="s">
        <v>4</v>
      </c>
      <c r="C333" s="3">
        <v>18.387499999999999</v>
      </c>
    </row>
    <row r="334" spans="1:3" x14ac:dyDescent="0.2">
      <c r="A334" s="2">
        <v>44679</v>
      </c>
      <c r="B334" s="3" t="s">
        <v>4</v>
      </c>
      <c r="C334" s="3">
        <v>19.752500000000001</v>
      </c>
    </row>
    <row r="335" spans="1:3" x14ac:dyDescent="0.2">
      <c r="A335" s="2">
        <v>44680</v>
      </c>
      <c r="B335" s="3" t="s">
        <v>4</v>
      </c>
      <c r="C335" s="3">
        <v>18.519500000000001</v>
      </c>
    </row>
    <row r="336" spans="1:3" x14ac:dyDescent="0.2">
      <c r="A336" s="2">
        <v>44683</v>
      </c>
      <c r="B336" s="3" t="s">
        <v>4</v>
      </c>
      <c r="C336" s="3">
        <v>19.504000000000001</v>
      </c>
    </row>
    <row r="337" spans="1:3" x14ac:dyDescent="0.2">
      <c r="A337" s="2">
        <v>44684</v>
      </c>
      <c r="B337" s="3" t="s">
        <v>4</v>
      </c>
      <c r="C337" s="3">
        <v>19.573</v>
      </c>
    </row>
    <row r="338" spans="1:3" x14ac:dyDescent="0.2">
      <c r="A338" s="2">
        <v>44685</v>
      </c>
      <c r="B338" s="3" t="s">
        <v>4</v>
      </c>
      <c r="C338" s="3">
        <v>20.303599999999999</v>
      </c>
    </row>
    <row r="339" spans="1:3" x14ac:dyDescent="0.2">
      <c r="A339" s="2">
        <v>44686</v>
      </c>
      <c r="B339" s="3" t="s">
        <v>4</v>
      </c>
      <c r="C339" s="3">
        <v>18.815899999999999</v>
      </c>
    </row>
    <row r="340" spans="1:3" x14ac:dyDescent="0.2">
      <c r="A340" s="2">
        <v>44687</v>
      </c>
      <c r="B340" s="3" t="s">
        <v>4</v>
      </c>
      <c r="C340" s="3">
        <v>18.647300000000001</v>
      </c>
    </row>
    <row r="341" spans="1:3" x14ac:dyDescent="0.2">
      <c r="A341" s="2">
        <v>44690</v>
      </c>
      <c r="B341" s="3" t="s">
        <v>4</v>
      </c>
      <c r="C341" s="3">
        <v>16.924700000000001</v>
      </c>
    </row>
    <row r="342" spans="1:3" x14ac:dyDescent="0.2">
      <c r="A342" s="2">
        <v>44691</v>
      </c>
      <c r="B342" s="3" t="s">
        <v>4</v>
      </c>
      <c r="C342" s="3">
        <v>17.568999999999999</v>
      </c>
    </row>
    <row r="343" spans="1:3" x14ac:dyDescent="0.2">
      <c r="A343" s="2">
        <v>44692</v>
      </c>
      <c r="B343" s="3" t="s">
        <v>4</v>
      </c>
      <c r="C343" s="3">
        <v>16.6052</v>
      </c>
    </row>
    <row r="344" spans="1:3" x14ac:dyDescent="0.2">
      <c r="A344" s="2">
        <v>44693</v>
      </c>
      <c r="B344" s="3" t="s">
        <v>4</v>
      </c>
      <c r="C344" s="3">
        <v>16.151</v>
      </c>
    </row>
    <row r="345" spans="1:3" x14ac:dyDescent="0.2">
      <c r="A345" s="2">
        <v>44694</v>
      </c>
      <c r="B345" s="3" t="s">
        <v>4</v>
      </c>
      <c r="C345" s="3">
        <v>17.679600000000001</v>
      </c>
    </row>
    <row r="346" spans="1:3" x14ac:dyDescent="0.2">
      <c r="A346" s="2">
        <v>44697</v>
      </c>
      <c r="B346" s="3" t="s">
        <v>4</v>
      </c>
      <c r="C346" s="3">
        <v>17.238399999999999</v>
      </c>
    </row>
    <row r="347" spans="1:3" x14ac:dyDescent="0.2">
      <c r="A347" s="2">
        <v>44698</v>
      </c>
      <c r="B347" s="3" t="s">
        <v>4</v>
      </c>
      <c r="C347" s="3">
        <v>18.149799999999999</v>
      </c>
    </row>
    <row r="348" spans="1:3" x14ac:dyDescent="0.2">
      <c r="A348" s="2">
        <v>44699</v>
      </c>
      <c r="B348" s="3" t="s">
        <v>4</v>
      </c>
      <c r="C348" s="3">
        <v>16.912700000000001</v>
      </c>
    </row>
    <row r="349" spans="1:3" x14ac:dyDescent="0.2">
      <c r="A349" s="2">
        <v>44700</v>
      </c>
      <c r="B349" s="3" t="s">
        <v>4</v>
      </c>
      <c r="C349" s="3">
        <v>17.098400000000002</v>
      </c>
    </row>
    <row r="350" spans="1:3" x14ac:dyDescent="0.2">
      <c r="A350" s="2">
        <v>44701</v>
      </c>
      <c r="B350" s="3" t="s">
        <v>4</v>
      </c>
      <c r="C350" s="3">
        <v>16.6691</v>
      </c>
    </row>
    <row r="351" spans="1:3" x14ac:dyDescent="0.2">
      <c r="A351" s="2">
        <v>44704</v>
      </c>
      <c r="B351" s="3" t="s">
        <v>4</v>
      </c>
      <c r="C351" s="3">
        <v>16.872800000000002</v>
      </c>
    </row>
    <row r="352" spans="1:3" x14ac:dyDescent="0.2">
      <c r="A352" s="2">
        <v>44705</v>
      </c>
      <c r="B352" s="3" t="s">
        <v>4</v>
      </c>
      <c r="C352" s="3">
        <v>16.13</v>
      </c>
    </row>
    <row r="353" spans="1:3" x14ac:dyDescent="0.2">
      <c r="A353" s="2">
        <v>44706</v>
      </c>
      <c r="B353" s="3" t="s">
        <v>4</v>
      </c>
      <c r="C353" s="3">
        <v>16.9496</v>
      </c>
    </row>
    <row r="354" spans="1:3" x14ac:dyDescent="0.2">
      <c r="A354" s="2">
        <v>44707</v>
      </c>
      <c r="B354" s="3" t="s">
        <v>4</v>
      </c>
      <c r="C354" s="3">
        <v>17.824400000000001</v>
      </c>
    </row>
    <row r="355" spans="1:3" x14ac:dyDescent="0.2">
      <c r="A355" s="2">
        <v>44708</v>
      </c>
      <c r="B355" s="3" t="s">
        <v>4</v>
      </c>
      <c r="C355" s="3">
        <v>18.783000000000001</v>
      </c>
    </row>
    <row r="356" spans="1:3" x14ac:dyDescent="0.2">
      <c r="A356" s="2">
        <v>44712</v>
      </c>
      <c r="B356" s="3" t="s">
        <v>4</v>
      </c>
      <c r="C356" s="3">
        <v>18.644300000000001</v>
      </c>
    </row>
    <row r="357" spans="1:3" x14ac:dyDescent="0.2">
      <c r="A357" s="2">
        <v>44713</v>
      </c>
      <c r="B357" s="3" t="s">
        <v>4</v>
      </c>
      <c r="C357" s="3">
        <v>18.2926</v>
      </c>
    </row>
    <row r="358" spans="1:3" x14ac:dyDescent="0.2">
      <c r="A358" s="2">
        <v>44714</v>
      </c>
      <c r="B358" s="3" t="s">
        <v>4</v>
      </c>
      <c r="C358" s="3">
        <v>19.562999999999999</v>
      </c>
    </row>
    <row r="359" spans="1:3" x14ac:dyDescent="0.2">
      <c r="A359" s="2">
        <v>44715</v>
      </c>
      <c r="B359" s="3" t="s">
        <v>4</v>
      </c>
      <c r="C359" s="3">
        <v>18.6921</v>
      </c>
    </row>
    <row r="360" spans="1:3" x14ac:dyDescent="0.2">
      <c r="A360" s="2">
        <v>44718</v>
      </c>
      <c r="B360" s="3" t="s">
        <v>4</v>
      </c>
      <c r="C360" s="3">
        <v>18.758099999999999</v>
      </c>
    </row>
    <row r="361" spans="1:3" x14ac:dyDescent="0.2">
      <c r="A361" s="2">
        <v>44719</v>
      </c>
      <c r="B361" s="3" t="s">
        <v>4</v>
      </c>
      <c r="C361" s="3">
        <v>18.8977</v>
      </c>
    </row>
    <row r="362" spans="1:3" x14ac:dyDescent="0.2">
      <c r="A362" s="2">
        <v>44720</v>
      </c>
      <c r="B362" s="3" t="s">
        <v>4</v>
      </c>
      <c r="C362" s="3">
        <v>18.624199999999998</v>
      </c>
    </row>
    <row r="363" spans="1:3" x14ac:dyDescent="0.2">
      <c r="A363" s="2">
        <v>44721</v>
      </c>
      <c r="B363" s="3" t="s">
        <v>4</v>
      </c>
      <c r="C363" s="3">
        <v>18.024899999999999</v>
      </c>
    </row>
    <row r="364" spans="1:3" x14ac:dyDescent="0.2">
      <c r="A364" s="2">
        <v>44722</v>
      </c>
      <c r="B364" s="3" t="s">
        <v>4</v>
      </c>
      <c r="C364" s="3">
        <v>16.952200000000001</v>
      </c>
    </row>
    <row r="365" spans="1:3" x14ac:dyDescent="0.2">
      <c r="A365" s="2">
        <v>44725</v>
      </c>
      <c r="B365" s="3" t="s">
        <v>4</v>
      </c>
      <c r="C365" s="3">
        <v>15.627000000000001</v>
      </c>
    </row>
    <row r="366" spans="1:3" x14ac:dyDescent="0.2">
      <c r="A366" s="2">
        <v>44726</v>
      </c>
      <c r="B366" s="3" t="s">
        <v>4</v>
      </c>
      <c r="C366" s="3">
        <v>15.815799999999999</v>
      </c>
    </row>
    <row r="367" spans="1:3" x14ac:dyDescent="0.2">
      <c r="A367" s="2">
        <v>44727</v>
      </c>
      <c r="B367" s="3" t="s">
        <v>4</v>
      </c>
      <c r="C367" s="3">
        <v>16.505800000000001</v>
      </c>
    </row>
    <row r="368" spans="1:3" x14ac:dyDescent="0.2">
      <c r="A368" s="2">
        <v>44728</v>
      </c>
      <c r="B368" s="3" t="s">
        <v>4</v>
      </c>
      <c r="C368" s="3">
        <v>15.581099999999999</v>
      </c>
    </row>
    <row r="369" spans="1:3" x14ac:dyDescent="0.2">
      <c r="A369" s="2">
        <v>44729</v>
      </c>
      <c r="B369" s="3" t="s">
        <v>4</v>
      </c>
      <c r="C369" s="3">
        <v>15.8597</v>
      </c>
    </row>
    <row r="370" spans="1:3" x14ac:dyDescent="0.2">
      <c r="A370" s="2">
        <v>44733</v>
      </c>
      <c r="B370" s="3" t="s">
        <v>4</v>
      </c>
      <c r="C370" s="3">
        <v>16.544799999999999</v>
      </c>
    </row>
    <row r="371" spans="1:3" x14ac:dyDescent="0.2">
      <c r="A371" s="2">
        <v>44734</v>
      </c>
      <c r="B371" s="3" t="s">
        <v>4</v>
      </c>
      <c r="C371" s="3">
        <v>16.339099999999998</v>
      </c>
    </row>
    <row r="372" spans="1:3" x14ac:dyDescent="0.2">
      <c r="A372" s="2">
        <v>44735</v>
      </c>
      <c r="B372" s="3" t="s">
        <v>4</v>
      </c>
      <c r="C372" s="3">
        <v>16.2043</v>
      </c>
    </row>
    <row r="373" spans="1:3" x14ac:dyDescent="0.2">
      <c r="A373" s="2">
        <v>44736</v>
      </c>
      <c r="B373" s="3" t="s">
        <v>4</v>
      </c>
      <c r="C373" s="3">
        <v>17.103999999999999</v>
      </c>
    </row>
    <row r="374" spans="1:3" x14ac:dyDescent="0.2">
      <c r="A374" s="2">
        <v>44739</v>
      </c>
      <c r="B374" s="3" t="s">
        <v>4</v>
      </c>
      <c r="C374" s="3">
        <v>16.8474</v>
      </c>
    </row>
    <row r="375" spans="1:3" x14ac:dyDescent="0.2">
      <c r="A375" s="2">
        <v>44740</v>
      </c>
      <c r="B375" s="3" t="s">
        <v>4</v>
      </c>
      <c r="C375" s="3">
        <v>15.961600000000001</v>
      </c>
    </row>
    <row r="376" spans="1:3" x14ac:dyDescent="0.2">
      <c r="A376" s="2">
        <v>44741</v>
      </c>
      <c r="B376" s="3" t="s">
        <v>4</v>
      </c>
      <c r="C376" s="3">
        <v>15.5221</v>
      </c>
    </row>
    <row r="377" spans="1:3" x14ac:dyDescent="0.2">
      <c r="A377" s="2">
        <v>44742</v>
      </c>
      <c r="B377" s="3" t="s">
        <v>4</v>
      </c>
      <c r="C377" s="3">
        <v>15.139699999999999</v>
      </c>
    </row>
    <row r="378" spans="1:3" x14ac:dyDescent="0.2">
      <c r="A378" s="2">
        <v>44743</v>
      </c>
      <c r="B378" s="3" t="s">
        <v>4</v>
      </c>
      <c r="C378" s="3">
        <v>14.5044</v>
      </c>
    </row>
    <row r="379" spans="1:3" x14ac:dyDescent="0.2">
      <c r="A379" s="2">
        <v>44747</v>
      </c>
      <c r="B379" s="3" t="s">
        <v>4</v>
      </c>
      <c r="C379" s="3">
        <v>14.9451</v>
      </c>
    </row>
    <row r="380" spans="1:3" x14ac:dyDescent="0.2">
      <c r="A380" s="2">
        <v>44748</v>
      </c>
      <c r="B380" s="3" t="s">
        <v>4</v>
      </c>
      <c r="C380" s="3">
        <v>15.1107</v>
      </c>
    </row>
    <row r="381" spans="1:3" x14ac:dyDescent="0.2">
      <c r="A381" s="2">
        <v>44749</v>
      </c>
      <c r="B381" s="3" t="s">
        <v>4</v>
      </c>
      <c r="C381" s="3">
        <v>15.8377</v>
      </c>
    </row>
    <row r="382" spans="1:3" x14ac:dyDescent="0.2">
      <c r="A382" s="2">
        <v>44750</v>
      </c>
      <c r="B382" s="3" t="s">
        <v>4</v>
      </c>
      <c r="C382" s="3">
        <v>15.8178</v>
      </c>
    </row>
    <row r="383" spans="1:3" x14ac:dyDescent="0.2">
      <c r="A383" s="2">
        <v>44753</v>
      </c>
      <c r="B383" s="3" t="s">
        <v>4</v>
      </c>
      <c r="C383" s="3">
        <v>15.1327</v>
      </c>
    </row>
    <row r="384" spans="1:3" x14ac:dyDescent="0.2">
      <c r="A384" s="2">
        <v>44754</v>
      </c>
      <c r="B384" s="3" t="s">
        <v>4</v>
      </c>
      <c r="C384" s="3">
        <v>15.0627</v>
      </c>
    </row>
    <row r="385" spans="1:3" x14ac:dyDescent="0.2">
      <c r="A385" s="2">
        <v>44755</v>
      </c>
      <c r="B385" s="3" t="s">
        <v>4</v>
      </c>
      <c r="C385" s="3">
        <v>15.1447</v>
      </c>
    </row>
    <row r="386" spans="1:3" x14ac:dyDescent="0.2">
      <c r="A386" s="2">
        <v>44756</v>
      </c>
      <c r="B386" s="3" t="s">
        <v>4</v>
      </c>
      <c r="C386" s="3">
        <v>15.3523</v>
      </c>
    </row>
    <row r="387" spans="1:3" x14ac:dyDescent="0.2">
      <c r="A387" s="2">
        <v>44757</v>
      </c>
      <c r="B387" s="3" t="s">
        <v>4</v>
      </c>
      <c r="C387" s="3">
        <v>15.741899999999999</v>
      </c>
    </row>
    <row r="388" spans="1:3" x14ac:dyDescent="0.2">
      <c r="A388" s="2">
        <v>44760</v>
      </c>
      <c r="B388" s="3" t="s">
        <v>4</v>
      </c>
      <c r="C388" s="3">
        <v>16.080400000000001</v>
      </c>
    </row>
    <row r="389" spans="1:3" x14ac:dyDescent="0.2">
      <c r="A389" s="2">
        <v>44761</v>
      </c>
      <c r="B389" s="3" t="s">
        <v>4</v>
      </c>
      <c r="C389" s="3">
        <v>16.970199999999998</v>
      </c>
    </row>
    <row r="390" spans="1:3" x14ac:dyDescent="0.2">
      <c r="A390" s="2">
        <v>44762</v>
      </c>
      <c r="B390" s="3" t="s">
        <v>4</v>
      </c>
      <c r="C390" s="3">
        <v>17.784199999999998</v>
      </c>
    </row>
    <row r="391" spans="1:3" x14ac:dyDescent="0.2">
      <c r="A391" s="2">
        <v>44763</v>
      </c>
      <c r="B391" s="3" t="s">
        <v>4</v>
      </c>
      <c r="C391" s="3">
        <v>18.026900000000001</v>
      </c>
    </row>
    <row r="392" spans="1:3" x14ac:dyDescent="0.2">
      <c r="A392" s="2">
        <v>44764</v>
      </c>
      <c r="B392" s="3" t="s">
        <v>4</v>
      </c>
      <c r="C392" s="3">
        <v>17.297000000000001</v>
      </c>
    </row>
    <row r="393" spans="1:3" x14ac:dyDescent="0.2">
      <c r="A393" s="2">
        <v>44767</v>
      </c>
      <c r="B393" s="3" t="s">
        <v>4</v>
      </c>
      <c r="C393" s="3">
        <v>17.001999999999999</v>
      </c>
    </row>
    <row r="394" spans="1:3" x14ac:dyDescent="0.2">
      <c r="A394" s="2">
        <v>44768</v>
      </c>
      <c r="B394" s="3" t="s">
        <v>4</v>
      </c>
      <c r="C394" s="3">
        <v>16.511800000000001</v>
      </c>
    </row>
    <row r="395" spans="1:3" x14ac:dyDescent="0.2">
      <c r="A395" s="2">
        <v>44769</v>
      </c>
      <c r="B395" s="3" t="s">
        <v>4</v>
      </c>
      <c r="C395" s="3">
        <v>17.767299999999999</v>
      </c>
    </row>
    <row r="396" spans="1:3" x14ac:dyDescent="0.2">
      <c r="A396" s="2">
        <v>44770</v>
      </c>
      <c r="B396" s="3" t="s">
        <v>4</v>
      </c>
      <c r="C396" s="3">
        <v>17.960999999999999</v>
      </c>
    </row>
    <row r="397" spans="1:3" x14ac:dyDescent="0.2">
      <c r="A397" s="2">
        <v>44771</v>
      </c>
      <c r="B397" s="3" t="s">
        <v>4</v>
      </c>
      <c r="C397" s="3">
        <v>18.139700000000001</v>
      </c>
    </row>
    <row r="398" spans="1:3" x14ac:dyDescent="0.2">
      <c r="A398" s="2">
        <v>44774</v>
      </c>
      <c r="B398" s="3" t="s">
        <v>4</v>
      </c>
      <c r="C398" s="3">
        <v>18.417400000000001</v>
      </c>
    </row>
    <row r="399" spans="1:3" x14ac:dyDescent="0.2">
      <c r="A399" s="2">
        <v>44775</v>
      </c>
      <c r="B399" s="3" t="s">
        <v>4</v>
      </c>
      <c r="C399" s="3">
        <v>18.502400000000002</v>
      </c>
    </row>
    <row r="400" spans="1:3" x14ac:dyDescent="0.2">
      <c r="A400" s="2">
        <v>44776</v>
      </c>
      <c r="B400" s="3" t="s">
        <v>4</v>
      </c>
      <c r="C400" s="3">
        <v>18.8688</v>
      </c>
    </row>
    <row r="401" spans="1:3" x14ac:dyDescent="0.2">
      <c r="A401" s="2">
        <v>44777</v>
      </c>
      <c r="B401" s="3" t="s">
        <v>4</v>
      </c>
      <c r="C401" s="3">
        <v>19.1904</v>
      </c>
    </row>
    <row r="402" spans="1:3" x14ac:dyDescent="0.2">
      <c r="A402" s="2">
        <v>44778</v>
      </c>
      <c r="B402" s="3" t="s">
        <v>4</v>
      </c>
      <c r="C402" s="3">
        <v>18.964600000000001</v>
      </c>
    </row>
    <row r="403" spans="1:3" x14ac:dyDescent="0.2">
      <c r="A403" s="2">
        <v>44781</v>
      </c>
      <c r="B403" s="3" t="s">
        <v>4</v>
      </c>
      <c r="C403" s="3">
        <v>17.770299999999999</v>
      </c>
    </row>
    <row r="404" spans="1:3" x14ac:dyDescent="0.2">
      <c r="A404" s="2">
        <v>44782</v>
      </c>
      <c r="B404" s="3" t="s">
        <v>4</v>
      </c>
      <c r="C404" s="3">
        <v>17.064</v>
      </c>
    </row>
    <row r="405" spans="1:3" x14ac:dyDescent="0.2">
      <c r="A405" s="2">
        <v>44783</v>
      </c>
      <c r="B405" s="3" t="s">
        <v>4</v>
      </c>
      <c r="C405" s="3">
        <v>18.073899999999998</v>
      </c>
    </row>
    <row r="406" spans="1:3" x14ac:dyDescent="0.2">
      <c r="A406" s="2">
        <v>44784</v>
      </c>
      <c r="B406" s="3" t="s">
        <v>4</v>
      </c>
      <c r="C406" s="3">
        <v>17.9191</v>
      </c>
    </row>
    <row r="407" spans="1:3" x14ac:dyDescent="0.2">
      <c r="A407" s="2">
        <v>44785</v>
      </c>
      <c r="B407" s="3" t="s">
        <v>4</v>
      </c>
      <c r="C407" s="3">
        <v>18.685099999999998</v>
      </c>
    </row>
    <row r="408" spans="1:3" x14ac:dyDescent="0.2">
      <c r="A408" s="2">
        <v>44788</v>
      </c>
      <c r="B408" s="3" t="s">
        <v>4</v>
      </c>
      <c r="C408" s="3">
        <v>19.0075</v>
      </c>
    </row>
    <row r="409" spans="1:3" x14ac:dyDescent="0.2">
      <c r="A409" s="2">
        <v>44789</v>
      </c>
      <c r="B409" s="3" t="s">
        <v>4</v>
      </c>
      <c r="C409" s="3">
        <v>18.854800000000001</v>
      </c>
    </row>
    <row r="410" spans="1:3" x14ac:dyDescent="0.2">
      <c r="A410" s="2">
        <v>44790</v>
      </c>
      <c r="B410" s="3" t="s">
        <v>4</v>
      </c>
      <c r="C410" s="3">
        <v>18.311499999999999</v>
      </c>
    </row>
    <row r="411" spans="1:3" x14ac:dyDescent="0.2">
      <c r="A411" s="2">
        <v>44791</v>
      </c>
      <c r="B411" s="3" t="s">
        <v>4</v>
      </c>
      <c r="C411" s="3">
        <v>18.749099999999999</v>
      </c>
    </row>
    <row r="412" spans="1:3" x14ac:dyDescent="0.2">
      <c r="A412" s="2">
        <v>44792</v>
      </c>
      <c r="B412" s="3" t="s">
        <v>4</v>
      </c>
      <c r="C412" s="3">
        <v>17.8262</v>
      </c>
    </row>
    <row r="413" spans="1:3" x14ac:dyDescent="0.2">
      <c r="A413" s="2">
        <v>44795</v>
      </c>
      <c r="B413" s="3" t="s">
        <v>4</v>
      </c>
      <c r="C413" s="3">
        <v>17.012</v>
      </c>
    </row>
    <row r="414" spans="1:3" x14ac:dyDescent="0.2">
      <c r="A414" s="2">
        <v>44796</v>
      </c>
      <c r="B414" s="3" t="s">
        <v>4</v>
      </c>
      <c r="C414" s="3">
        <v>17.158999999999999</v>
      </c>
    </row>
    <row r="415" spans="1:3" x14ac:dyDescent="0.2">
      <c r="A415" s="2">
        <v>44797</v>
      </c>
      <c r="B415" s="3" t="s">
        <v>4</v>
      </c>
      <c r="C415" s="3">
        <v>17.2</v>
      </c>
    </row>
    <row r="416" spans="1:3" x14ac:dyDescent="0.2">
      <c r="A416" s="2">
        <v>44798</v>
      </c>
      <c r="B416" s="3" t="s">
        <v>4</v>
      </c>
      <c r="C416" s="3">
        <v>17.8901</v>
      </c>
    </row>
    <row r="417" spans="1:3" x14ac:dyDescent="0.2">
      <c r="A417" s="2">
        <v>44799</v>
      </c>
      <c r="B417" s="3" t="s">
        <v>4</v>
      </c>
      <c r="C417" s="3">
        <v>16.2392</v>
      </c>
    </row>
    <row r="418" spans="1:3" x14ac:dyDescent="0.2">
      <c r="A418" s="2">
        <v>44802</v>
      </c>
      <c r="B418" s="3" t="s">
        <v>4</v>
      </c>
      <c r="C418" s="3">
        <v>15.780799999999999</v>
      </c>
    </row>
    <row r="419" spans="1:3" x14ac:dyDescent="0.2">
      <c r="A419" s="2">
        <v>44803</v>
      </c>
      <c r="B419" s="3" t="s">
        <v>4</v>
      </c>
      <c r="C419" s="3">
        <v>15.4481</v>
      </c>
    </row>
    <row r="420" spans="1:3" x14ac:dyDescent="0.2">
      <c r="A420" s="2">
        <v>44804</v>
      </c>
      <c r="B420" s="3" t="s">
        <v>4</v>
      </c>
      <c r="C420" s="3">
        <v>15.0747</v>
      </c>
    </row>
    <row r="421" spans="1:3" x14ac:dyDescent="0.2">
      <c r="A421" s="2">
        <v>44805</v>
      </c>
      <c r="B421" s="3" t="s">
        <v>4</v>
      </c>
      <c r="C421" s="3">
        <v>13.9192</v>
      </c>
    </row>
    <row r="422" spans="1:3" x14ac:dyDescent="0.2">
      <c r="A422" s="2">
        <v>44806</v>
      </c>
      <c r="B422" s="3" t="s">
        <v>4</v>
      </c>
      <c r="C422" s="3">
        <v>13.6296</v>
      </c>
    </row>
    <row r="423" spans="1:3" x14ac:dyDescent="0.2">
      <c r="A423" s="2">
        <v>44810</v>
      </c>
      <c r="B423" s="3" t="s">
        <v>4</v>
      </c>
      <c r="C423" s="3">
        <v>13.447800000000001</v>
      </c>
    </row>
    <row r="424" spans="1:3" x14ac:dyDescent="0.2">
      <c r="A424" s="2">
        <v>44811</v>
      </c>
      <c r="B424" s="3" t="s">
        <v>4</v>
      </c>
      <c r="C424" s="3">
        <v>13.700699999999999</v>
      </c>
    </row>
    <row r="425" spans="1:3" x14ac:dyDescent="0.2">
      <c r="A425" s="2">
        <v>44812</v>
      </c>
      <c r="B425" s="3" t="s">
        <v>4</v>
      </c>
      <c r="C425" s="3">
        <v>13.9762</v>
      </c>
    </row>
    <row r="426" spans="1:3" x14ac:dyDescent="0.2">
      <c r="A426" s="2">
        <v>44813</v>
      </c>
      <c r="B426" s="3" t="s">
        <v>4</v>
      </c>
      <c r="C426" s="3">
        <v>14.3728</v>
      </c>
    </row>
    <row r="427" spans="1:3" x14ac:dyDescent="0.2">
      <c r="A427" s="2">
        <v>44816</v>
      </c>
      <c r="B427" s="3" t="s">
        <v>4</v>
      </c>
      <c r="C427" s="3">
        <v>14.4907</v>
      </c>
    </row>
    <row r="428" spans="1:3" x14ac:dyDescent="0.2">
      <c r="A428" s="2">
        <v>44817</v>
      </c>
      <c r="B428" s="3" t="s">
        <v>4</v>
      </c>
      <c r="C428" s="3">
        <v>13.118</v>
      </c>
    </row>
    <row r="429" spans="1:3" x14ac:dyDescent="0.2">
      <c r="A429" s="2">
        <v>44818</v>
      </c>
      <c r="B429" s="3" t="s">
        <v>4</v>
      </c>
      <c r="C429" s="3">
        <v>13.115</v>
      </c>
    </row>
    <row r="430" spans="1:3" x14ac:dyDescent="0.2">
      <c r="A430" s="2">
        <v>44819</v>
      </c>
      <c r="B430" s="3" t="s">
        <v>4</v>
      </c>
      <c r="C430" s="3">
        <v>12.9163</v>
      </c>
    </row>
    <row r="431" spans="1:3" x14ac:dyDescent="0.2">
      <c r="A431" s="2">
        <v>44820</v>
      </c>
      <c r="B431" s="3" t="s">
        <v>4</v>
      </c>
      <c r="C431" s="3">
        <v>13.185</v>
      </c>
    </row>
    <row r="432" spans="1:3" x14ac:dyDescent="0.2">
      <c r="A432" s="2">
        <v>44823</v>
      </c>
      <c r="B432" s="3" t="s">
        <v>4</v>
      </c>
      <c r="C432" s="3">
        <v>13.3689</v>
      </c>
    </row>
    <row r="433" spans="1:3" x14ac:dyDescent="0.2">
      <c r="A433" s="2">
        <v>44824</v>
      </c>
      <c r="B433" s="3" t="s">
        <v>4</v>
      </c>
      <c r="C433" s="3">
        <v>13.163</v>
      </c>
    </row>
    <row r="434" spans="1:3" x14ac:dyDescent="0.2">
      <c r="A434" s="2">
        <v>44825</v>
      </c>
      <c r="B434" s="3" t="s">
        <v>4</v>
      </c>
      <c r="C434" s="3">
        <v>13.2479</v>
      </c>
    </row>
    <row r="435" spans="1:3" x14ac:dyDescent="0.2">
      <c r="A435" s="2">
        <v>44826</v>
      </c>
      <c r="B435" s="3" t="s">
        <v>4</v>
      </c>
      <c r="C435" s="3">
        <v>12.5487</v>
      </c>
    </row>
    <row r="436" spans="1:3" x14ac:dyDescent="0.2">
      <c r="A436" s="2">
        <v>44827</v>
      </c>
      <c r="B436" s="3" t="s">
        <v>4</v>
      </c>
      <c r="C436" s="3">
        <v>12.5037</v>
      </c>
    </row>
    <row r="437" spans="1:3" x14ac:dyDescent="0.2">
      <c r="A437" s="2">
        <v>44830</v>
      </c>
      <c r="B437" s="3" t="s">
        <v>4</v>
      </c>
      <c r="C437" s="3">
        <v>12.215999999999999</v>
      </c>
    </row>
    <row r="438" spans="1:3" x14ac:dyDescent="0.2">
      <c r="A438" s="2">
        <v>44831</v>
      </c>
      <c r="B438" s="3" t="s">
        <v>4</v>
      </c>
      <c r="C438" s="3">
        <v>12.400700000000001</v>
      </c>
    </row>
    <row r="439" spans="1:3" x14ac:dyDescent="0.2">
      <c r="A439" s="2">
        <v>44832</v>
      </c>
      <c r="B439" s="3" t="s">
        <v>4</v>
      </c>
      <c r="C439" s="3">
        <v>12.7235</v>
      </c>
    </row>
    <row r="440" spans="1:3" x14ac:dyDescent="0.2">
      <c r="A440" s="2">
        <v>44833</v>
      </c>
      <c r="B440" s="3" t="s">
        <v>4</v>
      </c>
      <c r="C440" s="3">
        <v>12.208</v>
      </c>
    </row>
    <row r="441" spans="1:3" x14ac:dyDescent="0.2">
      <c r="A441" s="2">
        <v>44834</v>
      </c>
      <c r="B441" s="3" t="s">
        <v>4</v>
      </c>
      <c r="C441" s="3">
        <v>12.127000000000001</v>
      </c>
    </row>
    <row r="442" spans="1:3" x14ac:dyDescent="0.2">
      <c r="A442" s="2">
        <v>44837</v>
      </c>
      <c r="B442" s="3" t="s">
        <v>4</v>
      </c>
      <c r="C442" s="3">
        <v>12.499700000000001</v>
      </c>
    </row>
    <row r="443" spans="1:3" x14ac:dyDescent="0.2">
      <c r="A443" s="2">
        <v>44838</v>
      </c>
      <c r="B443" s="3" t="s">
        <v>4</v>
      </c>
      <c r="C443" s="3">
        <v>13.154</v>
      </c>
    </row>
    <row r="444" spans="1:3" x14ac:dyDescent="0.2">
      <c r="A444" s="2">
        <v>44839</v>
      </c>
      <c r="B444" s="3" t="s">
        <v>4</v>
      </c>
      <c r="C444" s="3">
        <v>13.196</v>
      </c>
    </row>
    <row r="445" spans="1:3" x14ac:dyDescent="0.2">
      <c r="A445" s="2">
        <v>44840</v>
      </c>
      <c r="B445" s="3" t="s">
        <v>4</v>
      </c>
      <c r="C445" s="3">
        <v>13.117000000000001</v>
      </c>
    </row>
    <row r="446" spans="1:3" x14ac:dyDescent="0.2">
      <c r="A446" s="2">
        <v>44841</v>
      </c>
      <c r="B446" s="3" t="s">
        <v>4</v>
      </c>
      <c r="C446" s="3">
        <v>12.0641</v>
      </c>
    </row>
    <row r="447" spans="1:3" x14ac:dyDescent="0.2">
      <c r="A447" s="2">
        <v>44844</v>
      </c>
      <c r="B447" s="3" t="s">
        <v>4</v>
      </c>
      <c r="C447" s="3">
        <v>11.6585</v>
      </c>
    </row>
    <row r="448" spans="1:3" x14ac:dyDescent="0.2">
      <c r="A448" s="2">
        <v>44845</v>
      </c>
      <c r="B448" s="3" t="s">
        <v>4</v>
      </c>
      <c r="C448" s="3">
        <v>11.5745</v>
      </c>
    </row>
    <row r="449" spans="1:3" x14ac:dyDescent="0.2">
      <c r="A449" s="2">
        <v>44846</v>
      </c>
      <c r="B449" s="3" t="s">
        <v>4</v>
      </c>
      <c r="C449" s="3">
        <v>11.488799999999999</v>
      </c>
    </row>
    <row r="450" spans="1:3" x14ac:dyDescent="0.2">
      <c r="A450" s="2">
        <v>44847</v>
      </c>
      <c r="B450" s="3" t="s">
        <v>4</v>
      </c>
      <c r="C450" s="3">
        <v>11.9482</v>
      </c>
    </row>
    <row r="451" spans="1:3" x14ac:dyDescent="0.2">
      <c r="A451" s="2">
        <v>44848</v>
      </c>
      <c r="B451" s="3" t="s">
        <v>4</v>
      </c>
      <c r="C451" s="3">
        <v>11.2159</v>
      </c>
    </row>
    <row r="452" spans="1:3" x14ac:dyDescent="0.2">
      <c r="A452" s="2">
        <v>44851</v>
      </c>
      <c r="B452" s="3" t="s">
        <v>4</v>
      </c>
      <c r="C452" s="3">
        <v>11.8764</v>
      </c>
    </row>
    <row r="453" spans="1:3" x14ac:dyDescent="0.2">
      <c r="A453" s="2">
        <v>44852</v>
      </c>
      <c r="B453" s="3" t="s">
        <v>4</v>
      </c>
      <c r="C453" s="3">
        <v>11.9552</v>
      </c>
    </row>
    <row r="454" spans="1:3" x14ac:dyDescent="0.2">
      <c r="A454" s="2">
        <v>44853</v>
      </c>
      <c r="B454" s="3" t="s">
        <v>4</v>
      </c>
      <c r="C454" s="3">
        <v>12.039199999999999</v>
      </c>
    </row>
    <row r="455" spans="1:3" x14ac:dyDescent="0.2">
      <c r="A455" s="2">
        <v>44854</v>
      </c>
      <c r="B455" s="3" t="s">
        <v>4</v>
      </c>
      <c r="C455" s="3">
        <v>12.182</v>
      </c>
    </row>
    <row r="456" spans="1:3" x14ac:dyDescent="0.2">
      <c r="A456" s="2">
        <v>44855</v>
      </c>
      <c r="B456" s="3" t="s">
        <v>4</v>
      </c>
      <c r="C456" s="3">
        <v>12.4537</v>
      </c>
    </row>
    <row r="457" spans="1:3" x14ac:dyDescent="0.2">
      <c r="A457" s="2">
        <v>44858</v>
      </c>
      <c r="B457" s="3" t="s">
        <v>4</v>
      </c>
      <c r="C457" s="3">
        <v>12.5867</v>
      </c>
    </row>
    <row r="458" spans="1:3" x14ac:dyDescent="0.2">
      <c r="A458" s="2">
        <v>44859</v>
      </c>
      <c r="B458" s="3" t="s">
        <v>4</v>
      </c>
      <c r="C458" s="3">
        <v>13.2479</v>
      </c>
    </row>
    <row r="459" spans="1:3" x14ac:dyDescent="0.2">
      <c r="A459" s="2">
        <v>44860</v>
      </c>
      <c r="B459" s="3" t="s">
        <v>4</v>
      </c>
      <c r="C459" s="3">
        <v>12.8833</v>
      </c>
    </row>
    <row r="460" spans="1:3" x14ac:dyDescent="0.2">
      <c r="A460" s="2">
        <v>44861</v>
      </c>
      <c r="B460" s="3" t="s">
        <v>4</v>
      </c>
      <c r="C460" s="3">
        <v>13.163</v>
      </c>
    </row>
    <row r="461" spans="1:3" x14ac:dyDescent="0.2">
      <c r="A461" s="2">
        <v>44862</v>
      </c>
      <c r="B461" s="3" t="s">
        <v>4</v>
      </c>
      <c r="C461" s="3">
        <v>13.820600000000001</v>
      </c>
    </row>
    <row r="462" spans="1:3" x14ac:dyDescent="0.2">
      <c r="A462" s="2">
        <v>44865</v>
      </c>
      <c r="B462" s="3" t="s">
        <v>4</v>
      </c>
      <c r="C462" s="3">
        <v>13.483700000000001</v>
      </c>
    </row>
    <row r="463" spans="1:3" x14ac:dyDescent="0.2">
      <c r="A463" s="2">
        <v>44866</v>
      </c>
      <c r="B463" s="3" t="s">
        <v>4</v>
      </c>
      <c r="C463" s="3">
        <v>13.5297</v>
      </c>
    </row>
    <row r="464" spans="1:3" x14ac:dyDescent="0.2">
      <c r="A464" s="2">
        <v>44867</v>
      </c>
      <c r="B464" s="3" t="s">
        <v>4</v>
      </c>
      <c r="C464" s="3">
        <v>13.206</v>
      </c>
    </row>
    <row r="465" spans="1:3" x14ac:dyDescent="0.2">
      <c r="A465" s="2">
        <v>44868</v>
      </c>
      <c r="B465" s="3" t="s">
        <v>4</v>
      </c>
      <c r="C465" s="3">
        <v>13.4079</v>
      </c>
    </row>
    <row r="466" spans="1:3" x14ac:dyDescent="0.2">
      <c r="A466" s="2">
        <v>44869</v>
      </c>
      <c r="B466" s="3" t="s">
        <v>4</v>
      </c>
      <c r="C466" s="3">
        <v>14.141999999999999</v>
      </c>
    </row>
    <row r="467" spans="1:3" x14ac:dyDescent="0.2">
      <c r="A467" s="2">
        <v>44872</v>
      </c>
      <c r="B467" s="3" t="s">
        <v>4</v>
      </c>
      <c r="C467" s="3">
        <v>14.286799999999999</v>
      </c>
    </row>
    <row r="468" spans="1:3" x14ac:dyDescent="0.2">
      <c r="A468" s="2">
        <v>44873</v>
      </c>
      <c r="B468" s="3" t="s">
        <v>4</v>
      </c>
      <c r="C468" s="3">
        <v>14.5877</v>
      </c>
    </row>
    <row r="469" spans="1:3" x14ac:dyDescent="0.2">
      <c r="A469" s="2">
        <v>44874</v>
      </c>
      <c r="B469" s="3" t="s">
        <v>4</v>
      </c>
      <c r="C469" s="3">
        <v>13.762700000000001</v>
      </c>
    </row>
    <row r="470" spans="1:3" x14ac:dyDescent="0.2">
      <c r="A470" s="2">
        <v>44875</v>
      </c>
      <c r="B470" s="3" t="s">
        <v>4</v>
      </c>
      <c r="C470" s="3">
        <v>15.7346</v>
      </c>
    </row>
    <row r="471" spans="1:3" x14ac:dyDescent="0.2">
      <c r="A471" s="2">
        <v>44876</v>
      </c>
      <c r="B471" s="3" t="s">
        <v>4</v>
      </c>
      <c r="C471" s="3">
        <v>16.311</v>
      </c>
    </row>
    <row r="472" spans="1:3" x14ac:dyDescent="0.2">
      <c r="A472" s="2">
        <v>44879</v>
      </c>
      <c r="B472" s="3" t="s">
        <v>4</v>
      </c>
      <c r="C472" s="3">
        <v>16.279</v>
      </c>
    </row>
    <row r="473" spans="1:3" x14ac:dyDescent="0.2">
      <c r="A473" s="2">
        <v>44880</v>
      </c>
      <c r="B473" s="3" t="s">
        <v>4</v>
      </c>
      <c r="C473" s="3">
        <v>16.6496</v>
      </c>
    </row>
    <row r="474" spans="1:3" x14ac:dyDescent="0.2">
      <c r="A474" s="2">
        <v>44881</v>
      </c>
      <c r="B474" s="3" t="s">
        <v>4</v>
      </c>
      <c r="C474" s="3">
        <v>15.894399999999999</v>
      </c>
    </row>
    <row r="475" spans="1:3" x14ac:dyDescent="0.2">
      <c r="A475" s="2">
        <v>44882</v>
      </c>
      <c r="B475" s="3" t="s">
        <v>4</v>
      </c>
      <c r="C475" s="3">
        <v>15.6616</v>
      </c>
    </row>
    <row r="476" spans="1:3" x14ac:dyDescent="0.2">
      <c r="A476" s="2">
        <v>44883</v>
      </c>
      <c r="B476" s="3" t="s">
        <v>4</v>
      </c>
      <c r="C476" s="3">
        <v>15.393800000000001</v>
      </c>
    </row>
    <row r="477" spans="1:3" x14ac:dyDescent="0.2">
      <c r="A477" s="2">
        <v>44886</v>
      </c>
      <c r="B477" s="3" t="s">
        <v>4</v>
      </c>
      <c r="C477" s="3">
        <v>15.3019</v>
      </c>
    </row>
    <row r="478" spans="1:3" x14ac:dyDescent="0.2">
      <c r="A478" s="2">
        <v>44887</v>
      </c>
      <c r="B478" s="3" t="s">
        <v>4</v>
      </c>
      <c r="C478" s="3">
        <v>16.022200000000002</v>
      </c>
    </row>
    <row r="479" spans="1:3" x14ac:dyDescent="0.2">
      <c r="A479" s="2">
        <v>44888</v>
      </c>
      <c r="B479" s="3" t="s">
        <v>4</v>
      </c>
      <c r="C479" s="3">
        <v>16.502700000000001</v>
      </c>
    </row>
    <row r="480" spans="1:3" x14ac:dyDescent="0.2">
      <c r="A480" s="2">
        <v>44890</v>
      </c>
      <c r="B480" s="3" t="s">
        <v>4</v>
      </c>
      <c r="C480" s="3">
        <v>16.254000000000001</v>
      </c>
    </row>
    <row r="481" spans="1:3" x14ac:dyDescent="0.2">
      <c r="A481" s="2">
        <v>44893</v>
      </c>
      <c r="B481" s="3" t="s">
        <v>4</v>
      </c>
      <c r="C481" s="3">
        <v>15.811500000000001</v>
      </c>
    </row>
    <row r="482" spans="1:3" x14ac:dyDescent="0.2">
      <c r="A482" s="2">
        <v>44894</v>
      </c>
      <c r="B482" s="3" t="s">
        <v>4</v>
      </c>
      <c r="C482" s="3">
        <v>15.6236</v>
      </c>
    </row>
    <row r="483" spans="1:3" x14ac:dyDescent="0.2">
      <c r="A483" s="2">
        <v>44895</v>
      </c>
      <c r="B483" s="3" t="s">
        <v>4</v>
      </c>
      <c r="C483" s="3">
        <v>16.910599999999999</v>
      </c>
    </row>
    <row r="484" spans="1:3" x14ac:dyDescent="0.2">
      <c r="A484" s="2">
        <v>44896</v>
      </c>
      <c r="B484" s="3" t="s">
        <v>4</v>
      </c>
      <c r="C484" s="3">
        <v>17.122499999999999</v>
      </c>
    </row>
    <row r="485" spans="1:3" x14ac:dyDescent="0.2">
      <c r="A485" s="2">
        <v>44897</v>
      </c>
      <c r="B485" s="3" t="s">
        <v>4</v>
      </c>
      <c r="C485" s="3">
        <v>16.863700000000001</v>
      </c>
    </row>
    <row r="486" spans="1:3" x14ac:dyDescent="0.2">
      <c r="A486" s="2">
        <v>44900</v>
      </c>
      <c r="B486" s="3" t="s">
        <v>4</v>
      </c>
      <c r="C486" s="3">
        <v>16.597899999999999</v>
      </c>
    </row>
    <row r="487" spans="1:3" x14ac:dyDescent="0.2">
      <c r="A487" s="2">
        <v>44901</v>
      </c>
      <c r="B487" s="3" t="s">
        <v>4</v>
      </c>
      <c r="C487" s="3">
        <v>15.9754</v>
      </c>
    </row>
    <row r="488" spans="1:3" x14ac:dyDescent="0.2">
      <c r="A488" s="2">
        <v>44902</v>
      </c>
      <c r="B488" s="3" t="s">
        <v>4</v>
      </c>
      <c r="C488" s="3">
        <v>16.1083</v>
      </c>
    </row>
    <row r="489" spans="1:3" x14ac:dyDescent="0.2">
      <c r="A489" s="2">
        <v>44903</v>
      </c>
      <c r="B489" s="3" t="s">
        <v>4</v>
      </c>
      <c r="C489" s="3">
        <v>17.156500000000001</v>
      </c>
    </row>
    <row r="490" spans="1:3" x14ac:dyDescent="0.2">
      <c r="A490" s="2">
        <v>44904</v>
      </c>
      <c r="B490" s="3" t="s">
        <v>4</v>
      </c>
      <c r="C490" s="3">
        <v>16.988499999999998</v>
      </c>
    </row>
    <row r="491" spans="1:3" x14ac:dyDescent="0.2">
      <c r="A491" s="2">
        <v>44907</v>
      </c>
      <c r="B491" s="3" t="s">
        <v>4</v>
      </c>
      <c r="C491" s="3">
        <v>17.522400000000001</v>
      </c>
    </row>
    <row r="492" spans="1:3" x14ac:dyDescent="0.2">
      <c r="A492" s="2">
        <v>44908</v>
      </c>
      <c r="B492" s="3" t="s">
        <v>4</v>
      </c>
      <c r="C492" s="3">
        <v>18.058900000000001</v>
      </c>
    </row>
    <row r="493" spans="1:3" x14ac:dyDescent="0.2">
      <c r="A493" s="2">
        <v>44909</v>
      </c>
      <c r="B493" s="3" t="s">
        <v>4</v>
      </c>
      <c r="C493" s="3">
        <v>17.661100000000001</v>
      </c>
    </row>
    <row r="494" spans="1:3" x14ac:dyDescent="0.2">
      <c r="A494" s="2">
        <v>44910</v>
      </c>
      <c r="B494" s="3" t="s">
        <v>4</v>
      </c>
      <c r="C494" s="3">
        <v>16.939599999999999</v>
      </c>
    </row>
    <row r="495" spans="1:3" x14ac:dyDescent="0.2">
      <c r="A495" s="2">
        <v>44911</v>
      </c>
      <c r="B495" s="3" t="s">
        <v>4</v>
      </c>
      <c r="C495" s="3">
        <v>16.558900000000001</v>
      </c>
    </row>
    <row r="496" spans="1:3" x14ac:dyDescent="0.2">
      <c r="A496" s="2">
        <v>44914</v>
      </c>
      <c r="B496" s="3" t="s">
        <v>4</v>
      </c>
      <c r="C496" s="3">
        <v>16.2422</v>
      </c>
    </row>
    <row r="497" spans="1:3" x14ac:dyDescent="0.2">
      <c r="A497" s="2">
        <v>44915</v>
      </c>
      <c r="B497" s="3" t="s">
        <v>4</v>
      </c>
      <c r="C497" s="3">
        <v>16.0733</v>
      </c>
    </row>
    <row r="498" spans="1:3" x14ac:dyDescent="0.2">
      <c r="A498" s="2">
        <v>44916</v>
      </c>
      <c r="B498" s="3" t="s">
        <v>4</v>
      </c>
      <c r="C498" s="3">
        <v>16.489000000000001</v>
      </c>
    </row>
    <row r="499" spans="1:3" x14ac:dyDescent="0.2">
      <c r="A499" s="2">
        <v>44917</v>
      </c>
      <c r="B499" s="3" t="s">
        <v>4</v>
      </c>
      <c r="C499" s="3">
        <v>15.3278</v>
      </c>
    </row>
    <row r="500" spans="1:3" x14ac:dyDescent="0.2">
      <c r="A500" s="2">
        <v>44918</v>
      </c>
      <c r="B500" s="3" t="s">
        <v>4</v>
      </c>
      <c r="C500" s="3">
        <v>15.195</v>
      </c>
    </row>
    <row r="501" spans="1:3" x14ac:dyDescent="0.2">
      <c r="A501" s="2">
        <v>44922</v>
      </c>
      <c r="B501" s="3" t="s">
        <v>4</v>
      </c>
      <c r="C501" s="3">
        <v>14.1106</v>
      </c>
    </row>
    <row r="502" spans="1:3" x14ac:dyDescent="0.2">
      <c r="A502" s="2">
        <v>44923</v>
      </c>
      <c r="B502" s="3" t="s">
        <v>4</v>
      </c>
      <c r="C502" s="3">
        <v>14.025600000000001</v>
      </c>
    </row>
    <row r="503" spans="1:3" x14ac:dyDescent="0.2">
      <c r="A503" s="2">
        <v>44924</v>
      </c>
      <c r="B503" s="3" t="s">
        <v>4</v>
      </c>
      <c r="C503" s="3">
        <v>14.5924</v>
      </c>
    </row>
    <row r="504" spans="1:3" x14ac:dyDescent="0.2">
      <c r="A504" s="2">
        <v>44925</v>
      </c>
      <c r="B504" s="3" t="s">
        <v>4</v>
      </c>
      <c r="C504" s="3">
        <v>14.603400000000001</v>
      </c>
    </row>
    <row r="505" spans="1:3" x14ac:dyDescent="0.2">
      <c r="A505" s="2">
        <v>44929</v>
      </c>
      <c r="B505" s="3" t="s">
        <v>4</v>
      </c>
      <c r="C505" s="3">
        <v>14.304500000000001</v>
      </c>
    </row>
    <row r="506" spans="1:3" x14ac:dyDescent="0.2">
      <c r="A506" s="2">
        <v>44930</v>
      </c>
      <c r="B506" s="3" t="s">
        <v>4</v>
      </c>
      <c r="C506" s="3">
        <v>14.738300000000001</v>
      </c>
    </row>
    <row r="507" spans="1:3" x14ac:dyDescent="0.2">
      <c r="A507" s="2">
        <v>44931</v>
      </c>
      <c r="B507" s="3" t="s">
        <v>4</v>
      </c>
      <c r="C507" s="3">
        <v>14.2545</v>
      </c>
    </row>
    <row r="508" spans="1:3" x14ac:dyDescent="0.2">
      <c r="A508" s="2">
        <v>44932</v>
      </c>
      <c r="B508" s="3" t="s">
        <v>4</v>
      </c>
      <c r="C508" s="3">
        <v>14.8483</v>
      </c>
    </row>
    <row r="509" spans="1:3" x14ac:dyDescent="0.2">
      <c r="A509" s="2">
        <v>44935</v>
      </c>
      <c r="B509" s="3" t="s">
        <v>4</v>
      </c>
      <c r="C509" s="3">
        <v>15.6166</v>
      </c>
    </row>
    <row r="510" spans="1:3" x14ac:dyDescent="0.2">
      <c r="A510" s="2">
        <v>44936</v>
      </c>
      <c r="B510" s="3" t="s">
        <v>4</v>
      </c>
      <c r="C510" s="3">
        <v>15.897500000000001</v>
      </c>
    </row>
    <row r="511" spans="1:3" x14ac:dyDescent="0.2">
      <c r="A511" s="2">
        <v>44937</v>
      </c>
      <c r="B511" s="3" t="s">
        <v>4</v>
      </c>
      <c r="C511" s="3">
        <v>15.9893</v>
      </c>
    </row>
    <row r="512" spans="1:3" x14ac:dyDescent="0.2">
      <c r="A512" s="2">
        <v>44938</v>
      </c>
      <c r="B512" s="3" t="s">
        <v>4</v>
      </c>
      <c r="C512" s="3">
        <v>16.498899999999999</v>
      </c>
    </row>
    <row r="513" spans="1:3" x14ac:dyDescent="0.2">
      <c r="A513" s="2">
        <v>44939</v>
      </c>
      <c r="B513" s="3" t="s">
        <v>4</v>
      </c>
      <c r="C513" s="3">
        <v>16.886700000000001</v>
      </c>
    </row>
    <row r="514" spans="1:3" x14ac:dyDescent="0.2">
      <c r="A514" s="2">
        <v>44943</v>
      </c>
      <c r="B514" s="3" t="s">
        <v>4</v>
      </c>
      <c r="C514" s="3">
        <v>17.6891</v>
      </c>
    </row>
    <row r="515" spans="1:3" x14ac:dyDescent="0.2">
      <c r="A515" s="2">
        <v>44944</v>
      </c>
      <c r="B515" s="3" t="s">
        <v>4</v>
      </c>
      <c r="C515" s="3">
        <v>17.3644</v>
      </c>
    </row>
    <row r="516" spans="1:3" x14ac:dyDescent="0.2">
      <c r="A516" s="2">
        <v>44945</v>
      </c>
      <c r="B516" s="3" t="s">
        <v>4</v>
      </c>
      <c r="C516" s="3">
        <v>16.752800000000001</v>
      </c>
    </row>
    <row r="517" spans="1:3" x14ac:dyDescent="0.2">
      <c r="A517" s="2">
        <v>44946</v>
      </c>
      <c r="B517" s="3" t="s">
        <v>4</v>
      </c>
      <c r="C517" s="3">
        <v>17.8261</v>
      </c>
    </row>
    <row r="518" spans="1:3" x14ac:dyDescent="0.2">
      <c r="A518" s="2">
        <v>44949</v>
      </c>
      <c r="B518" s="3" t="s">
        <v>4</v>
      </c>
      <c r="C518" s="3">
        <v>19.178999999999998</v>
      </c>
    </row>
    <row r="519" spans="1:3" x14ac:dyDescent="0.2">
      <c r="A519" s="2">
        <v>44950</v>
      </c>
      <c r="B519" s="3" t="s">
        <v>4</v>
      </c>
      <c r="C519" s="3">
        <v>19.251000000000001</v>
      </c>
    </row>
    <row r="520" spans="1:3" x14ac:dyDescent="0.2">
      <c r="A520" s="2">
        <v>44951</v>
      </c>
      <c r="B520" s="3" t="s">
        <v>4</v>
      </c>
      <c r="C520" s="3">
        <v>19.308900000000001</v>
      </c>
    </row>
    <row r="521" spans="1:3" x14ac:dyDescent="0.2">
      <c r="A521" s="2">
        <v>44952</v>
      </c>
      <c r="B521" s="3" t="s">
        <v>4</v>
      </c>
      <c r="C521" s="3">
        <v>19.787700000000001</v>
      </c>
    </row>
    <row r="522" spans="1:3" x14ac:dyDescent="0.2">
      <c r="A522" s="2">
        <v>44953</v>
      </c>
      <c r="B522" s="3" t="s">
        <v>4</v>
      </c>
      <c r="C522" s="3">
        <v>20.350100000000001</v>
      </c>
    </row>
    <row r="523" spans="1:3" x14ac:dyDescent="0.2">
      <c r="A523" s="2">
        <v>44956</v>
      </c>
      <c r="B523" s="3" t="s">
        <v>4</v>
      </c>
      <c r="C523" s="3">
        <v>19.148</v>
      </c>
    </row>
    <row r="524" spans="1:3" x14ac:dyDescent="0.2">
      <c r="A524" s="2">
        <v>44957</v>
      </c>
      <c r="B524" s="3" t="s">
        <v>4</v>
      </c>
      <c r="C524" s="3">
        <v>19.5229</v>
      </c>
    </row>
    <row r="525" spans="1:3" x14ac:dyDescent="0.2">
      <c r="A525" s="2">
        <v>44958</v>
      </c>
      <c r="B525" s="3" t="s">
        <v>4</v>
      </c>
      <c r="C525" s="3">
        <v>20.927800000000001</v>
      </c>
    </row>
    <row r="526" spans="1:3" x14ac:dyDescent="0.2">
      <c r="A526" s="2">
        <v>44959</v>
      </c>
      <c r="B526" s="3" t="s">
        <v>4</v>
      </c>
      <c r="C526" s="3">
        <v>21.693200000000001</v>
      </c>
    </row>
    <row r="527" spans="1:3" x14ac:dyDescent="0.2">
      <c r="A527" s="2">
        <v>44960</v>
      </c>
      <c r="B527" s="3" t="s">
        <v>4</v>
      </c>
      <c r="C527" s="3">
        <v>21.084599999999998</v>
      </c>
    </row>
    <row r="528" spans="1:3" x14ac:dyDescent="0.2">
      <c r="A528" s="2">
        <v>44963</v>
      </c>
      <c r="B528" s="3" t="s">
        <v>4</v>
      </c>
      <c r="C528" s="3">
        <v>21.073599999999999</v>
      </c>
    </row>
    <row r="529" spans="1:3" x14ac:dyDescent="0.2">
      <c r="A529" s="2">
        <v>44964</v>
      </c>
      <c r="B529" s="3" t="s">
        <v>4</v>
      </c>
      <c r="C529" s="3">
        <v>22.157</v>
      </c>
    </row>
    <row r="530" spans="1:3" x14ac:dyDescent="0.2">
      <c r="A530" s="2">
        <v>44965</v>
      </c>
      <c r="B530" s="3" t="s">
        <v>4</v>
      </c>
      <c r="C530" s="3">
        <v>22.1889</v>
      </c>
    </row>
    <row r="531" spans="1:3" x14ac:dyDescent="0.2">
      <c r="A531" s="2">
        <v>44966</v>
      </c>
      <c r="B531" s="3" t="s">
        <v>4</v>
      </c>
      <c r="C531" s="3">
        <v>22.320900000000002</v>
      </c>
    </row>
    <row r="532" spans="1:3" x14ac:dyDescent="0.2">
      <c r="A532" s="2">
        <v>44967</v>
      </c>
      <c r="B532" s="3" t="s">
        <v>4</v>
      </c>
      <c r="C532" s="3">
        <v>21.249500000000001</v>
      </c>
    </row>
    <row r="533" spans="1:3" x14ac:dyDescent="0.2">
      <c r="A533" s="2">
        <v>44970</v>
      </c>
      <c r="B533" s="3" t="s">
        <v>4</v>
      </c>
      <c r="C533" s="3">
        <v>21.772099999999998</v>
      </c>
    </row>
    <row r="534" spans="1:3" x14ac:dyDescent="0.2">
      <c r="A534" s="2">
        <v>44971</v>
      </c>
      <c r="B534" s="3" t="s">
        <v>4</v>
      </c>
      <c r="C534" s="3">
        <v>22.9542</v>
      </c>
    </row>
    <row r="535" spans="1:3" x14ac:dyDescent="0.2">
      <c r="A535" s="2">
        <v>44972</v>
      </c>
      <c r="B535" s="3" t="s">
        <v>4</v>
      </c>
      <c r="C535" s="3">
        <v>22.747299999999999</v>
      </c>
    </row>
    <row r="536" spans="1:3" x14ac:dyDescent="0.2">
      <c r="A536" s="2">
        <v>44973</v>
      </c>
      <c r="B536" s="3" t="s">
        <v>4</v>
      </c>
      <c r="C536" s="3">
        <v>21.9861</v>
      </c>
    </row>
    <row r="537" spans="1:3" x14ac:dyDescent="0.2">
      <c r="A537" s="2">
        <v>44974</v>
      </c>
      <c r="B537" s="3" t="s">
        <v>4</v>
      </c>
      <c r="C537" s="3">
        <v>21.372399999999999</v>
      </c>
    </row>
    <row r="538" spans="1:3" x14ac:dyDescent="0.2">
      <c r="A538" s="2">
        <v>44978</v>
      </c>
      <c r="B538" s="3" t="s">
        <v>4</v>
      </c>
      <c r="C538" s="3">
        <v>20.64</v>
      </c>
    </row>
    <row r="539" spans="1:3" x14ac:dyDescent="0.2">
      <c r="A539" s="2">
        <v>44979</v>
      </c>
      <c r="B539" s="3" t="s">
        <v>4</v>
      </c>
      <c r="C539" s="3">
        <v>20.739000000000001</v>
      </c>
    </row>
    <row r="540" spans="1:3" x14ac:dyDescent="0.2">
      <c r="A540" s="2">
        <v>44980</v>
      </c>
      <c r="B540" s="3" t="s">
        <v>4</v>
      </c>
      <c r="C540" s="3">
        <v>23.646999999999998</v>
      </c>
    </row>
    <row r="541" spans="1:3" x14ac:dyDescent="0.2">
      <c r="A541" s="2">
        <v>44981</v>
      </c>
      <c r="B541" s="3" t="s">
        <v>4</v>
      </c>
      <c r="C541" s="3">
        <v>23.269100000000002</v>
      </c>
    </row>
    <row r="542" spans="1:3" x14ac:dyDescent="0.2">
      <c r="A542" s="2">
        <v>44984</v>
      </c>
      <c r="B542" s="3" t="s">
        <v>4</v>
      </c>
      <c r="C542" s="3">
        <v>23.484000000000002</v>
      </c>
    </row>
    <row r="543" spans="1:3" x14ac:dyDescent="0.2">
      <c r="A543" s="2">
        <v>44985</v>
      </c>
      <c r="B543" s="3" t="s">
        <v>4</v>
      </c>
      <c r="C543" s="3">
        <v>23.199200000000001</v>
      </c>
    </row>
    <row r="544" spans="1:3" x14ac:dyDescent="0.2">
      <c r="A544" s="2">
        <v>44986</v>
      </c>
      <c r="B544" s="3" t="s">
        <v>4</v>
      </c>
      <c r="C544" s="3">
        <v>22.6814</v>
      </c>
    </row>
    <row r="545" spans="1:3" x14ac:dyDescent="0.2">
      <c r="A545" s="2">
        <v>44987</v>
      </c>
      <c r="B545" s="3" t="s">
        <v>4</v>
      </c>
      <c r="C545" s="3">
        <v>23.2971</v>
      </c>
    </row>
    <row r="546" spans="1:3" x14ac:dyDescent="0.2">
      <c r="A546" s="2">
        <v>44988</v>
      </c>
      <c r="B546" s="3" t="s">
        <v>4</v>
      </c>
      <c r="C546" s="3">
        <v>23.872599999999998</v>
      </c>
    </row>
    <row r="547" spans="1:3" x14ac:dyDescent="0.2">
      <c r="A547" s="2">
        <v>44991</v>
      </c>
      <c r="B547" s="3" t="s">
        <v>4</v>
      </c>
      <c r="C547" s="3">
        <v>23.536999999999999</v>
      </c>
    </row>
    <row r="548" spans="1:3" x14ac:dyDescent="0.2">
      <c r="A548" s="2">
        <v>44992</v>
      </c>
      <c r="B548" s="3" t="s">
        <v>4</v>
      </c>
      <c r="C548" s="3">
        <v>23.275099999999998</v>
      </c>
    </row>
    <row r="549" spans="1:3" x14ac:dyDescent="0.2">
      <c r="A549" s="2">
        <v>44993</v>
      </c>
      <c r="B549" s="3" t="s">
        <v>4</v>
      </c>
      <c r="C549" s="3">
        <v>24.1675</v>
      </c>
    </row>
    <row r="550" spans="1:3" x14ac:dyDescent="0.2">
      <c r="A550" s="2">
        <v>44994</v>
      </c>
      <c r="B550" s="3" t="s">
        <v>4</v>
      </c>
      <c r="C550" s="3">
        <v>23.422999999999998</v>
      </c>
    </row>
    <row r="551" spans="1:3" x14ac:dyDescent="0.2">
      <c r="A551" s="2">
        <v>44995</v>
      </c>
      <c r="B551" s="3" t="s">
        <v>4</v>
      </c>
      <c r="C551" s="3">
        <v>22.952100000000002</v>
      </c>
    </row>
    <row r="552" spans="1:3" x14ac:dyDescent="0.2">
      <c r="A552" s="2">
        <v>44998</v>
      </c>
      <c r="B552" s="3" t="s">
        <v>4</v>
      </c>
      <c r="C552" s="3">
        <v>22.953099999999999</v>
      </c>
    </row>
    <row r="553" spans="1:3" x14ac:dyDescent="0.2">
      <c r="A553" s="2">
        <v>44999</v>
      </c>
      <c r="B553" s="3" t="s">
        <v>4</v>
      </c>
      <c r="C553" s="3">
        <v>24.049499999999998</v>
      </c>
    </row>
    <row r="554" spans="1:3" x14ac:dyDescent="0.2">
      <c r="A554" s="2">
        <v>45000</v>
      </c>
      <c r="B554" s="3" t="s">
        <v>4</v>
      </c>
      <c r="C554" s="3">
        <v>24.214500000000001</v>
      </c>
    </row>
    <row r="555" spans="1:3" x14ac:dyDescent="0.2">
      <c r="A555" s="2">
        <v>45001</v>
      </c>
      <c r="B555" s="3" t="s">
        <v>4</v>
      </c>
      <c r="C555" s="3">
        <v>25.526800000000001</v>
      </c>
    </row>
    <row r="556" spans="1:3" x14ac:dyDescent="0.2">
      <c r="A556" s="2">
        <v>45002</v>
      </c>
      <c r="B556" s="3" t="s">
        <v>4</v>
      </c>
      <c r="C556" s="3">
        <v>25.710599999999999</v>
      </c>
    </row>
    <row r="557" spans="1:3" x14ac:dyDescent="0.2">
      <c r="A557" s="2">
        <v>45005</v>
      </c>
      <c r="B557" s="3" t="s">
        <v>4</v>
      </c>
      <c r="C557" s="3">
        <v>25.8856</v>
      </c>
    </row>
    <row r="558" spans="1:3" x14ac:dyDescent="0.2">
      <c r="A558" s="2">
        <v>45006</v>
      </c>
      <c r="B558" s="3" t="s">
        <v>4</v>
      </c>
      <c r="C558" s="3">
        <v>26.1844</v>
      </c>
    </row>
    <row r="559" spans="1:3" x14ac:dyDescent="0.2">
      <c r="A559" s="2">
        <v>45007</v>
      </c>
      <c r="B559" s="3" t="s">
        <v>4</v>
      </c>
      <c r="C559" s="3">
        <v>26.453299999999999</v>
      </c>
    </row>
    <row r="560" spans="1:3" x14ac:dyDescent="0.2">
      <c r="A560" s="2">
        <v>45008</v>
      </c>
      <c r="B560" s="3" t="s">
        <v>4</v>
      </c>
      <c r="C560" s="3">
        <v>27.175899999999999</v>
      </c>
    </row>
    <row r="561" spans="1:3" x14ac:dyDescent="0.2">
      <c r="A561" s="2">
        <v>45009</v>
      </c>
      <c r="B561" s="3" t="s">
        <v>4</v>
      </c>
      <c r="C561" s="3">
        <v>26.763999999999999</v>
      </c>
    </row>
    <row r="562" spans="1:3" x14ac:dyDescent="0.2">
      <c r="A562" s="2">
        <v>45012</v>
      </c>
      <c r="B562" s="3" t="s">
        <v>4</v>
      </c>
      <c r="C562" s="3">
        <v>26.516300000000001</v>
      </c>
    </row>
    <row r="563" spans="1:3" x14ac:dyDescent="0.2">
      <c r="A563" s="2">
        <v>45013</v>
      </c>
      <c r="B563" s="3" t="s">
        <v>4</v>
      </c>
      <c r="C563" s="3">
        <v>26.395299999999999</v>
      </c>
    </row>
    <row r="564" spans="1:3" x14ac:dyDescent="0.2">
      <c r="A564" s="2">
        <v>45014</v>
      </c>
      <c r="B564" s="3" t="s">
        <v>4</v>
      </c>
      <c r="C564" s="3">
        <v>26.968900000000001</v>
      </c>
    </row>
    <row r="565" spans="1:3" x14ac:dyDescent="0.2">
      <c r="A565" s="2">
        <v>45015</v>
      </c>
      <c r="B565" s="3" t="s">
        <v>4</v>
      </c>
      <c r="C565" s="3">
        <v>27.367799999999999</v>
      </c>
    </row>
    <row r="566" spans="1:3" x14ac:dyDescent="0.2">
      <c r="A566" s="2">
        <v>45016</v>
      </c>
      <c r="B566" s="3" t="s">
        <v>4</v>
      </c>
      <c r="C566" s="3">
        <v>27.761500000000002</v>
      </c>
    </row>
    <row r="567" spans="1:3" x14ac:dyDescent="0.2">
      <c r="A567" s="2">
        <v>45019</v>
      </c>
      <c r="B567" s="3" t="s">
        <v>4</v>
      </c>
      <c r="C567" s="3">
        <v>27.949400000000001</v>
      </c>
    </row>
    <row r="568" spans="1:3" x14ac:dyDescent="0.2">
      <c r="A568" s="2">
        <v>45020</v>
      </c>
      <c r="B568" s="3" t="s">
        <v>4</v>
      </c>
      <c r="C568" s="3">
        <v>27.4377</v>
      </c>
    </row>
    <row r="569" spans="1:3" x14ac:dyDescent="0.2">
      <c r="A569" s="2">
        <v>45021</v>
      </c>
      <c r="B569" s="3" t="s">
        <v>4</v>
      </c>
      <c r="C569" s="3">
        <v>26.8659</v>
      </c>
    </row>
    <row r="570" spans="1:3" x14ac:dyDescent="0.2">
      <c r="A570" s="2">
        <v>45022</v>
      </c>
      <c r="B570" s="3" t="s">
        <v>4</v>
      </c>
      <c r="C570" s="3">
        <v>27.021899999999999</v>
      </c>
    </row>
    <row r="571" spans="1:3" x14ac:dyDescent="0.2">
      <c r="A571" s="2">
        <v>45026</v>
      </c>
      <c r="B571" s="3" t="s">
        <v>4</v>
      </c>
      <c r="C571" s="3">
        <v>27.563500000000001</v>
      </c>
    </row>
    <row r="572" spans="1:3" x14ac:dyDescent="0.2">
      <c r="A572" s="2">
        <v>45027</v>
      </c>
      <c r="B572" s="3" t="s">
        <v>4</v>
      </c>
      <c r="C572" s="3">
        <v>27.1539</v>
      </c>
    </row>
    <row r="573" spans="1:3" x14ac:dyDescent="0.2">
      <c r="A573" s="2">
        <v>45028</v>
      </c>
      <c r="B573" s="3" t="s">
        <v>4</v>
      </c>
      <c r="C573" s="3">
        <v>26.4803</v>
      </c>
    </row>
    <row r="574" spans="1:3" x14ac:dyDescent="0.2">
      <c r="A574" s="2">
        <v>45029</v>
      </c>
      <c r="B574" s="3" t="s">
        <v>4</v>
      </c>
      <c r="C574" s="3">
        <v>26.4483</v>
      </c>
    </row>
    <row r="575" spans="1:3" x14ac:dyDescent="0.2">
      <c r="A575" s="2">
        <v>45030</v>
      </c>
      <c r="B575" s="3" t="s">
        <v>4</v>
      </c>
      <c r="C575" s="3">
        <v>26.742999999999999</v>
      </c>
    </row>
    <row r="576" spans="1:3" x14ac:dyDescent="0.2">
      <c r="A576" s="2">
        <v>45033</v>
      </c>
      <c r="B576" s="3" t="s">
        <v>4</v>
      </c>
      <c r="C576" s="3">
        <v>26.986899999999999</v>
      </c>
    </row>
    <row r="577" spans="1:3" x14ac:dyDescent="0.2">
      <c r="A577" s="2">
        <v>45034</v>
      </c>
      <c r="B577" s="3" t="s">
        <v>4</v>
      </c>
      <c r="C577" s="3">
        <v>27.651499999999999</v>
      </c>
    </row>
    <row r="578" spans="1:3" x14ac:dyDescent="0.2">
      <c r="A578" s="2">
        <v>45035</v>
      </c>
      <c r="B578" s="3" t="s">
        <v>4</v>
      </c>
      <c r="C578" s="3">
        <v>27.915400000000002</v>
      </c>
    </row>
    <row r="579" spans="1:3" x14ac:dyDescent="0.2">
      <c r="A579" s="2">
        <v>45036</v>
      </c>
      <c r="B579" s="3" t="s">
        <v>4</v>
      </c>
      <c r="C579" s="3">
        <v>27.088899999999999</v>
      </c>
    </row>
    <row r="580" spans="1:3" x14ac:dyDescent="0.2">
      <c r="A580" s="2">
        <v>45037</v>
      </c>
      <c r="B580" s="3" t="s">
        <v>4</v>
      </c>
      <c r="C580" s="3">
        <v>27.103899999999999</v>
      </c>
    </row>
    <row r="581" spans="1:3" x14ac:dyDescent="0.2">
      <c r="A581" s="2">
        <v>45040</v>
      </c>
      <c r="B581" s="3" t="s">
        <v>4</v>
      </c>
      <c r="C581" s="3">
        <v>27.026900000000001</v>
      </c>
    </row>
    <row r="582" spans="1:3" x14ac:dyDescent="0.2">
      <c r="A582" s="2">
        <v>45041</v>
      </c>
      <c r="B582" s="3" t="s">
        <v>4</v>
      </c>
      <c r="C582" s="3">
        <v>26.226400000000002</v>
      </c>
    </row>
    <row r="583" spans="1:3" x14ac:dyDescent="0.2">
      <c r="A583" s="2">
        <v>45042</v>
      </c>
      <c r="B583" s="3" t="s">
        <v>4</v>
      </c>
      <c r="C583" s="3">
        <v>26.940899999999999</v>
      </c>
    </row>
    <row r="584" spans="1:3" x14ac:dyDescent="0.2">
      <c r="A584" s="2">
        <v>45043</v>
      </c>
      <c r="B584" s="3" t="s">
        <v>4</v>
      </c>
      <c r="C584" s="3">
        <v>27.210899999999999</v>
      </c>
    </row>
    <row r="585" spans="1:3" x14ac:dyDescent="0.2">
      <c r="A585" s="2">
        <v>45044</v>
      </c>
      <c r="B585" s="3" t="s">
        <v>4</v>
      </c>
      <c r="C585" s="3">
        <v>27.733499999999999</v>
      </c>
    </row>
    <row r="586" spans="1:3" x14ac:dyDescent="0.2">
      <c r="A586" s="2">
        <v>45047</v>
      </c>
      <c r="B586" s="3" t="s">
        <v>4</v>
      </c>
      <c r="C586" s="3">
        <v>28.893799999999999</v>
      </c>
    </row>
    <row r="587" spans="1:3" x14ac:dyDescent="0.2">
      <c r="A587" s="2">
        <v>45048</v>
      </c>
      <c r="B587" s="3" t="s">
        <v>4</v>
      </c>
      <c r="C587" s="3">
        <v>28.194400000000002</v>
      </c>
    </row>
    <row r="588" spans="1:3" x14ac:dyDescent="0.2">
      <c r="A588" s="2">
        <v>45049</v>
      </c>
      <c r="B588" s="3" t="s">
        <v>4</v>
      </c>
      <c r="C588" s="3">
        <v>27.7865</v>
      </c>
    </row>
    <row r="589" spans="1:3" x14ac:dyDescent="0.2">
      <c r="A589" s="2">
        <v>45050</v>
      </c>
      <c r="B589" s="3" t="s">
        <v>4</v>
      </c>
      <c r="C589" s="3">
        <v>27.546500000000002</v>
      </c>
    </row>
    <row r="590" spans="1:3" x14ac:dyDescent="0.2">
      <c r="A590" s="2">
        <v>45051</v>
      </c>
      <c r="B590" s="3" t="s">
        <v>4</v>
      </c>
      <c r="C590" s="3">
        <v>28.663900000000002</v>
      </c>
    </row>
    <row r="591" spans="1:3" x14ac:dyDescent="0.2">
      <c r="A591" s="2">
        <v>45054</v>
      </c>
      <c r="B591" s="3" t="s">
        <v>4</v>
      </c>
      <c r="C591" s="3">
        <v>29.134699999999999</v>
      </c>
    </row>
    <row r="592" spans="1:3" x14ac:dyDescent="0.2">
      <c r="A592" s="2">
        <v>45055</v>
      </c>
      <c r="B592" s="3" t="s">
        <v>4</v>
      </c>
      <c r="C592" s="3">
        <v>28.555099999999999</v>
      </c>
    </row>
    <row r="593" spans="1:3" x14ac:dyDescent="0.2">
      <c r="A593" s="2">
        <v>45056</v>
      </c>
      <c r="B593" s="3" t="s">
        <v>4</v>
      </c>
      <c r="C593" s="3">
        <v>28.8688</v>
      </c>
    </row>
    <row r="594" spans="1:3" x14ac:dyDescent="0.2">
      <c r="A594" s="2">
        <v>45057</v>
      </c>
      <c r="B594" s="3" t="s">
        <v>4</v>
      </c>
      <c r="C594" s="3">
        <v>28.562100000000001</v>
      </c>
    </row>
    <row r="595" spans="1:3" x14ac:dyDescent="0.2">
      <c r="A595" s="2">
        <v>45058</v>
      </c>
      <c r="B595" s="3" t="s">
        <v>4</v>
      </c>
      <c r="C595" s="3">
        <v>28.324300000000001</v>
      </c>
    </row>
    <row r="596" spans="1:3" x14ac:dyDescent="0.2">
      <c r="A596" s="2">
        <v>45061</v>
      </c>
      <c r="B596" s="3" t="s">
        <v>4</v>
      </c>
      <c r="C596" s="3">
        <v>28.936800000000002</v>
      </c>
    </row>
    <row r="597" spans="1:3" x14ac:dyDescent="0.2">
      <c r="A597" s="2">
        <v>45062</v>
      </c>
      <c r="B597" s="3" t="s">
        <v>4</v>
      </c>
      <c r="C597" s="3">
        <v>29.1967</v>
      </c>
    </row>
    <row r="598" spans="1:3" x14ac:dyDescent="0.2">
      <c r="A598" s="2">
        <v>45063</v>
      </c>
      <c r="B598" s="3" t="s">
        <v>4</v>
      </c>
      <c r="C598" s="3">
        <v>30.161100000000001</v>
      </c>
    </row>
    <row r="599" spans="1:3" x14ac:dyDescent="0.2">
      <c r="A599" s="2">
        <v>45064</v>
      </c>
      <c r="B599" s="3" t="s">
        <v>4</v>
      </c>
      <c r="C599" s="3">
        <v>31.660299999999999</v>
      </c>
    </row>
    <row r="600" spans="1:3" x14ac:dyDescent="0.2">
      <c r="A600" s="2">
        <v>45065</v>
      </c>
      <c r="B600" s="3" t="s">
        <v>4</v>
      </c>
      <c r="C600" s="3">
        <v>31.246500000000001</v>
      </c>
    </row>
    <row r="601" spans="1:3" x14ac:dyDescent="0.2">
      <c r="A601" s="2">
        <v>45068</v>
      </c>
      <c r="B601" s="3" t="s">
        <v>4</v>
      </c>
      <c r="C601" s="3">
        <v>31.1586</v>
      </c>
    </row>
    <row r="602" spans="1:3" x14ac:dyDescent="0.2">
      <c r="A602" s="2">
        <v>45069</v>
      </c>
      <c r="B602" s="3" t="s">
        <v>4</v>
      </c>
      <c r="C602" s="3">
        <v>30.670999999999999</v>
      </c>
    </row>
    <row r="603" spans="1:3" x14ac:dyDescent="0.2">
      <c r="A603" s="2">
        <v>45070</v>
      </c>
      <c r="B603" s="3" t="s">
        <v>4</v>
      </c>
      <c r="C603" s="3">
        <v>30.521000000000001</v>
      </c>
    </row>
    <row r="604" spans="1:3" x14ac:dyDescent="0.2">
      <c r="A604" s="2">
        <v>45071</v>
      </c>
      <c r="B604" s="3" t="s">
        <v>4</v>
      </c>
      <c r="C604" s="3">
        <v>37.959000000000003</v>
      </c>
    </row>
    <row r="605" spans="1:3" x14ac:dyDescent="0.2">
      <c r="A605" s="2">
        <v>45072</v>
      </c>
      <c r="B605" s="3" t="s">
        <v>4</v>
      </c>
      <c r="C605" s="3">
        <v>38.924399999999999</v>
      </c>
    </row>
    <row r="606" spans="1:3" x14ac:dyDescent="0.2">
      <c r="A606" s="2">
        <v>45076</v>
      </c>
      <c r="B606" s="3" t="s">
        <v>4</v>
      </c>
      <c r="C606" s="3">
        <v>40.0886</v>
      </c>
    </row>
    <row r="607" spans="1:3" x14ac:dyDescent="0.2">
      <c r="A607" s="2">
        <v>45077</v>
      </c>
      <c r="B607" s="3" t="s">
        <v>4</v>
      </c>
      <c r="C607" s="3">
        <v>37.813000000000002</v>
      </c>
    </row>
    <row r="608" spans="1:3" x14ac:dyDescent="0.2">
      <c r="A608" s="2">
        <v>45078</v>
      </c>
      <c r="B608" s="3" t="s">
        <v>4</v>
      </c>
      <c r="C608" s="3">
        <v>39.747799999999998</v>
      </c>
    </row>
    <row r="609" spans="1:3" x14ac:dyDescent="0.2">
      <c r="A609" s="2">
        <v>45079</v>
      </c>
      <c r="B609" s="3" t="s">
        <v>4</v>
      </c>
      <c r="C609" s="3">
        <v>39.305100000000003</v>
      </c>
    </row>
    <row r="610" spans="1:3" x14ac:dyDescent="0.2">
      <c r="A610" s="2">
        <v>45082</v>
      </c>
      <c r="B610" s="3" t="s">
        <v>4</v>
      </c>
      <c r="C610" s="3">
        <v>39.149299999999997</v>
      </c>
    </row>
    <row r="611" spans="1:3" x14ac:dyDescent="0.2">
      <c r="A611" s="2">
        <v>45083</v>
      </c>
      <c r="B611" s="3" t="s">
        <v>4</v>
      </c>
      <c r="C611" s="3">
        <v>38.632399999999997</v>
      </c>
    </row>
    <row r="612" spans="1:3" x14ac:dyDescent="0.2">
      <c r="A612" s="2">
        <v>45084</v>
      </c>
      <c r="B612" s="3" t="s">
        <v>4</v>
      </c>
      <c r="C612" s="3">
        <v>37.457900000000002</v>
      </c>
    </row>
    <row r="613" spans="1:3" x14ac:dyDescent="0.2">
      <c r="A613" s="2">
        <v>45085</v>
      </c>
      <c r="B613" s="3" t="s">
        <v>4</v>
      </c>
      <c r="C613" s="3">
        <v>38.492400000000004</v>
      </c>
    </row>
    <row r="614" spans="1:3" x14ac:dyDescent="0.2">
      <c r="A614" s="2">
        <v>45086</v>
      </c>
      <c r="B614" s="3" t="s">
        <v>4</v>
      </c>
      <c r="C614" s="3">
        <v>38.752400000000002</v>
      </c>
    </row>
    <row r="615" spans="1:3" x14ac:dyDescent="0.2">
      <c r="A615" s="2">
        <v>45089</v>
      </c>
      <c r="B615" s="3" t="s">
        <v>4</v>
      </c>
      <c r="C615" s="3">
        <v>39.463999999999999</v>
      </c>
    </row>
    <row r="616" spans="1:3" x14ac:dyDescent="0.2">
      <c r="A616" s="2">
        <v>45090</v>
      </c>
      <c r="B616" s="3" t="s">
        <v>4</v>
      </c>
      <c r="C616" s="3">
        <v>41.003399999999999</v>
      </c>
    </row>
    <row r="617" spans="1:3" x14ac:dyDescent="0.2">
      <c r="A617" s="2">
        <v>45091</v>
      </c>
      <c r="B617" s="3" t="s">
        <v>4</v>
      </c>
      <c r="C617" s="3">
        <v>42.977499999999999</v>
      </c>
    </row>
    <row r="618" spans="1:3" x14ac:dyDescent="0.2">
      <c r="A618" s="2">
        <v>45092</v>
      </c>
      <c r="B618" s="3" t="s">
        <v>4</v>
      </c>
      <c r="C618" s="3">
        <v>42.633800000000001</v>
      </c>
    </row>
    <row r="619" spans="1:3" x14ac:dyDescent="0.2">
      <c r="A619" s="2">
        <v>45093</v>
      </c>
      <c r="B619" s="3" t="s">
        <v>4</v>
      </c>
      <c r="C619" s="3">
        <v>42.672600000000003</v>
      </c>
    </row>
    <row r="620" spans="1:3" x14ac:dyDescent="0.2">
      <c r="A620" s="2">
        <v>45097</v>
      </c>
      <c r="B620" s="3" t="s">
        <v>4</v>
      </c>
      <c r="C620" s="3">
        <v>43.7881</v>
      </c>
    </row>
    <row r="621" spans="1:3" x14ac:dyDescent="0.2">
      <c r="A621" s="2">
        <v>45098</v>
      </c>
      <c r="B621" s="3" t="s">
        <v>4</v>
      </c>
      <c r="C621" s="3">
        <v>43.025500000000001</v>
      </c>
    </row>
    <row r="622" spans="1:3" x14ac:dyDescent="0.2">
      <c r="A622" s="2">
        <v>45099</v>
      </c>
      <c r="B622" s="3" t="s">
        <v>4</v>
      </c>
      <c r="C622" s="3">
        <v>43.005499999999998</v>
      </c>
    </row>
    <row r="623" spans="1:3" x14ac:dyDescent="0.2">
      <c r="A623" s="2">
        <v>45100</v>
      </c>
      <c r="B623" s="3" t="s">
        <v>4</v>
      </c>
      <c r="C623" s="3">
        <v>42.189799999999998</v>
      </c>
    </row>
    <row r="624" spans="1:3" x14ac:dyDescent="0.2">
      <c r="A624" s="2">
        <v>45103</v>
      </c>
      <c r="B624" s="3" t="s">
        <v>4</v>
      </c>
      <c r="C624" s="3">
        <v>40.613599999999998</v>
      </c>
    </row>
    <row r="625" spans="1:3" x14ac:dyDescent="0.2">
      <c r="A625" s="2">
        <v>45104</v>
      </c>
      <c r="B625" s="3" t="s">
        <v>4</v>
      </c>
      <c r="C625" s="3">
        <v>41.856900000000003</v>
      </c>
    </row>
    <row r="626" spans="1:3" x14ac:dyDescent="0.2">
      <c r="A626" s="2">
        <v>45105</v>
      </c>
      <c r="B626" s="3" t="s">
        <v>4</v>
      </c>
      <c r="C626" s="3">
        <v>41.098399999999998</v>
      </c>
    </row>
    <row r="627" spans="1:3" x14ac:dyDescent="0.2">
      <c r="A627" s="2">
        <v>45106</v>
      </c>
      <c r="B627" s="3" t="s">
        <v>4</v>
      </c>
      <c r="C627" s="3">
        <v>40.803400000000003</v>
      </c>
    </row>
    <row r="628" spans="1:3" x14ac:dyDescent="0.2">
      <c r="A628" s="2">
        <v>45107</v>
      </c>
      <c r="B628" s="3" t="s">
        <v>4</v>
      </c>
      <c r="C628" s="3">
        <v>42.282800000000002</v>
      </c>
    </row>
    <row r="629" spans="1:3" x14ac:dyDescent="0.2">
      <c r="A629" s="2">
        <v>45110</v>
      </c>
      <c r="B629" s="3" t="s">
        <v>4</v>
      </c>
      <c r="C629" s="3">
        <v>42.393799999999999</v>
      </c>
    </row>
    <row r="630" spans="1:3" x14ac:dyDescent="0.2">
      <c r="A630" s="2">
        <v>45112</v>
      </c>
      <c r="B630" s="3" t="s">
        <v>4</v>
      </c>
      <c r="C630" s="3">
        <v>42.297800000000002</v>
      </c>
    </row>
    <row r="631" spans="1:3" x14ac:dyDescent="0.2">
      <c r="A631" s="2">
        <v>45113</v>
      </c>
      <c r="B631" s="3" t="s">
        <v>4</v>
      </c>
      <c r="C631" s="3">
        <v>42.083799999999997</v>
      </c>
    </row>
    <row r="632" spans="1:3" x14ac:dyDescent="0.2">
      <c r="A632" s="2">
        <v>45114</v>
      </c>
      <c r="B632" s="3" t="s">
        <v>4</v>
      </c>
      <c r="C632" s="3">
        <v>42.483800000000002</v>
      </c>
    </row>
    <row r="633" spans="1:3" x14ac:dyDescent="0.2">
      <c r="A633" s="2">
        <v>45117</v>
      </c>
      <c r="B633" s="3" t="s">
        <v>4</v>
      </c>
      <c r="C633" s="3">
        <v>42.160800000000002</v>
      </c>
    </row>
    <row r="634" spans="1:3" x14ac:dyDescent="0.2">
      <c r="A634" s="2">
        <v>45118</v>
      </c>
      <c r="B634" s="3" t="s">
        <v>4</v>
      </c>
      <c r="C634" s="3">
        <v>42.385800000000003</v>
      </c>
    </row>
    <row r="635" spans="1:3" x14ac:dyDescent="0.2">
      <c r="A635" s="2">
        <v>45119</v>
      </c>
      <c r="B635" s="3" t="s">
        <v>4</v>
      </c>
      <c r="C635" s="3">
        <v>43.881999999999998</v>
      </c>
    </row>
    <row r="636" spans="1:3" x14ac:dyDescent="0.2">
      <c r="A636" s="2">
        <v>45120</v>
      </c>
      <c r="B636" s="3" t="s">
        <v>4</v>
      </c>
      <c r="C636" s="3">
        <v>45.956099999999999</v>
      </c>
    </row>
    <row r="637" spans="1:3" x14ac:dyDescent="0.2">
      <c r="A637" s="2">
        <v>45121</v>
      </c>
      <c r="B637" s="3" t="s">
        <v>4</v>
      </c>
      <c r="C637" s="3">
        <v>45.448500000000003</v>
      </c>
    </row>
    <row r="638" spans="1:3" x14ac:dyDescent="0.2">
      <c r="A638" s="2">
        <v>45124</v>
      </c>
      <c r="B638" s="3" t="s">
        <v>4</v>
      </c>
      <c r="C638" s="3">
        <v>46.439900000000002</v>
      </c>
    </row>
    <row r="639" spans="1:3" x14ac:dyDescent="0.2">
      <c r="A639" s="2">
        <v>45125</v>
      </c>
      <c r="B639" s="3" t="s">
        <v>4</v>
      </c>
      <c r="C639" s="3">
        <v>47.4724</v>
      </c>
    </row>
    <row r="640" spans="1:3" x14ac:dyDescent="0.2">
      <c r="A640" s="2">
        <v>45126</v>
      </c>
      <c r="B640" s="3" t="s">
        <v>4</v>
      </c>
      <c r="C640" s="3">
        <v>47.055700000000002</v>
      </c>
    </row>
    <row r="641" spans="1:3" x14ac:dyDescent="0.2">
      <c r="A641" s="2">
        <v>45127</v>
      </c>
      <c r="B641" s="3" t="s">
        <v>4</v>
      </c>
      <c r="C641" s="3">
        <v>45.499400000000001</v>
      </c>
    </row>
    <row r="642" spans="1:3" x14ac:dyDescent="0.2">
      <c r="A642" s="2">
        <v>45128</v>
      </c>
      <c r="B642" s="3" t="s">
        <v>4</v>
      </c>
      <c r="C642" s="3">
        <v>44.288800000000002</v>
      </c>
    </row>
    <row r="643" spans="1:3" x14ac:dyDescent="0.2">
      <c r="A643" s="2">
        <v>45131</v>
      </c>
      <c r="B643" s="3" t="s">
        <v>4</v>
      </c>
      <c r="C643" s="3">
        <v>44.591700000000003</v>
      </c>
    </row>
    <row r="644" spans="1:3" x14ac:dyDescent="0.2">
      <c r="A644" s="2">
        <v>45132</v>
      </c>
      <c r="B644" s="3" t="s">
        <v>4</v>
      </c>
      <c r="C644" s="3">
        <v>45.6584</v>
      </c>
    </row>
    <row r="645" spans="1:3" x14ac:dyDescent="0.2">
      <c r="A645" s="2">
        <v>45133</v>
      </c>
      <c r="B645" s="3" t="s">
        <v>4</v>
      </c>
      <c r="C645" s="3">
        <v>45.4315</v>
      </c>
    </row>
    <row r="646" spans="1:3" x14ac:dyDescent="0.2">
      <c r="A646" s="2">
        <v>45134</v>
      </c>
      <c r="B646" s="3" t="s">
        <v>4</v>
      </c>
      <c r="C646" s="3">
        <v>45.879100000000001</v>
      </c>
    </row>
    <row r="647" spans="1:3" x14ac:dyDescent="0.2">
      <c r="A647" s="2">
        <v>45135</v>
      </c>
      <c r="B647" s="3" t="s">
        <v>4</v>
      </c>
      <c r="C647" s="3">
        <v>46.7288</v>
      </c>
    </row>
    <row r="648" spans="1:3" x14ac:dyDescent="0.2">
      <c r="A648" s="2">
        <v>45138</v>
      </c>
      <c r="B648" s="3" t="s">
        <v>4</v>
      </c>
      <c r="C648" s="3">
        <v>46.707799999999999</v>
      </c>
    </row>
    <row r="649" spans="1:3" x14ac:dyDescent="0.2">
      <c r="A649" s="2">
        <v>45139</v>
      </c>
      <c r="B649" s="3" t="s">
        <v>4</v>
      </c>
      <c r="C649" s="3">
        <v>46.485900000000001</v>
      </c>
    </row>
    <row r="650" spans="1:3" x14ac:dyDescent="0.2">
      <c r="A650" s="2">
        <v>45140</v>
      </c>
      <c r="B650" s="3" t="s">
        <v>4</v>
      </c>
      <c r="C650" s="3">
        <v>44.249000000000002</v>
      </c>
    </row>
    <row r="651" spans="1:3" x14ac:dyDescent="0.2">
      <c r="A651" s="2">
        <v>45141</v>
      </c>
      <c r="B651" s="3" t="s">
        <v>4</v>
      </c>
      <c r="C651" s="3">
        <v>44.494700000000002</v>
      </c>
    </row>
    <row r="652" spans="1:3" x14ac:dyDescent="0.2">
      <c r="A652" s="2">
        <v>45142</v>
      </c>
      <c r="B652" s="3" t="s">
        <v>4</v>
      </c>
      <c r="C652" s="3">
        <v>44.659700000000001</v>
      </c>
    </row>
    <row r="653" spans="1:3" x14ac:dyDescent="0.2">
      <c r="A653" s="2">
        <v>45145</v>
      </c>
      <c r="B653" s="3" t="s">
        <v>4</v>
      </c>
      <c r="C653" s="3">
        <v>45.396000000000001</v>
      </c>
    </row>
    <row r="654" spans="1:3" x14ac:dyDescent="0.2">
      <c r="A654" s="2">
        <v>45146</v>
      </c>
      <c r="B654" s="3" t="s">
        <v>4</v>
      </c>
      <c r="C654" s="3">
        <v>44.643700000000003</v>
      </c>
    </row>
    <row r="655" spans="1:3" x14ac:dyDescent="0.2">
      <c r="A655" s="2">
        <v>45147</v>
      </c>
      <c r="B655" s="3" t="s">
        <v>4</v>
      </c>
      <c r="C655" s="3">
        <v>42.534799999999997</v>
      </c>
    </row>
    <row r="656" spans="1:3" x14ac:dyDescent="0.2">
      <c r="A656" s="2">
        <v>45148</v>
      </c>
      <c r="B656" s="3" t="s">
        <v>4</v>
      </c>
      <c r="C656" s="3">
        <v>42.3688</v>
      </c>
    </row>
    <row r="657" spans="1:3" x14ac:dyDescent="0.2">
      <c r="A657" s="2">
        <v>45149</v>
      </c>
      <c r="B657" s="3" t="s">
        <v>4</v>
      </c>
      <c r="C657" s="3">
        <v>40.836399999999998</v>
      </c>
    </row>
    <row r="658" spans="1:3" x14ac:dyDescent="0.2">
      <c r="A658" s="2">
        <v>45152</v>
      </c>
      <c r="B658" s="3" t="s">
        <v>4</v>
      </c>
      <c r="C658" s="3">
        <v>43.733199999999997</v>
      </c>
    </row>
    <row r="659" spans="1:3" x14ac:dyDescent="0.2">
      <c r="A659" s="2">
        <v>45153</v>
      </c>
      <c r="B659" s="3" t="s">
        <v>4</v>
      </c>
      <c r="C659" s="3">
        <v>43.92</v>
      </c>
    </row>
    <row r="660" spans="1:3" x14ac:dyDescent="0.2">
      <c r="A660" s="2">
        <v>45154</v>
      </c>
      <c r="B660" s="3" t="s">
        <v>4</v>
      </c>
      <c r="C660" s="3">
        <v>43.466299999999997</v>
      </c>
    </row>
    <row r="661" spans="1:3" x14ac:dyDescent="0.2">
      <c r="A661" s="2">
        <v>45155</v>
      </c>
      <c r="B661" s="3" t="s">
        <v>4</v>
      </c>
      <c r="C661" s="3">
        <v>43.323799999999999</v>
      </c>
    </row>
    <row r="662" spans="1:3" x14ac:dyDescent="0.2">
      <c r="A662" s="2">
        <v>45156</v>
      </c>
      <c r="B662" s="3" t="s">
        <v>4</v>
      </c>
      <c r="C662" s="3">
        <v>43.279299999999999</v>
      </c>
    </row>
    <row r="663" spans="1:3" x14ac:dyDescent="0.2">
      <c r="A663" s="2">
        <v>45159</v>
      </c>
      <c r="B663" s="3" t="s">
        <v>4</v>
      </c>
      <c r="C663" s="3">
        <v>46.945700000000002</v>
      </c>
    </row>
    <row r="664" spans="1:3" x14ac:dyDescent="0.2">
      <c r="A664" s="2">
        <v>45160</v>
      </c>
      <c r="B664" s="3" t="s">
        <v>4</v>
      </c>
      <c r="C664" s="3">
        <v>45.647399999999998</v>
      </c>
    </row>
    <row r="665" spans="1:3" x14ac:dyDescent="0.2">
      <c r="A665" s="2">
        <v>45161</v>
      </c>
      <c r="B665" s="3" t="s">
        <v>4</v>
      </c>
      <c r="C665" s="3">
        <v>47.094700000000003</v>
      </c>
    </row>
    <row r="666" spans="1:3" x14ac:dyDescent="0.2">
      <c r="A666" s="2">
        <v>45162</v>
      </c>
      <c r="B666" s="3" t="s">
        <v>4</v>
      </c>
      <c r="C666" s="3">
        <v>47.1417</v>
      </c>
    </row>
    <row r="667" spans="1:3" x14ac:dyDescent="0.2">
      <c r="A667" s="2">
        <v>45163</v>
      </c>
      <c r="B667" s="3" t="s">
        <v>4</v>
      </c>
      <c r="C667" s="3">
        <v>45.997100000000003</v>
      </c>
    </row>
    <row r="668" spans="1:3" x14ac:dyDescent="0.2">
      <c r="A668" s="2">
        <v>45166</v>
      </c>
      <c r="B668" s="3" t="s">
        <v>4</v>
      </c>
      <c r="C668" s="3">
        <v>46.813800000000001</v>
      </c>
    </row>
    <row r="669" spans="1:3" x14ac:dyDescent="0.2">
      <c r="A669" s="2">
        <v>45167</v>
      </c>
      <c r="B669" s="3" t="s">
        <v>4</v>
      </c>
      <c r="C669" s="3">
        <v>48.761800000000001</v>
      </c>
    </row>
    <row r="670" spans="1:3" x14ac:dyDescent="0.2">
      <c r="A670" s="2">
        <v>45168</v>
      </c>
      <c r="B670" s="3" t="s">
        <v>4</v>
      </c>
      <c r="C670" s="3">
        <v>49.241700000000002</v>
      </c>
    </row>
    <row r="671" spans="1:3" x14ac:dyDescent="0.2">
      <c r="A671" s="2">
        <v>45169</v>
      </c>
      <c r="B671" s="3" t="s">
        <v>4</v>
      </c>
      <c r="C671" s="3">
        <v>49.332599999999999</v>
      </c>
    </row>
    <row r="672" spans="1:3" x14ac:dyDescent="0.2">
      <c r="A672" s="2">
        <v>45170</v>
      </c>
      <c r="B672" s="3" t="s">
        <v>4</v>
      </c>
      <c r="C672" s="3">
        <v>48.487000000000002</v>
      </c>
    </row>
    <row r="673" spans="1:3" x14ac:dyDescent="0.2">
      <c r="A673" s="2">
        <v>45174</v>
      </c>
      <c r="B673" s="3" t="s">
        <v>4</v>
      </c>
      <c r="C673" s="3">
        <v>48.5259</v>
      </c>
    </row>
    <row r="674" spans="1:3" x14ac:dyDescent="0.2">
      <c r="A674" s="2">
        <v>45175</v>
      </c>
      <c r="B674" s="3" t="s">
        <v>4</v>
      </c>
      <c r="C674" s="3">
        <v>47.043599999999998</v>
      </c>
    </row>
    <row r="675" spans="1:3" x14ac:dyDescent="0.2">
      <c r="A675" s="2">
        <v>45176</v>
      </c>
      <c r="B675" s="3" t="s">
        <v>4</v>
      </c>
      <c r="C675" s="3">
        <v>46.223700000000001</v>
      </c>
    </row>
    <row r="676" spans="1:3" x14ac:dyDescent="0.2">
      <c r="A676" s="2">
        <v>45177</v>
      </c>
      <c r="B676" s="3" t="s">
        <v>4</v>
      </c>
      <c r="C676" s="3">
        <v>45.555199999999999</v>
      </c>
    </row>
    <row r="677" spans="1:3" x14ac:dyDescent="0.2">
      <c r="A677" s="2">
        <v>45180</v>
      </c>
      <c r="B677" s="3" t="s">
        <v>4</v>
      </c>
      <c r="C677" s="3">
        <v>45.161200000000001</v>
      </c>
    </row>
    <row r="678" spans="1:3" x14ac:dyDescent="0.2">
      <c r="A678" s="2">
        <v>45181</v>
      </c>
      <c r="B678" s="3" t="s">
        <v>4</v>
      </c>
      <c r="C678" s="3">
        <v>44.853400000000001</v>
      </c>
    </row>
    <row r="679" spans="1:3" x14ac:dyDescent="0.2">
      <c r="A679" s="2">
        <v>45182</v>
      </c>
      <c r="B679" s="3" t="s">
        <v>4</v>
      </c>
      <c r="C679" s="3">
        <v>45.468200000000003</v>
      </c>
    </row>
    <row r="680" spans="1:3" x14ac:dyDescent="0.2">
      <c r="A680" s="2">
        <v>45183</v>
      </c>
      <c r="B680" s="3" t="s">
        <v>4</v>
      </c>
      <c r="C680" s="3">
        <v>45.5642</v>
      </c>
    </row>
    <row r="681" spans="1:3" x14ac:dyDescent="0.2">
      <c r="A681" s="2">
        <v>45184</v>
      </c>
      <c r="B681" s="3" t="s">
        <v>4</v>
      </c>
      <c r="C681" s="3">
        <v>43.883600000000001</v>
      </c>
    </row>
    <row r="682" spans="1:3" x14ac:dyDescent="0.2">
      <c r="A682" s="2">
        <v>45187</v>
      </c>
      <c r="B682" s="3" t="s">
        <v>4</v>
      </c>
      <c r="C682" s="3">
        <v>43.949599999999997</v>
      </c>
    </row>
    <row r="683" spans="1:3" x14ac:dyDescent="0.2">
      <c r="A683" s="2">
        <v>45188</v>
      </c>
      <c r="B683" s="3" t="s">
        <v>4</v>
      </c>
      <c r="C683" s="3">
        <v>43.503900000000002</v>
      </c>
    </row>
    <row r="684" spans="1:3" x14ac:dyDescent="0.2">
      <c r="A684" s="2">
        <v>45189</v>
      </c>
      <c r="B684" s="3" t="s">
        <v>4</v>
      </c>
      <c r="C684" s="3">
        <v>42.223300000000002</v>
      </c>
    </row>
    <row r="685" spans="1:3" x14ac:dyDescent="0.2">
      <c r="A685" s="2">
        <v>45190</v>
      </c>
      <c r="B685" s="3" t="s">
        <v>4</v>
      </c>
      <c r="C685" s="3">
        <v>41.001800000000003</v>
      </c>
    </row>
    <row r="686" spans="1:3" x14ac:dyDescent="0.2">
      <c r="A686" s="2">
        <v>45191</v>
      </c>
      <c r="B686" s="3" t="s">
        <v>4</v>
      </c>
      <c r="C686" s="3">
        <v>41.5944</v>
      </c>
    </row>
    <row r="687" spans="1:3" x14ac:dyDescent="0.2">
      <c r="A687" s="2">
        <v>45194</v>
      </c>
      <c r="B687" s="3" t="s">
        <v>4</v>
      </c>
      <c r="C687" s="3">
        <v>42.206299999999999</v>
      </c>
    </row>
    <row r="688" spans="1:3" x14ac:dyDescent="0.2">
      <c r="A688" s="2">
        <v>45195</v>
      </c>
      <c r="B688" s="3" t="s">
        <v>4</v>
      </c>
      <c r="C688" s="3">
        <v>41.895400000000002</v>
      </c>
    </row>
    <row r="689" spans="1:3" x14ac:dyDescent="0.2">
      <c r="A689" s="2">
        <v>45196</v>
      </c>
      <c r="B689" s="3" t="s">
        <v>4</v>
      </c>
      <c r="C689" s="3">
        <v>42.452300000000001</v>
      </c>
    </row>
    <row r="690" spans="1:3" x14ac:dyDescent="0.2">
      <c r="A690" s="2">
        <v>45197</v>
      </c>
      <c r="B690" s="3" t="s">
        <v>4</v>
      </c>
      <c r="C690" s="3">
        <v>43.073</v>
      </c>
    </row>
    <row r="691" spans="1:3" x14ac:dyDescent="0.2">
      <c r="A691" s="2">
        <v>45198</v>
      </c>
      <c r="B691" s="3" t="s">
        <v>4</v>
      </c>
      <c r="C691" s="3">
        <v>43.482900000000001</v>
      </c>
    </row>
    <row r="692" spans="1:3" x14ac:dyDescent="0.2">
      <c r="A692" s="2">
        <v>45201</v>
      </c>
      <c r="B692" s="3" t="s">
        <v>4</v>
      </c>
      <c r="C692" s="3">
        <v>44.7654</v>
      </c>
    </row>
    <row r="693" spans="1:3" x14ac:dyDescent="0.2">
      <c r="A693" s="2">
        <v>45202</v>
      </c>
      <c r="B693" s="3" t="s">
        <v>4</v>
      </c>
      <c r="C693" s="3">
        <v>43.500900000000001</v>
      </c>
    </row>
    <row r="694" spans="1:3" x14ac:dyDescent="0.2">
      <c r="A694" s="2">
        <v>45203</v>
      </c>
      <c r="B694" s="3" t="s">
        <v>4</v>
      </c>
      <c r="C694" s="3">
        <v>44.0246</v>
      </c>
    </row>
    <row r="695" spans="1:3" x14ac:dyDescent="0.2">
      <c r="A695" s="2">
        <v>45204</v>
      </c>
      <c r="B695" s="3" t="s">
        <v>4</v>
      </c>
      <c r="C695" s="3">
        <v>44.671399999999998</v>
      </c>
    </row>
    <row r="696" spans="1:3" x14ac:dyDescent="0.2">
      <c r="A696" s="2">
        <v>45205</v>
      </c>
      <c r="B696" s="3" t="s">
        <v>4</v>
      </c>
      <c r="C696" s="3">
        <v>45.744999999999997</v>
      </c>
    </row>
    <row r="697" spans="1:3" x14ac:dyDescent="0.2">
      <c r="A697" s="2">
        <v>45208</v>
      </c>
      <c r="B697" s="3" t="s">
        <v>4</v>
      </c>
      <c r="C697" s="3">
        <v>45.2562</v>
      </c>
    </row>
    <row r="698" spans="1:3" x14ac:dyDescent="0.2">
      <c r="A698" s="2">
        <v>45209</v>
      </c>
      <c r="B698" s="3" t="s">
        <v>4</v>
      </c>
      <c r="C698" s="3">
        <v>45.780999999999999</v>
      </c>
    </row>
    <row r="699" spans="1:3" x14ac:dyDescent="0.2">
      <c r="A699" s="2">
        <v>45210</v>
      </c>
      <c r="B699" s="3" t="s">
        <v>4</v>
      </c>
      <c r="C699" s="3">
        <v>46.788699999999999</v>
      </c>
    </row>
    <row r="700" spans="1:3" x14ac:dyDescent="0.2">
      <c r="A700" s="2">
        <v>45211</v>
      </c>
      <c r="B700" s="3" t="s">
        <v>4</v>
      </c>
      <c r="C700" s="3">
        <v>46.927599999999998</v>
      </c>
    </row>
    <row r="701" spans="1:3" x14ac:dyDescent="0.2">
      <c r="A701" s="2">
        <v>45212</v>
      </c>
      <c r="B701" s="3" t="s">
        <v>4</v>
      </c>
      <c r="C701" s="3">
        <v>45.444200000000002</v>
      </c>
    </row>
    <row r="702" spans="1:3" x14ac:dyDescent="0.2">
      <c r="A702" s="2">
        <v>45215</v>
      </c>
      <c r="B702" s="3" t="s">
        <v>4</v>
      </c>
      <c r="C702" s="3">
        <v>46.077800000000003</v>
      </c>
    </row>
    <row r="703" spans="1:3" x14ac:dyDescent="0.2">
      <c r="A703" s="2">
        <v>45216</v>
      </c>
      <c r="B703" s="3" t="s">
        <v>4</v>
      </c>
      <c r="C703" s="3">
        <v>43.921599999999998</v>
      </c>
    </row>
    <row r="704" spans="1:3" x14ac:dyDescent="0.2">
      <c r="A704" s="2">
        <v>45217</v>
      </c>
      <c r="B704" s="3" t="s">
        <v>4</v>
      </c>
      <c r="C704" s="3">
        <v>42.180300000000003</v>
      </c>
    </row>
    <row r="705" spans="1:3" x14ac:dyDescent="0.2">
      <c r="A705" s="2">
        <v>45218</v>
      </c>
      <c r="B705" s="3" t="s">
        <v>4</v>
      </c>
      <c r="C705" s="3">
        <v>42.085299999999997</v>
      </c>
    </row>
    <row r="706" spans="1:3" x14ac:dyDescent="0.2">
      <c r="A706" s="2">
        <v>45219</v>
      </c>
      <c r="B706" s="3" t="s">
        <v>4</v>
      </c>
      <c r="C706" s="3">
        <v>41.371699999999997</v>
      </c>
    </row>
    <row r="707" spans="1:3" x14ac:dyDescent="0.2">
      <c r="A707" s="2">
        <v>45222</v>
      </c>
      <c r="B707" s="3" t="s">
        <v>4</v>
      </c>
      <c r="C707" s="3">
        <v>42.959000000000003</v>
      </c>
    </row>
    <row r="708" spans="1:3" x14ac:dyDescent="0.2">
      <c r="A708" s="2">
        <v>45223</v>
      </c>
      <c r="B708" s="3" t="s">
        <v>4</v>
      </c>
      <c r="C708" s="3">
        <v>43.646900000000002</v>
      </c>
    </row>
    <row r="709" spans="1:3" x14ac:dyDescent="0.2">
      <c r="A709" s="2">
        <v>45224</v>
      </c>
      <c r="B709" s="3" t="s">
        <v>4</v>
      </c>
      <c r="C709" s="3">
        <v>41.763399999999997</v>
      </c>
    </row>
    <row r="710" spans="1:3" x14ac:dyDescent="0.2">
      <c r="A710" s="2">
        <v>45225</v>
      </c>
      <c r="B710" s="3" t="s">
        <v>4</v>
      </c>
      <c r="C710" s="3">
        <v>40.311100000000003</v>
      </c>
    </row>
    <row r="711" spans="1:3" x14ac:dyDescent="0.2">
      <c r="A711" s="2">
        <v>45226</v>
      </c>
      <c r="B711" s="3" t="s">
        <v>4</v>
      </c>
      <c r="C711" s="3">
        <v>40.484900000000003</v>
      </c>
    </row>
    <row r="712" spans="1:3" x14ac:dyDescent="0.2">
      <c r="A712" s="2">
        <v>45229</v>
      </c>
      <c r="B712" s="3" t="s">
        <v>4</v>
      </c>
      <c r="C712" s="3">
        <v>41.145800000000001</v>
      </c>
    </row>
    <row r="713" spans="1:3" x14ac:dyDescent="0.2">
      <c r="A713" s="2">
        <v>45230</v>
      </c>
      <c r="B713" s="3" t="s">
        <v>4</v>
      </c>
      <c r="C713" s="3">
        <v>40.764899999999997</v>
      </c>
    </row>
    <row r="714" spans="1:3" x14ac:dyDescent="0.2">
      <c r="A714" s="2">
        <v>45231</v>
      </c>
      <c r="B714" s="3" t="s">
        <v>4</v>
      </c>
      <c r="C714" s="3">
        <v>42.3093</v>
      </c>
    </row>
    <row r="715" spans="1:3" x14ac:dyDescent="0.2">
      <c r="A715" s="2">
        <v>45232</v>
      </c>
      <c r="B715" s="3" t="s">
        <v>4</v>
      </c>
      <c r="C715" s="3">
        <v>43.489899999999999</v>
      </c>
    </row>
    <row r="716" spans="1:3" x14ac:dyDescent="0.2">
      <c r="A716" s="2">
        <v>45233</v>
      </c>
      <c r="B716" s="3" t="s">
        <v>4</v>
      </c>
      <c r="C716" s="3">
        <v>44.988300000000002</v>
      </c>
    </row>
    <row r="717" spans="1:3" x14ac:dyDescent="0.2">
      <c r="A717" s="2">
        <v>45236</v>
      </c>
      <c r="B717" s="3" t="s">
        <v>4</v>
      </c>
      <c r="C717" s="3">
        <v>45.734000000000002</v>
      </c>
    </row>
    <row r="718" spans="1:3" x14ac:dyDescent="0.2">
      <c r="A718" s="2">
        <v>45237</v>
      </c>
      <c r="B718" s="3" t="s">
        <v>4</v>
      </c>
      <c r="C718" s="3">
        <v>45.937899999999999</v>
      </c>
    </row>
    <row r="719" spans="1:3" x14ac:dyDescent="0.2">
      <c r="A719" s="2">
        <v>45238</v>
      </c>
      <c r="B719" s="3" t="s">
        <v>4</v>
      </c>
      <c r="C719" s="3">
        <v>46.556699999999999</v>
      </c>
    </row>
    <row r="720" spans="1:3" x14ac:dyDescent="0.2">
      <c r="A720" s="2">
        <v>45239</v>
      </c>
      <c r="B720" s="3" t="s">
        <v>4</v>
      </c>
      <c r="C720" s="3">
        <v>46.932600000000001</v>
      </c>
    </row>
    <row r="721" spans="1:3" x14ac:dyDescent="0.2">
      <c r="A721" s="2">
        <v>45240</v>
      </c>
      <c r="B721" s="3" t="s">
        <v>4</v>
      </c>
      <c r="C721" s="3">
        <v>48.317100000000003</v>
      </c>
    </row>
    <row r="722" spans="1:3" x14ac:dyDescent="0.2">
      <c r="A722" s="2">
        <v>45243</v>
      </c>
      <c r="B722" s="3" t="s">
        <v>4</v>
      </c>
      <c r="C722" s="3">
        <v>48.601900000000001</v>
      </c>
    </row>
    <row r="723" spans="1:3" x14ac:dyDescent="0.2">
      <c r="A723" s="2">
        <v>45244</v>
      </c>
      <c r="B723" s="3" t="s">
        <v>4</v>
      </c>
      <c r="C723" s="3">
        <v>49.637599999999999</v>
      </c>
    </row>
    <row r="724" spans="1:3" x14ac:dyDescent="0.2">
      <c r="A724" s="2">
        <v>45245</v>
      </c>
      <c r="B724" s="3" t="s">
        <v>4</v>
      </c>
      <c r="C724" s="3">
        <v>48.869799999999998</v>
      </c>
    </row>
    <row r="725" spans="1:3" x14ac:dyDescent="0.2">
      <c r="A725" s="2">
        <v>45246</v>
      </c>
      <c r="B725" s="3" t="s">
        <v>4</v>
      </c>
      <c r="C725" s="3">
        <v>49.4617</v>
      </c>
    </row>
    <row r="726" spans="1:3" x14ac:dyDescent="0.2">
      <c r="A726" s="2">
        <v>45247</v>
      </c>
      <c r="B726" s="3" t="s">
        <v>4</v>
      </c>
      <c r="C726" s="3">
        <v>49.279800000000002</v>
      </c>
    </row>
    <row r="727" spans="1:3" x14ac:dyDescent="0.2">
      <c r="A727" s="2">
        <v>45250</v>
      </c>
      <c r="B727" s="3" t="s">
        <v>4</v>
      </c>
      <c r="C727" s="3">
        <v>50.390300000000003</v>
      </c>
    </row>
    <row r="728" spans="1:3" x14ac:dyDescent="0.2">
      <c r="A728" s="2">
        <v>45251</v>
      </c>
      <c r="B728" s="3" t="s">
        <v>4</v>
      </c>
      <c r="C728" s="3">
        <v>49.9255</v>
      </c>
    </row>
    <row r="729" spans="1:3" x14ac:dyDescent="0.2">
      <c r="A729" s="2">
        <v>45252</v>
      </c>
      <c r="B729" s="3" t="s">
        <v>4</v>
      </c>
      <c r="C729" s="3">
        <v>48.697800000000001</v>
      </c>
    </row>
    <row r="730" spans="1:3" x14ac:dyDescent="0.2">
      <c r="A730" s="2">
        <v>45254</v>
      </c>
      <c r="B730" s="3" t="s">
        <v>4</v>
      </c>
      <c r="C730" s="3">
        <v>47.758299999999998</v>
      </c>
    </row>
    <row r="731" spans="1:3" x14ac:dyDescent="0.2">
      <c r="A731" s="2">
        <v>45257</v>
      </c>
      <c r="B731" s="3" t="s">
        <v>4</v>
      </c>
      <c r="C731" s="3">
        <v>48.2241</v>
      </c>
    </row>
    <row r="732" spans="1:3" x14ac:dyDescent="0.2">
      <c r="A732" s="2">
        <v>45258</v>
      </c>
      <c r="B732" s="3" t="s">
        <v>4</v>
      </c>
      <c r="C732" s="3">
        <v>47.8033</v>
      </c>
    </row>
    <row r="733" spans="1:3" x14ac:dyDescent="0.2">
      <c r="A733" s="2">
        <v>45259</v>
      </c>
      <c r="B733" s="3" t="s">
        <v>4</v>
      </c>
      <c r="C733" s="3">
        <v>48.122100000000003</v>
      </c>
    </row>
    <row r="734" spans="1:3" x14ac:dyDescent="0.2">
      <c r="A734" s="2">
        <v>45260</v>
      </c>
      <c r="B734" s="3" t="s">
        <v>4</v>
      </c>
      <c r="C734" s="3">
        <v>46.752699999999997</v>
      </c>
    </row>
    <row r="735" spans="1:3" x14ac:dyDescent="0.2">
      <c r="A735" s="2">
        <v>45261</v>
      </c>
      <c r="B735" s="3" t="s">
        <v>4</v>
      </c>
      <c r="C735" s="3">
        <v>46.747700000000002</v>
      </c>
    </row>
    <row r="736" spans="1:3" x14ac:dyDescent="0.2">
      <c r="A736" s="2">
        <v>45264</v>
      </c>
      <c r="B736" s="3" t="s">
        <v>4</v>
      </c>
      <c r="C736" s="3">
        <v>45.493200000000002</v>
      </c>
    </row>
    <row r="737" spans="1:3" x14ac:dyDescent="0.2">
      <c r="A737" s="2">
        <v>45265</v>
      </c>
      <c r="B737" s="3" t="s">
        <v>4</v>
      </c>
      <c r="C737" s="3">
        <v>46.552799999999998</v>
      </c>
    </row>
    <row r="738" spans="1:3" x14ac:dyDescent="0.2">
      <c r="A738" s="2">
        <v>45266</v>
      </c>
      <c r="B738" s="3" t="s">
        <v>4</v>
      </c>
      <c r="C738" s="3">
        <v>45.490200000000002</v>
      </c>
    </row>
    <row r="739" spans="1:3" x14ac:dyDescent="0.2">
      <c r="A739" s="2">
        <v>45267</v>
      </c>
      <c r="B739" s="3" t="s">
        <v>4</v>
      </c>
      <c r="C739" s="3">
        <v>46.582799999999999</v>
      </c>
    </row>
    <row r="740" spans="1:3" x14ac:dyDescent="0.2">
      <c r="A740" s="2">
        <v>45268</v>
      </c>
      <c r="B740" s="3" t="s">
        <v>4</v>
      </c>
      <c r="C740" s="3">
        <v>47.4925</v>
      </c>
    </row>
    <row r="741" spans="1:3" x14ac:dyDescent="0.2">
      <c r="A741" s="2">
        <v>45271</v>
      </c>
      <c r="B741" s="3" t="s">
        <v>4</v>
      </c>
      <c r="C741" s="3">
        <v>46.613799999999998</v>
      </c>
    </row>
    <row r="742" spans="1:3" x14ac:dyDescent="0.2">
      <c r="A742" s="2">
        <v>45272</v>
      </c>
      <c r="B742" s="3" t="s">
        <v>4</v>
      </c>
      <c r="C742" s="3">
        <v>47.643500000000003</v>
      </c>
    </row>
    <row r="743" spans="1:3" x14ac:dyDescent="0.2">
      <c r="A743" s="2">
        <v>45273</v>
      </c>
      <c r="B743" s="3" t="s">
        <v>4</v>
      </c>
      <c r="C743" s="3">
        <v>48.074399999999997</v>
      </c>
    </row>
    <row r="744" spans="1:3" x14ac:dyDescent="0.2">
      <c r="A744" s="2">
        <v>45274</v>
      </c>
      <c r="B744" s="3" t="s">
        <v>4</v>
      </c>
      <c r="C744" s="3">
        <v>48.336300000000001</v>
      </c>
    </row>
    <row r="745" spans="1:3" x14ac:dyDescent="0.2">
      <c r="A745" s="2">
        <v>45275</v>
      </c>
      <c r="B745" s="3" t="s">
        <v>4</v>
      </c>
      <c r="C745" s="3">
        <v>48.876100000000001</v>
      </c>
    </row>
    <row r="746" spans="1:3" x14ac:dyDescent="0.2">
      <c r="A746" s="2">
        <v>45278</v>
      </c>
      <c r="B746" s="3" t="s">
        <v>4</v>
      </c>
      <c r="C746" s="3">
        <v>50.062800000000003</v>
      </c>
    </row>
    <row r="747" spans="1:3" x14ac:dyDescent="0.2">
      <c r="A747" s="2">
        <v>45279</v>
      </c>
      <c r="B747" s="3" t="s">
        <v>4</v>
      </c>
      <c r="C747" s="3">
        <v>49.59</v>
      </c>
    </row>
    <row r="748" spans="1:3" x14ac:dyDescent="0.2">
      <c r="A748" s="2">
        <v>45280</v>
      </c>
      <c r="B748" s="3" t="s">
        <v>4</v>
      </c>
      <c r="C748" s="3">
        <v>48.097299999999997</v>
      </c>
    </row>
    <row r="749" spans="1:3" x14ac:dyDescent="0.2">
      <c r="A749" s="2">
        <v>45281</v>
      </c>
      <c r="B749" s="3" t="s">
        <v>4</v>
      </c>
      <c r="C749" s="3">
        <v>48.976100000000002</v>
      </c>
    </row>
    <row r="750" spans="1:3" x14ac:dyDescent="0.2">
      <c r="A750" s="2">
        <v>45282</v>
      </c>
      <c r="B750" s="3" t="s">
        <v>4</v>
      </c>
      <c r="C750" s="3">
        <v>48.816099999999999</v>
      </c>
    </row>
    <row r="751" spans="1:3" x14ac:dyDescent="0.2">
      <c r="A751" s="2">
        <v>45286</v>
      </c>
      <c r="B751" s="3" t="s">
        <v>4</v>
      </c>
      <c r="C751" s="3">
        <v>49.265099999999997</v>
      </c>
    </row>
    <row r="752" spans="1:3" x14ac:dyDescent="0.2">
      <c r="A752" s="2">
        <v>45287</v>
      </c>
      <c r="B752" s="3" t="s">
        <v>4</v>
      </c>
      <c r="C752" s="3">
        <v>49.402999999999999</v>
      </c>
    </row>
    <row r="753" spans="1:3" x14ac:dyDescent="0.2">
      <c r="A753" s="2">
        <v>45288</v>
      </c>
      <c r="B753" s="3" t="s">
        <v>4</v>
      </c>
      <c r="C753" s="3">
        <v>49.508000000000003</v>
      </c>
    </row>
    <row r="754" spans="1:3" x14ac:dyDescent="0.2">
      <c r="A754" s="2">
        <v>45289</v>
      </c>
      <c r="B754" s="3" t="s">
        <v>4</v>
      </c>
      <c r="C754" s="3">
        <v>49.508000000000003</v>
      </c>
    </row>
    <row r="755" spans="1:3" x14ac:dyDescent="0.2">
      <c r="A755" s="2">
        <v>45293</v>
      </c>
      <c r="B755" s="3" t="s">
        <v>4</v>
      </c>
      <c r="C755" s="3">
        <v>48.154299999999999</v>
      </c>
    </row>
    <row r="756" spans="1:3" x14ac:dyDescent="0.2">
      <c r="A756" s="2">
        <v>45294</v>
      </c>
      <c r="B756" s="3" t="s">
        <v>4</v>
      </c>
      <c r="C756" s="3">
        <v>47.555500000000002</v>
      </c>
    </row>
    <row r="757" spans="1:3" x14ac:dyDescent="0.2">
      <c r="A757" s="2">
        <v>45295</v>
      </c>
      <c r="B757" s="3" t="s">
        <v>4</v>
      </c>
      <c r="C757" s="3">
        <v>47.984400000000001</v>
      </c>
    </row>
    <row r="758" spans="1:3" x14ac:dyDescent="0.2">
      <c r="A758" s="2">
        <v>45296</v>
      </c>
      <c r="B758" s="3" t="s">
        <v>4</v>
      </c>
      <c r="C758" s="3">
        <v>49.083100000000002</v>
      </c>
    </row>
    <row r="759" spans="1:3" x14ac:dyDescent="0.2">
      <c r="A759" s="2">
        <v>45299</v>
      </c>
      <c r="B759" s="3" t="s">
        <v>4</v>
      </c>
      <c r="C759" s="3">
        <v>52.238100000000003</v>
      </c>
    </row>
    <row r="760" spans="1:3" x14ac:dyDescent="0.2">
      <c r="A760" s="2">
        <v>45300</v>
      </c>
      <c r="B760" s="3" t="s">
        <v>4</v>
      </c>
      <c r="C760" s="3">
        <v>53.124899999999997</v>
      </c>
    </row>
    <row r="761" spans="1:3" x14ac:dyDescent="0.2">
      <c r="A761" s="2">
        <v>45301</v>
      </c>
      <c r="B761" s="3" t="s">
        <v>4</v>
      </c>
      <c r="C761" s="3">
        <v>54.334600000000002</v>
      </c>
    </row>
    <row r="762" spans="1:3" x14ac:dyDescent="0.2">
      <c r="A762" s="2">
        <v>45302</v>
      </c>
      <c r="B762" s="3" t="s">
        <v>4</v>
      </c>
      <c r="C762" s="3">
        <v>54.806399999999996</v>
      </c>
    </row>
    <row r="763" spans="1:3" x14ac:dyDescent="0.2">
      <c r="A763" s="2">
        <v>45303</v>
      </c>
      <c r="B763" s="3" t="s">
        <v>4</v>
      </c>
      <c r="C763" s="3">
        <v>54.694400000000002</v>
      </c>
    </row>
    <row r="764" spans="1:3" x14ac:dyDescent="0.2">
      <c r="A764" s="2">
        <v>45307</v>
      </c>
      <c r="B764" s="3" t="s">
        <v>4</v>
      </c>
      <c r="C764" s="3">
        <v>56.366100000000003</v>
      </c>
    </row>
    <row r="765" spans="1:3" x14ac:dyDescent="0.2">
      <c r="A765" s="2">
        <v>45308</v>
      </c>
      <c r="B765" s="3" t="s">
        <v>4</v>
      </c>
      <c r="C765" s="3">
        <v>56.037100000000002</v>
      </c>
    </row>
    <row r="766" spans="1:3" x14ac:dyDescent="0.2">
      <c r="A766" s="2">
        <v>45309</v>
      </c>
      <c r="B766" s="3" t="s">
        <v>4</v>
      </c>
      <c r="C766" s="3">
        <v>57.090800000000002</v>
      </c>
    </row>
    <row r="767" spans="1:3" x14ac:dyDescent="0.2">
      <c r="A767" s="2">
        <v>45310</v>
      </c>
      <c r="B767" s="3" t="s">
        <v>4</v>
      </c>
      <c r="C767" s="3">
        <v>59.4741</v>
      </c>
    </row>
    <row r="768" spans="1:3" x14ac:dyDescent="0.2">
      <c r="A768" s="2">
        <v>45313</v>
      </c>
      <c r="B768" s="3" t="s">
        <v>4</v>
      </c>
      <c r="C768" s="3">
        <v>59.637099999999997</v>
      </c>
    </row>
    <row r="769" spans="1:3" x14ac:dyDescent="0.2">
      <c r="A769" s="2">
        <v>45314</v>
      </c>
      <c r="B769" s="3" t="s">
        <v>4</v>
      </c>
      <c r="C769" s="3">
        <v>59.856099999999998</v>
      </c>
    </row>
    <row r="770" spans="1:3" x14ac:dyDescent="0.2">
      <c r="A770" s="2">
        <v>45315</v>
      </c>
      <c r="B770" s="3" t="s">
        <v>4</v>
      </c>
      <c r="C770" s="3">
        <v>61.344700000000003</v>
      </c>
    </row>
    <row r="771" spans="1:3" x14ac:dyDescent="0.2">
      <c r="A771" s="2">
        <v>45316</v>
      </c>
      <c r="B771" s="3" t="s">
        <v>4</v>
      </c>
      <c r="C771" s="3">
        <v>61.599499999999999</v>
      </c>
    </row>
    <row r="772" spans="1:3" x14ac:dyDescent="0.2">
      <c r="A772" s="2">
        <v>45317</v>
      </c>
      <c r="B772" s="3" t="s">
        <v>4</v>
      </c>
      <c r="C772" s="3">
        <v>61.0137</v>
      </c>
    </row>
    <row r="773" spans="1:3" x14ac:dyDescent="0.2">
      <c r="A773" s="2">
        <v>45320</v>
      </c>
      <c r="B773" s="3" t="s">
        <v>4</v>
      </c>
      <c r="C773" s="3">
        <v>62.447400000000002</v>
      </c>
    </row>
    <row r="774" spans="1:3" x14ac:dyDescent="0.2">
      <c r="A774" s="2">
        <v>45321</v>
      </c>
      <c r="B774" s="3" t="s">
        <v>4</v>
      </c>
      <c r="C774" s="3">
        <v>62.7562</v>
      </c>
    </row>
    <row r="775" spans="1:3" x14ac:dyDescent="0.2">
      <c r="A775" s="2">
        <v>45322</v>
      </c>
      <c r="B775" s="3" t="s">
        <v>4</v>
      </c>
      <c r="C775" s="3">
        <v>61.509500000000003</v>
      </c>
    </row>
    <row r="776" spans="1:3" x14ac:dyDescent="0.2">
      <c r="A776" s="2">
        <v>45323</v>
      </c>
      <c r="B776" s="3" t="s">
        <v>4</v>
      </c>
      <c r="C776" s="3">
        <v>63.009099999999997</v>
      </c>
    </row>
    <row r="777" spans="1:3" x14ac:dyDescent="0.2">
      <c r="A777" s="2">
        <v>45324</v>
      </c>
      <c r="B777" s="3" t="s">
        <v>4</v>
      </c>
      <c r="C777" s="3">
        <v>66.141199999999998</v>
      </c>
    </row>
    <row r="778" spans="1:3" x14ac:dyDescent="0.2">
      <c r="A778" s="2">
        <v>45327</v>
      </c>
      <c r="B778" s="3" t="s">
        <v>4</v>
      </c>
      <c r="C778" s="3">
        <v>69.312299999999993</v>
      </c>
    </row>
    <row r="779" spans="1:3" x14ac:dyDescent="0.2">
      <c r="A779" s="2">
        <v>45328</v>
      </c>
      <c r="B779" s="3" t="s">
        <v>4</v>
      </c>
      <c r="C779" s="3">
        <v>68.203699999999998</v>
      </c>
    </row>
    <row r="780" spans="1:3" x14ac:dyDescent="0.2">
      <c r="A780" s="2">
        <v>45329</v>
      </c>
      <c r="B780" s="3" t="s">
        <v>4</v>
      </c>
      <c r="C780" s="3">
        <v>70.079099999999997</v>
      </c>
    </row>
    <row r="781" spans="1:3" x14ac:dyDescent="0.2">
      <c r="A781" s="2">
        <v>45330</v>
      </c>
      <c r="B781" s="3" t="s">
        <v>4</v>
      </c>
      <c r="C781" s="3">
        <v>69.621200000000002</v>
      </c>
    </row>
    <row r="782" spans="1:3" x14ac:dyDescent="0.2">
      <c r="A782" s="2">
        <v>45331</v>
      </c>
      <c r="B782" s="3" t="s">
        <v>4</v>
      </c>
      <c r="C782" s="3">
        <v>72.112499999999997</v>
      </c>
    </row>
    <row r="783" spans="1:3" x14ac:dyDescent="0.2">
      <c r="A783" s="2">
        <v>45334</v>
      </c>
      <c r="B783" s="3" t="s">
        <v>4</v>
      </c>
      <c r="C783" s="3">
        <v>72.227500000000006</v>
      </c>
    </row>
    <row r="784" spans="1:3" x14ac:dyDescent="0.2">
      <c r="A784" s="2">
        <v>45335</v>
      </c>
      <c r="B784" s="3" t="s">
        <v>4</v>
      </c>
      <c r="C784" s="3">
        <v>72.107500000000002</v>
      </c>
    </row>
    <row r="785" spans="1:3" x14ac:dyDescent="0.2">
      <c r="A785" s="2">
        <v>45336</v>
      </c>
      <c r="B785" s="3" t="s">
        <v>4</v>
      </c>
      <c r="C785" s="3">
        <v>73.879000000000005</v>
      </c>
    </row>
    <row r="786" spans="1:3" x14ac:dyDescent="0.2">
      <c r="A786" s="2">
        <v>45337</v>
      </c>
      <c r="B786" s="3" t="s">
        <v>4</v>
      </c>
      <c r="C786" s="3">
        <v>72.6374</v>
      </c>
    </row>
    <row r="787" spans="1:3" x14ac:dyDescent="0.2">
      <c r="A787" s="2">
        <v>45338</v>
      </c>
      <c r="B787" s="3" t="s">
        <v>4</v>
      </c>
      <c r="C787" s="3">
        <v>72.592399999999998</v>
      </c>
    </row>
    <row r="788" spans="1:3" x14ac:dyDescent="0.2">
      <c r="A788" s="2">
        <v>45342</v>
      </c>
      <c r="B788" s="3" t="s">
        <v>4</v>
      </c>
      <c r="C788" s="3">
        <v>69.432299999999998</v>
      </c>
    </row>
    <row r="789" spans="1:3" x14ac:dyDescent="0.2">
      <c r="A789" s="2">
        <v>45343</v>
      </c>
      <c r="B789" s="3" t="s">
        <v>4</v>
      </c>
      <c r="C789" s="3">
        <v>67.4529</v>
      </c>
    </row>
    <row r="790" spans="1:3" x14ac:dyDescent="0.2">
      <c r="A790" s="2">
        <v>45344</v>
      </c>
      <c r="B790" s="3" t="s">
        <v>4</v>
      </c>
      <c r="C790" s="3">
        <v>78.515799999999999</v>
      </c>
    </row>
    <row r="791" spans="1:3" x14ac:dyDescent="0.2">
      <c r="A791" s="2">
        <v>45345</v>
      </c>
      <c r="B791" s="3" t="s">
        <v>4</v>
      </c>
      <c r="C791" s="3">
        <v>78.794700000000006</v>
      </c>
    </row>
    <row r="792" spans="1:3" x14ac:dyDescent="0.2">
      <c r="A792" s="2">
        <v>45348</v>
      </c>
      <c r="B792" s="3" t="s">
        <v>4</v>
      </c>
      <c r="C792" s="3">
        <v>79.069599999999994</v>
      </c>
    </row>
    <row r="793" spans="1:3" x14ac:dyDescent="0.2">
      <c r="A793" s="2">
        <v>45349</v>
      </c>
      <c r="B793" s="3" t="s">
        <v>4</v>
      </c>
      <c r="C793" s="3">
        <v>78.678700000000006</v>
      </c>
    </row>
    <row r="794" spans="1:3" x14ac:dyDescent="0.2">
      <c r="A794" s="2">
        <v>45350</v>
      </c>
      <c r="B794" s="3" t="s">
        <v>4</v>
      </c>
      <c r="C794" s="3">
        <v>77.641099999999994</v>
      </c>
    </row>
    <row r="795" spans="1:3" x14ac:dyDescent="0.2">
      <c r="A795" s="2">
        <v>45351</v>
      </c>
      <c r="B795" s="3" t="s">
        <v>4</v>
      </c>
      <c r="C795" s="3">
        <v>79.089600000000004</v>
      </c>
    </row>
    <row r="796" spans="1:3" x14ac:dyDescent="0.2">
      <c r="A796" s="2">
        <v>45352</v>
      </c>
      <c r="B796" s="3" t="s">
        <v>4</v>
      </c>
      <c r="C796" s="3">
        <v>82.255600000000001</v>
      </c>
    </row>
    <row r="797" spans="1:3" x14ac:dyDescent="0.2">
      <c r="A797" s="2">
        <v>45355</v>
      </c>
      <c r="B797" s="3" t="s">
        <v>4</v>
      </c>
      <c r="C797" s="3">
        <v>85.212800000000001</v>
      </c>
    </row>
    <row r="798" spans="1:3" x14ac:dyDescent="0.2">
      <c r="A798" s="2">
        <v>45356</v>
      </c>
      <c r="B798" s="3" t="s">
        <v>4</v>
      </c>
      <c r="C798" s="3">
        <v>85.943600000000004</v>
      </c>
    </row>
    <row r="799" spans="1:3" x14ac:dyDescent="0.2">
      <c r="A799" s="2">
        <v>45357</v>
      </c>
      <c r="B799" s="3" t="s">
        <v>4</v>
      </c>
      <c r="C799" s="3">
        <v>88.679000000000002</v>
      </c>
    </row>
    <row r="800" spans="1:3" x14ac:dyDescent="0.2">
      <c r="A800" s="2">
        <v>45358</v>
      </c>
      <c r="B800" s="3" t="s">
        <v>4</v>
      </c>
      <c r="C800" s="3">
        <v>92.647099999999995</v>
      </c>
    </row>
    <row r="801" spans="1:3" x14ac:dyDescent="0.2">
      <c r="A801" s="2">
        <v>45359</v>
      </c>
      <c r="B801" s="3" t="s">
        <v>4</v>
      </c>
      <c r="C801" s="3">
        <v>87.507300000000001</v>
      </c>
    </row>
    <row r="802" spans="1:3" x14ac:dyDescent="0.2">
      <c r="A802" s="2">
        <v>45362</v>
      </c>
      <c r="B802" s="3" t="s">
        <v>4</v>
      </c>
      <c r="C802" s="3">
        <v>85.753799999999998</v>
      </c>
    </row>
    <row r="803" spans="1:3" x14ac:dyDescent="0.2">
      <c r="A803" s="2">
        <v>45363</v>
      </c>
      <c r="B803" s="3" t="s">
        <v>4</v>
      </c>
      <c r="C803" s="3">
        <v>91.891300000000001</v>
      </c>
    </row>
    <row r="804" spans="1:3" x14ac:dyDescent="0.2">
      <c r="A804" s="2">
        <v>45364</v>
      </c>
      <c r="B804" s="3" t="s">
        <v>4</v>
      </c>
      <c r="C804" s="3">
        <v>90.866399999999999</v>
      </c>
    </row>
    <row r="805" spans="1:3" x14ac:dyDescent="0.2">
      <c r="A805" s="2">
        <v>45365</v>
      </c>
      <c r="B805" s="3" t="s">
        <v>4</v>
      </c>
      <c r="C805" s="3">
        <v>87.923199999999994</v>
      </c>
    </row>
    <row r="806" spans="1:3" x14ac:dyDescent="0.2">
      <c r="A806" s="2">
        <v>45366</v>
      </c>
      <c r="B806" s="3" t="s">
        <v>4</v>
      </c>
      <c r="C806" s="3">
        <v>87.815700000000007</v>
      </c>
    </row>
    <row r="807" spans="1:3" x14ac:dyDescent="0.2">
      <c r="A807" s="2">
        <v>45369</v>
      </c>
      <c r="B807" s="3" t="s">
        <v>4</v>
      </c>
      <c r="C807" s="3">
        <v>88.433999999999997</v>
      </c>
    </row>
    <row r="808" spans="1:3" x14ac:dyDescent="0.2">
      <c r="A808" s="2">
        <v>45370</v>
      </c>
      <c r="B808" s="3" t="s">
        <v>4</v>
      </c>
      <c r="C808" s="3">
        <v>89.376900000000006</v>
      </c>
    </row>
    <row r="809" spans="1:3" x14ac:dyDescent="0.2">
      <c r="A809" s="2">
        <v>45371</v>
      </c>
      <c r="B809" s="3" t="s">
        <v>4</v>
      </c>
      <c r="C809" s="3">
        <v>90.350700000000003</v>
      </c>
    </row>
    <row r="810" spans="1:3" x14ac:dyDescent="0.2">
      <c r="A810" s="2">
        <v>45372</v>
      </c>
      <c r="B810" s="3" t="s">
        <v>4</v>
      </c>
      <c r="C810" s="3">
        <v>91.413399999999996</v>
      </c>
    </row>
    <row r="811" spans="1:3" x14ac:dyDescent="0.2">
      <c r="A811" s="2">
        <v>45373</v>
      </c>
      <c r="B811" s="3" t="s">
        <v>4</v>
      </c>
      <c r="C811" s="3">
        <v>94.2667</v>
      </c>
    </row>
    <row r="812" spans="1:3" x14ac:dyDescent="0.2">
      <c r="A812" s="2">
        <v>45376</v>
      </c>
      <c r="B812" s="3" t="s">
        <v>4</v>
      </c>
      <c r="C812" s="3">
        <v>94.979600000000005</v>
      </c>
    </row>
    <row r="813" spans="1:3" x14ac:dyDescent="0.2">
      <c r="A813" s="2">
        <v>45377</v>
      </c>
      <c r="B813" s="3" t="s">
        <v>4</v>
      </c>
      <c r="C813" s="3">
        <v>92.539100000000005</v>
      </c>
    </row>
    <row r="814" spans="1:3" x14ac:dyDescent="0.2">
      <c r="A814" s="2">
        <v>45378</v>
      </c>
      <c r="B814" s="3" t="s">
        <v>4</v>
      </c>
      <c r="C814" s="3">
        <v>90.228700000000003</v>
      </c>
    </row>
    <row r="815" spans="1:3" x14ac:dyDescent="0.2">
      <c r="A815" s="2">
        <v>45379</v>
      </c>
      <c r="B815" s="3" t="s">
        <v>4</v>
      </c>
      <c r="C815" s="3">
        <v>90.334699999999998</v>
      </c>
    </row>
    <row r="816" spans="1:3" x14ac:dyDescent="0.2">
      <c r="A816" s="2">
        <v>45383</v>
      </c>
      <c r="B816" s="3" t="s">
        <v>4</v>
      </c>
      <c r="C816" s="3">
        <v>90.341700000000003</v>
      </c>
    </row>
    <row r="817" spans="1:3" x14ac:dyDescent="0.2">
      <c r="A817" s="2">
        <v>45384</v>
      </c>
      <c r="B817" s="3" t="s">
        <v>4</v>
      </c>
      <c r="C817" s="3">
        <v>89.430800000000005</v>
      </c>
    </row>
    <row r="818" spans="1:3" x14ac:dyDescent="0.2">
      <c r="A818" s="2">
        <v>45385</v>
      </c>
      <c r="B818" s="3" t="s">
        <v>4</v>
      </c>
      <c r="C818" s="3">
        <v>88.942999999999998</v>
      </c>
    </row>
    <row r="819" spans="1:3" x14ac:dyDescent="0.2">
      <c r="A819" s="2">
        <v>45386</v>
      </c>
      <c r="B819" s="3" t="s">
        <v>4</v>
      </c>
      <c r="C819" s="3">
        <v>85.884699999999995</v>
      </c>
    </row>
    <row r="820" spans="1:3" x14ac:dyDescent="0.2">
      <c r="A820" s="2">
        <v>45387</v>
      </c>
      <c r="B820" s="3" t="s">
        <v>4</v>
      </c>
      <c r="C820" s="3">
        <v>87.987200000000001</v>
      </c>
    </row>
    <row r="821" spans="1:3" x14ac:dyDescent="0.2">
      <c r="A821" s="2">
        <v>45390</v>
      </c>
      <c r="B821" s="3" t="s">
        <v>4</v>
      </c>
      <c r="C821" s="3">
        <v>87.112300000000005</v>
      </c>
    </row>
    <row r="822" spans="1:3" x14ac:dyDescent="0.2">
      <c r="A822" s="2">
        <v>45391</v>
      </c>
      <c r="B822" s="3" t="s">
        <v>4</v>
      </c>
      <c r="C822" s="3">
        <v>85.333799999999997</v>
      </c>
    </row>
    <row r="823" spans="1:3" x14ac:dyDescent="0.2">
      <c r="A823" s="2">
        <v>45392</v>
      </c>
      <c r="B823" s="3" t="s">
        <v>4</v>
      </c>
      <c r="C823" s="3">
        <v>87.018500000000003</v>
      </c>
    </row>
    <row r="824" spans="1:3" x14ac:dyDescent="0.2">
      <c r="A824" s="2">
        <v>45393</v>
      </c>
      <c r="B824" s="3" t="s">
        <v>4</v>
      </c>
      <c r="C824" s="3">
        <v>90.5946</v>
      </c>
    </row>
    <row r="825" spans="1:3" x14ac:dyDescent="0.2">
      <c r="A825" s="2">
        <v>45394</v>
      </c>
      <c r="B825" s="3" t="s">
        <v>4</v>
      </c>
      <c r="C825" s="3">
        <v>88.165199999999999</v>
      </c>
    </row>
    <row r="826" spans="1:3" x14ac:dyDescent="0.2">
      <c r="A826" s="2">
        <v>45397</v>
      </c>
      <c r="B826" s="3" t="s">
        <v>4</v>
      </c>
      <c r="C826" s="3">
        <v>85.980599999999995</v>
      </c>
    </row>
    <row r="827" spans="1:3" x14ac:dyDescent="0.2">
      <c r="A827" s="2">
        <v>45398</v>
      </c>
      <c r="B827" s="3" t="s">
        <v>4</v>
      </c>
      <c r="C827" s="3">
        <v>87.394300000000001</v>
      </c>
    </row>
    <row r="828" spans="1:3" x14ac:dyDescent="0.2">
      <c r="A828" s="2">
        <v>45399</v>
      </c>
      <c r="B828" s="3" t="s">
        <v>4</v>
      </c>
      <c r="C828" s="3">
        <v>84.015100000000004</v>
      </c>
    </row>
    <row r="829" spans="1:3" x14ac:dyDescent="0.2">
      <c r="A829" s="2">
        <v>45400</v>
      </c>
      <c r="B829" s="3" t="s">
        <v>4</v>
      </c>
      <c r="C829" s="3">
        <v>84.650999999999996</v>
      </c>
    </row>
    <row r="830" spans="1:3" x14ac:dyDescent="0.2">
      <c r="A830" s="2">
        <v>45401</v>
      </c>
      <c r="B830" s="3" t="s">
        <v>4</v>
      </c>
      <c r="C830" s="3">
        <v>76.182000000000002</v>
      </c>
    </row>
    <row r="831" spans="1:3" x14ac:dyDescent="0.2">
      <c r="A831" s="2">
        <v>45404</v>
      </c>
      <c r="B831" s="3" t="s">
        <v>4</v>
      </c>
      <c r="C831" s="3">
        <v>79.499200000000002</v>
      </c>
    </row>
    <row r="832" spans="1:3" x14ac:dyDescent="0.2">
      <c r="A832" s="2">
        <v>45405</v>
      </c>
      <c r="B832" s="3" t="s">
        <v>4</v>
      </c>
      <c r="C832" s="3">
        <v>82.403499999999994</v>
      </c>
    </row>
    <row r="833" spans="1:3" x14ac:dyDescent="0.2">
      <c r="A833" s="2">
        <v>45406</v>
      </c>
      <c r="B833" s="3" t="s">
        <v>4</v>
      </c>
      <c r="C833" s="3">
        <v>79.658199999999994</v>
      </c>
    </row>
    <row r="834" spans="1:3" x14ac:dyDescent="0.2">
      <c r="A834" s="2">
        <v>45407</v>
      </c>
      <c r="B834" s="3" t="s">
        <v>4</v>
      </c>
      <c r="C834" s="3">
        <v>82.612399999999994</v>
      </c>
    </row>
    <row r="835" spans="1:3" x14ac:dyDescent="0.2">
      <c r="A835" s="2">
        <v>45408</v>
      </c>
      <c r="B835" s="3" t="s">
        <v>4</v>
      </c>
      <c r="C835" s="3">
        <v>87.714299999999994</v>
      </c>
    </row>
    <row r="836" spans="1:3" x14ac:dyDescent="0.2">
      <c r="A836" s="2">
        <v>45411</v>
      </c>
      <c r="B836" s="3" t="s">
        <v>4</v>
      </c>
      <c r="C836" s="3">
        <v>87.7363</v>
      </c>
    </row>
    <row r="837" spans="1:3" x14ac:dyDescent="0.2">
      <c r="A837" s="2">
        <v>45412</v>
      </c>
      <c r="B837" s="3" t="s">
        <v>4</v>
      </c>
      <c r="C837" s="3">
        <v>86.381500000000003</v>
      </c>
    </row>
    <row r="838" spans="1:3" x14ac:dyDescent="0.2">
      <c r="A838" s="2">
        <v>45413</v>
      </c>
      <c r="B838" s="3" t="s">
        <v>4</v>
      </c>
      <c r="C838" s="3">
        <v>83.0214</v>
      </c>
    </row>
    <row r="839" spans="1:3" x14ac:dyDescent="0.2">
      <c r="A839" s="2">
        <v>45414</v>
      </c>
      <c r="B839" s="3" t="s">
        <v>4</v>
      </c>
      <c r="C839" s="3">
        <v>85.796800000000005</v>
      </c>
    </row>
    <row r="840" spans="1:3" x14ac:dyDescent="0.2">
      <c r="A840" s="2">
        <v>45415</v>
      </c>
      <c r="B840" s="3" t="s">
        <v>4</v>
      </c>
      <c r="C840" s="3">
        <v>88.768000000000001</v>
      </c>
    </row>
    <row r="841" spans="1:3" x14ac:dyDescent="0.2">
      <c r="A841" s="2">
        <v>45418</v>
      </c>
      <c r="B841" s="3" t="s">
        <v>4</v>
      </c>
      <c r="C841" s="3">
        <v>92.118200000000002</v>
      </c>
    </row>
    <row r="842" spans="1:3" x14ac:dyDescent="0.2">
      <c r="A842" s="2">
        <v>45419</v>
      </c>
      <c r="B842" s="3" t="s">
        <v>4</v>
      </c>
      <c r="C842" s="3">
        <v>90.532700000000006</v>
      </c>
    </row>
    <row r="843" spans="1:3" x14ac:dyDescent="0.2">
      <c r="A843" s="2">
        <v>45420</v>
      </c>
      <c r="B843" s="3" t="s">
        <v>4</v>
      </c>
      <c r="C843" s="3">
        <v>90.390699999999995</v>
      </c>
    </row>
    <row r="844" spans="1:3" x14ac:dyDescent="0.2">
      <c r="A844" s="2">
        <v>45421</v>
      </c>
      <c r="B844" s="3" t="s">
        <v>4</v>
      </c>
      <c r="C844" s="3">
        <v>88.725999999999999</v>
      </c>
    </row>
    <row r="845" spans="1:3" x14ac:dyDescent="0.2">
      <c r="A845" s="2">
        <v>45422</v>
      </c>
      <c r="B845" s="3" t="s">
        <v>4</v>
      </c>
      <c r="C845" s="3">
        <v>89.856700000000004</v>
      </c>
    </row>
    <row r="846" spans="1:3" x14ac:dyDescent="0.2">
      <c r="A846" s="2">
        <v>45425</v>
      </c>
      <c r="B846" s="3" t="s">
        <v>4</v>
      </c>
      <c r="C846" s="3">
        <v>90.377700000000004</v>
      </c>
    </row>
    <row r="847" spans="1:3" x14ac:dyDescent="0.2">
      <c r="A847" s="2">
        <v>45426</v>
      </c>
      <c r="B847" s="3" t="s">
        <v>4</v>
      </c>
      <c r="C847" s="3">
        <v>91.334400000000002</v>
      </c>
    </row>
    <row r="848" spans="1:3" x14ac:dyDescent="0.2">
      <c r="A848" s="2">
        <v>45427</v>
      </c>
      <c r="B848" s="3" t="s">
        <v>4</v>
      </c>
      <c r="C848" s="3">
        <v>94.607600000000005</v>
      </c>
    </row>
    <row r="849" spans="1:3" x14ac:dyDescent="0.2">
      <c r="A849" s="2">
        <v>45428</v>
      </c>
      <c r="B849" s="3" t="s">
        <v>4</v>
      </c>
      <c r="C849" s="3">
        <v>94.336699999999993</v>
      </c>
    </row>
    <row r="850" spans="1:3" x14ac:dyDescent="0.2">
      <c r="A850" s="2">
        <v>45429</v>
      </c>
      <c r="B850" s="3" t="s">
        <v>4</v>
      </c>
      <c r="C850" s="3">
        <v>92.457099999999997</v>
      </c>
    </row>
    <row r="851" spans="1:3" x14ac:dyDescent="0.2">
      <c r="A851" s="2">
        <v>45432</v>
      </c>
      <c r="B851" s="3" t="s">
        <v>4</v>
      </c>
      <c r="C851" s="3">
        <v>94.757599999999996</v>
      </c>
    </row>
    <row r="852" spans="1:3" x14ac:dyDescent="0.2">
      <c r="A852" s="2">
        <v>45433</v>
      </c>
      <c r="B852" s="3" t="s">
        <v>4</v>
      </c>
      <c r="C852" s="3">
        <v>95.363399999999999</v>
      </c>
    </row>
    <row r="853" spans="1:3" x14ac:dyDescent="0.2">
      <c r="A853" s="2">
        <v>45434</v>
      </c>
      <c r="B853" s="3" t="s">
        <v>4</v>
      </c>
      <c r="C853" s="3">
        <v>94.927599999999998</v>
      </c>
    </row>
    <row r="854" spans="1:3" x14ac:dyDescent="0.2">
      <c r="A854" s="2">
        <v>45435</v>
      </c>
      <c r="B854" s="3" t="s">
        <v>4</v>
      </c>
      <c r="C854" s="3">
        <v>103.774</v>
      </c>
    </row>
    <row r="855" spans="1:3" x14ac:dyDescent="0.2">
      <c r="A855" s="2">
        <v>45436</v>
      </c>
      <c r="B855" s="3" t="s">
        <v>4</v>
      </c>
      <c r="C855" s="3">
        <v>106.444</v>
      </c>
    </row>
    <row r="856" spans="1:3" x14ac:dyDescent="0.2">
      <c r="A856" s="2">
        <v>45440</v>
      </c>
      <c r="B856" s="3" t="s">
        <v>4</v>
      </c>
      <c r="C856" s="3">
        <v>113.874</v>
      </c>
    </row>
    <row r="857" spans="1:3" x14ac:dyDescent="0.2">
      <c r="A857" s="2">
        <v>45441</v>
      </c>
      <c r="B857" s="3" t="s">
        <v>4</v>
      </c>
      <c r="C857" s="3">
        <v>114.798</v>
      </c>
    </row>
    <row r="858" spans="1:3" x14ac:dyDescent="0.2">
      <c r="A858" s="2">
        <v>45442</v>
      </c>
      <c r="B858" s="3" t="s">
        <v>4</v>
      </c>
      <c r="C858" s="3">
        <v>110.474</v>
      </c>
    </row>
    <row r="859" spans="1:3" x14ac:dyDescent="0.2">
      <c r="A859" s="2">
        <v>45443</v>
      </c>
      <c r="B859" s="3" t="s">
        <v>4</v>
      </c>
      <c r="C859" s="3">
        <v>109.607</v>
      </c>
    </row>
    <row r="860" spans="1:3" x14ac:dyDescent="0.2">
      <c r="A860" s="2">
        <v>45446</v>
      </c>
      <c r="B860" s="3" t="s">
        <v>4</v>
      </c>
      <c r="C860" s="3">
        <v>114.973</v>
      </c>
    </row>
    <row r="861" spans="1:3" x14ac:dyDescent="0.2">
      <c r="A861" s="2">
        <v>45447</v>
      </c>
      <c r="B861" s="3" t="s">
        <v>4</v>
      </c>
      <c r="C861" s="3">
        <v>116.40900000000001</v>
      </c>
    </row>
    <row r="862" spans="1:3" x14ac:dyDescent="0.2">
      <c r="A862" s="2">
        <v>45448</v>
      </c>
      <c r="B862" s="3" t="s">
        <v>4</v>
      </c>
      <c r="C862" s="3">
        <v>122.41200000000001</v>
      </c>
    </row>
    <row r="863" spans="1:3" x14ac:dyDescent="0.2">
      <c r="A863" s="2">
        <v>45449</v>
      </c>
      <c r="B863" s="3" t="s">
        <v>4</v>
      </c>
      <c r="C863" s="3">
        <v>120.97</v>
      </c>
    </row>
    <row r="864" spans="1:3" x14ac:dyDescent="0.2">
      <c r="A864" s="2">
        <v>45450</v>
      </c>
      <c r="B864" s="3" t="s">
        <v>4</v>
      </c>
      <c r="C864" s="3">
        <v>120.86</v>
      </c>
    </row>
    <row r="865" spans="1:3" x14ac:dyDescent="0.2">
      <c r="A865" s="2">
        <v>45453</v>
      </c>
      <c r="B865" s="3" t="s">
        <v>4</v>
      </c>
      <c r="C865" s="3">
        <v>121.762</v>
      </c>
    </row>
    <row r="866" spans="1:3" x14ac:dyDescent="0.2">
      <c r="A866" s="2">
        <v>45454</v>
      </c>
      <c r="B866" s="3" t="s">
        <v>4</v>
      </c>
      <c r="C866" s="3">
        <v>120.892</v>
      </c>
    </row>
    <row r="867" spans="1:3" x14ac:dyDescent="0.2">
      <c r="A867" s="2">
        <v>45455</v>
      </c>
      <c r="B867" s="3" t="s">
        <v>4</v>
      </c>
      <c r="C867" s="3">
        <v>125.18</v>
      </c>
    </row>
    <row r="868" spans="1:3" x14ac:dyDescent="0.2">
      <c r="A868" s="2">
        <v>45456</v>
      </c>
      <c r="B868" s="3" t="s">
        <v>4</v>
      </c>
      <c r="C868" s="3">
        <v>129.59</v>
      </c>
    </row>
    <row r="869" spans="1:3" x14ac:dyDescent="0.2">
      <c r="A869" s="2">
        <v>45457</v>
      </c>
      <c r="B869" s="3" t="s">
        <v>4</v>
      </c>
      <c r="C869" s="3">
        <v>131.86000000000001</v>
      </c>
    </row>
    <row r="870" spans="1:3" x14ac:dyDescent="0.2">
      <c r="A870" s="2">
        <v>45460</v>
      </c>
      <c r="B870" s="3" t="s">
        <v>4</v>
      </c>
      <c r="C870" s="3">
        <v>130.96</v>
      </c>
    </row>
    <row r="871" spans="1:3" x14ac:dyDescent="0.2">
      <c r="A871" s="2">
        <v>45461</v>
      </c>
      <c r="B871" s="3" t="s">
        <v>4</v>
      </c>
      <c r="C871" s="3">
        <v>135.559</v>
      </c>
    </row>
    <row r="872" spans="1:3" x14ac:dyDescent="0.2">
      <c r="A872" s="2">
        <v>45463</v>
      </c>
      <c r="B872" s="3" t="s">
        <v>4</v>
      </c>
      <c r="C872" s="3">
        <v>130.76</v>
      </c>
    </row>
    <row r="873" spans="1:3" x14ac:dyDescent="0.2">
      <c r="A873" s="2">
        <v>45464</v>
      </c>
      <c r="B873" s="3" t="s">
        <v>4</v>
      </c>
      <c r="C873" s="3">
        <v>126.55</v>
      </c>
    </row>
    <row r="874" spans="1:3" x14ac:dyDescent="0.2">
      <c r="A874" s="2">
        <v>45467</v>
      </c>
      <c r="B874" s="3" t="s">
        <v>4</v>
      </c>
      <c r="C874" s="3">
        <v>118.092</v>
      </c>
    </row>
    <row r="875" spans="1:3" x14ac:dyDescent="0.2">
      <c r="A875" s="2">
        <v>45468</v>
      </c>
      <c r="B875" s="3" t="s">
        <v>4</v>
      </c>
      <c r="C875" s="3">
        <v>126.07</v>
      </c>
    </row>
    <row r="876" spans="1:3" x14ac:dyDescent="0.2">
      <c r="A876" s="2">
        <v>45469</v>
      </c>
      <c r="B876" s="3" t="s">
        <v>4</v>
      </c>
      <c r="C876" s="3">
        <v>126.38</v>
      </c>
    </row>
    <row r="877" spans="1:3" x14ac:dyDescent="0.2">
      <c r="A877" s="2">
        <v>45470</v>
      </c>
      <c r="B877" s="3" t="s">
        <v>4</v>
      </c>
      <c r="C877" s="3">
        <v>123.97</v>
      </c>
    </row>
    <row r="878" spans="1:3" x14ac:dyDescent="0.2">
      <c r="A878" s="2">
        <v>45471</v>
      </c>
      <c r="B878" s="3" t="s">
        <v>4</v>
      </c>
      <c r="C878" s="3">
        <v>123.52</v>
      </c>
    </row>
    <row r="879" spans="1:3" x14ac:dyDescent="0.2">
      <c r="A879" s="2">
        <v>45474</v>
      </c>
      <c r="B879" s="3" t="s">
        <v>4</v>
      </c>
      <c r="C879" s="3">
        <v>124.28</v>
      </c>
    </row>
    <row r="880" spans="1:3" x14ac:dyDescent="0.2">
      <c r="A880" s="2">
        <v>45475</v>
      </c>
      <c r="B880" s="3" t="s">
        <v>4</v>
      </c>
      <c r="C880" s="3">
        <v>122.652</v>
      </c>
    </row>
    <row r="881" spans="1:3" x14ac:dyDescent="0.2">
      <c r="A881" s="2">
        <v>45476</v>
      </c>
      <c r="B881" s="3" t="s">
        <v>4</v>
      </c>
      <c r="C881" s="3">
        <v>128.26</v>
      </c>
    </row>
    <row r="882" spans="1:3" x14ac:dyDescent="0.2">
      <c r="A882" s="2">
        <v>45478</v>
      </c>
      <c r="B882" s="3" t="s">
        <v>4</v>
      </c>
      <c r="C882" s="3">
        <v>125.81</v>
      </c>
    </row>
    <row r="883" spans="1:3" x14ac:dyDescent="0.2">
      <c r="A883" s="2">
        <v>45481</v>
      </c>
      <c r="B883" s="3" t="s">
        <v>4</v>
      </c>
      <c r="C883" s="3">
        <v>128.18</v>
      </c>
    </row>
    <row r="884" spans="1:3" x14ac:dyDescent="0.2">
      <c r="A884" s="2">
        <v>45482</v>
      </c>
      <c r="B884" s="3" t="s">
        <v>4</v>
      </c>
      <c r="C884" s="3">
        <v>131.36000000000001</v>
      </c>
    </row>
    <row r="885" spans="1:3" x14ac:dyDescent="0.2">
      <c r="A885" s="2">
        <v>45483</v>
      </c>
      <c r="B885" s="3" t="s">
        <v>4</v>
      </c>
      <c r="C885" s="3">
        <v>134.88900000000001</v>
      </c>
    </row>
    <row r="886" spans="1:3" x14ac:dyDescent="0.2">
      <c r="A886" s="2">
        <v>45484</v>
      </c>
      <c r="B886" s="3" t="s">
        <v>4</v>
      </c>
      <c r="C886" s="3">
        <v>127.38</v>
      </c>
    </row>
    <row r="887" spans="1:3" x14ac:dyDescent="0.2">
      <c r="A887" s="2">
        <v>45485</v>
      </c>
      <c r="B887" s="3" t="s">
        <v>4</v>
      </c>
      <c r="C887" s="3">
        <v>129.22</v>
      </c>
    </row>
    <row r="888" spans="1:3" x14ac:dyDescent="0.2">
      <c r="A888" s="2">
        <v>45488</v>
      </c>
      <c r="B888" s="3" t="s">
        <v>4</v>
      </c>
      <c r="C888" s="3">
        <v>128.41999999999999</v>
      </c>
    </row>
    <row r="889" spans="1:3" x14ac:dyDescent="0.2">
      <c r="A889" s="2">
        <v>45489</v>
      </c>
      <c r="B889" s="3" t="s">
        <v>4</v>
      </c>
      <c r="C889" s="3">
        <v>126.34</v>
      </c>
    </row>
    <row r="890" spans="1:3" x14ac:dyDescent="0.2">
      <c r="A890" s="2">
        <v>45490</v>
      </c>
      <c r="B890" s="3" t="s">
        <v>4</v>
      </c>
      <c r="C890" s="3">
        <v>117.97199999999999</v>
      </c>
    </row>
    <row r="891" spans="1:3" x14ac:dyDescent="0.2">
      <c r="A891" s="2">
        <v>45491</v>
      </c>
      <c r="B891" s="3" t="s">
        <v>4</v>
      </c>
      <c r="C891" s="3">
        <v>121.072</v>
      </c>
    </row>
    <row r="892" spans="1:3" x14ac:dyDescent="0.2">
      <c r="A892" s="2">
        <v>45492</v>
      </c>
      <c r="B892" s="3" t="s">
        <v>4</v>
      </c>
      <c r="C892" s="3">
        <v>117.91200000000001</v>
      </c>
    </row>
    <row r="893" spans="1:3" x14ac:dyDescent="0.2">
      <c r="A893" s="2">
        <v>45495</v>
      </c>
      <c r="B893" s="3" t="s">
        <v>4</v>
      </c>
      <c r="C893" s="3">
        <v>123.52</v>
      </c>
    </row>
    <row r="894" spans="1:3" x14ac:dyDescent="0.2">
      <c r="A894" s="2">
        <v>45496</v>
      </c>
      <c r="B894" s="3" t="s">
        <v>4</v>
      </c>
      <c r="C894" s="3">
        <v>122.572</v>
      </c>
    </row>
    <row r="895" spans="1:3" x14ac:dyDescent="0.2">
      <c r="A895" s="2">
        <v>45497</v>
      </c>
      <c r="B895" s="3" t="s">
        <v>4</v>
      </c>
      <c r="C895" s="3">
        <v>114.232</v>
      </c>
    </row>
    <row r="896" spans="1:3" x14ac:dyDescent="0.2">
      <c r="A896" s="2">
        <v>45498</v>
      </c>
      <c r="B896" s="3" t="s">
        <v>4</v>
      </c>
      <c r="C896" s="3">
        <v>112.262</v>
      </c>
    </row>
    <row r="897" spans="1:3" x14ac:dyDescent="0.2">
      <c r="A897" s="2">
        <v>45499</v>
      </c>
      <c r="B897" s="3" t="s">
        <v>4</v>
      </c>
      <c r="C897" s="3">
        <v>113.042</v>
      </c>
    </row>
    <row r="898" spans="1:3" x14ac:dyDescent="0.2">
      <c r="A898" s="2">
        <v>45502</v>
      </c>
      <c r="B898" s="3" t="s">
        <v>4</v>
      </c>
      <c r="C898" s="3">
        <v>111.572</v>
      </c>
    </row>
    <row r="899" spans="1:3" x14ac:dyDescent="0.2">
      <c r="A899" s="2">
        <v>45503</v>
      </c>
      <c r="B899" s="3" t="s">
        <v>4</v>
      </c>
      <c r="C899" s="3">
        <v>103.714</v>
      </c>
    </row>
    <row r="900" spans="1:3" x14ac:dyDescent="0.2">
      <c r="A900" s="2">
        <v>45504</v>
      </c>
      <c r="B900" s="3" t="s">
        <v>4</v>
      </c>
      <c r="C900" s="3">
        <v>117.002</v>
      </c>
    </row>
    <row r="901" spans="1:3" x14ac:dyDescent="0.2">
      <c r="A901" s="2">
        <v>45505</v>
      </c>
      <c r="B901" s="3" t="s">
        <v>4</v>
      </c>
      <c r="C901" s="3">
        <v>109.193</v>
      </c>
    </row>
    <row r="902" spans="1:3" x14ac:dyDescent="0.2">
      <c r="A902" s="2">
        <v>45506</v>
      </c>
      <c r="B902" s="3" t="s">
        <v>4</v>
      </c>
      <c r="C902" s="3">
        <v>107.254</v>
      </c>
    </row>
    <row r="903" spans="1:3" x14ac:dyDescent="0.2">
      <c r="A903" s="2">
        <v>45509</v>
      </c>
      <c r="B903" s="3" t="s">
        <v>4</v>
      </c>
      <c r="C903" s="3">
        <v>100.434</v>
      </c>
    </row>
    <row r="904" spans="1:3" x14ac:dyDescent="0.2">
      <c r="A904" s="2">
        <v>45510</v>
      </c>
      <c r="B904" s="3" t="s">
        <v>4</v>
      </c>
      <c r="C904" s="3">
        <v>104.23399999999999</v>
      </c>
    </row>
    <row r="905" spans="1:3" x14ac:dyDescent="0.2">
      <c r="A905" s="2">
        <v>45511</v>
      </c>
      <c r="B905" s="3" t="s">
        <v>4</v>
      </c>
      <c r="C905" s="3">
        <v>98.8947</v>
      </c>
    </row>
    <row r="906" spans="1:3" x14ac:dyDescent="0.2">
      <c r="A906" s="2">
        <v>45512</v>
      </c>
      <c r="B906" s="3" t="s">
        <v>4</v>
      </c>
      <c r="C906" s="3">
        <v>104.95399999999999</v>
      </c>
    </row>
    <row r="907" spans="1:3" x14ac:dyDescent="0.2">
      <c r="A907" s="2">
        <v>45513</v>
      </c>
      <c r="B907" s="3" t="s">
        <v>4</v>
      </c>
      <c r="C907" s="3">
        <v>104.73399999999999</v>
      </c>
    </row>
    <row r="908" spans="1:3" x14ac:dyDescent="0.2">
      <c r="A908" s="2">
        <v>45516</v>
      </c>
      <c r="B908" s="3" t="s">
        <v>4</v>
      </c>
      <c r="C908" s="3">
        <v>109.003</v>
      </c>
    </row>
    <row r="909" spans="1:3" x14ac:dyDescent="0.2">
      <c r="A909" s="2">
        <v>45517</v>
      </c>
      <c r="B909" s="3" t="s">
        <v>4</v>
      </c>
      <c r="C909" s="3">
        <v>116.122</v>
      </c>
    </row>
    <row r="910" spans="1:3" x14ac:dyDescent="0.2">
      <c r="A910" s="2">
        <v>45518</v>
      </c>
      <c r="B910" s="3" t="s">
        <v>4</v>
      </c>
      <c r="C910" s="3">
        <v>118.062</v>
      </c>
    </row>
    <row r="911" spans="1:3" x14ac:dyDescent="0.2">
      <c r="A911" s="2">
        <v>45519</v>
      </c>
      <c r="B911" s="3" t="s">
        <v>4</v>
      </c>
      <c r="C911" s="3">
        <v>122.84099999999999</v>
      </c>
    </row>
    <row r="912" spans="1:3" x14ac:dyDescent="0.2">
      <c r="A912" s="2">
        <v>45520</v>
      </c>
      <c r="B912" s="3" t="s">
        <v>4</v>
      </c>
      <c r="C912" s="3">
        <v>124.56</v>
      </c>
    </row>
    <row r="913" spans="1:3" x14ac:dyDescent="0.2">
      <c r="A913" s="2">
        <v>45523</v>
      </c>
      <c r="B913" s="3" t="s">
        <v>4</v>
      </c>
      <c r="C913" s="3">
        <v>129.97999999999999</v>
      </c>
    </row>
    <row r="914" spans="1:3" x14ac:dyDescent="0.2">
      <c r="A914" s="2">
        <v>45524</v>
      </c>
      <c r="B914" s="3" t="s">
        <v>4</v>
      </c>
      <c r="C914" s="3">
        <v>127.23</v>
      </c>
    </row>
    <row r="915" spans="1:3" x14ac:dyDescent="0.2">
      <c r="A915" s="2">
        <v>45525</v>
      </c>
      <c r="B915" s="3" t="s">
        <v>4</v>
      </c>
      <c r="C915" s="3">
        <v>128.47999999999999</v>
      </c>
    </row>
    <row r="916" spans="1:3" x14ac:dyDescent="0.2">
      <c r="A916" s="2">
        <v>45526</v>
      </c>
      <c r="B916" s="3" t="s">
        <v>4</v>
      </c>
      <c r="C916" s="3">
        <v>123.72</v>
      </c>
    </row>
    <row r="917" spans="1:3" x14ac:dyDescent="0.2">
      <c r="A917" s="2">
        <v>45527</v>
      </c>
      <c r="B917" s="3" t="s">
        <v>4</v>
      </c>
      <c r="C917" s="3">
        <v>129.35</v>
      </c>
    </row>
    <row r="918" spans="1:3" x14ac:dyDescent="0.2">
      <c r="A918" s="2">
        <v>45530</v>
      </c>
      <c r="B918" s="3" t="s">
        <v>4</v>
      </c>
      <c r="C918" s="3">
        <v>126.44</v>
      </c>
    </row>
    <row r="919" spans="1:3" x14ac:dyDescent="0.2">
      <c r="A919" s="2">
        <v>45531</v>
      </c>
      <c r="B919" s="3" t="s">
        <v>4</v>
      </c>
      <c r="C919" s="3">
        <v>128.28</v>
      </c>
    </row>
    <row r="920" spans="1:3" x14ac:dyDescent="0.2">
      <c r="A920" s="2">
        <v>45532</v>
      </c>
      <c r="B920" s="3" t="s">
        <v>4</v>
      </c>
      <c r="C920" s="3">
        <v>125.59</v>
      </c>
    </row>
    <row r="921" spans="1:3" x14ac:dyDescent="0.2">
      <c r="A921" s="2">
        <v>45533</v>
      </c>
      <c r="B921" s="3" t="s">
        <v>4</v>
      </c>
      <c r="C921" s="3">
        <v>117.572</v>
      </c>
    </row>
    <row r="922" spans="1:3" x14ac:dyDescent="0.2">
      <c r="A922" s="2">
        <v>45534</v>
      </c>
      <c r="B922" s="3" t="s">
        <v>4</v>
      </c>
      <c r="C922" s="3">
        <v>119.352</v>
      </c>
    </row>
    <row r="923" spans="1:3" x14ac:dyDescent="0.2">
      <c r="A923" s="2">
        <v>45538</v>
      </c>
      <c r="B923" s="3" t="s">
        <v>4</v>
      </c>
      <c r="C923" s="3">
        <v>107.98399999999999</v>
      </c>
    </row>
    <row r="924" spans="1:3" x14ac:dyDescent="0.2">
      <c r="A924" s="2">
        <v>45539</v>
      </c>
      <c r="B924" s="3" t="s">
        <v>4</v>
      </c>
      <c r="C924" s="3">
        <v>106.194</v>
      </c>
    </row>
    <row r="925" spans="1:3" x14ac:dyDescent="0.2">
      <c r="A925" s="2">
        <v>45540</v>
      </c>
      <c r="B925" s="3" t="s">
        <v>4</v>
      </c>
      <c r="C925" s="3">
        <v>107.194</v>
      </c>
    </row>
    <row r="926" spans="1:3" x14ac:dyDescent="0.2">
      <c r="A926" s="2">
        <v>45541</v>
      </c>
      <c r="B926" s="3" t="s">
        <v>4</v>
      </c>
      <c r="C926" s="3">
        <v>102.81399999999999</v>
      </c>
    </row>
    <row r="927" spans="1:3" x14ac:dyDescent="0.2">
      <c r="A927" s="2">
        <v>45544</v>
      </c>
      <c r="B927" s="3" t="s">
        <v>4</v>
      </c>
      <c r="C927" s="3">
        <v>106.45399999999999</v>
      </c>
    </row>
    <row r="928" spans="1:3" x14ac:dyDescent="0.2">
      <c r="A928" s="2">
        <v>45545</v>
      </c>
      <c r="B928" s="3" t="s">
        <v>4</v>
      </c>
      <c r="C928" s="3">
        <v>108.084</v>
      </c>
    </row>
    <row r="929" spans="1:3" x14ac:dyDescent="0.2">
      <c r="A929" s="2">
        <v>45546</v>
      </c>
      <c r="B929" s="3" t="s">
        <v>4</v>
      </c>
      <c r="C929" s="3">
        <v>116.892</v>
      </c>
    </row>
    <row r="930" spans="1:3" x14ac:dyDescent="0.2">
      <c r="A930" s="2">
        <v>45547</v>
      </c>
      <c r="B930" s="3" t="s">
        <v>4</v>
      </c>
      <c r="C930" s="3">
        <v>119.13200000000001</v>
      </c>
    </row>
    <row r="931" spans="1:3" x14ac:dyDescent="0.2">
      <c r="A931" s="2">
        <v>45548</v>
      </c>
      <c r="B931" s="3" t="s">
        <v>4</v>
      </c>
      <c r="C931" s="3">
        <v>119.092</v>
      </c>
    </row>
    <row r="932" spans="1:3" x14ac:dyDescent="0.2">
      <c r="A932" s="2">
        <v>45551</v>
      </c>
      <c r="B932" s="3" t="s">
        <v>4</v>
      </c>
      <c r="C932" s="3">
        <v>116.77200000000001</v>
      </c>
    </row>
    <row r="933" spans="1:3" x14ac:dyDescent="0.2">
      <c r="A933" s="2">
        <v>45552</v>
      </c>
      <c r="B933" s="3" t="s">
        <v>4</v>
      </c>
      <c r="C933" s="3">
        <v>115.58199999999999</v>
      </c>
    </row>
    <row r="934" spans="1:3" x14ac:dyDescent="0.2">
      <c r="A934" s="2">
        <v>45553</v>
      </c>
      <c r="B934" s="3" t="s">
        <v>4</v>
      </c>
      <c r="C934" s="3">
        <v>113.36199999999999</v>
      </c>
    </row>
    <row r="935" spans="1:3" x14ac:dyDescent="0.2">
      <c r="A935" s="2">
        <v>45554</v>
      </c>
      <c r="B935" s="3" t="s">
        <v>4</v>
      </c>
      <c r="C935" s="3">
        <v>117.86199999999999</v>
      </c>
    </row>
    <row r="936" spans="1:3" x14ac:dyDescent="0.2">
      <c r="A936" s="2">
        <v>45555</v>
      </c>
      <c r="B936" s="3" t="s">
        <v>4</v>
      </c>
      <c r="C936" s="3">
        <v>115.992</v>
      </c>
    </row>
    <row r="937" spans="1:3" x14ac:dyDescent="0.2">
      <c r="A937" s="2">
        <v>45558</v>
      </c>
      <c r="B937" s="3" t="s">
        <v>4</v>
      </c>
      <c r="C937" s="3">
        <v>116.252</v>
      </c>
    </row>
    <row r="938" spans="1:3" x14ac:dyDescent="0.2">
      <c r="A938" s="2">
        <v>45559</v>
      </c>
      <c r="B938" s="3" t="s">
        <v>4</v>
      </c>
      <c r="C938" s="3">
        <v>120.86199999999999</v>
      </c>
    </row>
    <row r="939" spans="1:3" x14ac:dyDescent="0.2">
      <c r="A939" s="2">
        <v>45560</v>
      </c>
      <c r="B939" s="3" t="s">
        <v>4</v>
      </c>
      <c r="C939" s="3">
        <v>123.501</v>
      </c>
    </row>
    <row r="940" spans="1:3" x14ac:dyDescent="0.2">
      <c r="A940" s="2">
        <v>45561</v>
      </c>
      <c r="B940" s="3" t="s">
        <v>4</v>
      </c>
      <c r="C940" s="3">
        <v>124.03100000000001</v>
      </c>
    </row>
    <row r="941" spans="1:3" x14ac:dyDescent="0.2">
      <c r="A941" s="2">
        <v>45562</v>
      </c>
      <c r="B941" s="3" t="s">
        <v>4</v>
      </c>
      <c r="C941" s="3">
        <v>121.392</v>
      </c>
    </row>
    <row r="942" spans="1:3" x14ac:dyDescent="0.2">
      <c r="A942" s="2">
        <v>45565</v>
      </c>
      <c r="B942" s="3" t="s">
        <v>4</v>
      </c>
      <c r="C942" s="3">
        <v>121.432</v>
      </c>
    </row>
    <row r="943" spans="1:3" x14ac:dyDescent="0.2">
      <c r="A943" s="2">
        <v>45566</v>
      </c>
      <c r="B943" s="3" t="s">
        <v>4</v>
      </c>
      <c r="C943" s="3">
        <v>116.992</v>
      </c>
    </row>
    <row r="944" spans="1:3" x14ac:dyDescent="0.2">
      <c r="A944" s="2">
        <v>45567</v>
      </c>
      <c r="B944" s="3" t="s">
        <v>4</v>
      </c>
      <c r="C944" s="3">
        <v>118.842</v>
      </c>
    </row>
    <row r="945" spans="1:3" x14ac:dyDescent="0.2">
      <c r="A945" s="2">
        <v>45568</v>
      </c>
      <c r="B945" s="3" t="s">
        <v>4</v>
      </c>
      <c r="C945" s="3">
        <v>122.842</v>
      </c>
    </row>
    <row r="946" spans="1:3" x14ac:dyDescent="0.2">
      <c r="A946" s="2">
        <v>45569</v>
      </c>
      <c r="B946" s="3" t="s">
        <v>4</v>
      </c>
      <c r="C946" s="3">
        <v>124.911</v>
      </c>
    </row>
    <row r="947" spans="1:3" x14ac:dyDescent="0.2">
      <c r="A947" s="2">
        <v>45572</v>
      </c>
      <c r="B947" s="3" t="s">
        <v>4</v>
      </c>
      <c r="C947" s="3">
        <v>127.711</v>
      </c>
    </row>
    <row r="948" spans="1:3" x14ac:dyDescent="0.2">
      <c r="A948" s="2">
        <v>45573</v>
      </c>
      <c r="B948" s="3" t="s">
        <v>4</v>
      </c>
      <c r="C948" s="3">
        <v>132.881</v>
      </c>
    </row>
    <row r="949" spans="1:3" x14ac:dyDescent="0.2">
      <c r="A949" s="2">
        <v>45574</v>
      </c>
      <c r="B949" s="3" t="s">
        <v>4</v>
      </c>
      <c r="C949" s="3">
        <v>132.64099999999999</v>
      </c>
    </row>
    <row r="950" spans="1:3" x14ac:dyDescent="0.2">
      <c r="A950" s="2">
        <v>45575</v>
      </c>
      <c r="B950" s="3" t="s">
        <v>4</v>
      </c>
      <c r="C950" s="3">
        <v>134.80099999999999</v>
      </c>
    </row>
    <row r="951" spans="1:3" x14ac:dyDescent="0.2">
      <c r="A951" s="2">
        <v>45576</v>
      </c>
      <c r="B951" s="3" t="s">
        <v>4</v>
      </c>
      <c r="C951" s="3">
        <v>134.791</v>
      </c>
    </row>
    <row r="952" spans="1:3" x14ac:dyDescent="0.2">
      <c r="A952" s="2">
        <v>45579</v>
      </c>
      <c r="B952" s="3" t="s">
        <v>4</v>
      </c>
      <c r="C952" s="3">
        <v>138.06</v>
      </c>
    </row>
    <row r="953" spans="1:3" x14ac:dyDescent="0.2">
      <c r="A953" s="2">
        <v>45580</v>
      </c>
      <c r="B953" s="3" t="s">
        <v>4</v>
      </c>
      <c r="C953" s="3">
        <v>131.59100000000001</v>
      </c>
    </row>
    <row r="954" spans="1:3" x14ac:dyDescent="0.2">
      <c r="A954" s="2">
        <v>45581</v>
      </c>
      <c r="B954" s="3" t="s">
        <v>4</v>
      </c>
      <c r="C954" s="3">
        <v>135.71100000000001</v>
      </c>
    </row>
    <row r="955" spans="1:3" x14ac:dyDescent="0.2">
      <c r="A955" s="2">
        <v>45582</v>
      </c>
      <c r="B955" s="3" t="s">
        <v>4</v>
      </c>
      <c r="C955" s="3">
        <v>136.92099999999999</v>
      </c>
    </row>
    <row r="956" spans="1:3" x14ac:dyDescent="0.2">
      <c r="A956" s="2">
        <v>45583</v>
      </c>
      <c r="B956" s="3" t="s">
        <v>4</v>
      </c>
      <c r="C956" s="3">
        <v>137.99</v>
      </c>
    </row>
    <row r="957" spans="1:3" x14ac:dyDescent="0.2">
      <c r="A957" s="2">
        <v>45586</v>
      </c>
      <c r="B957" s="3" t="s">
        <v>4</v>
      </c>
      <c r="C957" s="3">
        <v>143.69999999999999</v>
      </c>
    </row>
    <row r="958" spans="1:3" x14ac:dyDescent="0.2">
      <c r="A958" s="2">
        <v>45587</v>
      </c>
      <c r="B958" s="3" t="s">
        <v>4</v>
      </c>
      <c r="C958" s="3">
        <v>143.58000000000001</v>
      </c>
    </row>
    <row r="959" spans="1:3" x14ac:dyDescent="0.2">
      <c r="A959" s="2">
        <v>45588</v>
      </c>
      <c r="B959" s="3" t="s">
        <v>4</v>
      </c>
      <c r="C959" s="3">
        <v>139.55000000000001</v>
      </c>
    </row>
    <row r="960" spans="1:3" x14ac:dyDescent="0.2">
      <c r="A960" s="2">
        <v>45589</v>
      </c>
      <c r="B960" s="3" t="s">
        <v>4</v>
      </c>
      <c r="C960" s="3">
        <v>140.4</v>
      </c>
    </row>
    <row r="961" spans="1:3" x14ac:dyDescent="0.2">
      <c r="A961" s="2">
        <v>45590</v>
      </c>
      <c r="B961" s="3" t="s">
        <v>4</v>
      </c>
      <c r="C961" s="3">
        <v>141.53</v>
      </c>
    </row>
    <row r="962" spans="1:3" x14ac:dyDescent="0.2">
      <c r="A962" s="2">
        <v>45593</v>
      </c>
      <c r="B962" s="3" t="s">
        <v>4</v>
      </c>
      <c r="C962" s="3">
        <v>140.51</v>
      </c>
    </row>
    <row r="963" spans="1:3" x14ac:dyDescent="0.2">
      <c r="A963" s="2">
        <v>45594</v>
      </c>
      <c r="B963" s="3" t="s">
        <v>4</v>
      </c>
      <c r="C963" s="3">
        <v>141.24</v>
      </c>
    </row>
    <row r="964" spans="1:3" x14ac:dyDescent="0.2">
      <c r="A964" s="2">
        <v>45595</v>
      </c>
      <c r="B964" s="3" t="s">
        <v>4</v>
      </c>
      <c r="C964" s="3">
        <v>139.32499999999999</v>
      </c>
    </row>
    <row r="965" spans="1:3" x14ac:dyDescent="0.2">
      <c r="A965" s="2">
        <v>45596</v>
      </c>
      <c r="B965" s="3" t="s">
        <v>4</v>
      </c>
      <c r="C965" s="3">
        <v>132.751</v>
      </c>
    </row>
    <row r="966" spans="1:3" x14ac:dyDescent="0.2">
      <c r="A966" s="2">
        <v>45597</v>
      </c>
      <c r="B966" s="3" t="s">
        <v>4</v>
      </c>
      <c r="C966" s="3">
        <v>135.36099999999999</v>
      </c>
    </row>
    <row r="967" spans="1:3" x14ac:dyDescent="0.2">
      <c r="A967" s="2">
        <v>45600</v>
      </c>
      <c r="B967" s="3" t="s">
        <v>4</v>
      </c>
      <c r="C967" s="3">
        <v>136.041</v>
      </c>
    </row>
    <row r="968" spans="1:3" x14ac:dyDescent="0.2">
      <c r="A968" s="2">
        <v>45601</v>
      </c>
      <c r="B968" s="3" t="s">
        <v>4</v>
      </c>
      <c r="C968" s="3">
        <v>139.9</v>
      </c>
    </row>
    <row r="969" spans="1:3" x14ac:dyDescent="0.2">
      <c r="A969" s="2">
        <v>45602</v>
      </c>
      <c r="B969" s="3" t="s">
        <v>4</v>
      </c>
      <c r="C969" s="3">
        <v>145.6</v>
      </c>
    </row>
    <row r="970" spans="1:3" x14ac:dyDescent="0.2">
      <c r="A970" s="2">
        <v>45603</v>
      </c>
      <c r="B970" s="3" t="s">
        <v>4</v>
      </c>
      <c r="C970" s="3">
        <v>148.87</v>
      </c>
    </row>
    <row r="971" spans="1:3" x14ac:dyDescent="0.2">
      <c r="A971" s="2">
        <v>45604</v>
      </c>
      <c r="B971" s="3" t="s">
        <v>4</v>
      </c>
      <c r="C971" s="3">
        <v>147.62</v>
      </c>
    </row>
    <row r="972" spans="1:3" x14ac:dyDescent="0.2">
      <c r="A972" s="2">
        <v>45607</v>
      </c>
      <c r="B972" s="3" t="s">
        <v>4</v>
      </c>
      <c r="C972" s="3">
        <v>145.25</v>
      </c>
    </row>
    <row r="973" spans="1:3" x14ac:dyDescent="0.2">
      <c r="A973" s="2">
        <v>45608</v>
      </c>
      <c r="B973" s="3" t="s">
        <v>4</v>
      </c>
      <c r="C973" s="3">
        <v>148.28</v>
      </c>
    </row>
    <row r="974" spans="1:3" x14ac:dyDescent="0.2">
      <c r="A974" s="2">
        <v>45609</v>
      </c>
      <c r="B974" s="3" t="s">
        <v>4</v>
      </c>
      <c r="C974" s="3">
        <v>146.26</v>
      </c>
    </row>
    <row r="975" spans="1:3" x14ac:dyDescent="0.2">
      <c r="A975" s="2">
        <v>45610</v>
      </c>
      <c r="B975" s="3" t="s">
        <v>4</v>
      </c>
      <c r="C975" s="3">
        <v>146.75</v>
      </c>
    </row>
    <row r="976" spans="1:3" x14ac:dyDescent="0.2">
      <c r="A976" s="2">
        <v>45611</v>
      </c>
      <c r="B976" s="3" t="s">
        <v>4</v>
      </c>
      <c r="C976" s="3">
        <v>141.97</v>
      </c>
    </row>
    <row r="977" spans="1:3" x14ac:dyDescent="0.2">
      <c r="A977" s="2">
        <v>45614</v>
      </c>
      <c r="B977" s="3" t="s">
        <v>4</v>
      </c>
      <c r="C977" s="3">
        <v>140.13999999999999</v>
      </c>
    </row>
    <row r="978" spans="1:3" x14ac:dyDescent="0.2">
      <c r="A978" s="2">
        <v>45615</v>
      </c>
      <c r="B978" s="3" t="s">
        <v>4</v>
      </c>
      <c r="C978" s="3">
        <v>147</v>
      </c>
    </row>
    <row r="979" spans="1:3" x14ac:dyDescent="0.2">
      <c r="A979" s="2">
        <v>45616</v>
      </c>
      <c r="B979" s="3" t="s">
        <v>4</v>
      </c>
      <c r="C979" s="3">
        <v>145.88</v>
      </c>
    </row>
    <row r="980" spans="1:3" x14ac:dyDescent="0.2">
      <c r="A980" s="2">
        <v>45617</v>
      </c>
      <c r="B980" s="3" t="s">
        <v>4</v>
      </c>
      <c r="C980" s="3">
        <v>146.66</v>
      </c>
    </row>
    <row r="981" spans="1:3" x14ac:dyDescent="0.2">
      <c r="A981" s="2">
        <v>45618</v>
      </c>
      <c r="B981" s="3" t="s">
        <v>4</v>
      </c>
      <c r="C981" s="3">
        <v>141.94</v>
      </c>
    </row>
    <row r="982" spans="1:3" x14ac:dyDescent="0.2">
      <c r="A982" s="2">
        <v>45621</v>
      </c>
      <c r="B982" s="3" t="s">
        <v>4</v>
      </c>
      <c r="C982" s="3">
        <v>136.011</v>
      </c>
    </row>
    <row r="983" spans="1:3" x14ac:dyDescent="0.2">
      <c r="A983" s="2">
        <v>45622</v>
      </c>
      <c r="B983" s="3" t="s">
        <v>4</v>
      </c>
      <c r="C983" s="3">
        <v>136.911</v>
      </c>
    </row>
    <row r="984" spans="1:3" x14ac:dyDescent="0.2">
      <c r="A984" s="2">
        <v>45623</v>
      </c>
      <c r="B984" s="3" t="s">
        <v>4</v>
      </c>
      <c r="C984" s="3">
        <v>135.33099999999999</v>
      </c>
    </row>
    <row r="985" spans="1:3" x14ac:dyDescent="0.2">
      <c r="A985" s="2">
        <v>45625</v>
      </c>
      <c r="B985" s="3" t="s">
        <v>4</v>
      </c>
      <c r="C985" s="3">
        <v>138.24</v>
      </c>
    </row>
    <row r="986" spans="1:3" x14ac:dyDescent="0.2">
      <c r="A986" s="2">
        <v>45628</v>
      </c>
      <c r="B986" s="3" t="s">
        <v>4</v>
      </c>
      <c r="C986" s="3">
        <v>138.62</v>
      </c>
    </row>
    <row r="987" spans="1:3" x14ac:dyDescent="0.2">
      <c r="A987" s="2">
        <v>45629</v>
      </c>
      <c r="B987" s="3" t="s">
        <v>4</v>
      </c>
      <c r="C987" s="3">
        <v>140.25</v>
      </c>
    </row>
    <row r="988" spans="1:3" x14ac:dyDescent="0.2">
      <c r="A988" s="2">
        <v>45630</v>
      </c>
      <c r="B988" s="3" t="s">
        <v>4</v>
      </c>
      <c r="C988" s="3">
        <v>145.13</v>
      </c>
    </row>
    <row r="989" spans="1:3" x14ac:dyDescent="0.2">
      <c r="A989" s="2">
        <v>45631</v>
      </c>
      <c r="B989" s="3" t="s">
        <v>4</v>
      </c>
      <c r="C989" s="3">
        <v>145.06</v>
      </c>
    </row>
    <row r="990" spans="1:3" x14ac:dyDescent="0.2">
      <c r="A990" s="2">
        <v>45632</v>
      </c>
      <c r="B990" s="3" t="s">
        <v>4</v>
      </c>
      <c r="C990" s="3">
        <v>142.44</v>
      </c>
    </row>
    <row r="991" spans="1:3" x14ac:dyDescent="0.2">
      <c r="A991" s="2">
        <v>45635</v>
      </c>
      <c r="B991" s="3" t="s">
        <v>4</v>
      </c>
      <c r="C991" s="3">
        <v>138.81</v>
      </c>
    </row>
    <row r="992" spans="1:3" x14ac:dyDescent="0.2">
      <c r="A992" s="2">
        <v>45636</v>
      </c>
      <c r="B992" s="3" t="s">
        <v>4</v>
      </c>
      <c r="C992" s="3">
        <v>135.07</v>
      </c>
    </row>
    <row r="993" spans="1:3" x14ac:dyDescent="0.2">
      <c r="A993" s="2">
        <v>45637</v>
      </c>
      <c r="B993" s="3" t="s">
        <v>4</v>
      </c>
      <c r="C993" s="3">
        <v>139.31</v>
      </c>
    </row>
    <row r="994" spans="1:3" x14ac:dyDescent="0.2">
      <c r="A994" s="2">
        <v>45638</v>
      </c>
      <c r="B994" s="3" t="s">
        <v>4</v>
      </c>
      <c r="C994" s="3">
        <v>137.34</v>
      </c>
    </row>
    <row r="995" spans="1:3" x14ac:dyDescent="0.2">
      <c r="A995" s="2">
        <v>45639</v>
      </c>
      <c r="B995" s="3" t="s">
        <v>4</v>
      </c>
      <c r="C995" s="3">
        <v>134.25</v>
      </c>
    </row>
    <row r="996" spans="1:3" x14ac:dyDescent="0.2">
      <c r="A996" s="2">
        <v>45642</v>
      </c>
      <c r="B996" s="3" t="s">
        <v>4</v>
      </c>
      <c r="C996" s="3">
        <v>132</v>
      </c>
    </row>
    <row r="997" spans="1:3" x14ac:dyDescent="0.2">
      <c r="A997" s="2">
        <v>45643</v>
      </c>
      <c r="B997" s="3" t="s">
        <v>4</v>
      </c>
      <c r="C997" s="3">
        <v>130.38999999999999</v>
      </c>
    </row>
    <row r="998" spans="1:3" x14ac:dyDescent="0.2">
      <c r="A998" s="2">
        <v>45644</v>
      </c>
      <c r="B998" s="3" t="s">
        <v>4</v>
      </c>
      <c r="C998" s="3">
        <v>128.91</v>
      </c>
    </row>
    <row r="999" spans="1:3" x14ac:dyDescent="0.2">
      <c r="A999" s="2">
        <v>45645</v>
      </c>
      <c r="B999" s="3" t="s">
        <v>4</v>
      </c>
      <c r="C999" s="3">
        <v>130.68</v>
      </c>
    </row>
    <row r="1000" spans="1:3" x14ac:dyDescent="0.2">
      <c r="A1000" s="2">
        <v>45646</v>
      </c>
      <c r="B1000" s="3" t="s">
        <v>4</v>
      </c>
      <c r="C1000" s="3">
        <v>134.69999999999999</v>
      </c>
    </row>
    <row r="1001" spans="1:3" x14ac:dyDescent="0.2">
      <c r="A1001" s="2">
        <v>45649</v>
      </c>
      <c r="B1001" s="3" t="s">
        <v>4</v>
      </c>
      <c r="C1001" s="3">
        <v>139.66999999999999</v>
      </c>
    </row>
    <row r="1002" spans="1:3" x14ac:dyDescent="0.2">
      <c r="A1002" s="2">
        <v>45650</v>
      </c>
      <c r="B1002" s="3" t="s">
        <v>4</v>
      </c>
      <c r="C1002" s="3">
        <v>140.22</v>
      </c>
    </row>
    <row r="1003" spans="1:3" x14ac:dyDescent="0.2">
      <c r="A1003" s="2">
        <v>45652</v>
      </c>
      <c r="B1003" s="3" t="s">
        <v>4</v>
      </c>
      <c r="C1003" s="3">
        <v>139.93</v>
      </c>
    </row>
    <row r="1004" spans="1:3" x14ac:dyDescent="0.2">
      <c r="A1004" s="2">
        <v>45653</v>
      </c>
      <c r="B1004" s="3" t="s">
        <v>4</v>
      </c>
      <c r="C1004" s="3">
        <v>137.01</v>
      </c>
    </row>
    <row r="1005" spans="1:3" x14ac:dyDescent="0.2">
      <c r="A1005" s="2">
        <v>45656</v>
      </c>
      <c r="B1005" s="3" t="s">
        <v>4</v>
      </c>
      <c r="C1005" s="3">
        <v>137.49</v>
      </c>
    </row>
    <row r="1006" spans="1:3" x14ac:dyDescent="0.2">
      <c r="A1006" s="2">
        <v>45657</v>
      </c>
      <c r="B1006" s="3" t="s">
        <v>4</v>
      </c>
      <c r="C1006" s="3">
        <v>134.29</v>
      </c>
    </row>
    <row r="1007" spans="1:3" x14ac:dyDescent="0.2">
      <c r="A1007" s="2">
        <v>45659</v>
      </c>
      <c r="B1007" s="3" t="s">
        <v>4</v>
      </c>
      <c r="C1007" s="3">
        <v>138.31</v>
      </c>
    </row>
    <row r="1008" spans="1:3" x14ac:dyDescent="0.2">
      <c r="A1008" s="2">
        <v>45660</v>
      </c>
      <c r="B1008" s="3" t="s">
        <v>4</v>
      </c>
      <c r="C1008" s="3">
        <v>144.47</v>
      </c>
    </row>
    <row r="1009" spans="1:3" x14ac:dyDescent="0.2">
      <c r="A1009" s="2">
        <v>45663</v>
      </c>
      <c r="B1009" s="3" t="s">
        <v>4</v>
      </c>
      <c r="C1009" s="3">
        <v>149.43</v>
      </c>
    </row>
    <row r="1010" spans="1:3" x14ac:dyDescent="0.2">
      <c r="A1010" s="2">
        <v>45664</v>
      </c>
      <c r="B1010" s="3" t="s">
        <v>4</v>
      </c>
      <c r="C1010" s="3">
        <v>140.13999999999999</v>
      </c>
    </row>
    <row r="1011" spans="1:3" x14ac:dyDescent="0.2">
      <c r="A1011" s="2">
        <v>45665</v>
      </c>
      <c r="B1011" s="3" t="s">
        <v>4</v>
      </c>
      <c r="C1011" s="3">
        <v>140.11000000000001</v>
      </c>
    </row>
    <row r="1012" spans="1:3" x14ac:dyDescent="0.2">
      <c r="A1012" s="2">
        <v>45667</v>
      </c>
      <c r="B1012" s="3" t="s">
        <v>4</v>
      </c>
      <c r="C1012" s="3">
        <v>135.91</v>
      </c>
    </row>
    <row r="1013" spans="1:3" x14ac:dyDescent="0.2">
      <c r="A1013" s="2">
        <v>45670</v>
      </c>
      <c r="B1013" s="3" t="s">
        <v>4</v>
      </c>
      <c r="C1013" s="3">
        <v>133.22999999999999</v>
      </c>
    </row>
    <row r="1014" spans="1:3" x14ac:dyDescent="0.2">
      <c r="A1014" s="2">
        <v>45671</v>
      </c>
      <c r="B1014" s="3" t="s">
        <v>4</v>
      </c>
      <c r="C1014" s="3">
        <v>131.76</v>
      </c>
    </row>
    <row r="1015" spans="1:3" x14ac:dyDescent="0.2">
      <c r="A1015" s="2">
        <v>45672</v>
      </c>
      <c r="B1015" s="3" t="s">
        <v>4</v>
      </c>
      <c r="C1015" s="3">
        <v>136.24</v>
      </c>
    </row>
    <row r="1016" spans="1:3" x14ac:dyDescent="0.2">
      <c r="A1016" s="2">
        <v>45673</v>
      </c>
      <c r="B1016" s="3" t="s">
        <v>4</v>
      </c>
      <c r="C1016" s="3">
        <v>133.57</v>
      </c>
    </row>
    <row r="1017" spans="1:3" x14ac:dyDescent="0.2">
      <c r="A1017" s="2">
        <v>45674</v>
      </c>
      <c r="B1017" s="3" t="s">
        <v>4</v>
      </c>
      <c r="C1017" s="3">
        <v>137.71</v>
      </c>
    </row>
    <row r="1018" spans="1:3" x14ac:dyDescent="0.2">
      <c r="A1018" s="2">
        <v>45678</v>
      </c>
      <c r="B1018" s="3" t="s">
        <v>4</v>
      </c>
      <c r="C1018" s="3">
        <v>140.83000000000001</v>
      </c>
    </row>
    <row r="1019" spans="1:3" x14ac:dyDescent="0.2">
      <c r="A1019" s="2">
        <v>45679</v>
      </c>
      <c r="B1019" s="3" t="s">
        <v>4</v>
      </c>
      <c r="C1019" s="3">
        <v>147.07</v>
      </c>
    </row>
    <row r="1020" spans="1:3" x14ac:dyDescent="0.2">
      <c r="A1020" s="2">
        <v>45680</v>
      </c>
      <c r="B1020" s="3" t="s">
        <v>4</v>
      </c>
      <c r="C1020" s="3">
        <v>147.22</v>
      </c>
    </row>
    <row r="1021" spans="1:3" x14ac:dyDescent="0.2">
      <c r="A1021" s="2">
        <v>45681</v>
      </c>
      <c r="B1021" s="3" t="s">
        <v>4</v>
      </c>
      <c r="C1021" s="3">
        <v>142.62</v>
      </c>
    </row>
    <row r="1022" spans="1:3" x14ac:dyDescent="0.2">
      <c r="A1022" s="2">
        <v>45684</v>
      </c>
      <c r="B1022" s="3" t="s">
        <v>4</v>
      </c>
      <c r="C1022" s="3">
        <v>118.42</v>
      </c>
    </row>
    <row r="1023" spans="1:3" x14ac:dyDescent="0.2">
      <c r="A1023" s="2">
        <v>45685</v>
      </c>
      <c r="B1023" s="3" t="s">
        <v>4</v>
      </c>
      <c r="C1023" s="3">
        <v>128.99</v>
      </c>
    </row>
    <row r="1024" spans="1:3" x14ac:dyDescent="0.2">
      <c r="A1024" s="2">
        <v>45686</v>
      </c>
      <c r="B1024" s="3" t="s">
        <v>4</v>
      </c>
      <c r="C1024" s="3">
        <v>123.7</v>
      </c>
    </row>
    <row r="1025" spans="1:3" x14ac:dyDescent="0.2">
      <c r="A1025" s="2">
        <v>45687</v>
      </c>
      <c r="B1025" s="3" t="s">
        <v>4</v>
      </c>
      <c r="C1025" s="3">
        <v>124.65</v>
      </c>
    </row>
    <row r="1026" spans="1:3" x14ac:dyDescent="0.2">
      <c r="A1026" s="2">
        <v>45688</v>
      </c>
      <c r="B1026" s="3" t="s">
        <v>4</v>
      </c>
      <c r="C1026" s="3">
        <v>120.07</v>
      </c>
    </row>
    <row r="1027" spans="1:3" x14ac:dyDescent="0.2">
      <c r="A1027" s="2">
        <v>45691</v>
      </c>
      <c r="B1027" s="3" t="s">
        <v>4</v>
      </c>
      <c r="C1027" s="3">
        <v>116.66</v>
      </c>
    </row>
    <row r="1028" spans="1:3" x14ac:dyDescent="0.2">
      <c r="A1028" s="2">
        <v>45692</v>
      </c>
      <c r="B1028" s="3" t="s">
        <v>4</v>
      </c>
      <c r="C1028" s="3">
        <v>118.65</v>
      </c>
    </row>
    <row r="1029" spans="1:3" x14ac:dyDescent="0.2">
      <c r="A1029" s="2">
        <v>45693</v>
      </c>
      <c r="B1029" s="3" t="s">
        <v>4</v>
      </c>
      <c r="C1029" s="3">
        <v>124.83</v>
      </c>
    </row>
    <row r="1030" spans="1:3" x14ac:dyDescent="0.2">
      <c r="A1030" s="2">
        <v>45694</v>
      </c>
      <c r="B1030" s="3" t="s">
        <v>4</v>
      </c>
      <c r="C1030" s="3">
        <v>128.68</v>
      </c>
    </row>
    <row r="1031" spans="1:3" x14ac:dyDescent="0.2">
      <c r="A1031" s="2">
        <v>45695</v>
      </c>
      <c r="B1031" s="3" t="s">
        <v>4</v>
      </c>
      <c r="C1031" s="3">
        <v>129.84</v>
      </c>
    </row>
    <row r="1032" spans="1:3" x14ac:dyDescent="0.2">
      <c r="A1032" s="2">
        <v>45698</v>
      </c>
      <c r="B1032" s="3" t="s">
        <v>4</v>
      </c>
      <c r="C1032" s="3">
        <v>133.57</v>
      </c>
    </row>
    <row r="1033" spans="1:3" x14ac:dyDescent="0.2">
      <c r="A1033" s="2">
        <v>45699</v>
      </c>
      <c r="B1033" s="3" t="s">
        <v>4</v>
      </c>
      <c r="C1033" s="3">
        <v>132.80000000000001</v>
      </c>
    </row>
    <row r="1034" spans="1:3" x14ac:dyDescent="0.2">
      <c r="A1034" s="2">
        <v>45700</v>
      </c>
      <c r="B1034" s="3" t="s">
        <v>4</v>
      </c>
      <c r="C1034" s="3">
        <v>131.13999999999999</v>
      </c>
    </row>
    <row r="1035" spans="1:3" x14ac:dyDescent="0.2">
      <c r="A1035" s="2">
        <v>45701</v>
      </c>
      <c r="B1035" s="3" t="s">
        <v>4</v>
      </c>
      <c r="C1035" s="3">
        <v>135.29</v>
      </c>
    </row>
    <row r="1036" spans="1:3" x14ac:dyDescent="0.2">
      <c r="A1036" s="2">
        <v>45702</v>
      </c>
      <c r="B1036" s="3" t="s">
        <v>4</v>
      </c>
      <c r="C1036" s="3">
        <v>138.85</v>
      </c>
    </row>
    <row r="1037" spans="1:3" x14ac:dyDescent="0.2">
      <c r="A1037" s="2">
        <v>45706</v>
      </c>
      <c r="B1037" s="3" t="s">
        <v>4</v>
      </c>
      <c r="C1037" s="3">
        <v>139.4</v>
      </c>
    </row>
    <row r="1038" spans="1:3" x14ac:dyDescent="0.2">
      <c r="A1038" s="2">
        <v>45707</v>
      </c>
      <c r="B1038" s="3" t="s">
        <v>4</v>
      </c>
      <c r="C1038" s="3">
        <v>139.22999999999999</v>
      </c>
    </row>
    <row r="1039" spans="1:3" x14ac:dyDescent="0.2">
      <c r="A1039" s="2">
        <v>45708</v>
      </c>
      <c r="B1039" s="3" t="s">
        <v>4</v>
      </c>
      <c r="C1039" s="3">
        <v>140.11000000000001</v>
      </c>
    </row>
    <row r="1040" spans="1:3" x14ac:dyDescent="0.2">
      <c r="A1040" s="2">
        <v>45709</v>
      </c>
      <c r="B1040" s="3" t="s">
        <v>4</v>
      </c>
      <c r="C1040" s="3">
        <v>134.43</v>
      </c>
    </row>
    <row r="1041" spans="1:3" x14ac:dyDescent="0.2">
      <c r="A1041" s="2">
        <v>45712</v>
      </c>
      <c r="B1041" s="3" t="s">
        <v>4</v>
      </c>
      <c r="C1041" s="3">
        <v>130.28</v>
      </c>
    </row>
    <row r="1042" spans="1:3" x14ac:dyDescent="0.2">
      <c r="A1042" s="2">
        <v>45713</v>
      </c>
      <c r="B1042" s="3" t="s">
        <v>4</v>
      </c>
      <c r="C1042" s="3">
        <v>126.63</v>
      </c>
    </row>
    <row r="1043" spans="1:3" x14ac:dyDescent="0.2">
      <c r="A1043" s="2">
        <v>45714</v>
      </c>
      <c r="B1043" s="3" t="s">
        <v>4</v>
      </c>
      <c r="C1043" s="3">
        <v>131.28</v>
      </c>
    </row>
    <row r="1044" spans="1:3" x14ac:dyDescent="0.2">
      <c r="A1044" s="2">
        <v>45715</v>
      </c>
      <c r="B1044" s="3" t="s">
        <v>4</v>
      </c>
      <c r="C1044" s="3">
        <v>120.15</v>
      </c>
    </row>
    <row r="1045" spans="1:3" x14ac:dyDescent="0.2">
      <c r="A1045" s="2">
        <v>45716</v>
      </c>
      <c r="B1045" s="3" t="s">
        <v>4</v>
      </c>
      <c r="C1045" s="3">
        <v>124.92</v>
      </c>
    </row>
    <row r="1046" spans="1:3" x14ac:dyDescent="0.2">
      <c r="A1046" s="2">
        <v>45719</v>
      </c>
      <c r="B1046" s="3" t="s">
        <v>4</v>
      </c>
      <c r="C1046" s="3">
        <v>114.06</v>
      </c>
    </row>
    <row r="1047" spans="1:3" x14ac:dyDescent="0.2">
      <c r="A1047" s="2">
        <v>45720</v>
      </c>
      <c r="B1047" s="3" t="s">
        <v>4</v>
      </c>
      <c r="C1047" s="3">
        <v>115.99</v>
      </c>
    </row>
    <row r="1048" spans="1:3" x14ac:dyDescent="0.2">
      <c r="A1048" s="2">
        <v>45721</v>
      </c>
      <c r="B1048" s="3" t="s">
        <v>4</v>
      </c>
      <c r="C1048" s="3">
        <v>117.3</v>
      </c>
    </row>
    <row r="1049" spans="1:3" x14ac:dyDescent="0.2">
      <c r="A1049" s="2">
        <v>45722</v>
      </c>
      <c r="B1049" s="3" t="s">
        <v>4</v>
      </c>
      <c r="C1049" s="3">
        <v>110.57</v>
      </c>
    </row>
    <row r="1050" spans="1:3" x14ac:dyDescent="0.2">
      <c r="A1050" s="2">
        <v>45723</v>
      </c>
      <c r="B1050" s="3" t="s">
        <v>4</v>
      </c>
      <c r="C1050" s="3">
        <v>112.69</v>
      </c>
    </row>
    <row r="1051" spans="1:3" x14ac:dyDescent="0.2">
      <c r="A1051" s="2">
        <v>45726</v>
      </c>
      <c r="B1051" s="3" t="s">
        <v>4</v>
      </c>
      <c r="C1051" s="3">
        <v>106.98</v>
      </c>
    </row>
    <row r="1052" spans="1:3" x14ac:dyDescent="0.2">
      <c r="A1052" s="2">
        <v>45727</v>
      </c>
      <c r="B1052" s="3" t="s">
        <v>4</v>
      </c>
      <c r="C1052" s="3">
        <v>108.76</v>
      </c>
    </row>
    <row r="1053" spans="1:3" x14ac:dyDescent="0.2">
      <c r="A1053" s="2">
        <v>45728</v>
      </c>
      <c r="B1053" s="3" t="s">
        <v>4</v>
      </c>
      <c r="C1053" s="3">
        <v>115.74</v>
      </c>
    </row>
    <row r="1054" spans="1:3" x14ac:dyDescent="0.2">
      <c r="A1054" s="2">
        <v>45729</v>
      </c>
      <c r="B1054" s="3" t="s">
        <v>4</v>
      </c>
      <c r="C1054" s="3">
        <v>115.58</v>
      </c>
    </row>
    <row r="1055" spans="1:3" x14ac:dyDescent="0.2">
      <c r="A1055" s="2">
        <v>45730</v>
      </c>
      <c r="B1055" s="3" t="s">
        <v>4</v>
      </c>
      <c r="C1055" s="3">
        <v>121.67</v>
      </c>
    </row>
    <row r="1056" spans="1:3" x14ac:dyDescent="0.2">
      <c r="A1056" s="2">
        <v>45733</v>
      </c>
      <c r="B1056" s="3" t="s">
        <v>4</v>
      </c>
      <c r="C1056" s="3">
        <v>119.53</v>
      </c>
    </row>
    <row r="1057" spans="1:3" x14ac:dyDescent="0.2">
      <c r="A1057" s="2">
        <v>45734</v>
      </c>
      <c r="B1057" s="3" t="s">
        <v>4</v>
      </c>
      <c r="C1057" s="3">
        <v>115.43</v>
      </c>
    </row>
    <row r="1058" spans="1:3" x14ac:dyDescent="0.2">
      <c r="A1058" s="2">
        <v>45735</v>
      </c>
      <c r="B1058" s="3" t="s">
        <v>4</v>
      </c>
      <c r="C1058" s="3">
        <v>117.52</v>
      </c>
    </row>
    <row r="1059" spans="1:3" x14ac:dyDescent="0.2">
      <c r="A1059" s="2">
        <v>45736</v>
      </c>
      <c r="B1059" s="3" t="s">
        <v>4</v>
      </c>
      <c r="C1059" s="3">
        <v>118.53</v>
      </c>
    </row>
    <row r="1060" spans="1:3" x14ac:dyDescent="0.2">
      <c r="A1060" s="2">
        <v>45737</v>
      </c>
      <c r="B1060" s="3" t="s">
        <v>4</v>
      </c>
      <c r="C1060" s="3">
        <v>117.7</v>
      </c>
    </row>
    <row r="1061" spans="1:3" x14ac:dyDescent="0.2">
      <c r="A1061" s="2">
        <v>45740</v>
      </c>
      <c r="B1061" s="3" t="s">
        <v>4</v>
      </c>
      <c r="C1061" s="3">
        <v>121.41</v>
      </c>
    </row>
    <row r="1062" spans="1:3" x14ac:dyDescent="0.2">
      <c r="A1062" s="2">
        <v>45741</v>
      </c>
      <c r="B1062" s="3" t="s">
        <v>4</v>
      </c>
      <c r="C1062" s="3">
        <v>120.69</v>
      </c>
    </row>
    <row r="1063" spans="1:3" x14ac:dyDescent="0.2">
      <c r="A1063" s="2">
        <v>45742</v>
      </c>
      <c r="B1063" s="3" t="s">
        <v>4</v>
      </c>
      <c r="C1063" s="3">
        <v>113.76</v>
      </c>
    </row>
    <row r="1064" spans="1:3" x14ac:dyDescent="0.2">
      <c r="A1064" s="2">
        <v>45743</v>
      </c>
      <c r="B1064" s="3" t="s">
        <v>4</v>
      </c>
      <c r="C1064" s="3">
        <v>111.43</v>
      </c>
    </row>
    <row r="1065" spans="1:3" x14ac:dyDescent="0.2">
      <c r="A1065" s="2">
        <v>45744</v>
      </c>
      <c r="B1065" s="3" t="s">
        <v>4</v>
      </c>
      <c r="C1065" s="3">
        <v>109.67</v>
      </c>
    </row>
    <row r="1066" spans="1:3" x14ac:dyDescent="0.2">
      <c r="A1066" s="2">
        <v>45747</v>
      </c>
      <c r="B1066" s="3" t="s">
        <v>4</v>
      </c>
      <c r="C1066" s="3">
        <v>108.38</v>
      </c>
    </row>
    <row r="1067" spans="1:3" x14ac:dyDescent="0.2">
      <c r="A1067" s="2">
        <v>45748</v>
      </c>
      <c r="B1067" s="3" t="s">
        <v>4</v>
      </c>
      <c r="C1067" s="3">
        <v>110.15</v>
      </c>
    </row>
    <row r="1068" spans="1:3" x14ac:dyDescent="0.2">
      <c r="A1068" s="2">
        <v>45749</v>
      </c>
      <c r="B1068" s="3" t="s">
        <v>4</v>
      </c>
      <c r="C1068" s="3">
        <v>110.42</v>
      </c>
    </row>
    <row r="1069" spans="1:3" x14ac:dyDescent="0.2">
      <c r="A1069" s="2">
        <v>45750</v>
      </c>
      <c r="B1069" s="3" t="s">
        <v>4</v>
      </c>
      <c r="C1069" s="3">
        <v>101.8</v>
      </c>
    </row>
    <row r="1070" spans="1:3" x14ac:dyDescent="0.2">
      <c r="A1070" s="2">
        <v>45751</v>
      </c>
      <c r="B1070" s="3" t="s">
        <v>4</v>
      </c>
      <c r="C1070" s="3">
        <v>94.31</v>
      </c>
    </row>
    <row r="1071" spans="1:3" x14ac:dyDescent="0.2">
      <c r="A1071" s="2">
        <v>45754</v>
      </c>
      <c r="B1071" s="3" t="s">
        <v>4</v>
      </c>
      <c r="C1071" s="3">
        <v>97.64</v>
      </c>
    </row>
    <row r="1072" spans="1:3" x14ac:dyDescent="0.2">
      <c r="A1072" s="2">
        <v>45755</v>
      </c>
      <c r="B1072" s="3" t="s">
        <v>4</v>
      </c>
      <c r="C1072" s="3">
        <v>96.3</v>
      </c>
    </row>
    <row r="1073" spans="1:3" x14ac:dyDescent="0.2">
      <c r="A1073" s="2">
        <v>45756</v>
      </c>
      <c r="B1073" s="3" t="s">
        <v>4</v>
      </c>
      <c r="C1073" s="3">
        <v>114.33</v>
      </c>
    </row>
    <row r="1074" spans="1:3" x14ac:dyDescent="0.2">
      <c r="A1074" s="2">
        <v>45757</v>
      </c>
      <c r="B1074" s="3" t="s">
        <v>4</v>
      </c>
      <c r="C1074" s="3">
        <v>107.57</v>
      </c>
    </row>
    <row r="1075" spans="1:3" x14ac:dyDescent="0.2">
      <c r="A1075" s="2">
        <v>45758</v>
      </c>
      <c r="B1075" s="3" t="s">
        <v>4</v>
      </c>
      <c r="C1075" s="3">
        <v>110.93</v>
      </c>
    </row>
    <row r="1076" spans="1:3" x14ac:dyDescent="0.2">
      <c r="A1076" s="2">
        <v>45761</v>
      </c>
      <c r="B1076" s="3" t="s">
        <v>4</v>
      </c>
      <c r="C1076" s="3">
        <v>110.71</v>
      </c>
    </row>
    <row r="1077" spans="1:3" x14ac:dyDescent="0.2">
      <c r="A1077" s="2">
        <v>45762</v>
      </c>
      <c r="B1077" s="3" t="s">
        <v>4</v>
      </c>
      <c r="C1077" s="3">
        <v>112.2</v>
      </c>
    </row>
    <row r="1078" spans="1:3" x14ac:dyDescent="0.2">
      <c r="A1078" s="2">
        <v>45763</v>
      </c>
      <c r="B1078" s="3" t="s">
        <v>4</v>
      </c>
      <c r="C1078" s="3">
        <v>104.49</v>
      </c>
    </row>
    <row r="1079" spans="1:3" x14ac:dyDescent="0.2">
      <c r="A1079" s="2">
        <v>45764</v>
      </c>
      <c r="B1079" s="3" t="s">
        <v>4</v>
      </c>
      <c r="C1079" s="3">
        <v>101.49</v>
      </c>
    </row>
    <row r="1080" spans="1:3" x14ac:dyDescent="0.2">
      <c r="A1080" s="2">
        <v>45768</v>
      </c>
      <c r="B1080" s="3" t="s">
        <v>4</v>
      </c>
      <c r="C1080" s="3">
        <v>96.91</v>
      </c>
    </row>
    <row r="1081" spans="1:3" x14ac:dyDescent="0.2">
      <c r="A1081" s="2">
        <v>45769</v>
      </c>
      <c r="B1081" s="3" t="s">
        <v>4</v>
      </c>
      <c r="C1081" s="3">
        <v>98.89</v>
      </c>
    </row>
    <row r="1082" spans="1:3" x14ac:dyDescent="0.2">
      <c r="A1082" s="2">
        <v>45770</v>
      </c>
      <c r="B1082" s="3" t="s">
        <v>4</v>
      </c>
      <c r="C1082" s="3">
        <v>102.71</v>
      </c>
    </row>
    <row r="1083" spans="1:3" x14ac:dyDescent="0.2">
      <c r="A1083" s="2">
        <v>45771</v>
      </c>
      <c r="B1083" s="3" t="s">
        <v>4</v>
      </c>
      <c r="C1083" s="3">
        <v>106.43</v>
      </c>
    </row>
    <row r="1084" spans="1:3" x14ac:dyDescent="0.2">
      <c r="A1084" s="2">
        <v>45772</v>
      </c>
      <c r="B1084" s="3" t="s">
        <v>4</v>
      </c>
      <c r="C1084" s="3">
        <v>111.01</v>
      </c>
    </row>
    <row r="1085" spans="1:3" x14ac:dyDescent="0.2">
      <c r="A1085" s="2">
        <v>45775</v>
      </c>
      <c r="B1085" s="3" t="s">
        <v>4</v>
      </c>
      <c r="C1085" s="3">
        <v>108.73</v>
      </c>
    </row>
    <row r="1086" spans="1:3" x14ac:dyDescent="0.2">
      <c r="A1086" s="2">
        <v>45776</v>
      </c>
      <c r="B1086" s="3" t="s">
        <v>4</v>
      </c>
      <c r="C1086" s="3">
        <v>109.02</v>
      </c>
    </row>
    <row r="1087" spans="1:3" x14ac:dyDescent="0.2">
      <c r="A1087" s="2">
        <v>45777</v>
      </c>
      <c r="B1087" s="3" t="s">
        <v>4</v>
      </c>
      <c r="C1087" s="3">
        <v>108.92</v>
      </c>
    </row>
    <row r="1088" spans="1:3" x14ac:dyDescent="0.2">
      <c r="A1088" s="2">
        <v>45778</v>
      </c>
      <c r="B1088" s="3" t="s">
        <v>4</v>
      </c>
      <c r="C1088" s="3">
        <v>111.61</v>
      </c>
    </row>
    <row r="1089" spans="1:3" x14ac:dyDescent="0.2">
      <c r="A1089" s="2">
        <v>45779</v>
      </c>
      <c r="B1089" s="3" t="s">
        <v>4</v>
      </c>
      <c r="C1089" s="3">
        <v>114.5</v>
      </c>
    </row>
    <row r="1090" spans="1:3" x14ac:dyDescent="0.2">
      <c r="A1090" s="2">
        <v>45782</v>
      </c>
      <c r="B1090" s="3" t="s">
        <v>4</v>
      </c>
      <c r="C1090" s="3">
        <v>113.82</v>
      </c>
    </row>
    <row r="1091" spans="1:3" x14ac:dyDescent="0.2">
      <c r="A1091" s="2">
        <v>45783</v>
      </c>
      <c r="B1091" s="3" t="s">
        <v>4</v>
      </c>
      <c r="C1091" s="3">
        <v>113.54</v>
      </c>
    </row>
    <row r="1092" spans="1:3" x14ac:dyDescent="0.2">
      <c r="A1092" s="2">
        <v>45784</v>
      </c>
      <c r="B1092" s="3" t="s">
        <v>4</v>
      </c>
      <c r="C1092" s="3">
        <v>117.06</v>
      </c>
    </row>
    <row r="1093" spans="1:3" x14ac:dyDescent="0.2">
      <c r="A1093" s="2">
        <v>45785</v>
      </c>
      <c r="B1093" s="3" t="s">
        <v>4</v>
      </c>
      <c r="C1093" s="3">
        <v>117.37</v>
      </c>
    </row>
    <row r="1094" spans="1:3" x14ac:dyDescent="0.2">
      <c r="A1094" s="2">
        <v>45786</v>
      </c>
      <c r="B1094" s="3" t="s">
        <v>4</v>
      </c>
      <c r="C1094" s="3">
        <v>116.65</v>
      </c>
    </row>
    <row r="1095" spans="1:3" x14ac:dyDescent="0.2">
      <c r="A1095" s="2">
        <v>45789</v>
      </c>
      <c r="B1095" s="3" t="s">
        <v>4</v>
      </c>
      <c r="C1095" s="3">
        <v>123</v>
      </c>
    </row>
    <row r="1096" spans="1:3" x14ac:dyDescent="0.2">
      <c r="A1096" s="2">
        <v>45790</v>
      </c>
      <c r="B1096" s="3" t="s">
        <v>4</v>
      </c>
      <c r="C1096" s="3">
        <v>129.93</v>
      </c>
    </row>
    <row r="1097" spans="1:3" x14ac:dyDescent="0.2">
      <c r="A1097" s="2">
        <v>45791</v>
      </c>
      <c r="B1097" s="3" t="s">
        <v>4</v>
      </c>
      <c r="C1097" s="3">
        <v>135.34</v>
      </c>
    </row>
    <row r="1098" spans="1:3" x14ac:dyDescent="0.2">
      <c r="A1098" s="2">
        <v>45792</v>
      </c>
      <c r="B1098" s="3" t="s">
        <v>4</v>
      </c>
      <c r="C1098" s="3">
        <v>134.83000000000001</v>
      </c>
    </row>
    <row r="1099" spans="1:3" x14ac:dyDescent="0.2">
      <c r="A1099" s="2">
        <v>45793</v>
      </c>
      <c r="B1099" s="3" t="s">
        <v>4</v>
      </c>
      <c r="C1099" s="3">
        <v>135.4</v>
      </c>
    </row>
    <row r="1100" spans="1:3" x14ac:dyDescent="0.2">
      <c r="A1100" s="2">
        <v>45796</v>
      </c>
      <c r="B1100" s="3" t="s">
        <v>4</v>
      </c>
      <c r="C1100" s="3">
        <v>135.57</v>
      </c>
    </row>
    <row r="1101" spans="1:3" x14ac:dyDescent="0.2">
      <c r="A1101" s="2">
        <v>45797</v>
      </c>
      <c r="B1101" s="3" t="s">
        <v>4</v>
      </c>
      <c r="C1101" s="3">
        <v>134.38</v>
      </c>
    </row>
    <row r="1102" spans="1:3" x14ac:dyDescent="0.2">
      <c r="A1102" s="2">
        <v>45798</v>
      </c>
      <c r="B1102" s="3" t="s">
        <v>4</v>
      </c>
      <c r="C1102" s="3">
        <v>131.80000000000001</v>
      </c>
    </row>
    <row r="1103" spans="1:3" x14ac:dyDescent="0.2">
      <c r="A1103" s="2">
        <v>45799</v>
      </c>
      <c r="B1103" s="3" t="s">
        <v>4</v>
      </c>
      <c r="C1103" s="3">
        <v>132.83000000000001</v>
      </c>
    </row>
    <row r="1104" spans="1:3" x14ac:dyDescent="0.2">
      <c r="A1104" s="2">
        <v>45800</v>
      </c>
      <c r="B1104" s="3" t="s">
        <v>4</v>
      </c>
      <c r="C1104" s="3">
        <v>131.29</v>
      </c>
    </row>
    <row r="1105" spans="1:3" x14ac:dyDescent="0.2">
      <c r="A1105" s="2">
        <v>45804</v>
      </c>
      <c r="B1105" s="3" t="s">
        <v>4</v>
      </c>
      <c r="C1105" s="3">
        <v>135.5</v>
      </c>
    </row>
    <row r="1106" spans="1:3" x14ac:dyDescent="0.2">
      <c r="A1106" s="2">
        <v>45805</v>
      </c>
      <c r="B1106" s="3" t="s">
        <v>4</v>
      </c>
      <c r="C1106" s="3">
        <v>134.81</v>
      </c>
    </row>
    <row r="1107" spans="1:3" x14ac:dyDescent="0.2">
      <c r="A1107" s="2">
        <v>45806</v>
      </c>
      <c r="B1107" s="3" t="s">
        <v>4</v>
      </c>
      <c r="C1107" s="3">
        <v>139.19</v>
      </c>
    </row>
    <row r="1108" spans="1:3" x14ac:dyDescent="0.2">
      <c r="A1108" s="2">
        <v>45807</v>
      </c>
      <c r="B1108" s="3" t="s">
        <v>4</v>
      </c>
      <c r="C1108" s="3">
        <v>135.13</v>
      </c>
    </row>
    <row r="1109" spans="1:3" x14ac:dyDescent="0.2">
      <c r="A1109" s="2">
        <v>45810</v>
      </c>
      <c r="B1109" s="3" t="s">
        <v>4</v>
      </c>
      <c r="C1109" s="3">
        <v>137.38</v>
      </c>
    </row>
    <row r="1110" spans="1:3" x14ac:dyDescent="0.2">
      <c r="A1110" s="2">
        <v>45811</v>
      </c>
      <c r="B1110" s="3" t="s">
        <v>4</v>
      </c>
      <c r="C1110" s="3">
        <v>141.22</v>
      </c>
    </row>
    <row r="1111" spans="1:3" x14ac:dyDescent="0.2">
      <c r="A1111" s="2">
        <v>45812</v>
      </c>
      <c r="B1111" s="3" t="s">
        <v>4</v>
      </c>
      <c r="C1111" s="3">
        <v>141.91999999999999</v>
      </c>
    </row>
    <row r="1112" spans="1:3" x14ac:dyDescent="0.2">
      <c r="A1112" s="2">
        <v>45813</v>
      </c>
      <c r="B1112" s="3" t="s">
        <v>4</v>
      </c>
      <c r="C1112" s="3">
        <v>139.99</v>
      </c>
    </row>
    <row r="1113" spans="1:3" x14ac:dyDescent="0.2">
      <c r="A1113" s="2">
        <v>45814</v>
      </c>
      <c r="B1113" s="3" t="s">
        <v>4</v>
      </c>
      <c r="C1113" s="3">
        <v>141.72</v>
      </c>
    </row>
    <row r="1114" spans="1:3" x14ac:dyDescent="0.2">
      <c r="A1114" s="2">
        <v>45817</v>
      </c>
      <c r="B1114" s="3" t="s">
        <v>4</v>
      </c>
      <c r="C1114" s="3">
        <v>142.63</v>
      </c>
    </row>
    <row r="1115" spans="1:3" x14ac:dyDescent="0.2">
      <c r="A1115" s="2">
        <v>45818</v>
      </c>
      <c r="B1115" s="3" t="s">
        <v>4</v>
      </c>
      <c r="C1115" s="3">
        <v>143.96</v>
      </c>
    </row>
    <row r="1116" spans="1:3" x14ac:dyDescent="0.2">
      <c r="A1116" s="2">
        <v>45819</v>
      </c>
      <c r="B1116" s="3" t="s">
        <v>4</v>
      </c>
      <c r="C1116" s="3">
        <v>142.83000000000001</v>
      </c>
    </row>
    <row r="1117" spans="1:3" x14ac:dyDescent="0.2">
      <c r="A1117" s="2">
        <v>45820</v>
      </c>
      <c r="B1117" s="3" t="s">
        <v>4</v>
      </c>
      <c r="C1117" s="3">
        <v>145</v>
      </c>
    </row>
    <row r="1118" spans="1:3" x14ac:dyDescent="0.2">
      <c r="A1118" s="2">
        <v>45821</v>
      </c>
      <c r="B1118" s="3" t="s">
        <v>4</v>
      </c>
      <c r="C1118" s="3">
        <v>141.97</v>
      </c>
    </row>
    <row r="1119" spans="1:3" x14ac:dyDescent="0.2">
      <c r="A1119" s="2">
        <v>45824</v>
      </c>
      <c r="B1119" s="3" t="s">
        <v>4</v>
      </c>
      <c r="C1119" s="3">
        <v>144.69</v>
      </c>
    </row>
    <row r="1120" spans="1:3" x14ac:dyDescent="0.2">
      <c r="A1120" s="2">
        <v>45825</v>
      </c>
      <c r="B1120" s="3" t="s">
        <v>4</v>
      </c>
      <c r="C1120" s="3">
        <v>144.12</v>
      </c>
    </row>
    <row r="1121" spans="1:3" x14ac:dyDescent="0.2">
      <c r="A1121" s="2">
        <v>45826</v>
      </c>
      <c r="B1121" s="3" t="s">
        <v>4</v>
      </c>
      <c r="C1121" s="3">
        <v>145.47999999999999</v>
      </c>
    </row>
    <row r="1122" spans="1:3" x14ac:dyDescent="0.2">
      <c r="A1122" s="2">
        <v>45828</v>
      </c>
      <c r="B1122" s="3" t="s">
        <v>4</v>
      </c>
      <c r="C1122" s="3">
        <v>143.85</v>
      </c>
    </row>
    <row r="1123" spans="1:3" x14ac:dyDescent="0.2">
      <c r="A1123" s="2">
        <v>45831</v>
      </c>
      <c r="B1123" s="3" t="s">
        <v>4</v>
      </c>
      <c r="C1123" s="3">
        <v>144.16999999999999</v>
      </c>
    </row>
    <row r="1124" spans="1:3" x14ac:dyDescent="0.2">
      <c r="A1124" s="2">
        <v>45832</v>
      </c>
      <c r="B1124" s="3" t="s">
        <v>4</v>
      </c>
      <c r="C1124" s="3">
        <v>147.9</v>
      </c>
    </row>
    <row r="1125" spans="1:3" x14ac:dyDescent="0.2">
      <c r="A1125" s="2">
        <v>45833</v>
      </c>
      <c r="B1125" s="3" t="s">
        <v>4</v>
      </c>
      <c r="C1125" s="3">
        <v>154.31</v>
      </c>
    </row>
    <row r="1126" spans="1:3" x14ac:dyDescent="0.2">
      <c r="A1126" s="2">
        <v>45834</v>
      </c>
      <c r="B1126" s="3" t="s">
        <v>4</v>
      </c>
      <c r="C1126" s="3">
        <v>155.02000000000001</v>
      </c>
    </row>
    <row r="1127" spans="1:3" x14ac:dyDescent="0.2">
      <c r="A1127" s="2">
        <v>45835</v>
      </c>
      <c r="B1127" s="3" t="s">
        <v>4</v>
      </c>
      <c r="C1127" s="3">
        <v>157.75</v>
      </c>
    </row>
    <row r="1128" spans="1:3" x14ac:dyDescent="0.2">
      <c r="A1128" s="2">
        <v>45838</v>
      </c>
      <c r="B1128" s="3" t="s">
        <v>4</v>
      </c>
      <c r="C1128" s="3">
        <v>157.99</v>
      </c>
    </row>
    <row r="1129" spans="1:3" x14ac:dyDescent="0.2">
      <c r="A1129" s="2">
        <v>45839</v>
      </c>
      <c r="B1129" s="3" t="s">
        <v>4</v>
      </c>
      <c r="C1129" s="3">
        <v>153.30000000000001</v>
      </c>
    </row>
    <row r="1130" spans="1:3" x14ac:dyDescent="0.2">
      <c r="A1130" s="2">
        <v>45840</v>
      </c>
      <c r="B1130" s="3" t="s">
        <v>4</v>
      </c>
      <c r="C1130" s="3">
        <v>157.25</v>
      </c>
    </row>
    <row r="1131" spans="1:3" x14ac:dyDescent="0.2">
      <c r="A1131" s="2">
        <v>45841</v>
      </c>
      <c r="B1131" s="3" t="s">
        <v>4</v>
      </c>
      <c r="C1131" s="3">
        <v>159.34</v>
      </c>
    </row>
    <row r="1132" spans="1:3" x14ac:dyDescent="0.2">
      <c r="A1132" s="2">
        <v>45845</v>
      </c>
      <c r="B1132" s="3" t="s">
        <v>4</v>
      </c>
      <c r="C1132" s="3">
        <v>158.24</v>
      </c>
    </row>
    <row r="1133" spans="1:3" x14ac:dyDescent="0.2">
      <c r="A1133" s="2">
        <v>45846</v>
      </c>
      <c r="B1133" s="3" t="s">
        <v>4</v>
      </c>
      <c r="C1133" s="3">
        <v>160</v>
      </c>
    </row>
    <row r="1134" spans="1:3" x14ac:dyDescent="0.2">
      <c r="A1134" s="2">
        <v>45847</v>
      </c>
      <c r="B1134" s="3" t="s">
        <v>4</v>
      </c>
      <c r="C1134" s="3">
        <v>162.88</v>
      </c>
    </row>
    <row r="1135" spans="1:3" x14ac:dyDescent="0.2">
      <c r="A1135" s="2">
        <v>45848</v>
      </c>
      <c r="B1135" s="3" t="s">
        <v>4</v>
      </c>
      <c r="C1135" s="3">
        <v>164.1</v>
      </c>
    </row>
    <row r="1136" spans="1:3" x14ac:dyDescent="0.2">
      <c r="A1136" s="2">
        <v>45849</v>
      </c>
      <c r="B1136" s="3" t="s">
        <v>4</v>
      </c>
      <c r="C1136" s="3">
        <v>164.92</v>
      </c>
    </row>
    <row r="1137" spans="1:3" x14ac:dyDescent="0.2">
      <c r="A1137" s="2">
        <v>45852</v>
      </c>
      <c r="B1137" s="3" t="s">
        <v>4</v>
      </c>
      <c r="C1137" s="3">
        <v>164.07</v>
      </c>
    </row>
    <row r="1138" spans="1:3" x14ac:dyDescent="0.2">
      <c r="A1138" s="2">
        <v>45853</v>
      </c>
      <c r="B1138" s="3" t="s">
        <v>4</v>
      </c>
      <c r="C1138" s="3">
        <v>170.7</v>
      </c>
    </row>
    <row r="1139" spans="1:3" x14ac:dyDescent="0.2">
      <c r="A1139" s="2">
        <v>45854</v>
      </c>
      <c r="B1139" s="3" t="s">
        <v>4</v>
      </c>
      <c r="C1139" s="3">
        <v>171.37</v>
      </c>
    </row>
    <row r="1140" spans="1:3" x14ac:dyDescent="0.2">
      <c r="A1140" s="2">
        <v>45855</v>
      </c>
      <c r="B1140" s="3" t="s">
        <v>4</v>
      </c>
      <c r="C1140" s="3">
        <v>173</v>
      </c>
    </row>
    <row r="1141" spans="1:3" x14ac:dyDescent="0.2">
      <c r="A1141" s="2">
        <v>45856</v>
      </c>
      <c r="B1141" s="3" t="s">
        <v>4</v>
      </c>
      <c r="C1141" s="3">
        <v>172.41</v>
      </c>
    </row>
    <row r="1142" spans="1:3" x14ac:dyDescent="0.2">
      <c r="A1142" s="2">
        <v>45859</v>
      </c>
      <c r="B1142" s="3" t="s">
        <v>4</v>
      </c>
      <c r="C1142" s="3">
        <v>171.38</v>
      </c>
    </row>
    <row r="1143" spans="1:3" x14ac:dyDescent="0.2">
      <c r="A1143" s="2">
        <v>45860</v>
      </c>
      <c r="B1143" s="3" t="s">
        <v>4</v>
      </c>
      <c r="C1143" s="3">
        <v>167.03</v>
      </c>
    </row>
    <row r="1144" spans="1:3" x14ac:dyDescent="0.2">
      <c r="A1144" s="2">
        <v>45861</v>
      </c>
      <c r="B1144" s="3" t="s">
        <v>4</v>
      </c>
      <c r="C1144" s="3">
        <v>170.78</v>
      </c>
    </row>
    <row r="1145" spans="1:3" x14ac:dyDescent="0.2">
      <c r="A1145" s="2">
        <v>45862</v>
      </c>
      <c r="B1145" s="3" t="s">
        <v>4</v>
      </c>
      <c r="C1145" s="3">
        <v>173.74</v>
      </c>
    </row>
    <row r="1146" spans="1:3" x14ac:dyDescent="0.2">
      <c r="A1146" s="2">
        <v>45863</v>
      </c>
      <c r="B1146" s="3" t="s">
        <v>4</v>
      </c>
      <c r="C1146" s="3">
        <v>173.5</v>
      </c>
    </row>
    <row r="1147" spans="1:3" x14ac:dyDescent="0.2">
      <c r="A1147" s="2">
        <v>45866</v>
      </c>
      <c r="B1147" s="3" t="s">
        <v>4</v>
      </c>
      <c r="C1147" s="3">
        <v>176.75</v>
      </c>
    </row>
    <row r="1148" spans="1:3" x14ac:dyDescent="0.2">
      <c r="A1148" s="2">
        <v>45867</v>
      </c>
      <c r="B1148" s="3" t="s">
        <v>4</v>
      </c>
      <c r="C1148" s="3">
        <v>175.51</v>
      </c>
    </row>
    <row r="1149" spans="1:3" x14ac:dyDescent="0.2">
      <c r="A1149" s="2">
        <v>45868</v>
      </c>
      <c r="B1149" s="3" t="s">
        <v>4</v>
      </c>
      <c r="C1149" s="3">
        <v>179.27</v>
      </c>
    </row>
    <row r="1150" spans="1:3" x14ac:dyDescent="0.2">
      <c r="A1150" s="2">
        <v>45869</v>
      </c>
      <c r="B1150" s="3" t="s">
        <v>4</v>
      </c>
      <c r="C1150" s="3">
        <v>177.87</v>
      </c>
    </row>
    <row r="1151" spans="1:3" x14ac:dyDescent="0.2">
      <c r="A1151" s="2">
        <v>45870</v>
      </c>
      <c r="B1151" s="3" t="s">
        <v>4</v>
      </c>
      <c r="C1151" s="3">
        <v>173.72</v>
      </c>
    </row>
    <row r="1152" spans="1:3" x14ac:dyDescent="0.2">
      <c r="A1152" s="2">
        <v>45873</v>
      </c>
      <c r="B1152" s="3" t="s">
        <v>4</v>
      </c>
      <c r="C1152" s="3">
        <v>180</v>
      </c>
    </row>
    <row r="1153" spans="1:3" x14ac:dyDescent="0.2">
      <c r="A1153" s="2">
        <v>45874</v>
      </c>
      <c r="B1153" s="3" t="s">
        <v>4</v>
      </c>
      <c r="C1153" s="3">
        <v>178.26</v>
      </c>
    </row>
    <row r="1154" spans="1:3" x14ac:dyDescent="0.2">
      <c r="A1154" s="2">
        <v>45875</v>
      </c>
      <c r="B1154" s="3" t="s">
        <v>4</v>
      </c>
      <c r="C1154" s="3">
        <v>179.42</v>
      </c>
    </row>
    <row r="1155" spans="1:3" x14ac:dyDescent="0.2">
      <c r="A1155" s="2">
        <v>45876</v>
      </c>
      <c r="B1155" s="3" t="s">
        <v>4</v>
      </c>
      <c r="C1155" s="3">
        <v>180.77</v>
      </c>
    </row>
    <row r="1156" spans="1:3" x14ac:dyDescent="0.2">
      <c r="A1156" s="2">
        <v>45877</v>
      </c>
      <c r="B1156" s="3" t="s">
        <v>4</v>
      </c>
      <c r="C1156" s="3">
        <v>182.7</v>
      </c>
    </row>
    <row r="1157" spans="1:3" x14ac:dyDescent="0.2">
      <c r="A1157" s="2">
        <v>45880</v>
      </c>
      <c r="B1157" s="3" t="s">
        <v>4</v>
      </c>
      <c r="C1157" s="3">
        <v>182.06</v>
      </c>
    </row>
    <row r="1158" spans="1:3" x14ac:dyDescent="0.2">
      <c r="A1158" s="2">
        <v>45881</v>
      </c>
      <c r="B1158" s="3" t="s">
        <v>4</v>
      </c>
      <c r="C1158" s="3">
        <v>183.16</v>
      </c>
    </row>
    <row r="1159" spans="1:3" x14ac:dyDescent="0.2">
      <c r="A1159" s="2">
        <v>45882</v>
      </c>
      <c r="B1159" s="3" t="s">
        <v>4</v>
      </c>
      <c r="C1159" s="3">
        <v>181.59</v>
      </c>
    </row>
    <row r="1160" spans="1:3" x14ac:dyDescent="0.2">
      <c r="A1160" s="2">
        <v>45883</v>
      </c>
      <c r="B1160" s="3" t="s">
        <v>4</v>
      </c>
      <c r="C1160" s="3">
        <v>182.02</v>
      </c>
    </row>
    <row r="1161" spans="1:3" x14ac:dyDescent="0.2">
      <c r="A1161" s="2">
        <v>45884</v>
      </c>
      <c r="B1161" s="3" t="s">
        <v>4</v>
      </c>
      <c r="C1161" s="3">
        <v>180.45</v>
      </c>
    </row>
    <row r="1162" spans="1:3" x14ac:dyDescent="0.2">
      <c r="A1162" s="2">
        <v>45887</v>
      </c>
      <c r="B1162" s="3" t="s">
        <v>4</v>
      </c>
      <c r="C1162" s="3">
        <v>182.01</v>
      </c>
    </row>
    <row r="1163" spans="1:3" x14ac:dyDescent="0.2">
      <c r="A1163" s="2">
        <v>45888</v>
      </c>
      <c r="B1163" s="3" t="s">
        <v>4</v>
      </c>
      <c r="C1163" s="3">
        <v>175.64</v>
      </c>
    </row>
    <row r="1164" spans="1:3" x14ac:dyDescent="0.2">
      <c r="A1164" s="2">
        <v>45889</v>
      </c>
      <c r="B1164" s="3" t="s">
        <v>4</v>
      </c>
      <c r="C1164" s="3">
        <v>175.4</v>
      </c>
    </row>
    <row r="1165" spans="1:3" x14ac:dyDescent="0.2">
      <c r="A1165" s="2">
        <v>45890</v>
      </c>
      <c r="B1165" s="3" t="s">
        <v>4</v>
      </c>
      <c r="C1165" s="3">
        <v>174.98</v>
      </c>
    </row>
    <row r="1166" spans="1:3" x14ac:dyDescent="0.2">
      <c r="A1166" s="2">
        <v>45891</v>
      </c>
      <c r="B1166" s="3" t="s">
        <v>4</v>
      </c>
      <c r="C1166" s="3">
        <v>177.99</v>
      </c>
    </row>
    <row r="1167" spans="1:3" x14ac:dyDescent="0.2">
      <c r="A1167" s="2">
        <v>45894</v>
      </c>
      <c r="B1167" s="3" t="s">
        <v>4</v>
      </c>
      <c r="C1167" s="3">
        <v>179.81</v>
      </c>
    </row>
    <row r="1168" spans="1:3" x14ac:dyDescent="0.2">
      <c r="A1168" s="2">
        <v>45895</v>
      </c>
      <c r="B1168" s="3" t="s">
        <v>4</v>
      </c>
      <c r="C1168" s="3">
        <v>181.77</v>
      </c>
    </row>
    <row r="1169" spans="1:3" x14ac:dyDescent="0.2">
      <c r="A1169" s="2">
        <v>45896</v>
      </c>
      <c r="B1169" s="3" t="s">
        <v>4</v>
      </c>
      <c r="C1169" s="3">
        <v>181.6</v>
      </c>
    </row>
    <row r="1170" spans="1:3" x14ac:dyDescent="0.2">
      <c r="A1170" s="2">
        <v>45897</v>
      </c>
      <c r="B1170" s="3" t="s">
        <v>4</v>
      </c>
      <c r="C1170" s="3">
        <v>180.17</v>
      </c>
    </row>
    <row r="1171" spans="1:3" x14ac:dyDescent="0.2">
      <c r="A1171" s="2">
        <v>45898</v>
      </c>
      <c r="B1171" s="3" t="s">
        <v>4</v>
      </c>
      <c r="C1171" s="3">
        <v>174.18</v>
      </c>
    </row>
    <row r="1172" spans="1:3" x14ac:dyDescent="0.2">
      <c r="A1172" s="2">
        <v>45902</v>
      </c>
      <c r="B1172" s="3" t="s">
        <v>4</v>
      </c>
      <c r="C1172" s="3">
        <v>170.78</v>
      </c>
    </row>
    <row r="1173" spans="1:3" x14ac:dyDescent="0.2">
      <c r="A1173" s="2">
        <v>45903</v>
      </c>
      <c r="B1173" s="3" t="s">
        <v>4</v>
      </c>
      <c r="C1173" s="3">
        <v>170.62</v>
      </c>
    </row>
    <row r="1174" spans="1:3" x14ac:dyDescent="0.2">
      <c r="A1174" s="2">
        <v>45904</v>
      </c>
      <c r="B1174" s="3" t="s">
        <v>4</v>
      </c>
      <c r="C1174" s="3">
        <v>171.66</v>
      </c>
    </row>
    <row r="1175" spans="1:3" x14ac:dyDescent="0.2">
      <c r="A1175" s="2">
        <v>45905</v>
      </c>
      <c r="B1175" s="3" t="s">
        <v>4</v>
      </c>
      <c r="C1175" s="3">
        <v>167.02</v>
      </c>
    </row>
    <row r="1176" spans="1:3" x14ac:dyDescent="0.2">
      <c r="A1176" s="2">
        <v>45908</v>
      </c>
      <c r="B1176" s="3" t="s">
        <v>4</v>
      </c>
      <c r="C1176" s="3">
        <v>168.31</v>
      </c>
    </row>
    <row r="1177" spans="1:3" x14ac:dyDescent="0.2">
      <c r="A1177" s="2">
        <v>45909</v>
      </c>
      <c r="B1177" s="3" t="s">
        <v>4</v>
      </c>
      <c r="C1177" s="3">
        <v>170.76</v>
      </c>
    </row>
    <row r="1178" spans="1:3" x14ac:dyDescent="0.2">
      <c r="A1178" s="2">
        <v>45910</v>
      </c>
      <c r="B1178" s="3" t="s">
        <v>4</v>
      </c>
      <c r="C1178" s="3">
        <v>177.33</v>
      </c>
    </row>
    <row r="1179" spans="1:3" x14ac:dyDescent="0.2">
      <c r="A1179" s="2">
        <v>45911</v>
      </c>
      <c r="B1179" s="3" t="s">
        <v>4</v>
      </c>
      <c r="C1179" s="3">
        <v>177.17</v>
      </c>
    </row>
    <row r="1180" spans="1:3" x14ac:dyDescent="0.2">
      <c r="A1180" s="2">
        <v>45912</v>
      </c>
      <c r="B1180" s="3" t="s">
        <v>4</v>
      </c>
      <c r="C1180" s="3">
        <v>177.82</v>
      </c>
    </row>
    <row r="1181" spans="1:3" x14ac:dyDescent="0.2">
      <c r="A1181" s="2">
        <v>45915</v>
      </c>
      <c r="B1181" s="3" t="s">
        <v>4</v>
      </c>
      <c r="C1181" s="3">
        <v>177.75</v>
      </c>
    </row>
    <row r="1182" spans="1:3" x14ac:dyDescent="0.2">
      <c r="A1182" s="2">
        <v>45916</v>
      </c>
      <c r="B1182" s="3" t="s">
        <v>4</v>
      </c>
      <c r="C1182" s="3">
        <v>174.88</v>
      </c>
    </row>
    <row r="1183" spans="1:3" x14ac:dyDescent="0.2">
      <c r="A1183" s="2">
        <v>45917</v>
      </c>
      <c r="B1183" s="3" t="s">
        <v>4</v>
      </c>
      <c r="C1183" s="3">
        <v>170.29</v>
      </c>
    </row>
    <row r="1184" spans="1:3" x14ac:dyDescent="0.2">
      <c r="A1184" s="2">
        <v>45918</v>
      </c>
      <c r="B1184" s="3" t="s">
        <v>4</v>
      </c>
      <c r="C1184" s="3">
        <v>176.24</v>
      </c>
    </row>
    <row r="1185" spans="1:3" x14ac:dyDescent="0.2">
      <c r="A1185" s="2">
        <v>45919</v>
      </c>
      <c r="B1185" s="3" t="s">
        <v>4</v>
      </c>
      <c r="C1185" s="3">
        <v>176.67</v>
      </c>
    </row>
    <row r="1186" spans="1:3" x14ac:dyDescent="0.2">
      <c r="A1186" s="2">
        <v>45922</v>
      </c>
      <c r="B1186" s="3" t="s">
        <v>4</v>
      </c>
      <c r="C1186" s="3">
        <v>183.61</v>
      </c>
    </row>
    <row r="1187" spans="1:3" x14ac:dyDescent="0.2">
      <c r="A1187" s="2">
        <v>45923</v>
      </c>
      <c r="B1187" s="3" t="s">
        <v>4</v>
      </c>
      <c r="C1187" s="3">
        <v>178.43</v>
      </c>
    </row>
    <row r="1188" spans="1:3" x14ac:dyDescent="0.2">
      <c r="A1188" s="2">
        <v>45924</v>
      </c>
      <c r="B1188" s="3" t="s">
        <v>4</v>
      </c>
      <c r="C1188" s="3">
        <v>176.97</v>
      </c>
    </row>
    <row r="1189" spans="1:3" x14ac:dyDescent="0.2">
      <c r="A1189" s="2">
        <v>45925</v>
      </c>
      <c r="B1189" s="3" t="s">
        <v>4</v>
      </c>
      <c r="C1189" s="3">
        <v>177.69</v>
      </c>
    </row>
    <row r="1190" spans="1:3" x14ac:dyDescent="0.2">
      <c r="A1190" s="2">
        <v>45926</v>
      </c>
      <c r="B1190" s="3" t="s">
        <v>4</v>
      </c>
      <c r="C1190" s="3">
        <v>178.19</v>
      </c>
    </row>
    <row r="1191" spans="1:3" x14ac:dyDescent="0.2">
      <c r="A1191" s="2">
        <v>45929</v>
      </c>
      <c r="B1191" s="3" t="s">
        <v>4</v>
      </c>
      <c r="C1191" s="3">
        <v>181.85</v>
      </c>
    </row>
    <row r="1192" spans="1:3" x14ac:dyDescent="0.2">
      <c r="A1192" s="2">
        <v>45930</v>
      </c>
      <c r="B1192" s="3" t="s">
        <v>4</v>
      </c>
      <c r="C1192" s="3">
        <v>186.58</v>
      </c>
    </row>
    <row r="1193" spans="1:3" x14ac:dyDescent="0.2">
      <c r="A1193" s="2">
        <v>45931</v>
      </c>
      <c r="B1193" s="3" t="s">
        <v>4</v>
      </c>
      <c r="C1193" s="3">
        <v>187.24</v>
      </c>
    </row>
    <row r="1194" spans="1:3" x14ac:dyDescent="0.2">
      <c r="A1194" s="2">
        <v>45932</v>
      </c>
      <c r="B1194" s="3" t="s">
        <v>4</v>
      </c>
      <c r="C1194" s="3">
        <v>188.89</v>
      </c>
    </row>
    <row r="1195" spans="1:3" x14ac:dyDescent="0.2">
      <c r="A1195" s="2">
        <v>45933</v>
      </c>
      <c r="B1195" s="3" t="s">
        <v>4</v>
      </c>
      <c r="C1195" s="3">
        <v>187.62</v>
      </c>
    </row>
    <row r="1196" spans="1:3" x14ac:dyDescent="0.2">
      <c r="A1196" s="2">
        <v>45936</v>
      </c>
      <c r="B1196" s="3" t="s">
        <v>4</v>
      </c>
      <c r="C1196" s="3">
        <v>185.54</v>
      </c>
    </row>
    <row r="1197" spans="1:3" x14ac:dyDescent="0.2">
      <c r="A1197" s="2">
        <v>45937</v>
      </c>
      <c r="B1197" s="3" t="s">
        <v>4</v>
      </c>
      <c r="C1197" s="3">
        <v>185.04</v>
      </c>
    </row>
    <row r="1198" spans="1:3" x14ac:dyDescent="0.2">
      <c r="A1198" s="2">
        <v>45938</v>
      </c>
      <c r="B1198" s="3" t="s">
        <v>4</v>
      </c>
      <c r="C1198" s="3">
        <v>189.11</v>
      </c>
    </row>
    <row r="1199" spans="1:3" x14ac:dyDescent="0.2">
      <c r="A1199" s="2">
        <v>45939</v>
      </c>
      <c r="B1199" s="3" t="s">
        <v>4</v>
      </c>
      <c r="C1199" s="3">
        <v>192.57</v>
      </c>
    </row>
    <row r="1200" spans="1:3" x14ac:dyDescent="0.2">
      <c r="A1200" s="2">
        <v>45940</v>
      </c>
      <c r="B1200" s="3" t="s">
        <v>4</v>
      </c>
      <c r="C1200" s="3">
        <v>183.16</v>
      </c>
    </row>
    <row r="1201" spans="1:3" x14ac:dyDescent="0.2">
      <c r="A1201" s="2">
        <v>45943</v>
      </c>
      <c r="B1201" s="3" t="s">
        <v>4</v>
      </c>
      <c r="C1201" s="3">
        <v>188.32</v>
      </c>
    </row>
    <row r="1202" spans="1:3" x14ac:dyDescent="0.2">
      <c r="A1202" s="2">
        <v>45944</v>
      </c>
      <c r="B1202" s="3" t="s">
        <v>4</v>
      </c>
      <c r="C1202" s="3">
        <v>180.03</v>
      </c>
    </row>
    <row r="1203" spans="1:3" x14ac:dyDescent="0.2">
      <c r="A1203" s="2">
        <v>45945</v>
      </c>
      <c r="B1203" s="3" t="s">
        <v>4</v>
      </c>
      <c r="C1203" s="3">
        <v>179.83</v>
      </c>
    </row>
    <row r="1204" spans="1:3" x14ac:dyDescent="0.2">
      <c r="A1204" s="2">
        <v>45946</v>
      </c>
      <c r="B1204" s="3" t="s">
        <v>4</v>
      </c>
      <c r="C1204" s="3">
        <v>181.81</v>
      </c>
    </row>
    <row r="1205" spans="1:3" x14ac:dyDescent="0.2">
      <c r="A1205" s="2">
        <v>45947</v>
      </c>
      <c r="B1205" s="3" t="s">
        <v>4</v>
      </c>
      <c r="C1205" s="3">
        <v>183.22</v>
      </c>
    </row>
    <row r="1206" spans="1:3" x14ac:dyDescent="0.2">
      <c r="A1206" s="2">
        <v>45950</v>
      </c>
      <c r="B1206" s="3" t="s">
        <v>4</v>
      </c>
      <c r="C1206" s="3">
        <v>182.64</v>
      </c>
    </row>
    <row r="1207" spans="1:3" x14ac:dyDescent="0.2">
      <c r="A1207" s="2">
        <v>45951</v>
      </c>
      <c r="B1207" s="3" t="s">
        <v>4</v>
      </c>
      <c r="C1207" s="3">
        <v>181.16</v>
      </c>
    </row>
    <row r="1208" spans="1:3" x14ac:dyDescent="0.2">
      <c r="A1208" s="2">
        <v>45952</v>
      </c>
      <c r="B1208" s="3" t="s">
        <v>4</v>
      </c>
      <c r="C1208" s="3">
        <v>180.28</v>
      </c>
    </row>
    <row r="1209" spans="1:3" x14ac:dyDescent="0.2">
      <c r="A1209" s="2">
        <v>45953</v>
      </c>
      <c r="B1209" s="3" t="s">
        <v>4</v>
      </c>
      <c r="C1209" s="3">
        <v>182.16</v>
      </c>
    </row>
    <row r="1210" spans="1:3" x14ac:dyDescent="0.2">
      <c r="A1210" s="2">
        <v>45954</v>
      </c>
      <c r="B1210" s="3" t="s">
        <v>4</v>
      </c>
      <c r="C1210" s="3">
        <v>186.26</v>
      </c>
    </row>
    <row r="1211" spans="1:3" x14ac:dyDescent="0.2">
      <c r="A1211" s="2">
        <v>45957</v>
      </c>
      <c r="B1211" s="3" t="s">
        <v>4</v>
      </c>
      <c r="C1211" s="3">
        <v>191.49</v>
      </c>
    </row>
    <row r="1212" spans="1:3" x14ac:dyDescent="0.2">
      <c r="A1212" s="2">
        <v>45958</v>
      </c>
      <c r="B1212" s="3" t="s">
        <v>4</v>
      </c>
      <c r="C1212" s="3">
        <v>201.03</v>
      </c>
    </row>
    <row r="1213" spans="1:3" x14ac:dyDescent="0.2">
      <c r="A1213" s="2">
        <v>45959</v>
      </c>
      <c r="B1213" s="3" t="s">
        <v>4</v>
      </c>
      <c r="C1213" s="3">
        <v>207.04</v>
      </c>
    </row>
    <row r="1214" spans="1:3" x14ac:dyDescent="0.2">
      <c r="A1214" s="2">
        <v>45960</v>
      </c>
      <c r="B1214" s="3" t="s">
        <v>4</v>
      </c>
      <c r="C1214" s="3">
        <v>202.89</v>
      </c>
    </row>
    <row r="1215" spans="1:3" x14ac:dyDescent="0.2">
      <c r="A1215" s="2">
        <v>45961</v>
      </c>
      <c r="B1215" s="3" t="s">
        <v>4</v>
      </c>
      <c r="C1215" s="3">
        <v>202.49</v>
      </c>
    </row>
    <row r="1216" spans="1:3" x14ac:dyDescent="0.2">
      <c r="A1216" s="2">
        <v>45964</v>
      </c>
      <c r="B1216" s="3" t="s">
        <v>4</v>
      </c>
      <c r="C1216" s="3">
        <v>206.88</v>
      </c>
    </row>
    <row r="1217" spans="1:3" x14ac:dyDescent="0.2">
      <c r="A1217" s="2">
        <v>45965</v>
      </c>
      <c r="B1217" s="3" t="s">
        <v>4</v>
      </c>
      <c r="C1217" s="3">
        <v>198.69</v>
      </c>
    </row>
    <row r="1218" spans="1:3" x14ac:dyDescent="0.2">
      <c r="A1218" s="2">
        <v>45966</v>
      </c>
      <c r="B1218" s="3" t="s">
        <v>4</v>
      </c>
      <c r="C1218" s="3">
        <v>195.21</v>
      </c>
    </row>
    <row r="1219" spans="1:3" x14ac:dyDescent="0.2">
      <c r="A1219" s="2">
        <v>45967</v>
      </c>
      <c r="B1219" s="3" t="s">
        <v>4</v>
      </c>
      <c r="C1219" s="3">
        <v>188.08</v>
      </c>
    </row>
    <row r="1220" spans="1:3" x14ac:dyDescent="0.2">
      <c r="A1220" s="2">
        <v>45968</v>
      </c>
      <c r="B1220" s="3" t="s">
        <v>4</v>
      </c>
      <c r="C1220" s="3">
        <v>188.15</v>
      </c>
    </row>
    <row r="1221" spans="1:3" x14ac:dyDescent="0.2">
      <c r="A1221" s="2">
        <v>45971</v>
      </c>
      <c r="B1221" s="3" t="s">
        <v>4</v>
      </c>
      <c r="C1221" s="3">
        <v>199.05</v>
      </c>
    </row>
    <row r="1222" spans="1:3" x14ac:dyDescent="0.2">
      <c r="A1222" s="2">
        <v>45972</v>
      </c>
      <c r="B1222" s="3" t="s">
        <v>4</v>
      </c>
      <c r="C1222" s="3">
        <v>193.16</v>
      </c>
    </row>
    <row r="1223" spans="1:3" x14ac:dyDescent="0.2">
      <c r="A1223" s="2">
        <v>45973</v>
      </c>
      <c r="B1223" s="3" t="s">
        <v>4</v>
      </c>
      <c r="C1223" s="3">
        <v>193.8</v>
      </c>
    </row>
    <row r="1224" spans="1:3" x14ac:dyDescent="0.2">
      <c r="A1224" s="2">
        <v>45974</v>
      </c>
      <c r="B1224" s="3" t="s">
        <v>4</v>
      </c>
      <c r="C1224" s="3">
        <v>186.86</v>
      </c>
    </row>
    <row r="1225" spans="1:3" x14ac:dyDescent="0.2">
      <c r="A1225" s="2">
        <v>45975</v>
      </c>
      <c r="B1225" s="3" t="s">
        <v>4</v>
      </c>
      <c r="C1225" s="3">
        <v>190.17</v>
      </c>
    </row>
    <row r="1226" spans="1:3" x14ac:dyDescent="0.2">
      <c r="A1226" s="2">
        <v>45978</v>
      </c>
      <c r="B1226" s="3" t="s">
        <v>4</v>
      </c>
      <c r="C1226" s="3">
        <v>186.6</v>
      </c>
    </row>
    <row r="1227" spans="1:3" x14ac:dyDescent="0.2">
      <c r="A1227" s="2">
        <v>45979</v>
      </c>
      <c r="B1227" s="3" t="s">
        <v>4</v>
      </c>
      <c r="C1227" s="3">
        <v>181.36</v>
      </c>
    </row>
    <row r="1228" spans="1:3" x14ac:dyDescent="0.2">
      <c r="A1228" s="2">
        <v>45980</v>
      </c>
      <c r="B1228" s="3" t="s">
        <v>4</v>
      </c>
      <c r="C1228" s="3">
        <v>186.52</v>
      </c>
    </row>
    <row r="1229" spans="1:3" x14ac:dyDescent="0.2">
      <c r="A1229" s="2">
        <v>45981</v>
      </c>
      <c r="B1229" s="3" t="s">
        <v>4</v>
      </c>
      <c r="C1229" s="3">
        <v>180.64</v>
      </c>
    </row>
    <row r="1230" spans="1:3" x14ac:dyDescent="0.2">
      <c r="A1230" s="2">
        <v>45982</v>
      </c>
      <c r="B1230" s="3" t="s">
        <v>4</v>
      </c>
      <c r="C1230" s="3">
        <v>178.88</v>
      </c>
    </row>
    <row r="1231" spans="1:3" x14ac:dyDescent="0.2">
      <c r="A1231" s="2">
        <v>45985</v>
      </c>
      <c r="B1231" s="3" t="s">
        <v>4</v>
      </c>
      <c r="C1231" s="3">
        <v>182.55</v>
      </c>
    </row>
    <row r="1232" spans="1:3" x14ac:dyDescent="0.2">
      <c r="A1232" s="2">
        <v>45986</v>
      </c>
      <c r="B1232" s="3" t="s">
        <v>4</v>
      </c>
      <c r="C1232" s="3">
        <v>177.82</v>
      </c>
    </row>
    <row r="1233" spans="1:3" x14ac:dyDescent="0.2">
      <c r="A1233" s="2">
        <v>45987</v>
      </c>
      <c r="B1233" s="3" t="s">
        <v>4</v>
      </c>
      <c r="C1233" s="3">
        <v>180.26</v>
      </c>
    </row>
    <row r="1234" spans="1:3" x14ac:dyDescent="0.2">
      <c r="A1234" s="2">
        <v>45989</v>
      </c>
      <c r="B1234" s="3" t="s">
        <v>4</v>
      </c>
      <c r="C1234" s="3">
        <v>177</v>
      </c>
    </row>
    <row r="1235" spans="1:3" x14ac:dyDescent="0.2">
      <c r="A1235" s="2">
        <v>45992</v>
      </c>
      <c r="B1235" s="3" t="s">
        <v>4</v>
      </c>
      <c r="C1235" s="3">
        <v>179.92</v>
      </c>
    </row>
    <row r="1236" spans="1:3" x14ac:dyDescent="0.2">
      <c r="A1236" s="2">
        <v>45993</v>
      </c>
      <c r="B1236" s="3" t="s">
        <v>4</v>
      </c>
      <c r="C1236" s="3">
        <v>181.46</v>
      </c>
    </row>
    <row r="1237" spans="1:3" x14ac:dyDescent="0.2">
      <c r="A1237" s="2">
        <v>45994</v>
      </c>
      <c r="B1237" s="3" t="s">
        <v>4</v>
      </c>
      <c r="C1237" s="3">
        <v>179.59</v>
      </c>
    </row>
    <row r="1238" spans="1:3" x14ac:dyDescent="0.2">
      <c r="A1238" s="2">
        <v>45995</v>
      </c>
      <c r="B1238" s="3" t="s">
        <v>4</v>
      </c>
      <c r="C1238" s="3">
        <v>183.38</v>
      </c>
    </row>
    <row r="1239" spans="1:3" x14ac:dyDescent="0.2">
      <c r="A1239" s="2">
        <v>45996</v>
      </c>
      <c r="B1239" s="3" t="s">
        <v>4</v>
      </c>
      <c r="C1239" s="3">
        <v>182.41</v>
      </c>
    </row>
    <row r="1240" spans="1:3" x14ac:dyDescent="0.2">
      <c r="A1240" s="2">
        <v>45999</v>
      </c>
      <c r="B1240" s="3" t="s">
        <v>4</v>
      </c>
      <c r="C1240" s="3">
        <v>185.55</v>
      </c>
    </row>
    <row r="1241" spans="1:3" x14ac:dyDescent="0.2">
      <c r="A1241" s="2">
        <v>46000</v>
      </c>
      <c r="B1241" s="3" t="s">
        <v>4</v>
      </c>
      <c r="C1241" s="3">
        <v>184.97</v>
      </c>
    </row>
    <row r="1242" spans="1:3" x14ac:dyDescent="0.2">
      <c r="A1242" s="2">
        <v>46001</v>
      </c>
      <c r="B1242" s="3" t="s">
        <v>4</v>
      </c>
      <c r="C1242" s="3">
        <v>183.78</v>
      </c>
    </row>
    <row r="1243" spans="1:3" x14ac:dyDescent="0.2">
      <c r="A1243" s="2">
        <v>46002</v>
      </c>
      <c r="B1243" s="3" t="s">
        <v>4</v>
      </c>
      <c r="C1243" s="3">
        <v>180.93</v>
      </c>
    </row>
    <row r="1244" spans="1:3" x14ac:dyDescent="0.2">
      <c r="A1244" s="2">
        <v>46003</v>
      </c>
      <c r="B1244" s="3" t="s">
        <v>4</v>
      </c>
      <c r="C1244" s="3">
        <v>175.02</v>
      </c>
    </row>
    <row r="1245" spans="1:3" x14ac:dyDescent="0.2">
      <c r="A1245" s="2">
        <v>46006</v>
      </c>
      <c r="B1245" s="3" t="s">
        <v>4</v>
      </c>
      <c r="C1245" s="3">
        <v>176.29</v>
      </c>
    </row>
    <row r="1246" spans="1:3" x14ac:dyDescent="0.2">
      <c r="A1246" s="2">
        <v>46007</v>
      </c>
      <c r="B1246" s="3" t="s">
        <v>4</v>
      </c>
      <c r="C1246" s="3">
        <v>177.72</v>
      </c>
    </row>
    <row r="1247" spans="1:3" x14ac:dyDescent="0.2">
      <c r="A1247" s="2">
        <v>46008</v>
      </c>
      <c r="B1247" s="3" t="s">
        <v>4</v>
      </c>
      <c r="C1247" s="3">
        <v>170.94</v>
      </c>
    </row>
    <row r="1248" spans="1:3" x14ac:dyDescent="0.2">
      <c r="A1248" s="2">
        <v>46009</v>
      </c>
      <c r="B1248" s="3" t="s">
        <v>4</v>
      </c>
      <c r="C1248" s="3">
        <v>174.14</v>
      </c>
    </row>
    <row r="1249" spans="1:3" x14ac:dyDescent="0.2">
      <c r="A1249" s="2">
        <v>46010</v>
      </c>
      <c r="B1249" s="3" t="s">
        <v>4</v>
      </c>
      <c r="C1249" s="3">
        <v>180.99</v>
      </c>
    </row>
    <row r="1250" spans="1:3" x14ac:dyDescent="0.2">
      <c r="A1250" s="2">
        <v>46013</v>
      </c>
      <c r="B1250" s="3" t="s">
        <v>4</v>
      </c>
      <c r="C1250" s="3">
        <v>183.69</v>
      </c>
    </row>
    <row r="1251" spans="1:3" x14ac:dyDescent="0.2">
      <c r="A1251" s="2">
        <v>46014</v>
      </c>
      <c r="B1251" s="3" t="s">
        <v>4</v>
      </c>
      <c r="C1251" s="3">
        <v>189.21</v>
      </c>
    </row>
    <row r="1252" spans="1:3" x14ac:dyDescent="0.2">
      <c r="A1252" s="2">
        <v>46015</v>
      </c>
      <c r="B1252" s="3" t="s">
        <v>4</v>
      </c>
      <c r="C1252" s="3">
        <v>188.61</v>
      </c>
    </row>
    <row r="1253" spans="1:3" x14ac:dyDescent="0.2">
      <c r="A1253" s="2">
        <v>46017</v>
      </c>
      <c r="B1253" s="3" t="s">
        <v>4</v>
      </c>
      <c r="C1253" s="3">
        <v>190.53</v>
      </c>
    </row>
    <row r="1254" spans="1:3" x14ac:dyDescent="0.2">
      <c r="A1254" s="2">
        <v>46020</v>
      </c>
      <c r="B1254" s="3" t="s">
        <v>4</v>
      </c>
      <c r="C1254" s="3">
        <v>188.22</v>
      </c>
    </row>
    <row r="1255" spans="1:3" x14ac:dyDescent="0.2">
      <c r="A1255" s="2">
        <v>46021</v>
      </c>
      <c r="B1255" s="3" t="s">
        <v>4</v>
      </c>
      <c r="C1255" s="3">
        <v>187.54</v>
      </c>
    </row>
    <row r="1256" spans="1:3" x14ac:dyDescent="0.2">
      <c r="A1256" s="2">
        <v>46022</v>
      </c>
      <c r="B1256" s="3" t="s">
        <v>4</v>
      </c>
      <c r="C1256" s="3">
        <v>186.5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827C-0B4E-400E-8C5E-C1F53F7F419B}">
  <sheetPr codeName="Sheet4"/>
  <dimension ref="A1:C5264"/>
  <sheetViews>
    <sheetView zoomScaleNormal="100"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6</v>
      </c>
      <c r="C2" s="1">
        <v>92.3</v>
      </c>
    </row>
    <row r="3" spans="1:3" x14ac:dyDescent="0.2">
      <c r="A3" s="2">
        <v>44201</v>
      </c>
      <c r="B3" s="1" t="s">
        <v>6</v>
      </c>
      <c r="C3" s="1">
        <v>92.77</v>
      </c>
    </row>
    <row r="4" spans="1:3" x14ac:dyDescent="0.2">
      <c r="A4" s="2">
        <v>44202</v>
      </c>
      <c r="B4" s="1" t="s">
        <v>6</v>
      </c>
      <c r="C4" s="1">
        <v>90.33</v>
      </c>
    </row>
    <row r="5" spans="1:3" x14ac:dyDescent="0.2">
      <c r="A5" s="2">
        <v>44203</v>
      </c>
      <c r="B5" s="1" t="s">
        <v>6</v>
      </c>
      <c r="C5" s="1">
        <v>95.16</v>
      </c>
    </row>
    <row r="6" spans="1:3" x14ac:dyDescent="0.2">
      <c r="A6" s="2">
        <v>44204</v>
      </c>
      <c r="B6" s="1" t="s">
        <v>6</v>
      </c>
      <c r="C6" s="1">
        <v>94.58</v>
      </c>
    </row>
    <row r="7" spans="1:3" x14ac:dyDescent="0.2">
      <c r="A7" s="2">
        <v>44207</v>
      </c>
      <c r="B7" s="1" t="s">
        <v>6</v>
      </c>
      <c r="C7" s="1">
        <v>97.25</v>
      </c>
    </row>
    <row r="8" spans="1:3" x14ac:dyDescent="0.2">
      <c r="A8" s="2">
        <v>44208</v>
      </c>
      <c r="B8" s="1" t="s">
        <v>6</v>
      </c>
      <c r="C8" s="1">
        <v>95.355000000000004</v>
      </c>
    </row>
    <row r="9" spans="1:3" x14ac:dyDescent="0.2">
      <c r="A9" s="2">
        <v>44209</v>
      </c>
      <c r="B9" s="1" t="s">
        <v>6</v>
      </c>
      <c r="C9" s="1">
        <v>91.78</v>
      </c>
    </row>
    <row r="10" spans="1:3" x14ac:dyDescent="0.2">
      <c r="A10" s="2">
        <v>44210</v>
      </c>
      <c r="B10" s="1" t="s">
        <v>6</v>
      </c>
      <c r="C10" s="1">
        <v>90.79</v>
      </c>
    </row>
    <row r="11" spans="1:3" x14ac:dyDescent="0.2">
      <c r="A11" s="2">
        <v>44211</v>
      </c>
      <c r="B11" s="1" t="s">
        <v>6</v>
      </c>
      <c r="C11" s="1">
        <v>88.21</v>
      </c>
    </row>
    <row r="12" spans="1:3" x14ac:dyDescent="0.2">
      <c r="A12" s="2">
        <v>44215</v>
      </c>
      <c r="B12" s="1" t="s">
        <v>6</v>
      </c>
      <c r="C12" s="1">
        <v>89.45</v>
      </c>
    </row>
    <row r="13" spans="1:3" x14ac:dyDescent="0.2">
      <c r="A13" s="2">
        <v>44216</v>
      </c>
      <c r="B13" s="1" t="s">
        <v>6</v>
      </c>
      <c r="C13" s="1">
        <v>88.75</v>
      </c>
    </row>
    <row r="14" spans="1:3" x14ac:dyDescent="0.2">
      <c r="A14" s="2">
        <v>44217</v>
      </c>
      <c r="B14" s="1" t="s">
        <v>6</v>
      </c>
      <c r="C14" s="1">
        <v>91.53</v>
      </c>
    </row>
    <row r="15" spans="1:3" x14ac:dyDescent="0.2">
      <c r="A15" s="2">
        <v>44218</v>
      </c>
      <c r="B15" s="1" t="s">
        <v>6</v>
      </c>
      <c r="C15" s="1">
        <v>92.79</v>
      </c>
    </row>
    <row r="16" spans="1:3" x14ac:dyDescent="0.2">
      <c r="A16" s="2">
        <v>44221</v>
      </c>
      <c r="B16" s="1" t="s">
        <v>6</v>
      </c>
      <c r="C16" s="1">
        <v>94.13</v>
      </c>
    </row>
    <row r="17" spans="1:3" x14ac:dyDescent="0.2">
      <c r="A17" s="2">
        <v>44222</v>
      </c>
      <c r="B17" s="1" t="s">
        <v>6</v>
      </c>
      <c r="C17" s="1">
        <v>94.71</v>
      </c>
    </row>
    <row r="18" spans="1:3" x14ac:dyDescent="0.2">
      <c r="A18" s="2">
        <v>44223</v>
      </c>
      <c r="B18" s="1" t="s">
        <v>6</v>
      </c>
      <c r="C18" s="1">
        <v>88.84</v>
      </c>
    </row>
    <row r="19" spans="1:3" x14ac:dyDescent="0.2">
      <c r="A19" s="2">
        <v>44224</v>
      </c>
      <c r="B19" s="1" t="s">
        <v>6</v>
      </c>
      <c r="C19" s="1">
        <v>87.52</v>
      </c>
    </row>
    <row r="20" spans="1:3" x14ac:dyDescent="0.2">
      <c r="A20" s="2">
        <v>44225</v>
      </c>
      <c r="B20" s="1" t="s">
        <v>6</v>
      </c>
      <c r="C20" s="1">
        <v>85.64</v>
      </c>
    </row>
    <row r="21" spans="1:3" x14ac:dyDescent="0.2">
      <c r="A21" s="2">
        <v>44228</v>
      </c>
      <c r="B21" s="1" t="s">
        <v>6</v>
      </c>
      <c r="C21" s="1">
        <v>87.66</v>
      </c>
    </row>
    <row r="22" spans="1:3" x14ac:dyDescent="0.2">
      <c r="A22" s="2">
        <v>44229</v>
      </c>
      <c r="B22" s="1" t="s">
        <v>6</v>
      </c>
      <c r="C22" s="1">
        <v>88.86</v>
      </c>
    </row>
    <row r="23" spans="1:3" x14ac:dyDescent="0.2">
      <c r="A23" s="2">
        <v>44230</v>
      </c>
      <c r="B23" s="1" t="s">
        <v>6</v>
      </c>
      <c r="C23" s="1">
        <v>87.89</v>
      </c>
    </row>
    <row r="24" spans="1:3" x14ac:dyDescent="0.2">
      <c r="A24" s="2">
        <v>44231</v>
      </c>
      <c r="B24" s="1" t="s">
        <v>6</v>
      </c>
      <c r="C24" s="1">
        <v>87.84</v>
      </c>
    </row>
    <row r="25" spans="1:3" x14ac:dyDescent="0.2">
      <c r="A25" s="2">
        <v>44232</v>
      </c>
      <c r="B25" s="1" t="s">
        <v>6</v>
      </c>
      <c r="C25" s="1">
        <v>87.9</v>
      </c>
    </row>
    <row r="26" spans="1:3" x14ac:dyDescent="0.2">
      <c r="A26" s="2">
        <v>44235</v>
      </c>
      <c r="B26" s="1" t="s">
        <v>6</v>
      </c>
      <c r="C26" s="1">
        <v>91.47</v>
      </c>
    </row>
    <row r="27" spans="1:3" x14ac:dyDescent="0.2">
      <c r="A27" s="2">
        <v>44236</v>
      </c>
      <c r="B27" s="1" t="s">
        <v>6</v>
      </c>
      <c r="C27" s="1">
        <v>90.91</v>
      </c>
    </row>
    <row r="28" spans="1:3" x14ac:dyDescent="0.2">
      <c r="A28" s="2">
        <v>44237</v>
      </c>
      <c r="B28" s="1" t="s">
        <v>6</v>
      </c>
      <c r="C28" s="1">
        <v>92.35</v>
      </c>
    </row>
    <row r="29" spans="1:3" x14ac:dyDescent="0.2">
      <c r="A29" s="2">
        <v>44238</v>
      </c>
      <c r="B29" s="1" t="s">
        <v>6</v>
      </c>
      <c r="C29" s="1">
        <v>92.66</v>
      </c>
    </row>
    <row r="30" spans="1:3" x14ac:dyDescent="0.2">
      <c r="A30" s="2">
        <v>44239</v>
      </c>
      <c r="B30" s="1" t="s">
        <v>6</v>
      </c>
      <c r="C30" s="1">
        <v>93.77</v>
      </c>
    </row>
    <row r="31" spans="1:3" x14ac:dyDescent="0.2">
      <c r="A31" s="2">
        <v>44243</v>
      </c>
      <c r="B31" s="1" t="s">
        <v>6</v>
      </c>
      <c r="C31" s="1">
        <v>91.46</v>
      </c>
    </row>
    <row r="32" spans="1:3" x14ac:dyDescent="0.2">
      <c r="A32" s="2">
        <v>44244</v>
      </c>
      <c r="B32" s="1" t="s">
        <v>6</v>
      </c>
      <c r="C32" s="1">
        <v>89.94</v>
      </c>
    </row>
    <row r="33" spans="1:3" x14ac:dyDescent="0.2">
      <c r="A33" s="2">
        <v>44245</v>
      </c>
      <c r="B33" s="1" t="s">
        <v>6</v>
      </c>
      <c r="C33" s="1">
        <v>88.64</v>
      </c>
    </row>
    <row r="34" spans="1:3" x14ac:dyDescent="0.2">
      <c r="A34" s="2">
        <v>44246</v>
      </c>
      <c r="B34" s="1" t="s">
        <v>6</v>
      </c>
      <c r="C34" s="1">
        <v>89.58</v>
      </c>
    </row>
    <row r="35" spans="1:3" x14ac:dyDescent="0.2">
      <c r="A35" s="2">
        <v>44249</v>
      </c>
      <c r="B35" s="1" t="s">
        <v>6</v>
      </c>
      <c r="C35" s="1">
        <v>85.37</v>
      </c>
    </row>
    <row r="36" spans="1:3" x14ac:dyDescent="0.2">
      <c r="A36" s="2">
        <v>44250</v>
      </c>
      <c r="B36" s="1" t="s">
        <v>6</v>
      </c>
      <c r="C36" s="1">
        <v>84.74</v>
      </c>
    </row>
    <row r="37" spans="1:3" x14ac:dyDescent="0.2">
      <c r="A37" s="2">
        <v>44251</v>
      </c>
      <c r="B37" s="1" t="s">
        <v>6</v>
      </c>
      <c r="C37" s="1">
        <v>86.94</v>
      </c>
    </row>
    <row r="38" spans="1:3" x14ac:dyDescent="0.2">
      <c r="A38" s="2">
        <v>44252</v>
      </c>
      <c r="B38" s="1" t="s">
        <v>6</v>
      </c>
      <c r="C38" s="1">
        <v>82.42</v>
      </c>
    </row>
    <row r="39" spans="1:3" x14ac:dyDescent="0.2">
      <c r="A39" s="2">
        <v>44253</v>
      </c>
      <c r="B39" s="1" t="s">
        <v>6</v>
      </c>
      <c r="C39" s="1">
        <v>84.51</v>
      </c>
    </row>
    <row r="40" spans="1:3" x14ac:dyDescent="0.2">
      <c r="A40" s="2">
        <v>44256</v>
      </c>
      <c r="B40" s="1" t="s">
        <v>6</v>
      </c>
      <c r="C40" s="1">
        <v>86.39</v>
      </c>
    </row>
    <row r="41" spans="1:3" x14ac:dyDescent="0.2">
      <c r="A41" s="2">
        <v>44257</v>
      </c>
      <c r="B41" s="1" t="s">
        <v>6</v>
      </c>
      <c r="C41" s="1">
        <v>84.13</v>
      </c>
    </row>
    <row r="42" spans="1:3" x14ac:dyDescent="0.2">
      <c r="A42" s="2">
        <v>44258</v>
      </c>
      <c r="B42" s="1" t="s">
        <v>6</v>
      </c>
      <c r="C42" s="1">
        <v>80.86</v>
      </c>
    </row>
    <row r="43" spans="1:3" x14ac:dyDescent="0.2">
      <c r="A43" s="2">
        <v>44259</v>
      </c>
      <c r="B43" s="1" t="s">
        <v>6</v>
      </c>
      <c r="C43" s="1">
        <v>77.75</v>
      </c>
    </row>
    <row r="44" spans="1:3" x14ac:dyDescent="0.2">
      <c r="A44" s="2">
        <v>44260</v>
      </c>
      <c r="B44" s="1" t="s">
        <v>6</v>
      </c>
      <c r="C44" s="1">
        <v>78.52</v>
      </c>
    </row>
    <row r="45" spans="1:3" x14ac:dyDescent="0.2">
      <c r="A45" s="2">
        <v>44263</v>
      </c>
      <c r="B45" s="1" t="s">
        <v>6</v>
      </c>
      <c r="C45" s="1">
        <v>73.959999999999994</v>
      </c>
    </row>
    <row r="46" spans="1:3" x14ac:dyDescent="0.2">
      <c r="A46" s="2">
        <v>44264</v>
      </c>
      <c r="B46" s="1" t="s">
        <v>6</v>
      </c>
      <c r="C46" s="1">
        <v>78.53</v>
      </c>
    </row>
    <row r="47" spans="1:3" x14ac:dyDescent="0.2">
      <c r="A47" s="2">
        <v>44265</v>
      </c>
      <c r="B47" s="1" t="s">
        <v>6</v>
      </c>
      <c r="C47" s="1">
        <v>77.52</v>
      </c>
    </row>
    <row r="48" spans="1:3" x14ac:dyDescent="0.2">
      <c r="A48" s="2">
        <v>44266</v>
      </c>
      <c r="B48" s="1" t="s">
        <v>6</v>
      </c>
      <c r="C48" s="1">
        <v>81.23</v>
      </c>
    </row>
    <row r="49" spans="1:3" x14ac:dyDescent="0.2">
      <c r="A49" s="2">
        <v>44267</v>
      </c>
      <c r="B49" s="1" t="s">
        <v>6</v>
      </c>
      <c r="C49" s="1">
        <v>81.05</v>
      </c>
    </row>
    <row r="50" spans="1:3" x14ac:dyDescent="0.2">
      <c r="A50" s="2">
        <v>44270</v>
      </c>
      <c r="B50" s="1" t="s">
        <v>6</v>
      </c>
      <c r="C50" s="1">
        <v>82.5</v>
      </c>
    </row>
    <row r="51" spans="1:3" x14ac:dyDescent="0.2">
      <c r="A51" s="2">
        <v>44271</v>
      </c>
      <c r="B51" s="1" t="s">
        <v>6</v>
      </c>
      <c r="C51" s="1">
        <v>82.75</v>
      </c>
    </row>
    <row r="52" spans="1:3" x14ac:dyDescent="0.2">
      <c r="A52" s="2">
        <v>44272</v>
      </c>
      <c r="B52" s="1" t="s">
        <v>6</v>
      </c>
      <c r="C52" s="1">
        <v>82.63</v>
      </c>
    </row>
    <row r="53" spans="1:3" x14ac:dyDescent="0.2">
      <c r="A53" s="2">
        <v>44273</v>
      </c>
      <c r="B53" s="1" t="s">
        <v>6</v>
      </c>
      <c r="C53" s="1">
        <v>78.12</v>
      </c>
    </row>
    <row r="54" spans="1:3" x14ac:dyDescent="0.2">
      <c r="A54" s="2">
        <v>44274</v>
      </c>
      <c r="B54" s="1" t="s">
        <v>6</v>
      </c>
      <c r="C54" s="1">
        <v>79.06</v>
      </c>
    </row>
    <row r="55" spans="1:3" x14ac:dyDescent="0.2">
      <c r="A55" s="2">
        <v>44277</v>
      </c>
      <c r="B55" s="1" t="s">
        <v>6</v>
      </c>
      <c r="C55" s="1">
        <v>80.3</v>
      </c>
    </row>
    <row r="56" spans="1:3" x14ac:dyDescent="0.2">
      <c r="A56" s="2">
        <v>44278</v>
      </c>
      <c r="B56" s="1" t="s">
        <v>6</v>
      </c>
      <c r="C56" s="1">
        <v>78.38</v>
      </c>
    </row>
    <row r="57" spans="1:3" x14ac:dyDescent="0.2">
      <c r="A57" s="2">
        <v>44279</v>
      </c>
      <c r="B57" s="1" t="s">
        <v>6</v>
      </c>
      <c r="C57" s="1">
        <v>76.48</v>
      </c>
    </row>
    <row r="58" spans="1:3" x14ac:dyDescent="0.2">
      <c r="A58" s="2">
        <v>44280</v>
      </c>
      <c r="B58" s="1" t="s">
        <v>6</v>
      </c>
      <c r="C58" s="1">
        <v>76.22</v>
      </c>
    </row>
    <row r="59" spans="1:3" x14ac:dyDescent="0.2">
      <c r="A59" s="2">
        <v>44281</v>
      </c>
      <c r="B59" s="1" t="s">
        <v>6</v>
      </c>
      <c r="C59" s="1">
        <v>77.41</v>
      </c>
    </row>
    <row r="60" spans="1:3" x14ac:dyDescent="0.2">
      <c r="A60" s="2">
        <v>44284</v>
      </c>
      <c r="B60" s="1" t="s">
        <v>6</v>
      </c>
      <c r="C60" s="1">
        <v>77.14</v>
      </c>
    </row>
    <row r="61" spans="1:3" x14ac:dyDescent="0.2">
      <c r="A61" s="2">
        <v>44285</v>
      </c>
      <c r="B61" s="1" t="s">
        <v>6</v>
      </c>
      <c r="C61" s="1">
        <v>76</v>
      </c>
    </row>
    <row r="62" spans="1:3" x14ac:dyDescent="0.2">
      <c r="A62" s="2">
        <v>44286</v>
      </c>
      <c r="B62" s="1" t="s">
        <v>6</v>
      </c>
      <c r="C62" s="1">
        <v>78.5</v>
      </c>
    </row>
    <row r="63" spans="1:3" x14ac:dyDescent="0.2">
      <c r="A63" s="2">
        <v>44287</v>
      </c>
      <c r="B63" s="1" t="s">
        <v>6</v>
      </c>
      <c r="C63" s="1">
        <v>81.09</v>
      </c>
    </row>
    <row r="64" spans="1:3" x14ac:dyDescent="0.2">
      <c r="A64" s="2">
        <v>44291</v>
      </c>
      <c r="B64" s="1" t="s">
        <v>6</v>
      </c>
      <c r="C64" s="1">
        <v>81.430000000000007</v>
      </c>
    </row>
    <row r="65" spans="1:3" x14ac:dyDescent="0.2">
      <c r="A65" s="2">
        <v>44292</v>
      </c>
      <c r="B65" s="1" t="s">
        <v>6</v>
      </c>
      <c r="C65" s="1">
        <v>81.44</v>
      </c>
    </row>
    <row r="66" spans="1:3" x14ac:dyDescent="0.2">
      <c r="A66" s="2">
        <v>44293</v>
      </c>
      <c r="B66" s="1" t="s">
        <v>6</v>
      </c>
      <c r="C66" s="1">
        <v>82.2</v>
      </c>
    </row>
    <row r="67" spans="1:3" x14ac:dyDescent="0.2">
      <c r="A67" s="2">
        <v>44294</v>
      </c>
      <c r="B67" s="1" t="s">
        <v>6</v>
      </c>
      <c r="C67" s="1">
        <v>83.35</v>
      </c>
    </row>
    <row r="68" spans="1:3" x14ac:dyDescent="0.2">
      <c r="A68" s="2">
        <v>44295</v>
      </c>
      <c r="B68" s="1" t="s">
        <v>6</v>
      </c>
      <c r="C68" s="1">
        <v>82.76</v>
      </c>
    </row>
    <row r="69" spans="1:3" x14ac:dyDescent="0.2">
      <c r="A69" s="2">
        <v>44298</v>
      </c>
      <c r="B69" s="1" t="s">
        <v>6</v>
      </c>
      <c r="C69" s="1">
        <v>78.58</v>
      </c>
    </row>
    <row r="70" spans="1:3" x14ac:dyDescent="0.2">
      <c r="A70" s="2">
        <v>44299</v>
      </c>
      <c r="B70" s="1" t="s">
        <v>6</v>
      </c>
      <c r="C70" s="1">
        <v>80.19</v>
      </c>
    </row>
    <row r="71" spans="1:3" x14ac:dyDescent="0.2">
      <c r="A71" s="2">
        <v>44300</v>
      </c>
      <c r="B71" s="1" t="s">
        <v>6</v>
      </c>
      <c r="C71" s="1">
        <v>78.55</v>
      </c>
    </row>
    <row r="72" spans="1:3" x14ac:dyDescent="0.2">
      <c r="A72" s="2">
        <v>44301</v>
      </c>
      <c r="B72" s="1" t="s">
        <v>6</v>
      </c>
      <c r="C72" s="1">
        <v>83.01</v>
      </c>
    </row>
    <row r="73" spans="1:3" x14ac:dyDescent="0.2">
      <c r="A73" s="2">
        <v>44302</v>
      </c>
      <c r="B73" s="1" t="s">
        <v>6</v>
      </c>
      <c r="C73" s="1">
        <v>82.15</v>
      </c>
    </row>
    <row r="74" spans="1:3" x14ac:dyDescent="0.2">
      <c r="A74" s="2">
        <v>44305</v>
      </c>
      <c r="B74" s="1" t="s">
        <v>6</v>
      </c>
      <c r="C74" s="1">
        <v>81.11</v>
      </c>
    </row>
    <row r="75" spans="1:3" x14ac:dyDescent="0.2">
      <c r="A75" s="2">
        <v>44306</v>
      </c>
      <c r="B75" s="1" t="s">
        <v>6</v>
      </c>
      <c r="C75" s="1">
        <v>79.27</v>
      </c>
    </row>
    <row r="76" spans="1:3" x14ac:dyDescent="0.2">
      <c r="A76" s="2">
        <v>44307</v>
      </c>
      <c r="B76" s="1" t="s">
        <v>6</v>
      </c>
      <c r="C76" s="1">
        <v>81.61</v>
      </c>
    </row>
    <row r="77" spans="1:3" x14ac:dyDescent="0.2">
      <c r="A77" s="2">
        <v>44308</v>
      </c>
      <c r="B77" s="1" t="s">
        <v>6</v>
      </c>
      <c r="C77" s="1">
        <v>79.06</v>
      </c>
    </row>
    <row r="78" spans="1:3" x14ac:dyDescent="0.2">
      <c r="A78" s="2">
        <v>44309</v>
      </c>
      <c r="B78" s="1" t="s">
        <v>6</v>
      </c>
      <c r="C78" s="1">
        <v>82.76</v>
      </c>
    </row>
    <row r="79" spans="1:3" x14ac:dyDescent="0.2">
      <c r="A79" s="2">
        <v>44312</v>
      </c>
      <c r="B79" s="1" t="s">
        <v>6</v>
      </c>
      <c r="C79" s="1">
        <v>85.41</v>
      </c>
    </row>
    <row r="80" spans="1:3" x14ac:dyDescent="0.2">
      <c r="A80" s="2">
        <v>44313</v>
      </c>
      <c r="B80" s="1" t="s">
        <v>6</v>
      </c>
      <c r="C80" s="1">
        <v>85.21</v>
      </c>
    </row>
    <row r="81" spans="1:3" x14ac:dyDescent="0.2">
      <c r="A81" s="2">
        <v>44314</v>
      </c>
      <c r="B81" s="1" t="s">
        <v>6</v>
      </c>
      <c r="C81" s="1">
        <v>84.02</v>
      </c>
    </row>
    <row r="82" spans="1:3" x14ac:dyDescent="0.2">
      <c r="A82" s="2">
        <v>44315</v>
      </c>
      <c r="B82" s="1" t="s">
        <v>6</v>
      </c>
      <c r="C82" s="1">
        <v>83.91</v>
      </c>
    </row>
    <row r="83" spans="1:3" x14ac:dyDescent="0.2">
      <c r="A83" s="2">
        <v>44316</v>
      </c>
      <c r="B83" s="1" t="s">
        <v>6</v>
      </c>
      <c r="C83" s="1">
        <v>81.62</v>
      </c>
    </row>
    <row r="84" spans="1:3" x14ac:dyDescent="0.2">
      <c r="A84" s="2">
        <v>44319</v>
      </c>
      <c r="B84" s="1" t="s">
        <v>6</v>
      </c>
      <c r="C84" s="1">
        <v>78.55</v>
      </c>
    </row>
    <row r="85" spans="1:3" x14ac:dyDescent="0.2">
      <c r="A85" s="2">
        <v>44320</v>
      </c>
      <c r="B85" s="1" t="s">
        <v>6</v>
      </c>
      <c r="C85" s="1">
        <v>78.61</v>
      </c>
    </row>
    <row r="86" spans="1:3" x14ac:dyDescent="0.2">
      <c r="A86" s="2">
        <v>44321</v>
      </c>
      <c r="B86" s="1" t="s">
        <v>6</v>
      </c>
      <c r="C86" s="1">
        <v>77.83</v>
      </c>
    </row>
    <row r="87" spans="1:3" x14ac:dyDescent="0.2">
      <c r="A87" s="2">
        <v>44322</v>
      </c>
      <c r="B87" s="1" t="s">
        <v>6</v>
      </c>
      <c r="C87" s="1">
        <v>77.89</v>
      </c>
    </row>
    <row r="88" spans="1:3" x14ac:dyDescent="0.2">
      <c r="A88" s="2">
        <v>44323</v>
      </c>
      <c r="B88" s="1" t="s">
        <v>6</v>
      </c>
      <c r="C88" s="1">
        <v>78.81</v>
      </c>
    </row>
    <row r="89" spans="1:3" x14ac:dyDescent="0.2">
      <c r="A89" s="2">
        <v>44326</v>
      </c>
      <c r="B89" s="1" t="s">
        <v>6</v>
      </c>
      <c r="C89" s="1">
        <v>75.989999999999995</v>
      </c>
    </row>
    <row r="90" spans="1:3" x14ac:dyDescent="0.2">
      <c r="A90" s="2">
        <v>44327</v>
      </c>
      <c r="B90" s="1" t="s">
        <v>6</v>
      </c>
      <c r="C90" s="1">
        <v>76.83</v>
      </c>
    </row>
    <row r="91" spans="1:3" x14ac:dyDescent="0.2">
      <c r="A91" s="2">
        <v>44328</v>
      </c>
      <c r="B91" s="1" t="s">
        <v>6</v>
      </c>
      <c r="C91" s="1">
        <v>74.64</v>
      </c>
    </row>
    <row r="92" spans="1:3" x14ac:dyDescent="0.2">
      <c r="A92" s="2">
        <v>44329</v>
      </c>
      <c r="B92" s="1" t="s">
        <v>6</v>
      </c>
      <c r="C92" s="1">
        <v>73.09</v>
      </c>
    </row>
    <row r="93" spans="1:3" x14ac:dyDescent="0.2">
      <c r="A93" s="2">
        <v>44330</v>
      </c>
      <c r="B93" s="1" t="s">
        <v>6</v>
      </c>
      <c r="C93" s="1">
        <v>74.59</v>
      </c>
    </row>
    <row r="94" spans="1:3" x14ac:dyDescent="0.2">
      <c r="A94" s="2">
        <v>44333</v>
      </c>
      <c r="B94" s="1" t="s">
        <v>6</v>
      </c>
      <c r="C94" s="1">
        <v>74.650000000000006</v>
      </c>
    </row>
    <row r="95" spans="1:3" x14ac:dyDescent="0.2">
      <c r="A95" s="2">
        <v>44334</v>
      </c>
      <c r="B95" s="1" t="s">
        <v>6</v>
      </c>
      <c r="C95" s="1">
        <v>74.44</v>
      </c>
    </row>
    <row r="96" spans="1:3" x14ac:dyDescent="0.2">
      <c r="A96" s="2">
        <v>44335</v>
      </c>
      <c r="B96" s="1" t="s">
        <v>6</v>
      </c>
      <c r="C96" s="1">
        <v>76.23</v>
      </c>
    </row>
    <row r="97" spans="1:3" x14ac:dyDescent="0.2">
      <c r="A97" s="2">
        <v>44336</v>
      </c>
      <c r="B97" s="1" t="s">
        <v>6</v>
      </c>
      <c r="C97" s="1">
        <v>78.06</v>
      </c>
    </row>
    <row r="98" spans="1:3" x14ac:dyDescent="0.2">
      <c r="A98" s="2">
        <v>44337</v>
      </c>
      <c r="B98" s="1" t="s">
        <v>6</v>
      </c>
      <c r="C98" s="1">
        <v>77.17</v>
      </c>
    </row>
    <row r="99" spans="1:3" x14ac:dyDescent="0.2">
      <c r="A99" s="2">
        <v>44340</v>
      </c>
      <c r="B99" s="1" t="s">
        <v>6</v>
      </c>
      <c r="C99" s="1">
        <v>77.44</v>
      </c>
    </row>
    <row r="100" spans="1:3" x14ac:dyDescent="0.2">
      <c r="A100" s="2">
        <v>44341</v>
      </c>
      <c r="B100" s="1" t="s">
        <v>6</v>
      </c>
      <c r="C100" s="1">
        <v>77.86</v>
      </c>
    </row>
    <row r="101" spans="1:3" x14ac:dyDescent="0.2">
      <c r="A101" s="2">
        <v>44342</v>
      </c>
      <c r="B101" s="1" t="s">
        <v>6</v>
      </c>
      <c r="C101" s="1">
        <v>78.34</v>
      </c>
    </row>
    <row r="102" spans="1:3" x14ac:dyDescent="0.2">
      <c r="A102" s="2">
        <v>44343</v>
      </c>
      <c r="B102" s="1" t="s">
        <v>6</v>
      </c>
      <c r="C102" s="1">
        <v>78.42</v>
      </c>
    </row>
    <row r="103" spans="1:3" x14ac:dyDescent="0.2">
      <c r="A103" s="2">
        <v>44344</v>
      </c>
      <c r="B103" s="1" t="s">
        <v>6</v>
      </c>
      <c r="C103" s="1">
        <v>80.08</v>
      </c>
    </row>
    <row r="104" spans="1:3" x14ac:dyDescent="0.2">
      <c r="A104" s="2">
        <v>44348</v>
      </c>
      <c r="B104" s="1" t="s">
        <v>6</v>
      </c>
      <c r="C104" s="1">
        <v>80.81</v>
      </c>
    </row>
    <row r="105" spans="1:3" x14ac:dyDescent="0.2">
      <c r="A105" s="2">
        <v>44349</v>
      </c>
      <c r="B105" s="1" t="s">
        <v>6</v>
      </c>
      <c r="C105" s="1">
        <v>81.97</v>
      </c>
    </row>
    <row r="106" spans="1:3" x14ac:dyDescent="0.2">
      <c r="A106" s="2">
        <v>44350</v>
      </c>
      <c r="B106" s="1" t="s">
        <v>6</v>
      </c>
      <c r="C106" s="1">
        <v>80.28</v>
      </c>
    </row>
    <row r="107" spans="1:3" x14ac:dyDescent="0.2">
      <c r="A107" s="2">
        <v>44351</v>
      </c>
      <c r="B107" s="1" t="s">
        <v>6</v>
      </c>
      <c r="C107" s="1">
        <v>81.58</v>
      </c>
    </row>
    <row r="108" spans="1:3" x14ac:dyDescent="0.2">
      <c r="A108" s="2">
        <v>44354</v>
      </c>
      <c r="B108" s="1" t="s">
        <v>6</v>
      </c>
      <c r="C108" s="1">
        <v>81.349999999999994</v>
      </c>
    </row>
    <row r="109" spans="1:3" x14ac:dyDescent="0.2">
      <c r="A109" s="2">
        <v>44355</v>
      </c>
      <c r="B109" s="1" t="s">
        <v>6</v>
      </c>
      <c r="C109" s="1">
        <v>80.89</v>
      </c>
    </row>
    <row r="110" spans="1:3" x14ac:dyDescent="0.2">
      <c r="A110" s="2">
        <v>44356</v>
      </c>
      <c r="B110" s="1" t="s">
        <v>6</v>
      </c>
      <c r="C110" s="1">
        <v>79.959999999999994</v>
      </c>
    </row>
    <row r="111" spans="1:3" x14ac:dyDescent="0.2">
      <c r="A111" s="2">
        <v>44357</v>
      </c>
      <c r="B111" s="1" t="s">
        <v>6</v>
      </c>
      <c r="C111" s="1">
        <v>81.56</v>
      </c>
    </row>
    <row r="112" spans="1:3" x14ac:dyDescent="0.2">
      <c r="A112" s="2">
        <v>44358</v>
      </c>
      <c r="B112" s="1" t="s">
        <v>6</v>
      </c>
      <c r="C112" s="1">
        <v>81.31</v>
      </c>
    </row>
    <row r="113" spans="1:3" x14ac:dyDescent="0.2">
      <c r="A113" s="2">
        <v>44361</v>
      </c>
      <c r="B113" s="1" t="s">
        <v>6</v>
      </c>
      <c r="C113" s="1">
        <v>81.55</v>
      </c>
    </row>
    <row r="114" spans="1:3" x14ac:dyDescent="0.2">
      <c r="A114" s="2">
        <v>44362</v>
      </c>
      <c r="B114" s="1" t="s">
        <v>6</v>
      </c>
      <c r="C114" s="1">
        <v>80.47</v>
      </c>
    </row>
    <row r="115" spans="1:3" x14ac:dyDescent="0.2">
      <c r="A115" s="2">
        <v>44363</v>
      </c>
      <c r="B115" s="1" t="s">
        <v>6</v>
      </c>
      <c r="C115" s="1">
        <v>80.11</v>
      </c>
    </row>
    <row r="116" spans="1:3" x14ac:dyDescent="0.2">
      <c r="A116" s="2">
        <v>44364</v>
      </c>
      <c r="B116" s="1" t="s">
        <v>6</v>
      </c>
      <c r="C116" s="1">
        <v>84.56</v>
      </c>
    </row>
    <row r="117" spans="1:3" x14ac:dyDescent="0.2">
      <c r="A117" s="2">
        <v>44365</v>
      </c>
      <c r="B117" s="1" t="s">
        <v>6</v>
      </c>
      <c r="C117" s="1">
        <v>84.65</v>
      </c>
    </row>
    <row r="118" spans="1:3" x14ac:dyDescent="0.2">
      <c r="A118" s="2">
        <v>44368</v>
      </c>
      <c r="B118" s="1" t="s">
        <v>6</v>
      </c>
      <c r="C118" s="1">
        <v>82.59</v>
      </c>
    </row>
    <row r="119" spans="1:3" x14ac:dyDescent="0.2">
      <c r="A119" s="2">
        <v>44369</v>
      </c>
      <c r="B119" s="1" t="s">
        <v>6</v>
      </c>
      <c r="C119" s="1">
        <v>83.58</v>
      </c>
    </row>
    <row r="120" spans="1:3" x14ac:dyDescent="0.2">
      <c r="A120" s="2">
        <v>44370</v>
      </c>
      <c r="B120" s="1" t="s">
        <v>6</v>
      </c>
      <c r="C120" s="1">
        <v>83.82</v>
      </c>
    </row>
    <row r="121" spans="1:3" x14ac:dyDescent="0.2">
      <c r="A121" s="2">
        <v>44371</v>
      </c>
      <c r="B121" s="1" t="s">
        <v>6</v>
      </c>
      <c r="C121" s="1">
        <v>86.1</v>
      </c>
    </row>
    <row r="122" spans="1:3" x14ac:dyDescent="0.2">
      <c r="A122" s="2">
        <v>44372</v>
      </c>
      <c r="B122" s="1" t="s">
        <v>6</v>
      </c>
      <c r="C122" s="1">
        <v>85.62</v>
      </c>
    </row>
    <row r="123" spans="1:3" x14ac:dyDescent="0.2">
      <c r="A123" s="2">
        <v>44375</v>
      </c>
      <c r="B123" s="1" t="s">
        <v>6</v>
      </c>
      <c r="C123" s="1">
        <v>87.08</v>
      </c>
    </row>
    <row r="124" spans="1:3" x14ac:dyDescent="0.2">
      <c r="A124" s="2">
        <v>44376</v>
      </c>
      <c r="B124" s="1" t="s">
        <v>6</v>
      </c>
      <c r="C124" s="1">
        <v>89.52</v>
      </c>
    </row>
    <row r="125" spans="1:3" x14ac:dyDescent="0.2">
      <c r="A125" s="2">
        <v>44377</v>
      </c>
      <c r="B125" s="1" t="s">
        <v>6</v>
      </c>
      <c r="C125" s="1">
        <v>93.93</v>
      </c>
    </row>
    <row r="126" spans="1:3" x14ac:dyDescent="0.2">
      <c r="A126" s="2">
        <v>44378</v>
      </c>
      <c r="B126" s="1" t="s">
        <v>6</v>
      </c>
      <c r="C126" s="1">
        <v>93.31</v>
      </c>
    </row>
    <row r="127" spans="1:3" x14ac:dyDescent="0.2">
      <c r="A127" s="2">
        <v>44379</v>
      </c>
      <c r="B127" s="1" t="s">
        <v>6</v>
      </c>
      <c r="C127" s="1">
        <v>94.7</v>
      </c>
    </row>
    <row r="128" spans="1:3" x14ac:dyDescent="0.2">
      <c r="A128" s="2">
        <v>44383</v>
      </c>
      <c r="B128" s="1" t="s">
        <v>6</v>
      </c>
      <c r="C128" s="1">
        <v>94.47</v>
      </c>
    </row>
    <row r="129" spans="1:3" x14ac:dyDescent="0.2">
      <c r="A129" s="2">
        <v>44384</v>
      </c>
      <c r="B129" s="1" t="s">
        <v>6</v>
      </c>
      <c r="C129" s="1">
        <v>90.54</v>
      </c>
    </row>
    <row r="130" spans="1:3" x14ac:dyDescent="0.2">
      <c r="A130" s="2">
        <v>44385</v>
      </c>
      <c r="B130" s="1" t="s">
        <v>6</v>
      </c>
      <c r="C130" s="1">
        <v>89.74</v>
      </c>
    </row>
    <row r="131" spans="1:3" x14ac:dyDescent="0.2">
      <c r="A131" s="2">
        <v>44386</v>
      </c>
      <c r="B131" s="1" t="s">
        <v>6</v>
      </c>
      <c r="C131" s="1">
        <v>90.9</v>
      </c>
    </row>
    <row r="132" spans="1:3" x14ac:dyDescent="0.2">
      <c r="A132" s="2">
        <v>44389</v>
      </c>
      <c r="B132" s="1" t="s">
        <v>6</v>
      </c>
      <c r="C132" s="1">
        <v>90.81</v>
      </c>
    </row>
    <row r="133" spans="1:3" x14ac:dyDescent="0.2">
      <c r="A133" s="2">
        <v>44390</v>
      </c>
      <c r="B133" s="1" t="s">
        <v>6</v>
      </c>
      <c r="C133" s="1">
        <v>90.26</v>
      </c>
    </row>
    <row r="134" spans="1:3" x14ac:dyDescent="0.2">
      <c r="A134" s="2">
        <v>44391</v>
      </c>
      <c r="B134" s="1" t="s">
        <v>6</v>
      </c>
      <c r="C134" s="1">
        <v>89.05</v>
      </c>
    </row>
    <row r="135" spans="1:3" x14ac:dyDescent="0.2">
      <c r="A135" s="2">
        <v>44392</v>
      </c>
      <c r="B135" s="1" t="s">
        <v>6</v>
      </c>
      <c r="C135" s="1">
        <v>86.93</v>
      </c>
    </row>
    <row r="136" spans="1:3" x14ac:dyDescent="0.2">
      <c r="A136" s="2">
        <v>44393</v>
      </c>
      <c r="B136" s="1" t="s">
        <v>6</v>
      </c>
      <c r="C136" s="1">
        <v>85.89</v>
      </c>
    </row>
    <row r="137" spans="1:3" x14ac:dyDescent="0.2">
      <c r="A137" s="2">
        <v>44396</v>
      </c>
      <c r="B137" s="1" t="s">
        <v>6</v>
      </c>
      <c r="C137" s="1">
        <v>86.58</v>
      </c>
    </row>
    <row r="138" spans="1:3" x14ac:dyDescent="0.2">
      <c r="A138" s="2">
        <v>44397</v>
      </c>
      <c r="B138" s="1" t="s">
        <v>6</v>
      </c>
      <c r="C138" s="1">
        <v>87.11</v>
      </c>
    </row>
    <row r="139" spans="1:3" x14ac:dyDescent="0.2">
      <c r="A139" s="2">
        <v>44398</v>
      </c>
      <c r="B139" s="1" t="s">
        <v>6</v>
      </c>
      <c r="C139" s="1">
        <v>89.41</v>
      </c>
    </row>
    <row r="140" spans="1:3" x14ac:dyDescent="0.2">
      <c r="A140" s="2">
        <v>44399</v>
      </c>
      <c r="B140" s="1" t="s">
        <v>6</v>
      </c>
      <c r="C140" s="1">
        <v>91.21</v>
      </c>
    </row>
    <row r="141" spans="1:3" x14ac:dyDescent="0.2">
      <c r="A141" s="2">
        <v>44400</v>
      </c>
      <c r="B141" s="1" t="s">
        <v>6</v>
      </c>
      <c r="C141" s="1">
        <v>92.15</v>
      </c>
    </row>
    <row r="142" spans="1:3" x14ac:dyDescent="0.2">
      <c r="A142" s="2">
        <v>44403</v>
      </c>
      <c r="B142" s="1" t="s">
        <v>6</v>
      </c>
      <c r="C142" s="1">
        <v>91.82</v>
      </c>
    </row>
    <row r="143" spans="1:3" x14ac:dyDescent="0.2">
      <c r="A143" s="2">
        <v>44404</v>
      </c>
      <c r="B143" s="1" t="s">
        <v>6</v>
      </c>
      <c r="C143" s="1">
        <v>91.03</v>
      </c>
    </row>
    <row r="144" spans="1:3" x14ac:dyDescent="0.2">
      <c r="A144" s="2">
        <v>44405</v>
      </c>
      <c r="B144" s="1" t="s">
        <v>6</v>
      </c>
      <c r="C144" s="1">
        <v>97.93</v>
      </c>
    </row>
    <row r="145" spans="1:3" x14ac:dyDescent="0.2">
      <c r="A145" s="2">
        <v>44406</v>
      </c>
      <c r="B145" s="1" t="s">
        <v>6</v>
      </c>
      <c r="C145" s="1">
        <v>102.95</v>
      </c>
    </row>
    <row r="146" spans="1:3" x14ac:dyDescent="0.2">
      <c r="A146" s="2">
        <v>44407</v>
      </c>
      <c r="B146" s="1" t="s">
        <v>6</v>
      </c>
      <c r="C146" s="1">
        <v>106.19</v>
      </c>
    </row>
    <row r="147" spans="1:3" x14ac:dyDescent="0.2">
      <c r="A147" s="2">
        <v>44410</v>
      </c>
      <c r="B147" s="1" t="s">
        <v>6</v>
      </c>
      <c r="C147" s="1">
        <v>108.63</v>
      </c>
    </row>
    <row r="148" spans="1:3" x14ac:dyDescent="0.2">
      <c r="A148" s="2">
        <v>44411</v>
      </c>
      <c r="B148" s="1" t="s">
        <v>6</v>
      </c>
      <c r="C148" s="1">
        <v>112.56</v>
      </c>
    </row>
    <row r="149" spans="1:3" x14ac:dyDescent="0.2">
      <c r="A149" s="2">
        <v>44412</v>
      </c>
      <c r="B149" s="1" t="s">
        <v>6</v>
      </c>
      <c r="C149" s="1">
        <v>118.77</v>
      </c>
    </row>
    <row r="150" spans="1:3" x14ac:dyDescent="0.2">
      <c r="A150" s="2">
        <v>44413</v>
      </c>
      <c r="B150" s="1" t="s">
        <v>6</v>
      </c>
      <c r="C150" s="1">
        <v>112.35</v>
      </c>
    </row>
    <row r="151" spans="1:3" x14ac:dyDescent="0.2">
      <c r="A151" s="2">
        <v>44414</v>
      </c>
      <c r="B151" s="1" t="s">
        <v>6</v>
      </c>
      <c r="C151" s="1">
        <v>110.11</v>
      </c>
    </row>
    <row r="152" spans="1:3" x14ac:dyDescent="0.2">
      <c r="A152" s="2">
        <v>44417</v>
      </c>
      <c r="B152" s="1" t="s">
        <v>6</v>
      </c>
      <c r="C152" s="1">
        <v>107.58</v>
      </c>
    </row>
    <row r="153" spans="1:3" x14ac:dyDescent="0.2">
      <c r="A153" s="2">
        <v>44418</v>
      </c>
      <c r="B153" s="1" t="s">
        <v>6</v>
      </c>
      <c r="C153" s="1">
        <v>106.48</v>
      </c>
    </row>
    <row r="154" spans="1:3" x14ac:dyDescent="0.2">
      <c r="A154" s="2">
        <v>44419</v>
      </c>
      <c r="B154" s="1" t="s">
        <v>6</v>
      </c>
      <c r="C154" s="1">
        <v>107.68</v>
      </c>
    </row>
    <row r="155" spans="1:3" x14ac:dyDescent="0.2">
      <c r="A155" s="2">
        <v>44420</v>
      </c>
      <c r="B155" s="1" t="s">
        <v>6</v>
      </c>
      <c r="C155" s="1">
        <v>106.5</v>
      </c>
    </row>
    <row r="156" spans="1:3" x14ac:dyDescent="0.2">
      <c r="A156" s="2">
        <v>44421</v>
      </c>
      <c r="B156" s="1" t="s">
        <v>6</v>
      </c>
      <c r="C156" s="1">
        <v>110.55</v>
      </c>
    </row>
    <row r="157" spans="1:3" x14ac:dyDescent="0.2">
      <c r="A157" s="2">
        <v>44424</v>
      </c>
      <c r="B157" s="1" t="s">
        <v>6</v>
      </c>
      <c r="C157" s="1">
        <v>107.48</v>
      </c>
    </row>
    <row r="158" spans="1:3" x14ac:dyDescent="0.2">
      <c r="A158" s="2">
        <v>44425</v>
      </c>
      <c r="B158" s="1" t="s">
        <v>6</v>
      </c>
      <c r="C158" s="1">
        <v>107.56</v>
      </c>
    </row>
    <row r="159" spans="1:3" x14ac:dyDescent="0.2">
      <c r="A159" s="2">
        <v>44426</v>
      </c>
      <c r="B159" s="1" t="s">
        <v>6</v>
      </c>
      <c r="C159" s="1">
        <v>103.44</v>
      </c>
    </row>
    <row r="160" spans="1:3" x14ac:dyDescent="0.2">
      <c r="A160" s="2">
        <v>44427</v>
      </c>
      <c r="B160" s="1" t="s">
        <v>6</v>
      </c>
      <c r="C160" s="1">
        <v>103.7</v>
      </c>
    </row>
    <row r="161" spans="1:3" x14ac:dyDescent="0.2">
      <c r="A161" s="2">
        <v>44428</v>
      </c>
      <c r="B161" s="1" t="s">
        <v>6</v>
      </c>
      <c r="C161" s="1">
        <v>104.65</v>
      </c>
    </row>
    <row r="162" spans="1:3" x14ac:dyDescent="0.2">
      <c r="A162" s="2">
        <v>44431</v>
      </c>
      <c r="B162" s="1" t="s">
        <v>6</v>
      </c>
      <c r="C162" s="1">
        <v>108.77</v>
      </c>
    </row>
    <row r="163" spans="1:3" x14ac:dyDescent="0.2">
      <c r="A163" s="2">
        <v>44432</v>
      </c>
      <c r="B163" s="1" t="s">
        <v>6</v>
      </c>
      <c r="C163" s="1">
        <v>107.65</v>
      </c>
    </row>
    <row r="164" spans="1:3" x14ac:dyDescent="0.2">
      <c r="A164" s="2">
        <v>44433</v>
      </c>
      <c r="B164" s="1" t="s">
        <v>6</v>
      </c>
      <c r="C164" s="1">
        <v>108.3</v>
      </c>
    </row>
    <row r="165" spans="1:3" x14ac:dyDescent="0.2">
      <c r="A165" s="2">
        <v>44434</v>
      </c>
      <c r="B165" s="1" t="s">
        <v>6</v>
      </c>
      <c r="C165" s="1">
        <v>107.27</v>
      </c>
    </row>
    <row r="166" spans="1:3" x14ac:dyDescent="0.2">
      <c r="A166" s="2">
        <v>44435</v>
      </c>
      <c r="B166" s="1" t="s">
        <v>6</v>
      </c>
      <c r="C166" s="1">
        <v>111.4</v>
      </c>
    </row>
    <row r="167" spans="1:3" x14ac:dyDescent="0.2">
      <c r="A167" s="2">
        <v>44438</v>
      </c>
      <c r="B167" s="1" t="s">
        <v>6</v>
      </c>
      <c r="C167" s="1">
        <v>111.32</v>
      </c>
    </row>
    <row r="168" spans="1:3" x14ac:dyDescent="0.2">
      <c r="A168" s="2">
        <v>44439</v>
      </c>
      <c r="B168" s="1" t="s">
        <v>6</v>
      </c>
      <c r="C168" s="1">
        <v>110.72</v>
      </c>
    </row>
    <row r="169" spans="1:3" x14ac:dyDescent="0.2">
      <c r="A169" s="2">
        <v>44440</v>
      </c>
      <c r="B169" s="1" t="s">
        <v>6</v>
      </c>
      <c r="C169" s="1">
        <v>109.99</v>
      </c>
    </row>
    <row r="170" spans="1:3" x14ac:dyDescent="0.2">
      <c r="A170" s="2">
        <v>44441</v>
      </c>
      <c r="B170" s="1" t="s">
        <v>6</v>
      </c>
      <c r="C170" s="1">
        <v>109.2</v>
      </c>
    </row>
    <row r="171" spans="1:3" x14ac:dyDescent="0.2">
      <c r="A171" s="2">
        <v>44442</v>
      </c>
      <c r="B171" s="1" t="s">
        <v>6</v>
      </c>
      <c r="C171" s="1">
        <v>109.92</v>
      </c>
    </row>
    <row r="172" spans="1:3" x14ac:dyDescent="0.2">
      <c r="A172" s="2">
        <v>44446</v>
      </c>
      <c r="B172" s="1" t="s">
        <v>6</v>
      </c>
      <c r="C172" s="1">
        <v>109.15</v>
      </c>
    </row>
    <row r="173" spans="1:3" x14ac:dyDescent="0.2">
      <c r="A173" s="2">
        <v>44447</v>
      </c>
      <c r="B173" s="1" t="s">
        <v>6</v>
      </c>
      <c r="C173" s="1">
        <v>106.17</v>
      </c>
    </row>
    <row r="174" spans="1:3" x14ac:dyDescent="0.2">
      <c r="A174" s="2">
        <v>44448</v>
      </c>
      <c r="B174" s="1" t="s">
        <v>6</v>
      </c>
      <c r="C174" s="1">
        <v>106.15</v>
      </c>
    </row>
    <row r="175" spans="1:3" x14ac:dyDescent="0.2">
      <c r="A175" s="2">
        <v>44449</v>
      </c>
      <c r="B175" s="1" t="s">
        <v>6</v>
      </c>
      <c r="C175" s="1">
        <v>105.2</v>
      </c>
    </row>
    <row r="176" spans="1:3" x14ac:dyDescent="0.2">
      <c r="A176" s="2">
        <v>44452</v>
      </c>
      <c r="B176" s="1" t="s">
        <v>6</v>
      </c>
      <c r="C176" s="1">
        <v>104.8</v>
      </c>
    </row>
    <row r="177" spans="1:3" x14ac:dyDescent="0.2">
      <c r="A177" s="2">
        <v>44453</v>
      </c>
      <c r="B177" s="1" t="s">
        <v>6</v>
      </c>
      <c r="C177" s="1">
        <v>105.73</v>
      </c>
    </row>
    <row r="178" spans="1:3" x14ac:dyDescent="0.2">
      <c r="A178" s="2">
        <v>44454</v>
      </c>
      <c r="B178" s="1" t="s">
        <v>6</v>
      </c>
      <c r="C178" s="1">
        <v>105.6</v>
      </c>
    </row>
    <row r="179" spans="1:3" x14ac:dyDescent="0.2">
      <c r="A179" s="2">
        <v>44455</v>
      </c>
      <c r="B179" s="1" t="s">
        <v>6</v>
      </c>
      <c r="C179" s="1">
        <v>106.22</v>
      </c>
    </row>
    <row r="180" spans="1:3" x14ac:dyDescent="0.2">
      <c r="A180" s="2">
        <v>44456</v>
      </c>
      <c r="B180" s="1" t="s">
        <v>6</v>
      </c>
      <c r="C180" s="1">
        <v>103.88</v>
      </c>
    </row>
    <row r="181" spans="1:3" x14ac:dyDescent="0.2">
      <c r="A181" s="2">
        <v>44459</v>
      </c>
      <c r="B181" s="1" t="s">
        <v>6</v>
      </c>
      <c r="C181" s="1">
        <v>101.55</v>
      </c>
    </row>
    <row r="182" spans="1:3" x14ac:dyDescent="0.2">
      <c r="A182" s="2">
        <v>44460</v>
      </c>
      <c r="B182" s="1" t="s">
        <v>6</v>
      </c>
      <c r="C182" s="1">
        <v>102.82</v>
      </c>
    </row>
    <row r="183" spans="1:3" x14ac:dyDescent="0.2">
      <c r="A183" s="2">
        <v>44461</v>
      </c>
      <c r="B183" s="1" t="s">
        <v>6</v>
      </c>
      <c r="C183" s="1">
        <v>104.38</v>
      </c>
    </row>
    <row r="184" spans="1:3" x14ac:dyDescent="0.2">
      <c r="A184" s="2">
        <v>44462</v>
      </c>
      <c r="B184" s="1" t="s">
        <v>6</v>
      </c>
      <c r="C184" s="1">
        <v>106.15</v>
      </c>
    </row>
    <row r="185" spans="1:3" x14ac:dyDescent="0.2">
      <c r="A185" s="2">
        <v>44463</v>
      </c>
      <c r="B185" s="1" t="s">
        <v>6</v>
      </c>
      <c r="C185" s="1">
        <v>105.8</v>
      </c>
    </row>
    <row r="186" spans="1:3" x14ac:dyDescent="0.2">
      <c r="A186" s="2">
        <v>44466</v>
      </c>
      <c r="B186" s="1" t="s">
        <v>6</v>
      </c>
      <c r="C186" s="1">
        <v>108.16</v>
      </c>
    </row>
    <row r="187" spans="1:3" x14ac:dyDescent="0.2">
      <c r="A187" s="2">
        <v>44467</v>
      </c>
      <c r="B187" s="1" t="s">
        <v>6</v>
      </c>
      <c r="C187" s="1">
        <v>101.52</v>
      </c>
    </row>
    <row r="188" spans="1:3" x14ac:dyDescent="0.2">
      <c r="A188" s="2">
        <v>44468</v>
      </c>
      <c r="B188" s="1" t="s">
        <v>6</v>
      </c>
      <c r="C188" s="1">
        <v>100.35</v>
      </c>
    </row>
    <row r="189" spans="1:3" x14ac:dyDescent="0.2">
      <c r="A189" s="2">
        <v>44469</v>
      </c>
      <c r="B189" s="1" t="s">
        <v>6</v>
      </c>
      <c r="C189" s="1">
        <v>102.9</v>
      </c>
    </row>
    <row r="190" spans="1:3" x14ac:dyDescent="0.2">
      <c r="A190" s="2">
        <v>44470</v>
      </c>
      <c r="B190" s="1" t="s">
        <v>6</v>
      </c>
      <c r="C190" s="1">
        <v>102.45</v>
      </c>
    </row>
    <row r="191" spans="1:3" x14ac:dyDescent="0.2">
      <c r="A191" s="2">
        <v>44473</v>
      </c>
      <c r="B191" s="1" t="s">
        <v>6</v>
      </c>
      <c r="C191" s="1">
        <v>100.34</v>
      </c>
    </row>
    <row r="192" spans="1:3" x14ac:dyDescent="0.2">
      <c r="A192" s="2">
        <v>44474</v>
      </c>
      <c r="B192" s="1" t="s">
        <v>6</v>
      </c>
      <c r="C192" s="1">
        <v>101.81</v>
      </c>
    </row>
    <row r="193" spans="1:3" x14ac:dyDescent="0.2">
      <c r="A193" s="2">
        <v>44475</v>
      </c>
      <c r="B193" s="1" t="s">
        <v>6</v>
      </c>
      <c r="C193" s="1">
        <v>103.64</v>
      </c>
    </row>
    <row r="194" spans="1:3" x14ac:dyDescent="0.2">
      <c r="A194" s="2">
        <v>44476</v>
      </c>
      <c r="B194" s="1" t="s">
        <v>6</v>
      </c>
      <c r="C194" s="1">
        <v>106.45</v>
      </c>
    </row>
    <row r="195" spans="1:3" x14ac:dyDescent="0.2">
      <c r="A195" s="2">
        <v>44477</v>
      </c>
      <c r="B195" s="1" t="s">
        <v>6</v>
      </c>
      <c r="C195" s="1">
        <v>105.06</v>
      </c>
    </row>
    <row r="196" spans="1:3" x14ac:dyDescent="0.2">
      <c r="A196" s="2">
        <v>44480</v>
      </c>
      <c r="B196" s="1" t="s">
        <v>6</v>
      </c>
      <c r="C196" s="1">
        <v>104.68</v>
      </c>
    </row>
    <row r="197" spans="1:3" x14ac:dyDescent="0.2">
      <c r="A197" s="2">
        <v>44481</v>
      </c>
      <c r="B197" s="1" t="s">
        <v>6</v>
      </c>
      <c r="C197" s="1">
        <v>105.04</v>
      </c>
    </row>
    <row r="198" spans="1:3" x14ac:dyDescent="0.2">
      <c r="A198" s="2">
        <v>44482</v>
      </c>
      <c r="B198" s="1" t="s">
        <v>6</v>
      </c>
      <c r="C198" s="1">
        <v>109.16</v>
      </c>
    </row>
    <row r="199" spans="1:3" x14ac:dyDescent="0.2">
      <c r="A199" s="2">
        <v>44483</v>
      </c>
      <c r="B199" s="1" t="s">
        <v>6</v>
      </c>
      <c r="C199" s="1">
        <v>111.99</v>
      </c>
    </row>
    <row r="200" spans="1:3" x14ac:dyDescent="0.2">
      <c r="A200" s="2">
        <v>44484</v>
      </c>
      <c r="B200" s="1" t="s">
        <v>6</v>
      </c>
      <c r="C200" s="1">
        <v>112.12</v>
      </c>
    </row>
    <row r="201" spans="1:3" x14ac:dyDescent="0.2">
      <c r="A201" s="2">
        <v>44487</v>
      </c>
      <c r="B201" s="1" t="s">
        <v>6</v>
      </c>
      <c r="C201" s="1">
        <v>116.43</v>
      </c>
    </row>
    <row r="202" spans="1:3" x14ac:dyDescent="0.2">
      <c r="A202" s="2">
        <v>44488</v>
      </c>
      <c r="B202" s="1" t="s">
        <v>6</v>
      </c>
      <c r="C202" s="1">
        <v>116.33</v>
      </c>
    </row>
    <row r="203" spans="1:3" x14ac:dyDescent="0.2">
      <c r="A203" s="2">
        <v>44489</v>
      </c>
      <c r="B203" s="1" t="s">
        <v>6</v>
      </c>
      <c r="C203" s="1">
        <v>116.39</v>
      </c>
    </row>
    <row r="204" spans="1:3" x14ac:dyDescent="0.2">
      <c r="A204" s="2">
        <v>44490</v>
      </c>
      <c r="B204" s="1" t="s">
        <v>6</v>
      </c>
      <c r="C204" s="1">
        <v>119.33</v>
      </c>
    </row>
    <row r="205" spans="1:3" x14ac:dyDescent="0.2">
      <c r="A205" s="2">
        <v>44491</v>
      </c>
      <c r="B205" s="1" t="s">
        <v>6</v>
      </c>
      <c r="C205" s="1">
        <v>119.82</v>
      </c>
    </row>
    <row r="206" spans="1:3" x14ac:dyDescent="0.2">
      <c r="A206" s="2">
        <v>44494</v>
      </c>
      <c r="B206" s="1" t="s">
        <v>6</v>
      </c>
      <c r="C206" s="1">
        <v>122.36</v>
      </c>
    </row>
    <row r="207" spans="1:3" x14ac:dyDescent="0.2">
      <c r="A207" s="2">
        <v>44495</v>
      </c>
      <c r="B207" s="1" t="s">
        <v>6</v>
      </c>
      <c r="C207" s="1">
        <v>122.93</v>
      </c>
    </row>
    <row r="208" spans="1:3" x14ac:dyDescent="0.2">
      <c r="A208" s="2">
        <v>44496</v>
      </c>
      <c r="B208" s="1" t="s">
        <v>6</v>
      </c>
      <c r="C208" s="1">
        <v>122.28</v>
      </c>
    </row>
    <row r="209" spans="1:3" x14ac:dyDescent="0.2">
      <c r="A209" s="2">
        <v>44497</v>
      </c>
      <c r="B209" s="1" t="s">
        <v>6</v>
      </c>
      <c r="C209" s="1">
        <v>121.16</v>
      </c>
    </row>
    <row r="210" spans="1:3" x14ac:dyDescent="0.2">
      <c r="A210" s="2">
        <v>44498</v>
      </c>
      <c r="B210" s="1" t="s">
        <v>6</v>
      </c>
      <c r="C210" s="1">
        <v>120.23</v>
      </c>
    </row>
    <row r="211" spans="1:3" x14ac:dyDescent="0.2">
      <c r="A211" s="2">
        <v>44501</v>
      </c>
      <c r="B211" s="1" t="s">
        <v>6</v>
      </c>
      <c r="C211" s="1">
        <v>125.23</v>
      </c>
    </row>
    <row r="212" spans="1:3" x14ac:dyDescent="0.2">
      <c r="A212" s="2">
        <v>44502</v>
      </c>
      <c r="B212" s="1" t="s">
        <v>6</v>
      </c>
      <c r="C212" s="1">
        <v>127.63</v>
      </c>
    </row>
    <row r="213" spans="1:3" x14ac:dyDescent="0.2">
      <c r="A213" s="2">
        <v>44503</v>
      </c>
      <c r="B213" s="1" t="s">
        <v>6</v>
      </c>
      <c r="C213" s="1">
        <v>130.53</v>
      </c>
    </row>
    <row r="214" spans="1:3" x14ac:dyDescent="0.2">
      <c r="A214" s="2">
        <v>44504</v>
      </c>
      <c r="B214" s="1" t="s">
        <v>6</v>
      </c>
      <c r="C214" s="1">
        <v>137.5</v>
      </c>
    </row>
    <row r="215" spans="1:3" x14ac:dyDescent="0.2">
      <c r="A215" s="2">
        <v>44505</v>
      </c>
      <c r="B215" s="1" t="s">
        <v>6</v>
      </c>
      <c r="C215" s="1">
        <v>136.34</v>
      </c>
    </row>
    <row r="216" spans="1:3" x14ac:dyDescent="0.2">
      <c r="A216" s="2">
        <v>44508</v>
      </c>
      <c r="B216" s="1" t="s">
        <v>6</v>
      </c>
      <c r="C216" s="1">
        <v>150.16</v>
      </c>
    </row>
    <row r="217" spans="1:3" x14ac:dyDescent="0.2">
      <c r="A217" s="2">
        <v>44509</v>
      </c>
      <c r="B217" s="1" t="s">
        <v>6</v>
      </c>
      <c r="C217" s="1">
        <v>148.91999999999999</v>
      </c>
    </row>
    <row r="218" spans="1:3" x14ac:dyDescent="0.2">
      <c r="A218" s="2">
        <v>44510</v>
      </c>
      <c r="B218" s="1" t="s">
        <v>6</v>
      </c>
      <c r="C218" s="1">
        <v>139.87</v>
      </c>
    </row>
    <row r="219" spans="1:3" x14ac:dyDescent="0.2">
      <c r="A219" s="2">
        <v>44511</v>
      </c>
      <c r="B219" s="1" t="s">
        <v>6</v>
      </c>
      <c r="C219" s="1">
        <v>146.01</v>
      </c>
    </row>
    <row r="220" spans="1:3" x14ac:dyDescent="0.2">
      <c r="A220" s="2">
        <v>44512</v>
      </c>
      <c r="B220" s="1" t="s">
        <v>6</v>
      </c>
      <c r="C220" s="1">
        <v>147.88999999999999</v>
      </c>
    </row>
    <row r="221" spans="1:3" x14ac:dyDescent="0.2">
      <c r="A221" s="2">
        <v>44515</v>
      </c>
      <c r="B221" s="1" t="s">
        <v>6</v>
      </c>
      <c r="C221" s="1">
        <v>146.49</v>
      </c>
    </row>
    <row r="222" spans="1:3" x14ac:dyDescent="0.2">
      <c r="A222" s="2">
        <v>44516</v>
      </c>
      <c r="B222" s="1" t="s">
        <v>6</v>
      </c>
      <c r="C222" s="1">
        <v>152.44999999999999</v>
      </c>
    </row>
    <row r="223" spans="1:3" x14ac:dyDescent="0.2">
      <c r="A223" s="2">
        <v>44517</v>
      </c>
      <c r="B223" s="1" t="s">
        <v>6</v>
      </c>
      <c r="C223" s="1">
        <v>151.34</v>
      </c>
    </row>
    <row r="224" spans="1:3" x14ac:dyDescent="0.2">
      <c r="A224" s="2">
        <v>44518</v>
      </c>
      <c r="B224" s="1" t="s">
        <v>6</v>
      </c>
      <c r="C224" s="1">
        <v>155.02000000000001</v>
      </c>
    </row>
    <row r="225" spans="1:3" x14ac:dyDescent="0.2">
      <c r="A225" s="2">
        <v>44519</v>
      </c>
      <c r="B225" s="1" t="s">
        <v>6</v>
      </c>
      <c r="C225" s="1">
        <v>155.41</v>
      </c>
    </row>
    <row r="226" spans="1:3" x14ac:dyDescent="0.2">
      <c r="A226" s="2">
        <v>44522</v>
      </c>
      <c r="B226" s="1" t="s">
        <v>6</v>
      </c>
      <c r="C226" s="1">
        <v>152.52000000000001</v>
      </c>
    </row>
    <row r="227" spans="1:3" x14ac:dyDescent="0.2">
      <c r="A227" s="2">
        <v>44523</v>
      </c>
      <c r="B227" s="1" t="s">
        <v>6</v>
      </c>
      <c r="C227" s="1">
        <v>149.91999999999999</v>
      </c>
    </row>
    <row r="228" spans="1:3" x14ac:dyDescent="0.2">
      <c r="A228" s="2">
        <v>44524</v>
      </c>
      <c r="B228" s="1" t="s">
        <v>6</v>
      </c>
      <c r="C228" s="1">
        <v>157.80000000000001</v>
      </c>
    </row>
    <row r="229" spans="1:3" x14ac:dyDescent="0.2">
      <c r="A229" s="2">
        <v>44526</v>
      </c>
      <c r="B229" s="1" t="s">
        <v>6</v>
      </c>
      <c r="C229" s="1">
        <v>154.81</v>
      </c>
    </row>
    <row r="230" spans="1:3" x14ac:dyDescent="0.2">
      <c r="A230" s="2">
        <v>44529</v>
      </c>
      <c r="B230" s="1" t="s">
        <v>6</v>
      </c>
      <c r="C230" s="1">
        <v>161.91</v>
      </c>
    </row>
    <row r="231" spans="1:3" x14ac:dyDescent="0.2">
      <c r="A231" s="2">
        <v>44530</v>
      </c>
      <c r="B231" s="1" t="s">
        <v>6</v>
      </c>
      <c r="C231" s="1">
        <v>158.37</v>
      </c>
    </row>
    <row r="232" spans="1:3" x14ac:dyDescent="0.2">
      <c r="A232" s="2">
        <v>44531</v>
      </c>
      <c r="B232" s="1" t="s">
        <v>6</v>
      </c>
      <c r="C232" s="1">
        <v>149.11000000000001</v>
      </c>
    </row>
    <row r="233" spans="1:3" x14ac:dyDescent="0.2">
      <c r="A233" s="2">
        <v>44532</v>
      </c>
      <c r="B233" s="1" t="s">
        <v>6</v>
      </c>
      <c r="C233" s="1">
        <v>150.68</v>
      </c>
    </row>
    <row r="234" spans="1:3" x14ac:dyDescent="0.2">
      <c r="A234" s="2">
        <v>44533</v>
      </c>
      <c r="B234" s="1" t="s">
        <v>6</v>
      </c>
      <c r="C234" s="1">
        <v>144.01</v>
      </c>
    </row>
    <row r="235" spans="1:3" x14ac:dyDescent="0.2">
      <c r="A235" s="2">
        <v>44536</v>
      </c>
      <c r="B235" s="1" t="s">
        <v>6</v>
      </c>
      <c r="C235" s="1">
        <v>139.06</v>
      </c>
    </row>
    <row r="236" spans="1:3" x14ac:dyDescent="0.2">
      <c r="A236" s="2">
        <v>44537</v>
      </c>
      <c r="B236" s="1" t="s">
        <v>6</v>
      </c>
      <c r="C236" s="1">
        <v>144.85</v>
      </c>
    </row>
    <row r="237" spans="1:3" x14ac:dyDescent="0.2">
      <c r="A237" s="2">
        <v>44538</v>
      </c>
      <c r="B237" s="1" t="s">
        <v>6</v>
      </c>
      <c r="C237" s="1">
        <v>145.24</v>
      </c>
    </row>
    <row r="238" spans="1:3" x14ac:dyDescent="0.2">
      <c r="A238" s="2">
        <v>44539</v>
      </c>
      <c r="B238" s="1" t="s">
        <v>6</v>
      </c>
      <c r="C238" s="1">
        <v>138.1</v>
      </c>
    </row>
    <row r="239" spans="1:3" x14ac:dyDescent="0.2">
      <c r="A239" s="2">
        <v>44540</v>
      </c>
      <c r="B239" s="1" t="s">
        <v>6</v>
      </c>
      <c r="C239" s="1">
        <v>138.55000000000001</v>
      </c>
    </row>
    <row r="240" spans="1:3" x14ac:dyDescent="0.2">
      <c r="A240" s="2">
        <v>44543</v>
      </c>
      <c r="B240" s="1" t="s">
        <v>6</v>
      </c>
      <c r="C240" s="1">
        <v>133.80000000000001</v>
      </c>
    </row>
    <row r="241" spans="1:3" x14ac:dyDescent="0.2">
      <c r="A241" s="2">
        <v>44544</v>
      </c>
      <c r="B241" s="1" t="s">
        <v>6</v>
      </c>
      <c r="C241" s="1">
        <v>135.6</v>
      </c>
    </row>
    <row r="242" spans="1:3" x14ac:dyDescent="0.2">
      <c r="A242" s="2">
        <v>44545</v>
      </c>
      <c r="B242" s="1" t="s">
        <v>6</v>
      </c>
      <c r="C242" s="1">
        <v>146.5</v>
      </c>
    </row>
    <row r="243" spans="1:3" x14ac:dyDescent="0.2">
      <c r="A243" s="2">
        <v>44546</v>
      </c>
      <c r="B243" s="1" t="s">
        <v>6</v>
      </c>
      <c r="C243" s="1">
        <v>138.63999999999999</v>
      </c>
    </row>
    <row r="244" spans="1:3" x14ac:dyDescent="0.2">
      <c r="A244" s="2">
        <v>44547</v>
      </c>
      <c r="B244" s="1" t="s">
        <v>6</v>
      </c>
      <c r="C244" s="1">
        <v>137.75</v>
      </c>
    </row>
    <row r="245" spans="1:3" x14ac:dyDescent="0.2">
      <c r="A245" s="2">
        <v>44550</v>
      </c>
      <c r="B245" s="1" t="s">
        <v>6</v>
      </c>
      <c r="C245" s="1">
        <v>135.80000000000001</v>
      </c>
    </row>
    <row r="246" spans="1:3" x14ac:dyDescent="0.2">
      <c r="A246" s="2">
        <v>44551</v>
      </c>
      <c r="B246" s="1" t="s">
        <v>6</v>
      </c>
      <c r="C246" s="1">
        <v>144.25</v>
      </c>
    </row>
    <row r="247" spans="1:3" x14ac:dyDescent="0.2">
      <c r="A247" s="2">
        <v>44552</v>
      </c>
      <c r="B247" s="1" t="s">
        <v>6</v>
      </c>
      <c r="C247" s="1">
        <v>143.88</v>
      </c>
    </row>
    <row r="248" spans="1:3" x14ac:dyDescent="0.2">
      <c r="A248" s="2">
        <v>44553</v>
      </c>
      <c r="B248" s="1" t="s">
        <v>6</v>
      </c>
      <c r="C248" s="1">
        <v>146.13999999999999</v>
      </c>
    </row>
    <row r="249" spans="1:3" x14ac:dyDescent="0.2">
      <c r="A249" s="2">
        <v>44557</v>
      </c>
      <c r="B249" s="1" t="s">
        <v>6</v>
      </c>
      <c r="C249" s="1">
        <v>154.36000000000001</v>
      </c>
    </row>
    <row r="250" spans="1:3" x14ac:dyDescent="0.2">
      <c r="A250" s="2">
        <v>44558</v>
      </c>
      <c r="B250" s="1" t="s">
        <v>6</v>
      </c>
      <c r="C250" s="1">
        <v>153.15</v>
      </c>
    </row>
    <row r="251" spans="1:3" x14ac:dyDescent="0.2">
      <c r="A251" s="2">
        <v>44559</v>
      </c>
      <c r="B251" s="1" t="s">
        <v>6</v>
      </c>
      <c r="C251" s="1">
        <v>148.26</v>
      </c>
    </row>
    <row r="252" spans="1:3" x14ac:dyDescent="0.2">
      <c r="A252" s="2">
        <v>44560</v>
      </c>
      <c r="B252" s="1" t="s">
        <v>6</v>
      </c>
      <c r="C252" s="1">
        <v>145.15</v>
      </c>
    </row>
    <row r="253" spans="1:3" x14ac:dyDescent="0.2">
      <c r="A253" s="2">
        <v>44561</v>
      </c>
      <c r="B253" s="1" t="s">
        <v>6</v>
      </c>
      <c r="C253" s="1">
        <v>143.9</v>
      </c>
    </row>
    <row r="254" spans="1:3" x14ac:dyDescent="0.2">
      <c r="A254" s="2">
        <v>44564</v>
      </c>
      <c r="B254" s="1" t="s">
        <v>6</v>
      </c>
      <c r="C254" s="1">
        <v>150.24</v>
      </c>
    </row>
    <row r="255" spans="1:3" x14ac:dyDescent="0.2">
      <c r="A255" s="2">
        <v>44565</v>
      </c>
      <c r="B255" s="1" t="s">
        <v>6</v>
      </c>
      <c r="C255" s="1">
        <v>144.41999999999999</v>
      </c>
    </row>
    <row r="256" spans="1:3" x14ac:dyDescent="0.2">
      <c r="A256" s="2">
        <v>44566</v>
      </c>
      <c r="B256" s="1" t="s">
        <v>6</v>
      </c>
      <c r="C256" s="1">
        <v>136.15</v>
      </c>
    </row>
    <row r="257" spans="1:3" x14ac:dyDescent="0.2">
      <c r="A257" s="2">
        <v>44567</v>
      </c>
      <c r="B257" s="1" t="s">
        <v>6</v>
      </c>
      <c r="C257" s="1">
        <v>136.22999999999999</v>
      </c>
    </row>
    <row r="258" spans="1:3" x14ac:dyDescent="0.2">
      <c r="A258" s="2">
        <v>44568</v>
      </c>
      <c r="B258" s="1" t="s">
        <v>6</v>
      </c>
      <c r="C258" s="1">
        <v>132</v>
      </c>
    </row>
    <row r="259" spans="1:3" x14ac:dyDescent="0.2">
      <c r="A259" s="2">
        <v>44571</v>
      </c>
      <c r="B259" s="1" t="s">
        <v>6</v>
      </c>
      <c r="C259" s="1">
        <v>132</v>
      </c>
    </row>
    <row r="260" spans="1:3" x14ac:dyDescent="0.2">
      <c r="A260" s="2">
        <v>44572</v>
      </c>
      <c r="B260" s="1" t="s">
        <v>6</v>
      </c>
      <c r="C260" s="1">
        <v>137.31</v>
      </c>
    </row>
    <row r="261" spans="1:3" x14ac:dyDescent="0.2">
      <c r="A261" s="2">
        <v>44573</v>
      </c>
      <c r="B261" s="1" t="s">
        <v>6</v>
      </c>
      <c r="C261" s="1">
        <v>137.47</v>
      </c>
    </row>
    <row r="262" spans="1:3" x14ac:dyDescent="0.2">
      <c r="A262" s="2">
        <v>44574</v>
      </c>
      <c r="B262" s="1" t="s">
        <v>6</v>
      </c>
      <c r="C262" s="1">
        <v>132.74</v>
      </c>
    </row>
    <row r="263" spans="1:3" x14ac:dyDescent="0.2">
      <c r="A263" s="2">
        <v>44575</v>
      </c>
      <c r="B263" s="1" t="s">
        <v>6</v>
      </c>
      <c r="C263" s="1">
        <v>136.88</v>
      </c>
    </row>
    <row r="264" spans="1:3" x14ac:dyDescent="0.2">
      <c r="A264" s="2">
        <v>44579</v>
      </c>
      <c r="B264" s="1" t="s">
        <v>6</v>
      </c>
      <c r="C264" s="1">
        <v>131.93</v>
      </c>
    </row>
    <row r="265" spans="1:3" x14ac:dyDescent="0.2">
      <c r="A265" s="2">
        <v>44580</v>
      </c>
      <c r="B265" s="1" t="s">
        <v>6</v>
      </c>
      <c r="C265" s="1">
        <v>128.27000000000001</v>
      </c>
    </row>
    <row r="266" spans="1:3" x14ac:dyDescent="0.2">
      <c r="A266" s="2">
        <v>44581</v>
      </c>
      <c r="B266" s="1" t="s">
        <v>6</v>
      </c>
      <c r="C266" s="1">
        <v>121.89</v>
      </c>
    </row>
    <row r="267" spans="1:3" x14ac:dyDescent="0.2">
      <c r="A267" s="2">
        <v>44582</v>
      </c>
      <c r="B267" s="1" t="s">
        <v>6</v>
      </c>
      <c r="C267" s="1">
        <v>118.81</v>
      </c>
    </row>
    <row r="268" spans="1:3" x14ac:dyDescent="0.2">
      <c r="A268" s="2">
        <v>44585</v>
      </c>
      <c r="B268" s="1" t="s">
        <v>6</v>
      </c>
      <c r="C268" s="1">
        <v>116.53</v>
      </c>
    </row>
    <row r="269" spans="1:3" x14ac:dyDescent="0.2">
      <c r="A269" s="2">
        <v>44586</v>
      </c>
      <c r="B269" s="1" t="s">
        <v>6</v>
      </c>
      <c r="C269" s="1">
        <v>111.13</v>
      </c>
    </row>
    <row r="270" spans="1:3" x14ac:dyDescent="0.2">
      <c r="A270" s="2">
        <v>44587</v>
      </c>
      <c r="B270" s="1" t="s">
        <v>6</v>
      </c>
      <c r="C270" s="1">
        <v>110.71</v>
      </c>
    </row>
    <row r="271" spans="1:3" x14ac:dyDescent="0.2">
      <c r="A271" s="2">
        <v>44588</v>
      </c>
      <c r="B271" s="1" t="s">
        <v>6</v>
      </c>
      <c r="C271" s="1">
        <v>102.6</v>
      </c>
    </row>
    <row r="272" spans="1:3" x14ac:dyDescent="0.2">
      <c r="A272" s="2">
        <v>44589</v>
      </c>
      <c r="B272" s="1" t="s">
        <v>6</v>
      </c>
      <c r="C272" s="1">
        <v>105.24</v>
      </c>
    </row>
    <row r="273" spans="1:3" x14ac:dyDescent="0.2">
      <c r="A273" s="2">
        <v>44592</v>
      </c>
      <c r="B273" s="1" t="s">
        <v>6</v>
      </c>
      <c r="C273" s="1">
        <v>114.25</v>
      </c>
    </row>
    <row r="274" spans="1:3" x14ac:dyDescent="0.2">
      <c r="A274" s="2">
        <v>44593</v>
      </c>
      <c r="B274" s="1" t="s">
        <v>6</v>
      </c>
      <c r="C274" s="1">
        <v>116.78</v>
      </c>
    </row>
    <row r="275" spans="1:3" x14ac:dyDescent="0.2">
      <c r="A275" s="2">
        <v>44594</v>
      </c>
      <c r="B275" s="1" t="s">
        <v>6</v>
      </c>
      <c r="C275" s="1">
        <v>122.76</v>
      </c>
    </row>
    <row r="276" spans="1:3" x14ac:dyDescent="0.2">
      <c r="A276" s="2">
        <v>44595</v>
      </c>
      <c r="B276" s="1" t="s">
        <v>6</v>
      </c>
      <c r="C276" s="1">
        <v>120.08</v>
      </c>
    </row>
    <row r="277" spans="1:3" x14ac:dyDescent="0.2">
      <c r="A277" s="2">
        <v>44596</v>
      </c>
      <c r="B277" s="1" t="s">
        <v>6</v>
      </c>
      <c r="C277" s="1">
        <v>123.6</v>
      </c>
    </row>
    <row r="278" spans="1:3" x14ac:dyDescent="0.2">
      <c r="A278" s="2">
        <v>44599</v>
      </c>
      <c r="B278" s="1" t="s">
        <v>6</v>
      </c>
      <c r="C278" s="1">
        <v>123.67</v>
      </c>
    </row>
    <row r="279" spans="1:3" x14ac:dyDescent="0.2">
      <c r="A279" s="2">
        <v>44600</v>
      </c>
      <c r="B279" s="1" t="s">
        <v>6</v>
      </c>
      <c r="C279" s="1">
        <v>128.22999999999999</v>
      </c>
    </row>
    <row r="280" spans="1:3" x14ac:dyDescent="0.2">
      <c r="A280" s="2">
        <v>44601</v>
      </c>
      <c r="B280" s="1" t="s">
        <v>6</v>
      </c>
      <c r="C280" s="1">
        <v>132.85</v>
      </c>
    </row>
    <row r="281" spans="1:3" x14ac:dyDescent="0.2">
      <c r="A281" s="2">
        <v>44602</v>
      </c>
      <c r="B281" s="1" t="s">
        <v>6</v>
      </c>
      <c r="C281" s="1">
        <v>125.77</v>
      </c>
    </row>
    <row r="282" spans="1:3" x14ac:dyDescent="0.2">
      <c r="A282" s="2">
        <v>44603</v>
      </c>
      <c r="B282" s="1" t="s">
        <v>6</v>
      </c>
      <c r="C282" s="1">
        <v>113.18</v>
      </c>
    </row>
    <row r="283" spans="1:3" x14ac:dyDescent="0.2">
      <c r="A283" s="2">
        <v>44606</v>
      </c>
      <c r="B283" s="1" t="s">
        <v>6</v>
      </c>
      <c r="C283" s="1">
        <v>114.27</v>
      </c>
    </row>
    <row r="284" spans="1:3" x14ac:dyDescent="0.2">
      <c r="A284" s="2">
        <v>44607</v>
      </c>
      <c r="B284" s="1" t="s">
        <v>6</v>
      </c>
      <c r="C284" s="1">
        <v>121.47</v>
      </c>
    </row>
    <row r="285" spans="1:3" x14ac:dyDescent="0.2">
      <c r="A285" s="2">
        <v>44608</v>
      </c>
      <c r="B285" s="1" t="s">
        <v>6</v>
      </c>
      <c r="C285" s="1">
        <v>117.69</v>
      </c>
    </row>
    <row r="286" spans="1:3" x14ac:dyDescent="0.2">
      <c r="A286" s="2">
        <v>44609</v>
      </c>
      <c r="B286" s="1" t="s">
        <v>6</v>
      </c>
      <c r="C286" s="1">
        <v>112.37</v>
      </c>
    </row>
    <row r="287" spans="1:3" x14ac:dyDescent="0.2">
      <c r="A287" s="2">
        <v>44610</v>
      </c>
      <c r="B287" s="1" t="s">
        <v>6</v>
      </c>
      <c r="C287" s="1">
        <v>113.83</v>
      </c>
    </row>
    <row r="288" spans="1:3" x14ac:dyDescent="0.2">
      <c r="A288" s="2">
        <v>44614</v>
      </c>
      <c r="B288" s="1" t="s">
        <v>6</v>
      </c>
      <c r="C288" s="1">
        <v>115.65</v>
      </c>
    </row>
    <row r="289" spans="1:3" x14ac:dyDescent="0.2">
      <c r="A289" s="2">
        <v>44615</v>
      </c>
      <c r="B289" s="1" t="s">
        <v>6</v>
      </c>
      <c r="C289" s="1">
        <v>109.76</v>
      </c>
    </row>
    <row r="290" spans="1:3" x14ac:dyDescent="0.2">
      <c r="A290" s="2">
        <v>44616</v>
      </c>
      <c r="B290" s="1" t="s">
        <v>6</v>
      </c>
      <c r="C290" s="1">
        <v>116.61</v>
      </c>
    </row>
    <row r="291" spans="1:3" x14ac:dyDescent="0.2">
      <c r="A291" s="2">
        <v>44617</v>
      </c>
      <c r="B291" s="1" t="s">
        <v>6</v>
      </c>
      <c r="C291" s="1">
        <v>121.06</v>
      </c>
    </row>
    <row r="292" spans="1:3" x14ac:dyDescent="0.2">
      <c r="A292" s="2">
        <v>44620</v>
      </c>
      <c r="B292" s="1" t="s">
        <v>6</v>
      </c>
      <c r="C292" s="1">
        <v>123.34</v>
      </c>
    </row>
    <row r="293" spans="1:3" x14ac:dyDescent="0.2">
      <c r="A293" s="2">
        <v>44621</v>
      </c>
      <c r="B293" s="1" t="s">
        <v>6</v>
      </c>
      <c r="C293" s="1">
        <v>113.83</v>
      </c>
    </row>
    <row r="294" spans="1:3" x14ac:dyDescent="0.2">
      <c r="A294" s="2">
        <v>44622</v>
      </c>
      <c r="B294" s="1" t="s">
        <v>6</v>
      </c>
      <c r="C294" s="1">
        <v>118.28</v>
      </c>
    </row>
    <row r="295" spans="1:3" x14ac:dyDescent="0.2">
      <c r="A295" s="2">
        <v>44623</v>
      </c>
      <c r="B295" s="1" t="s">
        <v>6</v>
      </c>
      <c r="C295" s="1">
        <v>111.98</v>
      </c>
    </row>
    <row r="296" spans="1:3" x14ac:dyDescent="0.2">
      <c r="A296" s="2">
        <v>44624</v>
      </c>
      <c r="B296" s="1" t="s">
        <v>6</v>
      </c>
      <c r="C296" s="1">
        <v>108.41</v>
      </c>
    </row>
    <row r="297" spans="1:3" x14ac:dyDescent="0.2">
      <c r="A297" s="2">
        <v>44627</v>
      </c>
      <c r="B297" s="1" t="s">
        <v>6</v>
      </c>
      <c r="C297" s="1">
        <v>102.95</v>
      </c>
    </row>
    <row r="298" spans="1:3" x14ac:dyDescent="0.2">
      <c r="A298" s="2">
        <v>44628</v>
      </c>
      <c r="B298" s="1" t="s">
        <v>6</v>
      </c>
      <c r="C298" s="1">
        <v>105.53</v>
      </c>
    </row>
    <row r="299" spans="1:3" x14ac:dyDescent="0.2">
      <c r="A299" s="2">
        <v>44629</v>
      </c>
      <c r="B299" s="1" t="s">
        <v>6</v>
      </c>
      <c r="C299" s="1">
        <v>111.05</v>
      </c>
    </row>
    <row r="300" spans="1:3" x14ac:dyDescent="0.2">
      <c r="A300" s="2">
        <v>44630</v>
      </c>
      <c r="B300" s="1" t="s">
        <v>6</v>
      </c>
      <c r="C300" s="1">
        <v>106.46</v>
      </c>
    </row>
    <row r="301" spans="1:3" x14ac:dyDescent="0.2">
      <c r="A301" s="2">
        <v>44631</v>
      </c>
      <c r="B301" s="1" t="s">
        <v>6</v>
      </c>
      <c r="C301" s="1">
        <v>104.29</v>
      </c>
    </row>
    <row r="302" spans="1:3" x14ac:dyDescent="0.2">
      <c r="A302" s="2">
        <v>44634</v>
      </c>
      <c r="B302" s="1" t="s">
        <v>6</v>
      </c>
      <c r="C302" s="1">
        <v>102.25</v>
      </c>
    </row>
    <row r="303" spans="1:3" x14ac:dyDescent="0.2">
      <c r="A303" s="2">
        <v>44635</v>
      </c>
      <c r="B303" s="1" t="s">
        <v>6</v>
      </c>
      <c r="C303" s="1">
        <v>109.33</v>
      </c>
    </row>
    <row r="304" spans="1:3" x14ac:dyDescent="0.2">
      <c r="A304" s="2">
        <v>44636</v>
      </c>
      <c r="B304" s="1" t="s">
        <v>6</v>
      </c>
      <c r="C304" s="1">
        <v>115.37</v>
      </c>
    </row>
    <row r="305" spans="1:3" x14ac:dyDescent="0.2">
      <c r="A305" s="2">
        <v>44637</v>
      </c>
      <c r="B305" s="1" t="s">
        <v>6</v>
      </c>
      <c r="C305" s="1">
        <v>111.69</v>
      </c>
    </row>
    <row r="306" spans="1:3" x14ac:dyDescent="0.2">
      <c r="A306" s="2">
        <v>44638</v>
      </c>
      <c r="B306" s="1" t="s">
        <v>6</v>
      </c>
      <c r="C306" s="1">
        <v>113.46</v>
      </c>
    </row>
    <row r="307" spans="1:3" x14ac:dyDescent="0.2">
      <c r="A307" s="2">
        <v>44641</v>
      </c>
      <c r="B307" s="1" t="s">
        <v>6</v>
      </c>
      <c r="C307" s="1">
        <v>115.92</v>
      </c>
    </row>
    <row r="308" spans="1:3" x14ac:dyDescent="0.2">
      <c r="A308" s="2">
        <v>44642</v>
      </c>
      <c r="B308" s="1" t="s">
        <v>6</v>
      </c>
      <c r="C308" s="1">
        <v>114.78</v>
      </c>
    </row>
    <row r="309" spans="1:3" x14ac:dyDescent="0.2">
      <c r="A309" s="2">
        <v>44643</v>
      </c>
      <c r="B309" s="1" t="s">
        <v>6</v>
      </c>
      <c r="C309" s="1">
        <v>113.92</v>
      </c>
    </row>
    <row r="310" spans="1:3" x14ac:dyDescent="0.2">
      <c r="A310" s="2">
        <v>44644</v>
      </c>
      <c r="B310" s="1" t="s">
        <v>6</v>
      </c>
      <c r="C310" s="1">
        <v>120.53</v>
      </c>
    </row>
    <row r="311" spans="1:3" x14ac:dyDescent="0.2">
      <c r="A311" s="2">
        <v>44645</v>
      </c>
      <c r="B311" s="1" t="s">
        <v>6</v>
      </c>
      <c r="C311" s="1">
        <v>119.67</v>
      </c>
    </row>
    <row r="312" spans="1:3" x14ac:dyDescent="0.2">
      <c r="A312" s="2">
        <v>44648</v>
      </c>
      <c r="B312" s="1" t="s">
        <v>6</v>
      </c>
      <c r="C312" s="1">
        <v>120.24</v>
      </c>
    </row>
    <row r="313" spans="1:3" x14ac:dyDescent="0.2">
      <c r="A313" s="2">
        <v>44649</v>
      </c>
      <c r="B313" s="1" t="s">
        <v>6</v>
      </c>
      <c r="C313" s="1">
        <v>123.23</v>
      </c>
    </row>
    <row r="314" spans="1:3" x14ac:dyDescent="0.2">
      <c r="A314" s="2">
        <v>44650</v>
      </c>
      <c r="B314" s="1" t="s">
        <v>6</v>
      </c>
      <c r="C314" s="1">
        <v>119.22</v>
      </c>
    </row>
    <row r="315" spans="1:3" x14ac:dyDescent="0.2">
      <c r="A315" s="2">
        <v>44651</v>
      </c>
      <c r="B315" s="1" t="s">
        <v>6</v>
      </c>
      <c r="C315" s="1">
        <v>109.34</v>
      </c>
    </row>
    <row r="316" spans="1:3" x14ac:dyDescent="0.2">
      <c r="A316" s="2">
        <v>44652</v>
      </c>
      <c r="B316" s="1" t="s">
        <v>6</v>
      </c>
      <c r="C316" s="1">
        <v>108.19</v>
      </c>
    </row>
    <row r="317" spans="1:3" x14ac:dyDescent="0.2">
      <c r="A317" s="2">
        <v>44655</v>
      </c>
      <c r="B317" s="1" t="s">
        <v>6</v>
      </c>
      <c r="C317" s="1">
        <v>110.53</v>
      </c>
    </row>
    <row r="318" spans="1:3" x14ac:dyDescent="0.2">
      <c r="A318" s="2">
        <v>44656</v>
      </c>
      <c r="B318" s="1" t="s">
        <v>6</v>
      </c>
      <c r="C318" s="1">
        <v>106.82</v>
      </c>
    </row>
    <row r="319" spans="1:3" x14ac:dyDescent="0.2">
      <c r="A319" s="2">
        <v>44657</v>
      </c>
      <c r="B319" s="1" t="s">
        <v>6</v>
      </c>
      <c r="C319" s="1">
        <v>103.67</v>
      </c>
    </row>
    <row r="320" spans="1:3" x14ac:dyDescent="0.2">
      <c r="A320" s="2">
        <v>44658</v>
      </c>
      <c r="B320" s="1" t="s">
        <v>6</v>
      </c>
      <c r="C320" s="1">
        <v>103.72</v>
      </c>
    </row>
    <row r="321" spans="1:3" x14ac:dyDescent="0.2">
      <c r="A321" s="2">
        <v>44659</v>
      </c>
      <c r="B321" s="1" t="s">
        <v>6</v>
      </c>
      <c r="C321" s="1">
        <v>101</v>
      </c>
    </row>
    <row r="322" spans="1:3" x14ac:dyDescent="0.2">
      <c r="A322" s="2">
        <v>44662</v>
      </c>
      <c r="B322" s="1" t="s">
        <v>6</v>
      </c>
      <c r="C322" s="1">
        <v>97.37</v>
      </c>
    </row>
    <row r="323" spans="1:3" x14ac:dyDescent="0.2">
      <c r="A323" s="2">
        <v>44663</v>
      </c>
      <c r="B323" s="1" t="s">
        <v>6</v>
      </c>
      <c r="C323" s="1">
        <v>95.1</v>
      </c>
    </row>
    <row r="324" spans="1:3" x14ac:dyDescent="0.2">
      <c r="A324" s="2">
        <v>44664</v>
      </c>
      <c r="B324" s="1" t="s">
        <v>6</v>
      </c>
      <c r="C324" s="1">
        <v>97.74</v>
      </c>
    </row>
    <row r="325" spans="1:3" x14ac:dyDescent="0.2">
      <c r="A325" s="2">
        <v>44665</v>
      </c>
      <c r="B325" s="1" t="s">
        <v>6</v>
      </c>
      <c r="C325" s="1">
        <v>93.06</v>
      </c>
    </row>
    <row r="326" spans="1:3" x14ac:dyDescent="0.2">
      <c r="A326" s="2">
        <v>44669</v>
      </c>
      <c r="B326" s="1" t="s">
        <v>6</v>
      </c>
      <c r="C326" s="1">
        <v>93.89</v>
      </c>
    </row>
    <row r="327" spans="1:3" x14ac:dyDescent="0.2">
      <c r="A327" s="2">
        <v>44670</v>
      </c>
      <c r="B327" s="1" t="s">
        <v>6</v>
      </c>
      <c r="C327" s="1">
        <v>96.93</v>
      </c>
    </row>
    <row r="328" spans="1:3" x14ac:dyDescent="0.2">
      <c r="A328" s="2">
        <v>44671</v>
      </c>
      <c r="B328" s="1" t="s">
        <v>6</v>
      </c>
      <c r="C328" s="1">
        <v>94.02</v>
      </c>
    </row>
    <row r="329" spans="1:3" x14ac:dyDescent="0.2">
      <c r="A329" s="2">
        <v>44672</v>
      </c>
      <c r="B329" s="1" t="s">
        <v>6</v>
      </c>
      <c r="C329" s="1">
        <v>89.85</v>
      </c>
    </row>
    <row r="330" spans="1:3" x14ac:dyDescent="0.2">
      <c r="A330" s="2">
        <v>44673</v>
      </c>
      <c r="B330" s="1" t="s">
        <v>6</v>
      </c>
      <c r="C330" s="1">
        <v>88.14</v>
      </c>
    </row>
    <row r="331" spans="1:3" x14ac:dyDescent="0.2">
      <c r="A331" s="2">
        <v>44676</v>
      </c>
      <c r="B331" s="1" t="s">
        <v>6</v>
      </c>
      <c r="C331" s="1">
        <v>90.69</v>
      </c>
    </row>
    <row r="332" spans="1:3" x14ac:dyDescent="0.2">
      <c r="A332" s="2">
        <v>44677</v>
      </c>
      <c r="B332" s="1" t="s">
        <v>6</v>
      </c>
      <c r="C332" s="1">
        <v>85.16</v>
      </c>
    </row>
    <row r="333" spans="1:3" x14ac:dyDescent="0.2">
      <c r="A333" s="2">
        <v>44678</v>
      </c>
      <c r="B333" s="1" t="s">
        <v>6</v>
      </c>
      <c r="C333" s="1">
        <v>84.91</v>
      </c>
    </row>
    <row r="334" spans="1:3" x14ac:dyDescent="0.2">
      <c r="A334" s="2">
        <v>44679</v>
      </c>
      <c r="B334" s="1" t="s">
        <v>6</v>
      </c>
      <c r="C334" s="1">
        <v>89.64</v>
      </c>
    </row>
    <row r="335" spans="1:3" x14ac:dyDescent="0.2">
      <c r="A335" s="2">
        <v>44680</v>
      </c>
      <c r="B335" s="1" t="s">
        <v>6</v>
      </c>
      <c r="C335" s="1">
        <v>85.52</v>
      </c>
    </row>
    <row r="336" spans="1:3" x14ac:dyDescent="0.2">
      <c r="A336" s="2">
        <v>44683</v>
      </c>
      <c r="B336" s="1" t="s">
        <v>6</v>
      </c>
      <c r="C336" s="1">
        <v>89.84</v>
      </c>
    </row>
    <row r="337" spans="1:3" x14ac:dyDescent="0.2">
      <c r="A337" s="2">
        <v>44684</v>
      </c>
      <c r="B337" s="1" t="s">
        <v>6</v>
      </c>
      <c r="C337" s="1">
        <v>91.13</v>
      </c>
    </row>
    <row r="338" spans="1:3" x14ac:dyDescent="0.2">
      <c r="A338" s="2">
        <v>44685</v>
      </c>
      <c r="B338" s="1" t="s">
        <v>6</v>
      </c>
      <c r="C338" s="1">
        <v>99.42</v>
      </c>
    </row>
    <row r="339" spans="1:3" x14ac:dyDescent="0.2">
      <c r="A339" s="2">
        <v>44686</v>
      </c>
      <c r="B339" s="1" t="s">
        <v>6</v>
      </c>
      <c r="C339" s="1">
        <v>93.87</v>
      </c>
    </row>
    <row r="340" spans="1:3" x14ac:dyDescent="0.2">
      <c r="A340" s="2">
        <v>44687</v>
      </c>
      <c r="B340" s="1" t="s">
        <v>6</v>
      </c>
      <c r="C340" s="1">
        <v>95.34</v>
      </c>
    </row>
    <row r="341" spans="1:3" x14ac:dyDescent="0.2">
      <c r="A341" s="2">
        <v>44690</v>
      </c>
      <c r="B341" s="1" t="s">
        <v>6</v>
      </c>
      <c r="C341" s="1">
        <v>86.36</v>
      </c>
    </row>
    <row r="342" spans="1:3" x14ac:dyDescent="0.2">
      <c r="A342" s="2">
        <v>44691</v>
      </c>
      <c r="B342" s="1" t="s">
        <v>6</v>
      </c>
      <c r="C342" s="1">
        <v>88.73</v>
      </c>
    </row>
    <row r="343" spans="1:3" x14ac:dyDescent="0.2">
      <c r="A343" s="2">
        <v>44692</v>
      </c>
      <c r="B343" s="1" t="s">
        <v>6</v>
      </c>
      <c r="C343" s="1">
        <v>87.92</v>
      </c>
    </row>
    <row r="344" spans="1:3" x14ac:dyDescent="0.2">
      <c r="A344" s="2">
        <v>44693</v>
      </c>
      <c r="B344" s="1" t="s">
        <v>6</v>
      </c>
      <c r="C344" s="1">
        <v>87.06</v>
      </c>
    </row>
    <row r="345" spans="1:3" x14ac:dyDescent="0.2">
      <c r="A345" s="2">
        <v>44694</v>
      </c>
      <c r="B345" s="1" t="s">
        <v>6</v>
      </c>
      <c r="C345" s="1">
        <v>95.12</v>
      </c>
    </row>
    <row r="346" spans="1:3" x14ac:dyDescent="0.2">
      <c r="A346" s="2">
        <v>44697</v>
      </c>
      <c r="B346" s="1" t="s">
        <v>6</v>
      </c>
      <c r="C346" s="1">
        <v>94.24</v>
      </c>
    </row>
    <row r="347" spans="1:3" x14ac:dyDescent="0.2">
      <c r="A347" s="2">
        <v>44698</v>
      </c>
      <c r="B347" s="1" t="s">
        <v>6</v>
      </c>
      <c r="C347" s="1">
        <v>102.47</v>
      </c>
    </row>
    <row r="348" spans="1:3" x14ac:dyDescent="0.2">
      <c r="A348" s="2">
        <v>44699</v>
      </c>
      <c r="B348" s="1" t="s">
        <v>6</v>
      </c>
      <c r="C348" s="1">
        <v>96.28</v>
      </c>
    </row>
    <row r="349" spans="1:3" x14ac:dyDescent="0.2">
      <c r="A349" s="2">
        <v>44700</v>
      </c>
      <c r="B349" s="1" t="s">
        <v>6</v>
      </c>
      <c r="C349" s="1">
        <v>96.67</v>
      </c>
    </row>
    <row r="350" spans="1:3" x14ac:dyDescent="0.2">
      <c r="A350" s="2">
        <v>44701</v>
      </c>
      <c r="B350" s="1" t="s">
        <v>6</v>
      </c>
      <c r="C350" s="1">
        <v>93.5</v>
      </c>
    </row>
    <row r="351" spans="1:3" x14ac:dyDescent="0.2">
      <c r="A351" s="2">
        <v>44704</v>
      </c>
      <c r="B351" s="1" t="s">
        <v>6</v>
      </c>
      <c r="C351" s="1">
        <v>95.07</v>
      </c>
    </row>
    <row r="352" spans="1:3" x14ac:dyDescent="0.2">
      <c r="A352" s="2">
        <v>44705</v>
      </c>
      <c r="B352" s="1" t="s">
        <v>6</v>
      </c>
      <c r="C352" s="1">
        <v>91.16</v>
      </c>
    </row>
    <row r="353" spans="1:3" x14ac:dyDescent="0.2">
      <c r="A353" s="2">
        <v>44706</v>
      </c>
      <c r="B353" s="1" t="s">
        <v>6</v>
      </c>
      <c r="C353" s="1">
        <v>92.65</v>
      </c>
    </row>
    <row r="354" spans="1:3" x14ac:dyDescent="0.2">
      <c r="A354" s="2">
        <v>44707</v>
      </c>
      <c r="B354" s="1" t="s">
        <v>6</v>
      </c>
      <c r="C354" s="1">
        <v>98.75</v>
      </c>
    </row>
    <row r="355" spans="1:3" x14ac:dyDescent="0.2">
      <c r="A355" s="2">
        <v>44708</v>
      </c>
      <c r="B355" s="1" t="s">
        <v>6</v>
      </c>
      <c r="C355" s="1">
        <v>102.26</v>
      </c>
    </row>
    <row r="356" spans="1:3" x14ac:dyDescent="0.2">
      <c r="A356" s="2">
        <v>44712</v>
      </c>
      <c r="B356" s="1" t="s">
        <v>6</v>
      </c>
      <c r="C356" s="1">
        <v>101.86</v>
      </c>
    </row>
    <row r="357" spans="1:3" x14ac:dyDescent="0.2">
      <c r="A357" s="2">
        <v>44713</v>
      </c>
      <c r="B357" s="1" t="s">
        <v>6</v>
      </c>
      <c r="C357" s="1">
        <v>101.22</v>
      </c>
    </row>
    <row r="358" spans="1:3" x14ac:dyDescent="0.2">
      <c r="A358" s="2">
        <v>44714</v>
      </c>
      <c r="B358" s="1" t="s">
        <v>6</v>
      </c>
      <c r="C358" s="1">
        <v>108.59</v>
      </c>
    </row>
    <row r="359" spans="1:3" x14ac:dyDescent="0.2">
      <c r="A359" s="2">
        <v>44715</v>
      </c>
      <c r="B359" s="1" t="s">
        <v>6</v>
      </c>
      <c r="C359" s="1">
        <v>106.3</v>
      </c>
    </row>
    <row r="360" spans="1:3" x14ac:dyDescent="0.2">
      <c r="A360" s="2">
        <v>44718</v>
      </c>
      <c r="B360" s="1" t="s">
        <v>6</v>
      </c>
      <c r="C360" s="1">
        <v>105.65</v>
      </c>
    </row>
    <row r="361" spans="1:3" x14ac:dyDescent="0.2">
      <c r="A361" s="2">
        <v>44719</v>
      </c>
      <c r="B361" s="1" t="s">
        <v>6</v>
      </c>
      <c r="C361" s="1">
        <v>105.28</v>
      </c>
    </row>
    <row r="362" spans="1:3" x14ac:dyDescent="0.2">
      <c r="A362" s="2">
        <v>44720</v>
      </c>
      <c r="B362" s="1" t="s">
        <v>6</v>
      </c>
      <c r="C362" s="1">
        <v>101.9</v>
      </c>
    </row>
    <row r="363" spans="1:3" x14ac:dyDescent="0.2">
      <c r="A363" s="2">
        <v>44721</v>
      </c>
      <c r="B363" s="1" t="s">
        <v>6</v>
      </c>
      <c r="C363" s="1">
        <v>98.8</v>
      </c>
    </row>
    <row r="364" spans="1:3" x14ac:dyDescent="0.2">
      <c r="A364" s="2">
        <v>44722</v>
      </c>
      <c r="B364" s="1" t="s">
        <v>6</v>
      </c>
      <c r="C364" s="1">
        <v>94.82</v>
      </c>
    </row>
    <row r="365" spans="1:3" x14ac:dyDescent="0.2">
      <c r="A365" s="2">
        <v>44725</v>
      </c>
      <c r="B365" s="1" t="s">
        <v>6</v>
      </c>
      <c r="C365" s="1">
        <v>86.99</v>
      </c>
    </row>
    <row r="366" spans="1:3" x14ac:dyDescent="0.2">
      <c r="A366" s="2">
        <v>44726</v>
      </c>
      <c r="B366" s="1" t="s">
        <v>6</v>
      </c>
      <c r="C366" s="1">
        <v>86.99</v>
      </c>
    </row>
    <row r="367" spans="1:3" x14ac:dyDescent="0.2">
      <c r="A367" s="2">
        <v>44727</v>
      </c>
      <c r="B367" s="1" t="s">
        <v>6</v>
      </c>
      <c r="C367" s="1">
        <v>89.3</v>
      </c>
    </row>
    <row r="368" spans="1:3" x14ac:dyDescent="0.2">
      <c r="A368" s="2">
        <v>44728</v>
      </c>
      <c r="B368" s="1" t="s">
        <v>6</v>
      </c>
      <c r="C368" s="1">
        <v>82.05</v>
      </c>
    </row>
    <row r="369" spans="1:3" x14ac:dyDescent="0.2">
      <c r="A369" s="2">
        <v>44729</v>
      </c>
      <c r="B369" s="1" t="s">
        <v>6</v>
      </c>
      <c r="C369" s="1">
        <v>81.569999999999993</v>
      </c>
    </row>
    <row r="370" spans="1:3" x14ac:dyDescent="0.2">
      <c r="A370" s="2">
        <v>44733</v>
      </c>
      <c r="B370" s="1" t="s">
        <v>6</v>
      </c>
      <c r="C370" s="1">
        <v>83.79</v>
      </c>
    </row>
    <row r="371" spans="1:3" x14ac:dyDescent="0.2">
      <c r="A371" s="2">
        <v>44734</v>
      </c>
      <c r="B371" s="1" t="s">
        <v>6</v>
      </c>
      <c r="C371" s="1">
        <v>83.75</v>
      </c>
    </row>
    <row r="372" spans="1:3" x14ac:dyDescent="0.2">
      <c r="A372" s="2">
        <v>44735</v>
      </c>
      <c r="B372" s="1" t="s">
        <v>6</v>
      </c>
      <c r="C372" s="1">
        <v>82.43</v>
      </c>
    </row>
    <row r="373" spans="1:3" x14ac:dyDescent="0.2">
      <c r="A373" s="2">
        <v>44736</v>
      </c>
      <c r="B373" s="1" t="s">
        <v>6</v>
      </c>
      <c r="C373" s="1">
        <v>87.08</v>
      </c>
    </row>
    <row r="374" spans="1:3" x14ac:dyDescent="0.2">
      <c r="A374" s="2">
        <v>44739</v>
      </c>
      <c r="B374" s="1" t="s">
        <v>6</v>
      </c>
      <c r="C374" s="1">
        <v>86.16</v>
      </c>
    </row>
    <row r="375" spans="1:3" x14ac:dyDescent="0.2">
      <c r="A375" s="2">
        <v>44740</v>
      </c>
      <c r="B375" s="1" t="s">
        <v>6</v>
      </c>
      <c r="C375" s="1">
        <v>80.78</v>
      </c>
    </row>
    <row r="376" spans="1:3" x14ac:dyDescent="0.2">
      <c r="A376" s="2">
        <v>44741</v>
      </c>
      <c r="B376" s="1" t="s">
        <v>6</v>
      </c>
      <c r="C376" s="1">
        <v>77.989999999999995</v>
      </c>
    </row>
    <row r="377" spans="1:3" x14ac:dyDescent="0.2">
      <c r="A377" s="2">
        <v>44742</v>
      </c>
      <c r="B377" s="1" t="s">
        <v>6</v>
      </c>
      <c r="C377" s="1">
        <v>76.47</v>
      </c>
    </row>
    <row r="378" spans="1:3" x14ac:dyDescent="0.2">
      <c r="A378" s="2">
        <v>44743</v>
      </c>
      <c r="B378" s="1" t="s">
        <v>6</v>
      </c>
      <c r="C378" s="1">
        <v>73.67</v>
      </c>
    </row>
    <row r="379" spans="1:3" x14ac:dyDescent="0.2">
      <c r="A379" s="2">
        <v>44747</v>
      </c>
      <c r="B379" s="1" t="s">
        <v>6</v>
      </c>
      <c r="C379" s="1">
        <v>75.2</v>
      </c>
    </row>
    <row r="380" spans="1:3" x14ac:dyDescent="0.2">
      <c r="A380" s="2">
        <v>44748</v>
      </c>
      <c r="B380" s="1" t="s">
        <v>6</v>
      </c>
      <c r="C380" s="1">
        <v>75.349999999999994</v>
      </c>
    </row>
    <row r="381" spans="1:3" x14ac:dyDescent="0.2">
      <c r="A381" s="2">
        <v>44749</v>
      </c>
      <c r="B381" s="1" t="s">
        <v>6</v>
      </c>
      <c r="C381" s="1">
        <v>79.3</v>
      </c>
    </row>
    <row r="382" spans="1:3" x14ac:dyDescent="0.2">
      <c r="A382" s="2">
        <v>44750</v>
      </c>
      <c r="B382" s="1" t="s">
        <v>6</v>
      </c>
      <c r="C382" s="1">
        <v>79.349999999999994</v>
      </c>
    </row>
    <row r="383" spans="1:3" x14ac:dyDescent="0.2">
      <c r="A383" s="2">
        <v>44753</v>
      </c>
      <c r="B383" s="1" t="s">
        <v>6</v>
      </c>
      <c r="C383" s="1">
        <v>76.95</v>
      </c>
    </row>
    <row r="384" spans="1:3" x14ac:dyDescent="0.2">
      <c r="A384" s="2">
        <v>44754</v>
      </c>
      <c r="B384" s="1" t="s">
        <v>6</v>
      </c>
      <c r="C384" s="1">
        <v>76.36</v>
      </c>
    </row>
    <row r="385" spans="1:3" x14ac:dyDescent="0.2">
      <c r="A385" s="2">
        <v>44755</v>
      </c>
      <c r="B385" s="1" t="s">
        <v>6</v>
      </c>
      <c r="C385" s="1">
        <v>77.52</v>
      </c>
    </row>
    <row r="386" spans="1:3" x14ac:dyDescent="0.2">
      <c r="A386" s="2">
        <v>44756</v>
      </c>
      <c r="B386" s="1" t="s">
        <v>6</v>
      </c>
      <c r="C386" s="1">
        <v>78.599999999999994</v>
      </c>
    </row>
    <row r="387" spans="1:3" x14ac:dyDescent="0.2">
      <c r="A387" s="2">
        <v>44757</v>
      </c>
      <c r="B387" s="1" t="s">
        <v>6</v>
      </c>
      <c r="C387" s="1">
        <v>81.11</v>
      </c>
    </row>
    <row r="388" spans="1:3" x14ac:dyDescent="0.2">
      <c r="A388" s="2">
        <v>44760</v>
      </c>
      <c r="B388" s="1" t="s">
        <v>6</v>
      </c>
      <c r="C388" s="1">
        <v>81.430000000000007</v>
      </c>
    </row>
    <row r="389" spans="1:3" x14ac:dyDescent="0.2">
      <c r="A389" s="2">
        <v>44761</v>
      </c>
      <c r="B389" s="1" t="s">
        <v>6</v>
      </c>
      <c r="C389" s="1">
        <v>85.88</v>
      </c>
    </row>
    <row r="390" spans="1:3" x14ac:dyDescent="0.2">
      <c r="A390" s="2">
        <v>44762</v>
      </c>
      <c r="B390" s="1" t="s">
        <v>6</v>
      </c>
      <c r="C390" s="1">
        <v>89.43</v>
      </c>
    </row>
    <row r="391" spans="1:3" x14ac:dyDescent="0.2">
      <c r="A391" s="2">
        <v>44763</v>
      </c>
      <c r="B391" s="1" t="s">
        <v>6</v>
      </c>
      <c r="C391" s="1">
        <v>91.09</v>
      </c>
    </row>
    <row r="392" spans="1:3" x14ac:dyDescent="0.2">
      <c r="A392" s="2">
        <v>44764</v>
      </c>
      <c r="B392" s="1" t="s">
        <v>6</v>
      </c>
      <c r="C392" s="1">
        <v>88.1</v>
      </c>
    </row>
    <row r="393" spans="1:3" x14ac:dyDescent="0.2">
      <c r="A393" s="2">
        <v>44767</v>
      </c>
      <c r="B393" s="1" t="s">
        <v>6</v>
      </c>
      <c r="C393" s="1">
        <v>87.54</v>
      </c>
    </row>
    <row r="394" spans="1:3" x14ac:dyDescent="0.2">
      <c r="A394" s="2">
        <v>44768</v>
      </c>
      <c r="B394" s="1" t="s">
        <v>6</v>
      </c>
      <c r="C394" s="1">
        <v>85.25</v>
      </c>
    </row>
    <row r="395" spans="1:3" x14ac:dyDescent="0.2">
      <c r="A395" s="2">
        <v>44769</v>
      </c>
      <c r="B395" s="1" t="s">
        <v>6</v>
      </c>
      <c r="C395" s="1">
        <v>89.82</v>
      </c>
    </row>
    <row r="396" spans="1:3" x14ac:dyDescent="0.2">
      <c r="A396" s="2">
        <v>44770</v>
      </c>
      <c r="B396" s="1" t="s">
        <v>6</v>
      </c>
      <c r="C396" s="1">
        <v>91.67</v>
      </c>
    </row>
    <row r="397" spans="1:3" x14ac:dyDescent="0.2">
      <c r="A397" s="2">
        <v>44771</v>
      </c>
      <c r="B397" s="1" t="s">
        <v>6</v>
      </c>
      <c r="C397" s="1">
        <v>94.47</v>
      </c>
    </row>
    <row r="398" spans="1:3" x14ac:dyDescent="0.2">
      <c r="A398" s="2">
        <v>44774</v>
      </c>
      <c r="B398" s="1" t="s">
        <v>6</v>
      </c>
      <c r="C398" s="1">
        <v>96.78</v>
      </c>
    </row>
    <row r="399" spans="1:3" x14ac:dyDescent="0.2">
      <c r="A399" s="2">
        <v>44775</v>
      </c>
      <c r="B399" s="1" t="s">
        <v>6</v>
      </c>
      <c r="C399" s="1">
        <v>99.29</v>
      </c>
    </row>
    <row r="400" spans="1:3" x14ac:dyDescent="0.2">
      <c r="A400" s="2">
        <v>44776</v>
      </c>
      <c r="B400" s="1" t="s">
        <v>6</v>
      </c>
      <c r="C400" s="1">
        <v>98.09</v>
      </c>
    </row>
    <row r="401" spans="1:3" x14ac:dyDescent="0.2">
      <c r="A401" s="2">
        <v>44777</v>
      </c>
      <c r="B401" s="1" t="s">
        <v>6</v>
      </c>
      <c r="C401" s="1">
        <v>103.91</v>
      </c>
    </row>
    <row r="402" spans="1:3" x14ac:dyDescent="0.2">
      <c r="A402" s="2">
        <v>44778</v>
      </c>
      <c r="B402" s="1" t="s">
        <v>6</v>
      </c>
      <c r="C402" s="1">
        <v>102.31</v>
      </c>
    </row>
    <row r="403" spans="1:3" x14ac:dyDescent="0.2">
      <c r="A403" s="2">
        <v>44781</v>
      </c>
      <c r="B403" s="1" t="s">
        <v>6</v>
      </c>
      <c r="C403" s="1">
        <v>100.07</v>
      </c>
    </row>
    <row r="404" spans="1:3" x14ac:dyDescent="0.2">
      <c r="A404" s="2">
        <v>44782</v>
      </c>
      <c r="B404" s="1" t="s">
        <v>6</v>
      </c>
      <c r="C404" s="1">
        <v>95.54</v>
      </c>
    </row>
    <row r="405" spans="1:3" x14ac:dyDescent="0.2">
      <c r="A405" s="2">
        <v>44783</v>
      </c>
      <c r="B405" s="1" t="s">
        <v>6</v>
      </c>
      <c r="C405" s="1">
        <v>99.05</v>
      </c>
    </row>
    <row r="406" spans="1:3" x14ac:dyDescent="0.2">
      <c r="A406" s="2">
        <v>44784</v>
      </c>
      <c r="B406" s="1" t="s">
        <v>6</v>
      </c>
      <c r="C406" s="1">
        <v>98.12</v>
      </c>
    </row>
    <row r="407" spans="1:3" x14ac:dyDescent="0.2">
      <c r="A407" s="2">
        <v>44785</v>
      </c>
      <c r="B407" s="1" t="s">
        <v>6</v>
      </c>
      <c r="C407" s="1">
        <v>100.83</v>
      </c>
    </row>
    <row r="408" spans="1:3" x14ac:dyDescent="0.2">
      <c r="A408" s="2">
        <v>44788</v>
      </c>
      <c r="B408" s="1" t="s">
        <v>6</v>
      </c>
      <c r="C408" s="1">
        <v>101.01</v>
      </c>
    </row>
    <row r="409" spans="1:3" x14ac:dyDescent="0.2">
      <c r="A409" s="2">
        <v>44789</v>
      </c>
      <c r="B409" s="1" t="s">
        <v>6</v>
      </c>
      <c r="C409" s="1">
        <v>100.2</v>
      </c>
    </row>
    <row r="410" spans="1:3" x14ac:dyDescent="0.2">
      <c r="A410" s="2">
        <v>44790</v>
      </c>
      <c r="B410" s="1" t="s">
        <v>6</v>
      </c>
      <c r="C410" s="1">
        <v>98.27</v>
      </c>
    </row>
    <row r="411" spans="1:3" x14ac:dyDescent="0.2">
      <c r="A411" s="2">
        <v>44791</v>
      </c>
      <c r="B411" s="1" t="s">
        <v>6</v>
      </c>
      <c r="C411" s="1">
        <v>100.44</v>
      </c>
    </row>
    <row r="412" spans="1:3" x14ac:dyDescent="0.2">
      <c r="A412" s="2">
        <v>44792</v>
      </c>
      <c r="B412" s="1" t="s">
        <v>6</v>
      </c>
      <c r="C412" s="1">
        <v>95.95</v>
      </c>
    </row>
    <row r="413" spans="1:3" x14ac:dyDescent="0.2">
      <c r="A413" s="2">
        <v>44795</v>
      </c>
      <c r="B413" s="1" t="s">
        <v>6</v>
      </c>
      <c r="C413" s="1">
        <v>92.84</v>
      </c>
    </row>
    <row r="414" spans="1:3" x14ac:dyDescent="0.2">
      <c r="A414" s="2">
        <v>44796</v>
      </c>
      <c r="B414" s="1" t="s">
        <v>6</v>
      </c>
      <c r="C414" s="1">
        <v>92.49</v>
      </c>
    </row>
    <row r="415" spans="1:3" x14ac:dyDescent="0.2">
      <c r="A415" s="2">
        <v>44797</v>
      </c>
      <c r="B415" s="1" t="s">
        <v>6</v>
      </c>
      <c r="C415" s="1">
        <v>92.73</v>
      </c>
    </row>
    <row r="416" spans="1:3" x14ac:dyDescent="0.2">
      <c r="A416" s="2">
        <v>44798</v>
      </c>
      <c r="B416" s="1" t="s">
        <v>6</v>
      </c>
      <c r="C416" s="1">
        <v>97.18</v>
      </c>
    </row>
    <row r="417" spans="1:3" x14ac:dyDescent="0.2">
      <c r="A417" s="2">
        <v>44799</v>
      </c>
      <c r="B417" s="1" t="s">
        <v>6</v>
      </c>
      <c r="C417" s="1">
        <v>91.18</v>
      </c>
    </row>
    <row r="418" spans="1:3" x14ac:dyDescent="0.2">
      <c r="A418" s="2">
        <v>44802</v>
      </c>
      <c r="B418" s="1" t="s">
        <v>6</v>
      </c>
      <c r="C418" s="1">
        <v>88.49</v>
      </c>
    </row>
    <row r="419" spans="1:3" x14ac:dyDescent="0.2">
      <c r="A419" s="2">
        <v>44803</v>
      </c>
      <c r="B419" s="1" t="s">
        <v>6</v>
      </c>
      <c r="C419" s="1">
        <v>86.94</v>
      </c>
    </row>
    <row r="420" spans="1:3" x14ac:dyDescent="0.2">
      <c r="A420" s="2">
        <v>44804</v>
      </c>
      <c r="B420" s="1" t="s">
        <v>6</v>
      </c>
      <c r="C420" s="1">
        <v>84.87</v>
      </c>
    </row>
    <row r="421" spans="1:3" x14ac:dyDescent="0.2">
      <c r="A421" s="2">
        <v>44805</v>
      </c>
      <c r="B421" s="1" t="s">
        <v>6</v>
      </c>
      <c r="C421" s="1">
        <v>82.33</v>
      </c>
    </row>
    <row r="422" spans="1:3" x14ac:dyDescent="0.2">
      <c r="A422" s="2">
        <v>44806</v>
      </c>
      <c r="B422" s="1" t="s">
        <v>6</v>
      </c>
      <c r="C422" s="1">
        <v>80.239999999999995</v>
      </c>
    </row>
    <row r="423" spans="1:3" x14ac:dyDescent="0.2">
      <c r="A423" s="2">
        <v>44810</v>
      </c>
      <c r="B423" s="1" t="s">
        <v>6</v>
      </c>
      <c r="C423" s="1">
        <v>78.72</v>
      </c>
    </row>
    <row r="424" spans="1:3" x14ac:dyDescent="0.2">
      <c r="A424" s="2">
        <v>44811</v>
      </c>
      <c r="B424" s="1" t="s">
        <v>6</v>
      </c>
      <c r="C424" s="1">
        <v>79.61</v>
      </c>
    </row>
    <row r="425" spans="1:3" x14ac:dyDescent="0.2">
      <c r="A425" s="2">
        <v>44812</v>
      </c>
      <c r="B425" s="1" t="s">
        <v>6</v>
      </c>
      <c r="C425" s="1">
        <v>82.78</v>
      </c>
    </row>
    <row r="426" spans="1:3" x14ac:dyDescent="0.2">
      <c r="A426" s="2">
        <v>44813</v>
      </c>
      <c r="B426" s="1" t="s">
        <v>6</v>
      </c>
      <c r="C426" s="1">
        <v>85.45</v>
      </c>
    </row>
    <row r="427" spans="1:3" x14ac:dyDescent="0.2">
      <c r="A427" s="2">
        <v>44816</v>
      </c>
      <c r="B427" s="1" t="s">
        <v>6</v>
      </c>
      <c r="C427" s="1">
        <v>84.64</v>
      </c>
    </row>
    <row r="428" spans="1:3" x14ac:dyDescent="0.2">
      <c r="A428" s="2">
        <v>44817</v>
      </c>
      <c r="B428" s="1" t="s">
        <v>6</v>
      </c>
      <c r="C428" s="1">
        <v>77.03</v>
      </c>
    </row>
    <row r="429" spans="1:3" x14ac:dyDescent="0.2">
      <c r="A429" s="2">
        <v>44818</v>
      </c>
      <c r="B429" s="1" t="s">
        <v>6</v>
      </c>
      <c r="C429" s="1">
        <v>77.45</v>
      </c>
    </row>
    <row r="430" spans="1:3" x14ac:dyDescent="0.2">
      <c r="A430" s="2">
        <v>44819</v>
      </c>
      <c r="B430" s="1" t="s">
        <v>6</v>
      </c>
      <c r="C430" s="1">
        <v>76.66</v>
      </c>
    </row>
    <row r="431" spans="1:3" x14ac:dyDescent="0.2">
      <c r="A431" s="2">
        <v>44820</v>
      </c>
      <c r="B431" s="1" t="s">
        <v>6</v>
      </c>
      <c r="C431" s="1">
        <v>76.510000000000005</v>
      </c>
    </row>
    <row r="432" spans="1:3" x14ac:dyDescent="0.2">
      <c r="A432" s="2">
        <v>44823</v>
      </c>
      <c r="B432" s="1" t="s">
        <v>6</v>
      </c>
      <c r="C432" s="1">
        <v>76.77</v>
      </c>
    </row>
    <row r="433" spans="1:3" x14ac:dyDescent="0.2">
      <c r="A433" s="2">
        <v>44824</v>
      </c>
      <c r="B433" s="1" t="s">
        <v>6</v>
      </c>
      <c r="C433" s="1">
        <v>75.25</v>
      </c>
    </row>
    <row r="434" spans="1:3" x14ac:dyDescent="0.2">
      <c r="A434" s="2">
        <v>44825</v>
      </c>
      <c r="B434" s="1" t="s">
        <v>6</v>
      </c>
      <c r="C434" s="1">
        <v>74.48</v>
      </c>
    </row>
    <row r="435" spans="1:3" x14ac:dyDescent="0.2">
      <c r="A435" s="2">
        <v>44826</v>
      </c>
      <c r="B435" s="1" t="s">
        <v>6</v>
      </c>
      <c r="C435" s="1">
        <v>69.5</v>
      </c>
    </row>
    <row r="436" spans="1:3" x14ac:dyDescent="0.2">
      <c r="A436" s="2">
        <v>44827</v>
      </c>
      <c r="B436" s="1" t="s">
        <v>6</v>
      </c>
      <c r="C436" s="1">
        <v>67.959999999999994</v>
      </c>
    </row>
    <row r="437" spans="1:3" x14ac:dyDescent="0.2">
      <c r="A437" s="2">
        <v>44830</v>
      </c>
      <c r="B437" s="1" t="s">
        <v>6</v>
      </c>
      <c r="C437" s="1">
        <v>66.3</v>
      </c>
    </row>
    <row r="438" spans="1:3" x14ac:dyDescent="0.2">
      <c r="A438" s="2">
        <v>44831</v>
      </c>
      <c r="B438" s="1" t="s">
        <v>6</v>
      </c>
      <c r="C438" s="1">
        <v>67.17</v>
      </c>
    </row>
    <row r="439" spans="1:3" x14ac:dyDescent="0.2">
      <c r="A439" s="2">
        <v>44832</v>
      </c>
      <c r="B439" s="1" t="s">
        <v>6</v>
      </c>
      <c r="C439" s="1">
        <v>68.36</v>
      </c>
    </row>
    <row r="440" spans="1:3" x14ac:dyDescent="0.2">
      <c r="A440" s="2">
        <v>44833</v>
      </c>
      <c r="B440" s="1" t="s">
        <v>6</v>
      </c>
      <c r="C440" s="1">
        <v>64.14</v>
      </c>
    </row>
    <row r="441" spans="1:3" x14ac:dyDescent="0.2">
      <c r="A441" s="2">
        <v>44834</v>
      </c>
      <c r="B441" s="1" t="s">
        <v>6</v>
      </c>
      <c r="C441" s="1">
        <v>63.36</v>
      </c>
    </row>
    <row r="442" spans="1:3" x14ac:dyDescent="0.2">
      <c r="A442" s="2">
        <v>44837</v>
      </c>
      <c r="B442" s="1" t="s">
        <v>6</v>
      </c>
      <c r="C442" s="1">
        <v>66.11</v>
      </c>
    </row>
    <row r="443" spans="1:3" x14ac:dyDescent="0.2">
      <c r="A443" s="2">
        <v>44838</v>
      </c>
      <c r="B443" s="1" t="s">
        <v>6</v>
      </c>
      <c r="C443" s="1">
        <v>67.900000000000006</v>
      </c>
    </row>
    <row r="444" spans="1:3" x14ac:dyDescent="0.2">
      <c r="A444" s="2">
        <v>44839</v>
      </c>
      <c r="B444" s="1" t="s">
        <v>6</v>
      </c>
      <c r="C444" s="1">
        <v>67.94</v>
      </c>
    </row>
    <row r="445" spans="1:3" x14ac:dyDescent="0.2">
      <c r="A445" s="2">
        <v>44840</v>
      </c>
      <c r="B445" s="1" t="s">
        <v>6</v>
      </c>
      <c r="C445" s="1">
        <v>67.849999999999994</v>
      </c>
    </row>
    <row r="446" spans="1:3" x14ac:dyDescent="0.2">
      <c r="A446" s="2">
        <v>44841</v>
      </c>
      <c r="B446" s="1" t="s">
        <v>6</v>
      </c>
      <c r="C446" s="1">
        <v>58.44</v>
      </c>
    </row>
    <row r="447" spans="1:3" x14ac:dyDescent="0.2">
      <c r="A447" s="2">
        <v>44844</v>
      </c>
      <c r="B447" s="1" t="s">
        <v>6</v>
      </c>
      <c r="C447" s="1">
        <v>57.81</v>
      </c>
    </row>
    <row r="448" spans="1:3" x14ac:dyDescent="0.2">
      <c r="A448" s="2">
        <v>44845</v>
      </c>
      <c r="B448" s="1" t="s">
        <v>6</v>
      </c>
      <c r="C448" s="1">
        <v>57.63</v>
      </c>
    </row>
    <row r="449" spans="1:3" x14ac:dyDescent="0.2">
      <c r="A449" s="2">
        <v>44846</v>
      </c>
      <c r="B449" s="1" t="s">
        <v>6</v>
      </c>
      <c r="C449" s="1">
        <v>57.85</v>
      </c>
    </row>
    <row r="450" spans="1:3" x14ac:dyDescent="0.2">
      <c r="A450" s="2">
        <v>44847</v>
      </c>
      <c r="B450" s="1" t="s">
        <v>6</v>
      </c>
      <c r="C450" s="1">
        <v>58.94</v>
      </c>
    </row>
    <row r="451" spans="1:3" x14ac:dyDescent="0.2">
      <c r="A451" s="2">
        <v>44848</v>
      </c>
      <c r="B451" s="1" t="s">
        <v>6</v>
      </c>
      <c r="C451" s="1">
        <v>55.94</v>
      </c>
    </row>
    <row r="452" spans="1:3" x14ac:dyDescent="0.2">
      <c r="A452" s="2">
        <v>44851</v>
      </c>
      <c r="B452" s="1" t="s">
        <v>6</v>
      </c>
      <c r="C452" s="1">
        <v>57.96</v>
      </c>
    </row>
    <row r="453" spans="1:3" x14ac:dyDescent="0.2">
      <c r="A453" s="2">
        <v>44852</v>
      </c>
      <c r="B453" s="1" t="s">
        <v>6</v>
      </c>
      <c r="C453" s="1">
        <v>57.92</v>
      </c>
    </row>
    <row r="454" spans="1:3" x14ac:dyDescent="0.2">
      <c r="A454" s="2">
        <v>44853</v>
      </c>
      <c r="B454" s="1" t="s">
        <v>6</v>
      </c>
      <c r="C454" s="1">
        <v>57.23</v>
      </c>
    </row>
    <row r="455" spans="1:3" x14ac:dyDescent="0.2">
      <c r="A455" s="2">
        <v>44854</v>
      </c>
      <c r="B455" s="1" t="s">
        <v>6</v>
      </c>
      <c r="C455" s="1">
        <v>57.77</v>
      </c>
    </row>
    <row r="456" spans="1:3" x14ac:dyDescent="0.2">
      <c r="A456" s="2">
        <v>44855</v>
      </c>
      <c r="B456" s="1" t="s">
        <v>6</v>
      </c>
      <c r="C456" s="1">
        <v>58.82</v>
      </c>
    </row>
    <row r="457" spans="1:3" x14ac:dyDescent="0.2">
      <c r="A457" s="2">
        <v>44858</v>
      </c>
      <c r="B457" s="1" t="s">
        <v>6</v>
      </c>
      <c r="C457" s="1">
        <v>58.7</v>
      </c>
    </row>
    <row r="458" spans="1:3" x14ac:dyDescent="0.2">
      <c r="A458" s="2">
        <v>44859</v>
      </c>
      <c r="B458" s="1" t="s">
        <v>6</v>
      </c>
      <c r="C458" s="1">
        <v>61.47</v>
      </c>
    </row>
    <row r="459" spans="1:3" x14ac:dyDescent="0.2">
      <c r="A459" s="2">
        <v>44860</v>
      </c>
      <c r="B459" s="1" t="s">
        <v>6</v>
      </c>
      <c r="C459" s="1">
        <v>59.73</v>
      </c>
    </row>
    <row r="460" spans="1:3" x14ac:dyDescent="0.2">
      <c r="A460" s="2">
        <v>44861</v>
      </c>
      <c r="B460" s="1" t="s">
        <v>6</v>
      </c>
      <c r="C460" s="1">
        <v>58.6</v>
      </c>
    </row>
    <row r="461" spans="1:3" x14ac:dyDescent="0.2">
      <c r="A461" s="2">
        <v>44862</v>
      </c>
      <c r="B461" s="1" t="s">
        <v>6</v>
      </c>
      <c r="C461" s="1">
        <v>62.01</v>
      </c>
    </row>
    <row r="462" spans="1:3" x14ac:dyDescent="0.2">
      <c r="A462" s="2">
        <v>44865</v>
      </c>
      <c r="B462" s="1" t="s">
        <v>6</v>
      </c>
      <c r="C462" s="1">
        <v>60.06</v>
      </c>
    </row>
    <row r="463" spans="1:3" x14ac:dyDescent="0.2">
      <c r="A463" s="2">
        <v>44866</v>
      </c>
      <c r="B463" s="1" t="s">
        <v>6</v>
      </c>
      <c r="C463" s="1">
        <v>59.66</v>
      </c>
    </row>
    <row r="464" spans="1:3" x14ac:dyDescent="0.2">
      <c r="A464" s="2">
        <v>44867</v>
      </c>
      <c r="B464" s="1" t="s">
        <v>6</v>
      </c>
      <c r="C464" s="1">
        <v>58.63</v>
      </c>
    </row>
    <row r="465" spans="1:3" x14ac:dyDescent="0.2">
      <c r="A465" s="2">
        <v>44868</v>
      </c>
      <c r="B465" s="1" t="s">
        <v>6</v>
      </c>
      <c r="C465" s="1">
        <v>60.11</v>
      </c>
    </row>
    <row r="466" spans="1:3" x14ac:dyDescent="0.2">
      <c r="A466" s="2">
        <v>44869</v>
      </c>
      <c r="B466" s="1" t="s">
        <v>6</v>
      </c>
      <c r="C466" s="1">
        <v>62.19</v>
      </c>
    </row>
    <row r="467" spans="1:3" x14ac:dyDescent="0.2">
      <c r="A467" s="2">
        <v>44872</v>
      </c>
      <c r="B467" s="1" t="s">
        <v>6</v>
      </c>
      <c r="C467" s="1">
        <v>63.08</v>
      </c>
    </row>
    <row r="468" spans="1:3" x14ac:dyDescent="0.2">
      <c r="A468" s="2">
        <v>44873</v>
      </c>
      <c r="B468" s="1" t="s">
        <v>6</v>
      </c>
      <c r="C468" s="1">
        <v>63.85</v>
      </c>
    </row>
    <row r="469" spans="1:3" x14ac:dyDescent="0.2">
      <c r="A469" s="2">
        <v>44874</v>
      </c>
      <c r="B469" s="1" t="s">
        <v>6</v>
      </c>
      <c r="C469" s="1">
        <v>59.92</v>
      </c>
    </row>
    <row r="470" spans="1:3" x14ac:dyDescent="0.2">
      <c r="A470" s="2">
        <v>44875</v>
      </c>
      <c r="B470" s="1" t="s">
        <v>6</v>
      </c>
      <c r="C470" s="1">
        <v>68.47</v>
      </c>
    </row>
    <row r="471" spans="1:3" x14ac:dyDescent="0.2">
      <c r="A471" s="2">
        <v>44876</v>
      </c>
      <c r="B471" s="1" t="s">
        <v>6</v>
      </c>
      <c r="C471" s="1">
        <v>72.37</v>
      </c>
    </row>
    <row r="472" spans="1:3" x14ac:dyDescent="0.2">
      <c r="A472" s="2">
        <v>44879</v>
      </c>
      <c r="B472" s="1" t="s">
        <v>6</v>
      </c>
      <c r="C472" s="1">
        <v>73.53</v>
      </c>
    </row>
    <row r="473" spans="1:3" x14ac:dyDescent="0.2">
      <c r="A473" s="2">
        <v>44880</v>
      </c>
      <c r="B473" s="1" t="s">
        <v>6</v>
      </c>
      <c r="C473" s="1">
        <v>76.37</v>
      </c>
    </row>
    <row r="474" spans="1:3" x14ac:dyDescent="0.2">
      <c r="A474" s="2">
        <v>44881</v>
      </c>
      <c r="B474" s="1" t="s">
        <v>6</v>
      </c>
      <c r="C474" s="1">
        <v>72.7</v>
      </c>
    </row>
    <row r="475" spans="1:3" x14ac:dyDescent="0.2">
      <c r="A475" s="2">
        <v>44882</v>
      </c>
      <c r="B475" s="1" t="s">
        <v>6</v>
      </c>
      <c r="C475" s="1">
        <v>73.900000000000006</v>
      </c>
    </row>
    <row r="476" spans="1:3" x14ac:dyDescent="0.2">
      <c r="A476" s="2">
        <v>44883</v>
      </c>
      <c r="B476" s="1" t="s">
        <v>6</v>
      </c>
      <c r="C476" s="1">
        <v>73.569999999999993</v>
      </c>
    </row>
    <row r="477" spans="1:3" x14ac:dyDescent="0.2">
      <c r="A477" s="2">
        <v>44886</v>
      </c>
      <c r="B477" s="1" t="s">
        <v>6</v>
      </c>
      <c r="C477" s="1">
        <v>72.459999999999994</v>
      </c>
    </row>
    <row r="478" spans="1:3" x14ac:dyDescent="0.2">
      <c r="A478" s="2">
        <v>44887</v>
      </c>
      <c r="B478" s="1" t="s">
        <v>6</v>
      </c>
      <c r="C478" s="1">
        <v>75.25</v>
      </c>
    </row>
    <row r="479" spans="1:3" x14ac:dyDescent="0.2">
      <c r="A479" s="2">
        <v>44888</v>
      </c>
      <c r="B479" s="1" t="s">
        <v>6</v>
      </c>
      <c r="C479" s="1">
        <v>76.400000000000006</v>
      </c>
    </row>
    <row r="480" spans="1:3" x14ac:dyDescent="0.2">
      <c r="A480" s="2">
        <v>44890</v>
      </c>
      <c r="B480" s="1" t="s">
        <v>6</v>
      </c>
      <c r="C480" s="1">
        <v>75.14</v>
      </c>
    </row>
    <row r="481" spans="1:3" x14ac:dyDescent="0.2">
      <c r="A481" s="2">
        <v>44893</v>
      </c>
      <c r="B481" s="1" t="s">
        <v>6</v>
      </c>
      <c r="C481" s="1">
        <v>73.19</v>
      </c>
    </row>
    <row r="482" spans="1:3" x14ac:dyDescent="0.2">
      <c r="A482" s="2">
        <v>44894</v>
      </c>
      <c r="B482" s="1" t="s">
        <v>6</v>
      </c>
      <c r="C482" s="1">
        <v>73.39</v>
      </c>
    </row>
    <row r="483" spans="1:3" x14ac:dyDescent="0.2">
      <c r="A483" s="2">
        <v>44895</v>
      </c>
      <c r="B483" s="1" t="s">
        <v>6</v>
      </c>
      <c r="C483" s="1">
        <v>77.63</v>
      </c>
    </row>
    <row r="484" spans="1:3" x14ac:dyDescent="0.2">
      <c r="A484" s="2">
        <v>44896</v>
      </c>
      <c r="B484" s="1" t="s">
        <v>6</v>
      </c>
      <c r="C484" s="1">
        <v>77.48</v>
      </c>
    </row>
    <row r="485" spans="1:3" x14ac:dyDescent="0.2">
      <c r="A485" s="2">
        <v>44897</v>
      </c>
      <c r="B485" s="1" t="s">
        <v>6</v>
      </c>
      <c r="C485" s="1">
        <v>74.98</v>
      </c>
    </row>
    <row r="486" spans="1:3" x14ac:dyDescent="0.2">
      <c r="A486" s="2">
        <v>44900</v>
      </c>
      <c r="B486" s="1" t="s">
        <v>6</v>
      </c>
      <c r="C486" s="1">
        <v>73.62</v>
      </c>
    </row>
    <row r="487" spans="1:3" x14ac:dyDescent="0.2">
      <c r="A487" s="2">
        <v>44901</v>
      </c>
      <c r="B487" s="1" t="s">
        <v>6</v>
      </c>
      <c r="C487" s="1">
        <v>70.27</v>
      </c>
    </row>
    <row r="488" spans="1:3" x14ac:dyDescent="0.2">
      <c r="A488" s="2">
        <v>44902</v>
      </c>
      <c r="B488" s="1" t="s">
        <v>6</v>
      </c>
      <c r="C488" s="1">
        <v>70.14</v>
      </c>
    </row>
    <row r="489" spans="1:3" x14ac:dyDescent="0.2">
      <c r="A489" s="2">
        <v>44903</v>
      </c>
      <c r="B489" s="1" t="s">
        <v>6</v>
      </c>
      <c r="C489" s="1">
        <v>70.47</v>
      </c>
    </row>
    <row r="490" spans="1:3" x14ac:dyDescent="0.2">
      <c r="A490" s="2">
        <v>44904</v>
      </c>
      <c r="B490" s="1" t="s">
        <v>6</v>
      </c>
      <c r="C490" s="1">
        <v>68.59</v>
      </c>
    </row>
    <row r="491" spans="1:3" x14ac:dyDescent="0.2">
      <c r="A491" s="2">
        <v>44907</v>
      </c>
      <c r="B491" s="1" t="s">
        <v>6</v>
      </c>
      <c r="C491" s="1">
        <v>70.67</v>
      </c>
    </row>
    <row r="492" spans="1:3" x14ac:dyDescent="0.2">
      <c r="A492" s="2">
        <v>44908</v>
      </c>
      <c r="B492" s="1" t="s">
        <v>6</v>
      </c>
      <c r="C492" s="1">
        <v>71.650000000000006</v>
      </c>
    </row>
    <row r="493" spans="1:3" x14ac:dyDescent="0.2">
      <c r="A493" s="2">
        <v>44909</v>
      </c>
      <c r="B493" s="1" t="s">
        <v>6</v>
      </c>
      <c r="C493" s="1">
        <v>68.930000000000007</v>
      </c>
    </row>
    <row r="494" spans="1:3" x14ac:dyDescent="0.2">
      <c r="A494" s="2">
        <v>44910</v>
      </c>
      <c r="B494" s="1" t="s">
        <v>6</v>
      </c>
      <c r="C494" s="1">
        <v>66.53</v>
      </c>
    </row>
    <row r="495" spans="1:3" x14ac:dyDescent="0.2">
      <c r="A495" s="2">
        <v>44911</v>
      </c>
      <c r="B495" s="1" t="s">
        <v>6</v>
      </c>
      <c r="C495" s="1">
        <v>65.41</v>
      </c>
    </row>
    <row r="496" spans="1:3" x14ac:dyDescent="0.2">
      <c r="A496" s="2">
        <v>44914</v>
      </c>
      <c r="B496" s="1" t="s">
        <v>6</v>
      </c>
      <c r="C496" s="1">
        <v>64.59</v>
      </c>
    </row>
    <row r="497" spans="1:3" x14ac:dyDescent="0.2">
      <c r="A497" s="2">
        <v>44915</v>
      </c>
      <c r="B497" s="1" t="s">
        <v>6</v>
      </c>
      <c r="C497" s="1">
        <v>65.05</v>
      </c>
    </row>
    <row r="498" spans="1:3" x14ac:dyDescent="0.2">
      <c r="A498" s="2">
        <v>44916</v>
      </c>
      <c r="B498" s="1" t="s">
        <v>6</v>
      </c>
      <c r="C498" s="1">
        <v>67.680000000000007</v>
      </c>
    </row>
    <row r="499" spans="1:3" x14ac:dyDescent="0.2">
      <c r="A499" s="2">
        <v>44917</v>
      </c>
      <c r="B499" s="1" t="s">
        <v>6</v>
      </c>
      <c r="C499" s="1">
        <v>63.86</v>
      </c>
    </row>
    <row r="500" spans="1:3" x14ac:dyDescent="0.2">
      <c r="A500" s="2">
        <v>44918</v>
      </c>
      <c r="B500" s="1" t="s">
        <v>6</v>
      </c>
      <c r="C500" s="1">
        <v>64.52</v>
      </c>
    </row>
    <row r="501" spans="1:3" x14ac:dyDescent="0.2">
      <c r="A501" s="2">
        <v>44922</v>
      </c>
      <c r="B501" s="1" t="s">
        <v>6</v>
      </c>
      <c r="C501" s="1">
        <v>63.27</v>
      </c>
    </row>
    <row r="502" spans="1:3" x14ac:dyDescent="0.2">
      <c r="A502" s="2">
        <v>44923</v>
      </c>
      <c r="B502" s="1" t="s">
        <v>6</v>
      </c>
      <c r="C502" s="1">
        <v>62.57</v>
      </c>
    </row>
    <row r="503" spans="1:3" x14ac:dyDescent="0.2">
      <c r="A503" s="2">
        <v>44924</v>
      </c>
      <c r="B503" s="1" t="s">
        <v>6</v>
      </c>
      <c r="C503" s="1">
        <v>64.819999999999993</v>
      </c>
    </row>
    <row r="504" spans="1:3" x14ac:dyDescent="0.2">
      <c r="A504" s="2">
        <v>44925</v>
      </c>
      <c r="B504" s="1" t="s">
        <v>6</v>
      </c>
      <c r="C504" s="1">
        <v>64.77</v>
      </c>
    </row>
    <row r="505" spans="1:3" x14ac:dyDescent="0.2">
      <c r="A505" s="2">
        <v>44929</v>
      </c>
      <c r="B505" s="1" t="s">
        <v>6</v>
      </c>
      <c r="C505" s="1">
        <v>64.02</v>
      </c>
    </row>
    <row r="506" spans="1:3" x14ac:dyDescent="0.2">
      <c r="A506" s="2">
        <v>44930</v>
      </c>
      <c r="B506" s="1" t="s">
        <v>6</v>
      </c>
      <c r="C506" s="1">
        <v>64.66</v>
      </c>
    </row>
    <row r="507" spans="1:3" x14ac:dyDescent="0.2">
      <c r="A507" s="2">
        <v>44931</v>
      </c>
      <c r="B507" s="1" t="s">
        <v>6</v>
      </c>
      <c r="C507" s="1">
        <v>62.33</v>
      </c>
    </row>
    <row r="508" spans="1:3" x14ac:dyDescent="0.2">
      <c r="A508" s="2">
        <v>44932</v>
      </c>
      <c r="B508" s="1" t="s">
        <v>6</v>
      </c>
      <c r="C508" s="1">
        <v>63.96</v>
      </c>
    </row>
    <row r="509" spans="1:3" x14ac:dyDescent="0.2">
      <c r="A509" s="2">
        <v>44935</v>
      </c>
      <c r="B509" s="1" t="s">
        <v>6</v>
      </c>
      <c r="C509" s="1">
        <v>67.239999999999995</v>
      </c>
    </row>
    <row r="510" spans="1:3" x14ac:dyDescent="0.2">
      <c r="A510" s="2">
        <v>44936</v>
      </c>
      <c r="B510" s="1" t="s">
        <v>6</v>
      </c>
      <c r="C510" s="1">
        <v>68.05</v>
      </c>
    </row>
    <row r="511" spans="1:3" x14ac:dyDescent="0.2">
      <c r="A511" s="2">
        <v>44937</v>
      </c>
      <c r="B511" s="1" t="s">
        <v>6</v>
      </c>
      <c r="C511" s="1">
        <v>69.06</v>
      </c>
    </row>
    <row r="512" spans="1:3" x14ac:dyDescent="0.2">
      <c r="A512" s="2">
        <v>44938</v>
      </c>
      <c r="B512" s="1" t="s">
        <v>6</v>
      </c>
      <c r="C512" s="1">
        <v>70.8</v>
      </c>
    </row>
    <row r="513" spans="1:3" x14ac:dyDescent="0.2">
      <c r="A513" s="2">
        <v>44939</v>
      </c>
      <c r="B513" s="1" t="s">
        <v>6</v>
      </c>
      <c r="C513" s="1">
        <v>71</v>
      </c>
    </row>
    <row r="514" spans="1:3" x14ac:dyDescent="0.2">
      <c r="A514" s="2">
        <v>44943</v>
      </c>
      <c r="B514" s="1" t="s">
        <v>6</v>
      </c>
      <c r="C514" s="1">
        <v>71.59</v>
      </c>
    </row>
    <row r="515" spans="1:3" x14ac:dyDescent="0.2">
      <c r="A515" s="2">
        <v>44944</v>
      </c>
      <c r="B515" s="1" t="s">
        <v>6</v>
      </c>
      <c r="C515" s="1">
        <v>70.53</v>
      </c>
    </row>
    <row r="516" spans="1:3" x14ac:dyDescent="0.2">
      <c r="A516" s="2">
        <v>44945</v>
      </c>
      <c r="B516" s="1" t="s">
        <v>6</v>
      </c>
      <c r="C516" s="1">
        <v>67.709999999999994</v>
      </c>
    </row>
    <row r="517" spans="1:3" x14ac:dyDescent="0.2">
      <c r="A517" s="2">
        <v>44946</v>
      </c>
      <c r="B517" s="1" t="s">
        <v>6</v>
      </c>
      <c r="C517" s="1">
        <v>70.069999999999993</v>
      </c>
    </row>
    <row r="518" spans="1:3" x14ac:dyDescent="0.2">
      <c r="A518" s="2">
        <v>44949</v>
      </c>
      <c r="B518" s="1" t="s">
        <v>6</v>
      </c>
      <c r="C518" s="1">
        <v>76.53</v>
      </c>
    </row>
    <row r="519" spans="1:3" x14ac:dyDescent="0.2">
      <c r="A519" s="2">
        <v>44950</v>
      </c>
      <c r="B519" s="1" t="s">
        <v>6</v>
      </c>
      <c r="C519" s="1">
        <v>74.7</v>
      </c>
    </row>
    <row r="520" spans="1:3" x14ac:dyDescent="0.2">
      <c r="A520" s="2">
        <v>44951</v>
      </c>
      <c r="B520" s="1" t="s">
        <v>6</v>
      </c>
      <c r="C520" s="1">
        <v>74.91</v>
      </c>
    </row>
    <row r="521" spans="1:3" x14ac:dyDescent="0.2">
      <c r="A521" s="2">
        <v>44952</v>
      </c>
      <c r="B521" s="1" t="s">
        <v>6</v>
      </c>
      <c r="C521" s="1">
        <v>75.16</v>
      </c>
    </row>
    <row r="522" spans="1:3" x14ac:dyDescent="0.2">
      <c r="A522" s="2">
        <v>44953</v>
      </c>
      <c r="B522" s="1" t="s">
        <v>6</v>
      </c>
      <c r="C522" s="1">
        <v>75.400000000000006</v>
      </c>
    </row>
    <row r="523" spans="1:3" x14ac:dyDescent="0.2">
      <c r="A523" s="2">
        <v>44956</v>
      </c>
      <c r="B523" s="1" t="s">
        <v>6</v>
      </c>
      <c r="C523" s="1">
        <v>72.45</v>
      </c>
    </row>
    <row r="524" spans="1:3" x14ac:dyDescent="0.2">
      <c r="A524" s="2">
        <v>44957</v>
      </c>
      <c r="B524" s="1" t="s">
        <v>6</v>
      </c>
      <c r="C524" s="1">
        <v>75.150000000000006</v>
      </c>
    </row>
    <row r="525" spans="1:3" x14ac:dyDescent="0.2">
      <c r="A525" s="2">
        <v>44958</v>
      </c>
      <c r="B525" s="1" t="s">
        <v>6</v>
      </c>
      <c r="C525" s="1">
        <v>84.64</v>
      </c>
    </row>
    <row r="526" spans="1:3" x14ac:dyDescent="0.2">
      <c r="A526" s="2">
        <v>44959</v>
      </c>
      <c r="B526" s="1" t="s">
        <v>6</v>
      </c>
      <c r="C526" s="1">
        <v>88.31</v>
      </c>
    </row>
    <row r="527" spans="1:3" x14ac:dyDescent="0.2">
      <c r="A527" s="2">
        <v>44960</v>
      </c>
      <c r="B527" s="1" t="s">
        <v>6</v>
      </c>
      <c r="C527" s="1">
        <v>86.09</v>
      </c>
    </row>
    <row r="528" spans="1:3" x14ac:dyDescent="0.2">
      <c r="A528" s="2">
        <v>44963</v>
      </c>
      <c r="B528" s="1" t="s">
        <v>6</v>
      </c>
      <c r="C528" s="1">
        <v>83.68</v>
      </c>
    </row>
    <row r="529" spans="1:3" x14ac:dyDescent="0.2">
      <c r="A529" s="2">
        <v>44964</v>
      </c>
      <c r="B529" s="1" t="s">
        <v>6</v>
      </c>
      <c r="C529" s="1">
        <v>85.91</v>
      </c>
    </row>
    <row r="530" spans="1:3" x14ac:dyDescent="0.2">
      <c r="A530" s="2">
        <v>44965</v>
      </c>
      <c r="B530" s="1" t="s">
        <v>6</v>
      </c>
      <c r="C530" s="1">
        <v>84.69</v>
      </c>
    </row>
    <row r="531" spans="1:3" x14ac:dyDescent="0.2">
      <c r="A531" s="2">
        <v>44966</v>
      </c>
      <c r="B531" s="1" t="s">
        <v>6</v>
      </c>
      <c r="C531" s="1">
        <v>83.21</v>
      </c>
    </row>
    <row r="532" spans="1:3" x14ac:dyDescent="0.2">
      <c r="A532" s="2">
        <v>44967</v>
      </c>
      <c r="B532" s="1" t="s">
        <v>6</v>
      </c>
      <c r="C532" s="1">
        <v>81.48</v>
      </c>
    </row>
    <row r="533" spans="1:3" x14ac:dyDescent="0.2">
      <c r="A533" s="2">
        <v>44970</v>
      </c>
      <c r="B533" s="1" t="s">
        <v>6</v>
      </c>
      <c r="C533" s="1">
        <v>83.13</v>
      </c>
    </row>
    <row r="534" spans="1:3" x14ac:dyDescent="0.2">
      <c r="A534" s="2">
        <v>44971</v>
      </c>
      <c r="B534" s="1" t="s">
        <v>6</v>
      </c>
      <c r="C534" s="1">
        <v>85.95</v>
      </c>
    </row>
    <row r="535" spans="1:3" x14ac:dyDescent="0.2">
      <c r="A535" s="2">
        <v>44972</v>
      </c>
      <c r="B535" s="1" t="s">
        <v>6</v>
      </c>
      <c r="C535" s="1">
        <v>85.18</v>
      </c>
    </row>
    <row r="536" spans="1:3" x14ac:dyDescent="0.2">
      <c r="A536" s="2">
        <v>44973</v>
      </c>
      <c r="B536" s="1" t="s">
        <v>6</v>
      </c>
      <c r="C536" s="1">
        <v>80.08</v>
      </c>
    </row>
    <row r="537" spans="1:3" x14ac:dyDescent="0.2">
      <c r="A537" s="2">
        <v>44974</v>
      </c>
      <c r="B537" s="1" t="s">
        <v>6</v>
      </c>
      <c r="C537" s="1">
        <v>78.5</v>
      </c>
    </row>
    <row r="538" spans="1:3" x14ac:dyDescent="0.2">
      <c r="A538" s="2">
        <v>44978</v>
      </c>
      <c r="B538" s="1" t="s">
        <v>6</v>
      </c>
      <c r="C538" s="1">
        <v>76.77</v>
      </c>
    </row>
    <row r="539" spans="1:3" x14ac:dyDescent="0.2">
      <c r="A539" s="2">
        <v>44979</v>
      </c>
      <c r="B539" s="1" t="s">
        <v>6</v>
      </c>
      <c r="C539" s="1">
        <v>76.61</v>
      </c>
    </row>
    <row r="540" spans="1:3" x14ac:dyDescent="0.2">
      <c r="A540" s="2">
        <v>44980</v>
      </c>
      <c r="B540" s="1" t="s">
        <v>6</v>
      </c>
      <c r="C540" s="1">
        <v>79.75</v>
      </c>
    </row>
    <row r="541" spans="1:3" x14ac:dyDescent="0.2">
      <c r="A541" s="2">
        <v>44981</v>
      </c>
      <c r="B541" s="1" t="s">
        <v>6</v>
      </c>
      <c r="C541" s="1">
        <v>78.09</v>
      </c>
    </row>
    <row r="542" spans="1:3" x14ac:dyDescent="0.2">
      <c r="A542" s="2">
        <v>44984</v>
      </c>
      <c r="B542" s="1" t="s">
        <v>6</v>
      </c>
      <c r="C542" s="1">
        <v>78.77</v>
      </c>
    </row>
    <row r="543" spans="1:3" x14ac:dyDescent="0.2">
      <c r="A543" s="2">
        <v>44985</v>
      </c>
      <c r="B543" s="1" t="s">
        <v>6</v>
      </c>
      <c r="C543" s="1">
        <v>78.58</v>
      </c>
    </row>
    <row r="544" spans="1:3" x14ac:dyDescent="0.2">
      <c r="A544" s="2">
        <v>44986</v>
      </c>
      <c r="B544" s="1" t="s">
        <v>6</v>
      </c>
      <c r="C544" s="1">
        <v>78.290000000000006</v>
      </c>
    </row>
    <row r="545" spans="1:3" x14ac:dyDescent="0.2">
      <c r="A545" s="2">
        <v>44987</v>
      </c>
      <c r="B545" s="1" t="s">
        <v>6</v>
      </c>
      <c r="C545" s="1">
        <v>80.44</v>
      </c>
    </row>
    <row r="546" spans="1:3" x14ac:dyDescent="0.2">
      <c r="A546" s="2">
        <v>44988</v>
      </c>
      <c r="B546" s="1" t="s">
        <v>6</v>
      </c>
      <c r="C546" s="1">
        <v>81.52</v>
      </c>
    </row>
    <row r="547" spans="1:3" x14ac:dyDescent="0.2">
      <c r="A547" s="2">
        <v>44991</v>
      </c>
      <c r="B547" s="1" t="s">
        <v>6</v>
      </c>
      <c r="C547" s="1">
        <v>81.16</v>
      </c>
    </row>
    <row r="548" spans="1:3" x14ac:dyDescent="0.2">
      <c r="A548" s="2">
        <v>44992</v>
      </c>
      <c r="B548" s="1" t="s">
        <v>6</v>
      </c>
      <c r="C548" s="1">
        <v>82.11</v>
      </c>
    </row>
    <row r="549" spans="1:3" x14ac:dyDescent="0.2">
      <c r="A549" s="2">
        <v>44993</v>
      </c>
      <c r="B549" s="1" t="s">
        <v>6</v>
      </c>
      <c r="C549" s="1">
        <v>85.37</v>
      </c>
    </row>
    <row r="550" spans="1:3" x14ac:dyDescent="0.2">
      <c r="A550" s="2">
        <v>44994</v>
      </c>
      <c r="B550" s="1" t="s">
        <v>6</v>
      </c>
      <c r="C550" s="1">
        <v>84.03</v>
      </c>
    </row>
    <row r="551" spans="1:3" x14ac:dyDescent="0.2">
      <c r="A551" s="2">
        <v>44995</v>
      </c>
      <c r="B551" s="1" t="s">
        <v>6</v>
      </c>
      <c r="C551" s="1">
        <v>82.67</v>
      </c>
    </row>
    <row r="552" spans="1:3" x14ac:dyDescent="0.2">
      <c r="A552" s="2">
        <v>44998</v>
      </c>
      <c r="B552" s="1" t="s">
        <v>6</v>
      </c>
      <c r="C552" s="1">
        <v>82.01</v>
      </c>
    </row>
    <row r="553" spans="1:3" x14ac:dyDescent="0.2">
      <c r="A553" s="2">
        <v>44999</v>
      </c>
      <c r="B553" s="1" t="s">
        <v>6</v>
      </c>
      <c r="C553" s="1">
        <v>87.45</v>
      </c>
    </row>
    <row r="554" spans="1:3" x14ac:dyDescent="0.2">
      <c r="A554" s="2">
        <v>45000</v>
      </c>
      <c r="B554" s="1" t="s">
        <v>6</v>
      </c>
      <c r="C554" s="1">
        <v>89.68</v>
      </c>
    </row>
    <row r="555" spans="1:3" x14ac:dyDescent="0.2">
      <c r="A555" s="2">
        <v>45001</v>
      </c>
      <c r="B555" s="1" t="s">
        <v>6</v>
      </c>
      <c r="C555" s="1">
        <v>96.6</v>
      </c>
    </row>
    <row r="556" spans="1:3" x14ac:dyDescent="0.2">
      <c r="A556" s="2">
        <v>45002</v>
      </c>
      <c r="B556" s="1" t="s">
        <v>6</v>
      </c>
      <c r="C556" s="1">
        <v>97.84</v>
      </c>
    </row>
    <row r="557" spans="1:3" x14ac:dyDescent="0.2">
      <c r="A557" s="2">
        <v>45005</v>
      </c>
      <c r="B557" s="1" t="s">
        <v>6</v>
      </c>
      <c r="C557" s="1">
        <v>96.81</v>
      </c>
    </row>
    <row r="558" spans="1:3" x14ac:dyDescent="0.2">
      <c r="A558" s="2">
        <v>45006</v>
      </c>
      <c r="B558" s="1" t="s">
        <v>6</v>
      </c>
      <c r="C558" s="1">
        <v>95.93</v>
      </c>
    </row>
    <row r="559" spans="1:3" x14ac:dyDescent="0.2">
      <c r="A559" s="2">
        <v>45007</v>
      </c>
      <c r="B559" s="1" t="s">
        <v>6</v>
      </c>
      <c r="C559" s="1">
        <v>97.58</v>
      </c>
    </row>
    <row r="560" spans="1:3" x14ac:dyDescent="0.2">
      <c r="A560" s="2">
        <v>45008</v>
      </c>
      <c r="B560" s="1" t="s">
        <v>6</v>
      </c>
      <c r="C560" s="1">
        <v>100.28</v>
      </c>
    </row>
    <row r="561" spans="1:3" x14ac:dyDescent="0.2">
      <c r="A561" s="2">
        <v>45009</v>
      </c>
      <c r="B561" s="1" t="s">
        <v>6</v>
      </c>
      <c r="C561" s="1">
        <v>97.95</v>
      </c>
    </row>
    <row r="562" spans="1:3" x14ac:dyDescent="0.2">
      <c r="A562" s="2">
        <v>45012</v>
      </c>
      <c r="B562" s="1" t="s">
        <v>6</v>
      </c>
      <c r="C562" s="1">
        <v>96.61</v>
      </c>
    </row>
    <row r="563" spans="1:3" x14ac:dyDescent="0.2">
      <c r="A563" s="2">
        <v>45013</v>
      </c>
      <c r="B563" s="1" t="s">
        <v>6</v>
      </c>
      <c r="C563" s="1">
        <v>94.56</v>
      </c>
    </row>
    <row r="564" spans="1:3" x14ac:dyDescent="0.2">
      <c r="A564" s="2">
        <v>45014</v>
      </c>
      <c r="B564" s="1" t="s">
        <v>6</v>
      </c>
      <c r="C564" s="1">
        <v>96.09</v>
      </c>
    </row>
    <row r="565" spans="1:3" x14ac:dyDescent="0.2">
      <c r="A565" s="2">
        <v>45015</v>
      </c>
      <c r="B565" s="1" t="s">
        <v>6</v>
      </c>
      <c r="C565" s="1">
        <v>97.88</v>
      </c>
    </row>
    <row r="566" spans="1:3" x14ac:dyDescent="0.2">
      <c r="A566" s="2">
        <v>45016</v>
      </c>
      <c r="B566" s="1" t="s">
        <v>6</v>
      </c>
      <c r="C566" s="1">
        <v>98.01</v>
      </c>
    </row>
    <row r="567" spans="1:3" x14ac:dyDescent="0.2">
      <c r="A567" s="2">
        <v>45019</v>
      </c>
      <c r="B567" s="1" t="s">
        <v>6</v>
      </c>
      <c r="C567" s="1">
        <v>96.56</v>
      </c>
    </row>
    <row r="568" spans="1:3" x14ac:dyDescent="0.2">
      <c r="A568" s="2">
        <v>45020</v>
      </c>
      <c r="B568" s="1" t="s">
        <v>6</v>
      </c>
      <c r="C568" s="1">
        <v>95.87</v>
      </c>
    </row>
    <row r="569" spans="1:3" x14ac:dyDescent="0.2">
      <c r="A569" s="2">
        <v>45021</v>
      </c>
      <c r="B569" s="1" t="s">
        <v>6</v>
      </c>
      <c r="C569" s="1">
        <v>92.56</v>
      </c>
    </row>
    <row r="570" spans="1:3" x14ac:dyDescent="0.2">
      <c r="A570" s="2">
        <v>45022</v>
      </c>
      <c r="B570" s="1" t="s">
        <v>6</v>
      </c>
      <c r="C570" s="1">
        <v>92.47</v>
      </c>
    </row>
    <row r="571" spans="1:3" x14ac:dyDescent="0.2">
      <c r="A571" s="2">
        <v>45026</v>
      </c>
      <c r="B571" s="1" t="s">
        <v>6</v>
      </c>
      <c r="C571" s="1">
        <v>95.48</v>
      </c>
    </row>
    <row r="572" spans="1:3" x14ac:dyDescent="0.2">
      <c r="A572" s="2">
        <v>45027</v>
      </c>
      <c r="B572" s="1" t="s">
        <v>6</v>
      </c>
      <c r="C572" s="1">
        <v>94.03</v>
      </c>
    </row>
    <row r="573" spans="1:3" x14ac:dyDescent="0.2">
      <c r="A573" s="2">
        <v>45028</v>
      </c>
      <c r="B573" s="1" t="s">
        <v>6</v>
      </c>
      <c r="C573" s="1">
        <v>92.33</v>
      </c>
    </row>
    <row r="574" spans="1:3" x14ac:dyDescent="0.2">
      <c r="A574" s="2">
        <v>45029</v>
      </c>
      <c r="B574" s="1" t="s">
        <v>6</v>
      </c>
      <c r="C574" s="1">
        <v>92.09</v>
      </c>
    </row>
    <row r="575" spans="1:3" x14ac:dyDescent="0.2">
      <c r="A575" s="2">
        <v>45030</v>
      </c>
      <c r="B575" s="1" t="s">
        <v>6</v>
      </c>
      <c r="C575" s="1">
        <v>91.75</v>
      </c>
    </row>
    <row r="576" spans="1:3" x14ac:dyDescent="0.2">
      <c r="A576" s="2">
        <v>45033</v>
      </c>
      <c r="B576" s="1" t="s">
        <v>6</v>
      </c>
      <c r="C576" s="1">
        <v>89.87</v>
      </c>
    </row>
    <row r="577" spans="1:3" x14ac:dyDescent="0.2">
      <c r="A577" s="2">
        <v>45034</v>
      </c>
      <c r="B577" s="1" t="s">
        <v>6</v>
      </c>
      <c r="C577" s="1">
        <v>89.78</v>
      </c>
    </row>
    <row r="578" spans="1:3" x14ac:dyDescent="0.2">
      <c r="A578" s="2">
        <v>45035</v>
      </c>
      <c r="B578" s="1" t="s">
        <v>6</v>
      </c>
      <c r="C578" s="1">
        <v>89.94</v>
      </c>
    </row>
    <row r="579" spans="1:3" x14ac:dyDescent="0.2">
      <c r="A579" s="2">
        <v>45036</v>
      </c>
      <c r="B579" s="1" t="s">
        <v>6</v>
      </c>
      <c r="C579" s="1">
        <v>90.11</v>
      </c>
    </row>
    <row r="580" spans="1:3" x14ac:dyDescent="0.2">
      <c r="A580" s="2">
        <v>45037</v>
      </c>
      <c r="B580" s="1" t="s">
        <v>6</v>
      </c>
      <c r="C580" s="1">
        <v>88.43</v>
      </c>
    </row>
    <row r="581" spans="1:3" x14ac:dyDescent="0.2">
      <c r="A581" s="2">
        <v>45040</v>
      </c>
      <c r="B581" s="1" t="s">
        <v>6</v>
      </c>
      <c r="C581" s="1">
        <v>87.57</v>
      </c>
    </row>
    <row r="582" spans="1:3" x14ac:dyDescent="0.2">
      <c r="A582" s="2">
        <v>45041</v>
      </c>
      <c r="B582" s="1" t="s">
        <v>6</v>
      </c>
      <c r="C582" s="1">
        <v>83.8</v>
      </c>
    </row>
    <row r="583" spans="1:3" x14ac:dyDescent="0.2">
      <c r="A583" s="2">
        <v>45042</v>
      </c>
      <c r="B583" s="1" t="s">
        <v>6</v>
      </c>
      <c r="C583" s="1">
        <v>85.94</v>
      </c>
    </row>
    <row r="584" spans="1:3" x14ac:dyDescent="0.2">
      <c r="A584" s="2">
        <v>45043</v>
      </c>
      <c r="B584" s="1" t="s">
        <v>6</v>
      </c>
      <c r="C584" s="1">
        <v>87.44</v>
      </c>
    </row>
    <row r="585" spans="1:3" x14ac:dyDescent="0.2">
      <c r="A585" s="2">
        <v>45044</v>
      </c>
      <c r="B585" s="1" t="s">
        <v>6</v>
      </c>
      <c r="C585" s="1">
        <v>89.37</v>
      </c>
    </row>
    <row r="586" spans="1:3" x14ac:dyDescent="0.2">
      <c r="A586" s="2">
        <v>45047</v>
      </c>
      <c r="B586" s="1" t="s">
        <v>6</v>
      </c>
      <c r="C586" s="1">
        <v>89.69</v>
      </c>
    </row>
    <row r="587" spans="1:3" x14ac:dyDescent="0.2">
      <c r="A587" s="2">
        <v>45048</v>
      </c>
      <c r="B587" s="1" t="s">
        <v>6</v>
      </c>
      <c r="C587" s="1">
        <v>89.91</v>
      </c>
    </row>
    <row r="588" spans="1:3" x14ac:dyDescent="0.2">
      <c r="A588" s="2">
        <v>45049</v>
      </c>
      <c r="B588" s="1" t="s">
        <v>6</v>
      </c>
      <c r="C588" s="1">
        <v>81.62</v>
      </c>
    </row>
    <row r="589" spans="1:3" x14ac:dyDescent="0.2">
      <c r="A589" s="2">
        <v>45050</v>
      </c>
      <c r="B589" s="1" t="s">
        <v>6</v>
      </c>
      <c r="C589" s="1">
        <v>86.61</v>
      </c>
    </row>
    <row r="590" spans="1:3" x14ac:dyDescent="0.2">
      <c r="A590" s="2">
        <v>45051</v>
      </c>
      <c r="B590" s="1" t="s">
        <v>6</v>
      </c>
      <c r="C590" s="1">
        <v>89.84</v>
      </c>
    </row>
    <row r="591" spans="1:3" x14ac:dyDescent="0.2">
      <c r="A591" s="2">
        <v>45054</v>
      </c>
      <c r="B591" s="1" t="s">
        <v>6</v>
      </c>
      <c r="C591" s="1">
        <v>95.04</v>
      </c>
    </row>
    <row r="592" spans="1:3" x14ac:dyDescent="0.2">
      <c r="A592" s="2">
        <v>45055</v>
      </c>
      <c r="B592" s="1" t="s">
        <v>6</v>
      </c>
      <c r="C592" s="1">
        <v>95.06</v>
      </c>
    </row>
    <row r="593" spans="1:3" x14ac:dyDescent="0.2">
      <c r="A593" s="2">
        <v>45056</v>
      </c>
      <c r="B593" s="1" t="s">
        <v>6</v>
      </c>
      <c r="C593" s="1">
        <v>97.02</v>
      </c>
    </row>
    <row r="594" spans="1:3" x14ac:dyDescent="0.2">
      <c r="A594" s="2">
        <v>45057</v>
      </c>
      <c r="B594" s="1" t="s">
        <v>6</v>
      </c>
      <c r="C594" s="1">
        <v>97.1</v>
      </c>
    </row>
    <row r="595" spans="1:3" x14ac:dyDescent="0.2">
      <c r="A595" s="2">
        <v>45058</v>
      </c>
      <c r="B595" s="1" t="s">
        <v>6</v>
      </c>
      <c r="C595" s="1">
        <v>95.26</v>
      </c>
    </row>
    <row r="596" spans="1:3" x14ac:dyDescent="0.2">
      <c r="A596" s="2">
        <v>45061</v>
      </c>
      <c r="B596" s="1" t="s">
        <v>6</v>
      </c>
      <c r="C596" s="1">
        <v>97.4</v>
      </c>
    </row>
    <row r="597" spans="1:3" x14ac:dyDescent="0.2">
      <c r="A597" s="2">
        <v>45062</v>
      </c>
      <c r="B597" s="1" t="s">
        <v>6</v>
      </c>
      <c r="C597" s="1">
        <v>101.48</v>
      </c>
    </row>
    <row r="598" spans="1:3" x14ac:dyDescent="0.2">
      <c r="A598" s="2">
        <v>45063</v>
      </c>
      <c r="B598" s="1" t="s">
        <v>6</v>
      </c>
      <c r="C598" s="1">
        <v>103.75</v>
      </c>
    </row>
    <row r="599" spans="1:3" x14ac:dyDescent="0.2">
      <c r="A599" s="2">
        <v>45064</v>
      </c>
      <c r="B599" s="1" t="s">
        <v>6</v>
      </c>
      <c r="C599" s="1">
        <v>107.93</v>
      </c>
    </row>
    <row r="600" spans="1:3" x14ac:dyDescent="0.2">
      <c r="A600" s="2">
        <v>45065</v>
      </c>
      <c r="B600" s="1" t="s">
        <v>6</v>
      </c>
      <c r="C600" s="1">
        <v>105.82</v>
      </c>
    </row>
    <row r="601" spans="1:3" x14ac:dyDescent="0.2">
      <c r="A601" s="2">
        <v>45068</v>
      </c>
      <c r="B601" s="1" t="s">
        <v>6</v>
      </c>
      <c r="C601" s="1">
        <v>108</v>
      </c>
    </row>
    <row r="602" spans="1:3" x14ac:dyDescent="0.2">
      <c r="A602" s="2">
        <v>45069</v>
      </c>
      <c r="B602" s="1" t="s">
        <v>6</v>
      </c>
      <c r="C602" s="1">
        <v>108.12</v>
      </c>
    </row>
    <row r="603" spans="1:3" x14ac:dyDescent="0.2">
      <c r="A603" s="2">
        <v>45070</v>
      </c>
      <c r="B603" s="1" t="s">
        <v>6</v>
      </c>
      <c r="C603" s="1">
        <v>108.27</v>
      </c>
    </row>
    <row r="604" spans="1:3" x14ac:dyDescent="0.2">
      <c r="A604" s="2">
        <v>45071</v>
      </c>
      <c r="B604" s="1" t="s">
        <v>6</v>
      </c>
      <c r="C604" s="1">
        <v>120.35</v>
      </c>
    </row>
    <row r="605" spans="1:3" x14ac:dyDescent="0.2">
      <c r="A605" s="2">
        <v>45072</v>
      </c>
      <c r="B605" s="1" t="s">
        <v>6</v>
      </c>
      <c r="C605" s="1">
        <v>127.03</v>
      </c>
    </row>
    <row r="606" spans="1:3" x14ac:dyDescent="0.2">
      <c r="A606" s="2">
        <v>45076</v>
      </c>
      <c r="B606" s="1" t="s">
        <v>6</v>
      </c>
      <c r="C606" s="1">
        <v>125.27</v>
      </c>
    </row>
    <row r="607" spans="1:3" x14ac:dyDescent="0.2">
      <c r="A607" s="2">
        <v>45077</v>
      </c>
      <c r="B607" s="1" t="s">
        <v>6</v>
      </c>
      <c r="C607" s="1">
        <v>118.21</v>
      </c>
    </row>
    <row r="608" spans="1:3" x14ac:dyDescent="0.2">
      <c r="A608" s="2">
        <v>45078</v>
      </c>
      <c r="B608" s="1" t="s">
        <v>6</v>
      </c>
      <c r="C608" s="1">
        <v>119.47</v>
      </c>
    </row>
    <row r="609" spans="1:3" x14ac:dyDescent="0.2">
      <c r="A609" s="2">
        <v>45079</v>
      </c>
      <c r="B609" s="1" t="s">
        <v>6</v>
      </c>
      <c r="C609" s="1">
        <v>117.86</v>
      </c>
    </row>
    <row r="610" spans="1:3" x14ac:dyDescent="0.2">
      <c r="A610" s="2">
        <v>45082</v>
      </c>
      <c r="B610" s="1" t="s">
        <v>6</v>
      </c>
      <c r="C610" s="1">
        <v>117.93</v>
      </c>
    </row>
    <row r="611" spans="1:3" x14ac:dyDescent="0.2">
      <c r="A611" s="2">
        <v>45083</v>
      </c>
      <c r="B611" s="1" t="s">
        <v>6</v>
      </c>
      <c r="C611" s="1">
        <v>124.23</v>
      </c>
    </row>
    <row r="612" spans="1:3" x14ac:dyDescent="0.2">
      <c r="A612" s="2">
        <v>45084</v>
      </c>
      <c r="B612" s="1" t="s">
        <v>6</v>
      </c>
      <c r="C612" s="1">
        <v>117.83</v>
      </c>
    </row>
    <row r="613" spans="1:3" x14ac:dyDescent="0.2">
      <c r="A613" s="2">
        <v>45085</v>
      </c>
      <c r="B613" s="1" t="s">
        <v>6</v>
      </c>
      <c r="C613" s="1">
        <v>121.05</v>
      </c>
    </row>
    <row r="614" spans="1:3" x14ac:dyDescent="0.2">
      <c r="A614" s="2">
        <v>45086</v>
      </c>
      <c r="B614" s="1" t="s">
        <v>6</v>
      </c>
      <c r="C614" s="1">
        <v>124.92</v>
      </c>
    </row>
    <row r="615" spans="1:3" x14ac:dyDescent="0.2">
      <c r="A615" s="2">
        <v>45089</v>
      </c>
      <c r="B615" s="1" t="s">
        <v>6</v>
      </c>
      <c r="C615" s="1">
        <v>129.19</v>
      </c>
    </row>
    <row r="616" spans="1:3" x14ac:dyDescent="0.2">
      <c r="A616" s="2">
        <v>45090</v>
      </c>
      <c r="B616" s="1" t="s">
        <v>6</v>
      </c>
      <c r="C616" s="1">
        <v>124.53</v>
      </c>
    </row>
    <row r="617" spans="1:3" x14ac:dyDescent="0.2">
      <c r="A617" s="2">
        <v>45091</v>
      </c>
      <c r="B617" s="1" t="s">
        <v>6</v>
      </c>
      <c r="C617" s="1">
        <v>127.33</v>
      </c>
    </row>
    <row r="618" spans="1:3" x14ac:dyDescent="0.2">
      <c r="A618" s="2">
        <v>45092</v>
      </c>
      <c r="B618" s="1" t="s">
        <v>6</v>
      </c>
      <c r="C618" s="1">
        <v>124.24</v>
      </c>
    </row>
    <row r="619" spans="1:3" x14ac:dyDescent="0.2">
      <c r="A619" s="2">
        <v>45093</v>
      </c>
      <c r="B619" s="1" t="s">
        <v>6</v>
      </c>
      <c r="C619" s="1">
        <v>120.08</v>
      </c>
    </row>
    <row r="620" spans="1:3" x14ac:dyDescent="0.2">
      <c r="A620" s="2">
        <v>45097</v>
      </c>
      <c r="B620" s="1" t="s">
        <v>6</v>
      </c>
      <c r="C620" s="1">
        <v>118.93</v>
      </c>
    </row>
    <row r="621" spans="1:3" x14ac:dyDescent="0.2">
      <c r="A621" s="2">
        <v>45098</v>
      </c>
      <c r="B621" s="1" t="s">
        <v>6</v>
      </c>
      <c r="C621" s="1">
        <v>112.11</v>
      </c>
    </row>
    <row r="622" spans="1:3" x14ac:dyDescent="0.2">
      <c r="A622" s="2">
        <v>45099</v>
      </c>
      <c r="B622" s="1" t="s">
        <v>6</v>
      </c>
      <c r="C622" s="1">
        <v>110.7</v>
      </c>
    </row>
    <row r="623" spans="1:3" x14ac:dyDescent="0.2">
      <c r="A623" s="2">
        <v>45100</v>
      </c>
      <c r="B623" s="1" t="s">
        <v>6</v>
      </c>
      <c r="C623" s="1">
        <v>110.01</v>
      </c>
    </row>
    <row r="624" spans="1:3" x14ac:dyDescent="0.2">
      <c r="A624" s="2">
        <v>45103</v>
      </c>
      <c r="B624" s="1" t="s">
        <v>6</v>
      </c>
      <c r="C624" s="1">
        <v>107.51</v>
      </c>
    </row>
    <row r="625" spans="1:3" x14ac:dyDescent="0.2">
      <c r="A625" s="2">
        <v>45104</v>
      </c>
      <c r="B625" s="1" t="s">
        <v>6</v>
      </c>
      <c r="C625" s="1">
        <v>110.39</v>
      </c>
    </row>
    <row r="626" spans="1:3" x14ac:dyDescent="0.2">
      <c r="A626" s="2">
        <v>45105</v>
      </c>
      <c r="B626" s="1" t="s">
        <v>6</v>
      </c>
      <c r="C626" s="1">
        <v>110.17</v>
      </c>
    </row>
    <row r="627" spans="1:3" x14ac:dyDescent="0.2">
      <c r="A627" s="2">
        <v>45106</v>
      </c>
      <c r="B627" s="1" t="s">
        <v>6</v>
      </c>
      <c r="C627" s="1">
        <v>111.24</v>
      </c>
    </row>
    <row r="628" spans="1:3" x14ac:dyDescent="0.2">
      <c r="A628" s="2">
        <v>45107</v>
      </c>
      <c r="B628" s="1" t="s">
        <v>6</v>
      </c>
      <c r="C628" s="1">
        <v>113.91</v>
      </c>
    </row>
    <row r="629" spans="1:3" x14ac:dyDescent="0.2">
      <c r="A629" s="2">
        <v>45110</v>
      </c>
      <c r="B629" s="1" t="s">
        <v>6</v>
      </c>
      <c r="C629" s="1">
        <v>115.82</v>
      </c>
    </row>
    <row r="630" spans="1:3" x14ac:dyDescent="0.2">
      <c r="A630" s="2">
        <v>45112</v>
      </c>
      <c r="B630" s="1" t="s">
        <v>6</v>
      </c>
      <c r="C630" s="1">
        <v>113.95</v>
      </c>
    </row>
    <row r="631" spans="1:3" x14ac:dyDescent="0.2">
      <c r="A631" s="2">
        <v>45113</v>
      </c>
      <c r="B631" s="1" t="s">
        <v>6</v>
      </c>
      <c r="C631" s="1">
        <v>113.48</v>
      </c>
    </row>
    <row r="632" spans="1:3" x14ac:dyDescent="0.2">
      <c r="A632" s="2">
        <v>45114</v>
      </c>
      <c r="B632" s="1" t="s">
        <v>6</v>
      </c>
      <c r="C632" s="1">
        <v>113.17</v>
      </c>
    </row>
    <row r="633" spans="1:3" x14ac:dyDescent="0.2">
      <c r="A633" s="2">
        <v>45117</v>
      </c>
      <c r="B633" s="1" t="s">
        <v>6</v>
      </c>
      <c r="C633" s="1">
        <v>113.58</v>
      </c>
    </row>
    <row r="634" spans="1:3" x14ac:dyDescent="0.2">
      <c r="A634" s="2">
        <v>45118</v>
      </c>
      <c r="B634" s="1" t="s">
        <v>6</v>
      </c>
      <c r="C634" s="1">
        <v>111.32</v>
      </c>
    </row>
    <row r="635" spans="1:3" x14ac:dyDescent="0.2">
      <c r="A635" s="2">
        <v>45119</v>
      </c>
      <c r="B635" s="1" t="s">
        <v>6</v>
      </c>
      <c r="C635" s="1">
        <v>114.58</v>
      </c>
    </row>
    <row r="636" spans="1:3" x14ac:dyDescent="0.2">
      <c r="A636" s="2">
        <v>45120</v>
      </c>
      <c r="B636" s="1" t="s">
        <v>6</v>
      </c>
      <c r="C636" s="1">
        <v>115.92</v>
      </c>
    </row>
    <row r="637" spans="1:3" x14ac:dyDescent="0.2">
      <c r="A637" s="2">
        <v>45121</v>
      </c>
      <c r="B637" s="1" t="s">
        <v>6</v>
      </c>
      <c r="C637" s="1">
        <v>115.94</v>
      </c>
    </row>
    <row r="638" spans="1:3" x14ac:dyDescent="0.2">
      <c r="A638" s="2">
        <v>45124</v>
      </c>
      <c r="B638" s="1" t="s">
        <v>6</v>
      </c>
      <c r="C638" s="1">
        <v>118.32</v>
      </c>
    </row>
    <row r="639" spans="1:3" x14ac:dyDescent="0.2">
      <c r="A639" s="2">
        <v>45125</v>
      </c>
      <c r="B639" s="1" t="s">
        <v>6</v>
      </c>
      <c r="C639" s="1">
        <v>117.93</v>
      </c>
    </row>
    <row r="640" spans="1:3" x14ac:dyDescent="0.2">
      <c r="A640" s="2">
        <v>45126</v>
      </c>
      <c r="B640" s="1" t="s">
        <v>6</v>
      </c>
      <c r="C640" s="1">
        <v>116.43</v>
      </c>
    </row>
    <row r="641" spans="1:3" x14ac:dyDescent="0.2">
      <c r="A641" s="2">
        <v>45127</v>
      </c>
      <c r="B641" s="1" t="s">
        <v>6</v>
      </c>
      <c r="C641" s="1">
        <v>110.25</v>
      </c>
    </row>
    <row r="642" spans="1:3" x14ac:dyDescent="0.2">
      <c r="A642" s="2">
        <v>45128</v>
      </c>
      <c r="B642" s="1" t="s">
        <v>6</v>
      </c>
      <c r="C642" s="1">
        <v>110.95</v>
      </c>
    </row>
    <row r="643" spans="1:3" x14ac:dyDescent="0.2">
      <c r="A643" s="2">
        <v>45131</v>
      </c>
      <c r="B643" s="1" t="s">
        <v>6</v>
      </c>
      <c r="C643" s="1">
        <v>110.61</v>
      </c>
    </row>
    <row r="644" spans="1:3" x14ac:dyDescent="0.2">
      <c r="A644" s="2">
        <v>45132</v>
      </c>
      <c r="B644" s="1" t="s">
        <v>6</v>
      </c>
      <c r="C644" s="1">
        <v>113</v>
      </c>
    </row>
    <row r="645" spans="1:3" x14ac:dyDescent="0.2">
      <c r="A645" s="2">
        <v>45133</v>
      </c>
      <c r="B645" s="1" t="s">
        <v>6</v>
      </c>
      <c r="C645" s="1">
        <v>110.09</v>
      </c>
    </row>
    <row r="646" spans="1:3" x14ac:dyDescent="0.2">
      <c r="A646" s="2">
        <v>45134</v>
      </c>
      <c r="B646" s="1" t="s">
        <v>6</v>
      </c>
      <c r="C646" s="1">
        <v>111.1</v>
      </c>
    </row>
    <row r="647" spans="1:3" x14ac:dyDescent="0.2">
      <c r="A647" s="2">
        <v>45135</v>
      </c>
      <c r="B647" s="1" t="s">
        <v>6</v>
      </c>
      <c r="C647" s="1">
        <v>112.96</v>
      </c>
    </row>
    <row r="648" spans="1:3" x14ac:dyDescent="0.2">
      <c r="A648" s="2">
        <v>45138</v>
      </c>
      <c r="B648" s="1" t="s">
        <v>6</v>
      </c>
      <c r="C648" s="1">
        <v>114.4</v>
      </c>
    </row>
    <row r="649" spans="1:3" x14ac:dyDescent="0.2">
      <c r="A649" s="2">
        <v>45139</v>
      </c>
      <c r="B649" s="1" t="s">
        <v>6</v>
      </c>
      <c r="C649" s="1">
        <v>117.6</v>
      </c>
    </row>
    <row r="650" spans="1:3" x14ac:dyDescent="0.2">
      <c r="A650" s="2">
        <v>45140</v>
      </c>
      <c r="B650" s="1" t="s">
        <v>6</v>
      </c>
      <c r="C650" s="1">
        <v>109.35</v>
      </c>
    </row>
    <row r="651" spans="1:3" x14ac:dyDescent="0.2">
      <c r="A651" s="2">
        <v>45141</v>
      </c>
      <c r="B651" s="1" t="s">
        <v>6</v>
      </c>
      <c r="C651" s="1">
        <v>113.15</v>
      </c>
    </row>
    <row r="652" spans="1:3" x14ac:dyDescent="0.2">
      <c r="A652" s="2">
        <v>45142</v>
      </c>
      <c r="B652" s="1" t="s">
        <v>6</v>
      </c>
      <c r="C652" s="1">
        <v>115.82</v>
      </c>
    </row>
    <row r="653" spans="1:3" x14ac:dyDescent="0.2">
      <c r="A653" s="2">
        <v>45145</v>
      </c>
      <c r="B653" s="1" t="s">
        <v>6</v>
      </c>
      <c r="C653" s="1">
        <v>116.81</v>
      </c>
    </row>
    <row r="654" spans="1:3" x14ac:dyDescent="0.2">
      <c r="A654" s="2">
        <v>45146</v>
      </c>
      <c r="B654" s="1" t="s">
        <v>6</v>
      </c>
      <c r="C654" s="1">
        <v>113.23</v>
      </c>
    </row>
    <row r="655" spans="1:3" x14ac:dyDescent="0.2">
      <c r="A655" s="2">
        <v>45147</v>
      </c>
      <c r="B655" s="1" t="s">
        <v>6</v>
      </c>
      <c r="C655" s="1">
        <v>110.47</v>
      </c>
    </row>
    <row r="656" spans="1:3" x14ac:dyDescent="0.2">
      <c r="A656" s="2">
        <v>45148</v>
      </c>
      <c r="B656" s="1" t="s">
        <v>6</v>
      </c>
      <c r="C656" s="1">
        <v>110.23</v>
      </c>
    </row>
    <row r="657" spans="1:3" x14ac:dyDescent="0.2">
      <c r="A657" s="2">
        <v>45149</v>
      </c>
      <c r="B657" s="1" t="s">
        <v>6</v>
      </c>
      <c r="C657" s="1">
        <v>107.57</v>
      </c>
    </row>
    <row r="658" spans="1:3" x14ac:dyDescent="0.2">
      <c r="A658" s="2">
        <v>45152</v>
      </c>
      <c r="B658" s="1" t="s">
        <v>6</v>
      </c>
      <c r="C658" s="1">
        <v>111.98</v>
      </c>
    </row>
    <row r="659" spans="1:3" x14ac:dyDescent="0.2">
      <c r="A659" s="2">
        <v>45153</v>
      </c>
      <c r="B659" s="1" t="s">
        <v>6</v>
      </c>
      <c r="C659" s="1">
        <v>111.35</v>
      </c>
    </row>
    <row r="660" spans="1:3" x14ac:dyDescent="0.2">
      <c r="A660" s="2">
        <v>45154</v>
      </c>
      <c r="B660" s="1" t="s">
        <v>6</v>
      </c>
      <c r="C660" s="1">
        <v>107.19</v>
      </c>
    </row>
    <row r="661" spans="1:3" x14ac:dyDescent="0.2">
      <c r="A661" s="2">
        <v>45155</v>
      </c>
      <c r="B661" s="1" t="s">
        <v>6</v>
      </c>
      <c r="C661" s="1">
        <v>104.44</v>
      </c>
    </row>
    <row r="662" spans="1:3" x14ac:dyDescent="0.2">
      <c r="A662" s="2">
        <v>45156</v>
      </c>
      <c r="B662" s="1" t="s">
        <v>6</v>
      </c>
      <c r="C662" s="1">
        <v>105.45</v>
      </c>
    </row>
    <row r="663" spans="1:3" x14ac:dyDescent="0.2">
      <c r="A663" s="2">
        <v>45159</v>
      </c>
      <c r="B663" s="1" t="s">
        <v>6</v>
      </c>
      <c r="C663" s="1">
        <v>108.22</v>
      </c>
    </row>
    <row r="664" spans="1:3" x14ac:dyDescent="0.2">
      <c r="A664" s="2">
        <v>45160</v>
      </c>
      <c r="B664" s="1" t="s">
        <v>6</v>
      </c>
      <c r="C664" s="1">
        <v>105.66</v>
      </c>
    </row>
    <row r="665" spans="1:3" x14ac:dyDescent="0.2">
      <c r="A665" s="2">
        <v>45161</v>
      </c>
      <c r="B665" s="1" t="s">
        <v>6</v>
      </c>
      <c r="C665" s="1">
        <v>109.43</v>
      </c>
    </row>
    <row r="666" spans="1:3" x14ac:dyDescent="0.2">
      <c r="A666" s="2">
        <v>45162</v>
      </c>
      <c r="B666" s="1" t="s">
        <v>6</v>
      </c>
      <c r="C666" s="1">
        <v>101.8</v>
      </c>
    </row>
    <row r="667" spans="1:3" x14ac:dyDescent="0.2">
      <c r="A667" s="2">
        <v>45163</v>
      </c>
      <c r="B667" s="1" t="s">
        <v>6</v>
      </c>
      <c r="C667" s="1">
        <v>102.25</v>
      </c>
    </row>
    <row r="668" spans="1:3" x14ac:dyDescent="0.2">
      <c r="A668" s="2">
        <v>45166</v>
      </c>
      <c r="B668" s="1" t="s">
        <v>6</v>
      </c>
      <c r="C668" s="1">
        <v>102.61</v>
      </c>
    </row>
    <row r="669" spans="1:3" x14ac:dyDescent="0.2">
      <c r="A669" s="2">
        <v>45167</v>
      </c>
      <c r="B669" s="1" t="s">
        <v>6</v>
      </c>
      <c r="C669" s="1">
        <v>105.92</v>
      </c>
    </row>
    <row r="670" spans="1:3" x14ac:dyDescent="0.2">
      <c r="A670" s="2">
        <v>45168</v>
      </c>
      <c r="B670" s="1" t="s">
        <v>6</v>
      </c>
      <c r="C670" s="1">
        <v>106.59</v>
      </c>
    </row>
    <row r="671" spans="1:3" x14ac:dyDescent="0.2">
      <c r="A671" s="2">
        <v>45169</v>
      </c>
      <c r="B671" s="1" t="s">
        <v>6</v>
      </c>
      <c r="C671" s="1">
        <v>105.72</v>
      </c>
    </row>
    <row r="672" spans="1:3" x14ac:dyDescent="0.2">
      <c r="A672" s="2">
        <v>45170</v>
      </c>
      <c r="B672" s="1" t="s">
        <v>6</v>
      </c>
      <c r="C672" s="1">
        <v>109.45</v>
      </c>
    </row>
    <row r="673" spans="1:3" x14ac:dyDescent="0.2">
      <c r="A673" s="2">
        <v>45174</v>
      </c>
      <c r="B673" s="1" t="s">
        <v>6</v>
      </c>
      <c r="C673" s="1">
        <v>110.78</v>
      </c>
    </row>
    <row r="674" spans="1:3" x14ac:dyDescent="0.2">
      <c r="A674" s="2">
        <v>45175</v>
      </c>
      <c r="B674" s="1" t="s">
        <v>6</v>
      </c>
      <c r="C674" s="1">
        <v>109.28</v>
      </c>
    </row>
    <row r="675" spans="1:3" x14ac:dyDescent="0.2">
      <c r="A675" s="2">
        <v>45176</v>
      </c>
      <c r="B675" s="1" t="s">
        <v>6</v>
      </c>
      <c r="C675" s="1">
        <v>106.59</v>
      </c>
    </row>
    <row r="676" spans="1:3" x14ac:dyDescent="0.2">
      <c r="A676" s="2">
        <v>45177</v>
      </c>
      <c r="B676" s="1" t="s">
        <v>6</v>
      </c>
      <c r="C676" s="1">
        <v>106.09</v>
      </c>
    </row>
    <row r="677" spans="1:3" x14ac:dyDescent="0.2">
      <c r="A677" s="2">
        <v>45180</v>
      </c>
      <c r="B677" s="1" t="s">
        <v>6</v>
      </c>
      <c r="C677" s="1">
        <v>105.32</v>
      </c>
    </row>
    <row r="678" spans="1:3" x14ac:dyDescent="0.2">
      <c r="A678" s="2">
        <v>45181</v>
      </c>
      <c r="B678" s="1" t="s">
        <v>6</v>
      </c>
      <c r="C678" s="1">
        <v>105.31</v>
      </c>
    </row>
    <row r="679" spans="1:3" x14ac:dyDescent="0.2">
      <c r="A679" s="2">
        <v>45182</v>
      </c>
      <c r="B679" s="1" t="s">
        <v>6</v>
      </c>
      <c r="C679" s="1">
        <v>107.71</v>
      </c>
    </row>
    <row r="680" spans="1:3" x14ac:dyDescent="0.2">
      <c r="A680" s="2">
        <v>45183</v>
      </c>
      <c r="B680" s="1" t="s">
        <v>6</v>
      </c>
      <c r="C680" s="1">
        <v>106.63</v>
      </c>
    </row>
    <row r="681" spans="1:3" x14ac:dyDescent="0.2">
      <c r="A681" s="2">
        <v>45184</v>
      </c>
      <c r="B681" s="1" t="s">
        <v>6</v>
      </c>
      <c r="C681" s="1">
        <v>101.49</v>
      </c>
    </row>
    <row r="682" spans="1:3" x14ac:dyDescent="0.2">
      <c r="A682" s="2">
        <v>45187</v>
      </c>
      <c r="B682" s="1" t="s">
        <v>6</v>
      </c>
      <c r="C682" s="1">
        <v>102.37</v>
      </c>
    </row>
    <row r="683" spans="1:3" x14ac:dyDescent="0.2">
      <c r="A683" s="2">
        <v>45188</v>
      </c>
      <c r="B683" s="1" t="s">
        <v>6</v>
      </c>
      <c r="C683" s="1">
        <v>101.61</v>
      </c>
    </row>
    <row r="684" spans="1:3" x14ac:dyDescent="0.2">
      <c r="A684" s="2">
        <v>45189</v>
      </c>
      <c r="B684" s="1" t="s">
        <v>6</v>
      </c>
      <c r="C684" s="1">
        <v>100.34</v>
      </c>
    </row>
    <row r="685" spans="1:3" x14ac:dyDescent="0.2">
      <c r="A685" s="2">
        <v>45190</v>
      </c>
      <c r="B685" s="1" t="s">
        <v>6</v>
      </c>
      <c r="C685" s="1">
        <v>96.11</v>
      </c>
    </row>
    <row r="686" spans="1:3" x14ac:dyDescent="0.2">
      <c r="A686" s="2">
        <v>45191</v>
      </c>
      <c r="B686" s="1" t="s">
        <v>6</v>
      </c>
      <c r="C686" s="1">
        <v>96.2</v>
      </c>
    </row>
    <row r="687" spans="1:3" x14ac:dyDescent="0.2">
      <c r="A687" s="2">
        <v>45194</v>
      </c>
      <c r="B687" s="1" t="s">
        <v>6</v>
      </c>
      <c r="C687" s="1">
        <v>97.38</v>
      </c>
    </row>
    <row r="688" spans="1:3" x14ac:dyDescent="0.2">
      <c r="A688" s="2">
        <v>45195</v>
      </c>
      <c r="B688" s="1" t="s">
        <v>6</v>
      </c>
      <c r="C688" s="1">
        <v>95.96</v>
      </c>
    </row>
    <row r="689" spans="1:3" x14ac:dyDescent="0.2">
      <c r="A689" s="2">
        <v>45196</v>
      </c>
      <c r="B689" s="1" t="s">
        <v>6</v>
      </c>
      <c r="C689" s="1">
        <v>98.07</v>
      </c>
    </row>
    <row r="690" spans="1:3" x14ac:dyDescent="0.2">
      <c r="A690" s="2">
        <v>45197</v>
      </c>
      <c r="B690" s="1" t="s">
        <v>6</v>
      </c>
      <c r="C690" s="1">
        <v>102.76</v>
      </c>
    </row>
    <row r="691" spans="1:3" x14ac:dyDescent="0.2">
      <c r="A691" s="2">
        <v>45198</v>
      </c>
      <c r="B691" s="1" t="s">
        <v>6</v>
      </c>
      <c r="C691" s="1">
        <v>102.82</v>
      </c>
    </row>
    <row r="692" spans="1:3" x14ac:dyDescent="0.2">
      <c r="A692" s="2">
        <v>45201</v>
      </c>
      <c r="B692" s="1" t="s">
        <v>6</v>
      </c>
      <c r="C692" s="1">
        <v>103.27</v>
      </c>
    </row>
    <row r="693" spans="1:3" x14ac:dyDescent="0.2">
      <c r="A693" s="2">
        <v>45202</v>
      </c>
      <c r="B693" s="1" t="s">
        <v>6</v>
      </c>
      <c r="C693" s="1">
        <v>100.08</v>
      </c>
    </row>
    <row r="694" spans="1:3" x14ac:dyDescent="0.2">
      <c r="A694" s="2">
        <v>45203</v>
      </c>
      <c r="B694" s="1" t="s">
        <v>6</v>
      </c>
      <c r="C694" s="1">
        <v>104.07</v>
      </c>
    </row>
    <row r="695" spans="1:3" x14ac:dyDescent="0.2">
      <c r="A695" s="2">
        <v>45204</v>
      </c>
      <c r="B695" s="1" t="s">
        <v>6</v>
      </c>
      <c r="C695" s="1">
        <v>102.91</v>
      </c>
    </row>
    <row r="696" spans="1:3" x14ac:dyDescent="0.2">
      <c r="A696" s="2">
        <v>45205</v>
      </c>
      <c r="B696" s="1" t="s">
        <v>6</v>
      </c>
      <c r="C696" s="1">
        <v>107.24</v>
      </c>
    </row>
    <row r="697" spans="1:3" x14ac:dyDescent="0.2">
      <c r="A697" s="2">
        <v>45208</v>
      </c>
      <c r="B697" s="1" t="s">
        <v>6</v>
      </c>
      <c r="C697" s="1">
        <v>106.97</v>
      </c>
    </row>
    <row r="698" spans="1:3" x14ac:dyDescent="0.2">
      <c r="A698" s="2">
        <v>45209</v>
      </c>
      <c r="B698" s="1" t="s">
        <v>6</v>
      </c>
      <c r="C698" s="1">
        <v>109.01</v>
      </c>
    </row>
    <row r="699" spans="1:3" x14ac:dyDescent="0.2">
      <c r="A699" s="2">
        <v>45210</v>
      </c>
      <c r="B699" s="1" t="s">
        <v>6</v>
      </c>
      <c r="C699" s="1">
        <v>108.31</v>
      </c>
    </row>
    <row r="700" spans="1:3" x14ac:dyDescent="0.2">
      <c r="A700" s="2">
        <v>45211</v>
      </c>
      <c r="B700" s="1" t="s">
        <v>6</v>
      </c>
      <c r="C700" s="1">
        <v>108.79</v>
      </c>
    </row>
    <row r="701" spans="1:3" x14ac:dyDescent="0.2">
      <c r="A701" s="2">
        <v>45212</v>
      </c>
      <c r="B701" s="1" t="s">
        <v>6</v>
      </c>
      <c r="C701" s="1">
        <v>105.09</v>
      </c>
    </row>
    <row r="702" spans="1:3" x14ac:dyDescent="0.2">
      <c r="A702" s="2">
        <v>45215</v>
      </c>
      <c r="B702" s="1" t="s">
        <v>6</v>
      </c>
      <c r="C702" s="1">
        <v>106.46</v>
      </c>
    </row>
    <row r="703" spans="1:3" x14ac:dyDescent="0.2">
      <c r="A703" s="2">
        <v>45216</v>
      </c>
      <c r="B703" s="1" t="s">
        <v>6</v>
      </c>
      <c r="C703" s="1">
        <v>105.14</v>
      </c>
    </row>
    <row r="704" spans="1:3" x14ac:dyDescent="0.2">
      <c r="A704" s="2">
        <v>45217</v>
      </c>
      <c r="B704" s="1" t="s">
        <v>6</v>
      </c>
      <c r="C704" s="1">
        <v>102.17</v>
      </c>
    </row>
    <row r="705" spans="1:3" x14ac:dyDescent="0.2">
      <c r="A705" s="2">
        <v>45218</v>
      </c>
      <c r="B705" s="1" t="s">
        <v>6</v>
      </c>
      <c r="C705" s="1">
        <v>102.4</v>
      </c>
    </row>
    <row r="706" spans="1:3" x14ac:dyDescent="0.2">
      <c r="A706" s="2">
        <v>45219</v>
      </c>
      <c r="B706" s="1" t="s">
        <v>6</v>
      </c>
      <c r="C706" s="1">
        <v>101.81</v>
      </c>
    </row>
    <row r="707" spans="1:3" x14ac:dyDescent="0.2">
      <c r="A707" s="2">
        <v>45222</v>
      </c>
      <c r="B707" s="1" t="s">
        <v>6</v>
      </c>
      <c r="C707" s="1">
        <v>100.01</v>
      </c>
    </row>
    <row r="708" spans="1:3" x14ac:dyDescent="0.2">
      <c r="A708" s="2">
        <v>45223</v>
      </c>
      <c r="B708" s="1" t="s">
        <v>6</v>
      </c>
      <c r="C708" s="1">
        <v>101.67</v>
      </c>
    </row>
    <row r="709" spans="1:3" x14ac:dyDescent="0.2">
      <c r="A709" s="2">
        <v>45224</v>
      </c>
      <c r="B709" s="1" t="s">
        <v>6</v>
      </c>
      <c r="C709" s="1">
        <v>96.055000000000007</v>
      </c>
    </row>
    <row r="710" spans="1:3" x14ac:dyDescent="0.2">
      <c r="A710" s="2">
        <v>45225</v>
      </c>
      <c r="B710" s="1" t="s">
        <v>6</v>
      </c>
      <c r="C710" s="1">
        <v>93.67</v>
      </c>
    </row>
    <row r="711" spans="1:3" x14ac:dyDescent="0.2">
      <c r="A711" s="2">
        <v>45226</v>
      </c>
      <c r="B711" s="1" t="s">
        <v>6</v>
      </c>
      <c r="C711" s="1">
        <v>96.43</v>
      </c>
    </row>
    <row r="712" spans="1:3" x14ac:dyDescent="0.2">
      <c r="A712" s="2">
        <v>45229</v>
      </c>
      <c r="B712" s="1" t="s">
        <v>6</v>
      </c>
      <c r="C712" s="1">
        <v>96.18</v>
      </c>
    </row>
    <row r="713" spans="1:3" x14ac:dyDescent="0.2">
      <c r="A713" s="2">
        <v>45230</v>
      </c>
      <c r="B713" s="1" t="s">
        <v>6</v>
      </c>
      <c r="C713" s="1">
        <v>98.5</v>
      </c>
    </row>
    <row r="714" spans="1:3" x14ac:dyDescent="0.2">
      <c r="A714" s="2">
        <v>45231</v>
      </c>
      <c r="B714" s="1" t="s">
        <v>6</v>
      </c>
      <c r="C714" s="1">
        <v>108.04</v>
      </c>
    </row>
    <row r="715" spans="1:3" x14ac:dyDescent="0.2">
      <c r="A715" s="2">
        <v>45232</v>
      </c>
      <c r="B715" s="1" t="s">
        <v>6</v>
      </c>
      <c r="C715" s="1">
        <v>107.83</v>
      </c>
    </row>
    <row r="716" spans="1:3" x14ac:dyDescent="0.2">
      <c r="A716" s="2">
        <v>45233</v>
      </c>
      <c r="B716" s="1" t="s">
        <v>6</v>
      </c>
      <c r="C716" s="1">
        <v>112.25</v>
      </c>
    </row>
    <row r="717" spans="1:3" x14ac:dyDescent="0.2">
      <c r="A717" s="2">
        <v>45236</v>
      </c>
      <c r="B717" s="1" t="s">
        <v>6</v>
      </c>
      <c r="C717" s="1">
        <v>111.75</v>
      </c>
    </row>
    <row r="718" spans="1:3" x14ac:dyDescent="0.2">
      <c r="A718" s="2">
        <v>45237</v>
      </c>
      <c r="B718" s="1" t="s">
        <v>6</v>
      </c>
      <c r="C718" s="1">
        <v>113.45</v>
      </c>
    </row>
    <row r="719" spans="1:3" x14ac:dyDescent="0.2">
      <c r="A719" s="2">
        <v>45238</v>
      </c>
      <c r="B719" s="1" t="s">
        <v>6</v>
      </c>
      <c r="C719" s="1">
        <v>113.59</v>
      </c>
    </row>
    <row r="720" spans="1:3" x14ac:dyDescent="0.2">
      <c r="A720" s="2">
        <v>45239</v>
      </c>
      <c r="B720" s="1" t="s">
        <v>6</v>
      </c>
      <c r="C720" s="1">
        <v>113.49</v>
      </c>
    </row>
    <row r="721" spans="1:3" x14ac:dyDescent="0.2">
      <c r="A721" s="2">
        <v>45240</v>
      </c>
      <c r="B721" s="1" t="s">
        <v>6</v>
      </c>
      <c r="C721" s="1">
        <v>118.59</v>
      </c>
    </row>
    <row r="722" spans="1:3" x14ac:dyDescent="0.2">
      <c r="A722" s="2">
        <v>45243</v>
      </c>
      <c r="B722" s="1" t="s">
        <v>6</v>
      </c>
      <c r="C722" s="1">
        <v>116.79</v>
      </c>
    </row>
    <row r="723" spans="1:3" x14ac:dyDescent="0.2">
      <c r="A723" s="2">
        <v>45244</v>
      </c>
      <c r="B723" s="1" t="s">
        <v>6</v>
      </c>
      <c r="C723" s="1">
        <v>119.88</v>
      </c>
    </row>
    <row r="724" spans="1:3" x14ac:dyDescent="0.2">
      <c r="A724" s="2">
        <v>45245</v>
      </c>
      <c r="B724" s="1" t="s">
        <v>6</v>
      </c>
      <c r="C724" s="1">
        <v>118</v>
      </c>
    </row>
    <row r="725" spans="1:3" x14ac:dyDescent="0.2">
      <c r="A725" s="2">
        <v>45246</v>
      </c>
      <c r="B725" s="1" t="s">
        <v>6</v>
      </c>
      <c r="C725" s="1">
        <v>119.83</v>
      </c>
    </row>
    <row r="726" spans="1:3" x14ac:dyDescent="0.2">
      <c r="A726" s="2">
        <v>45247</v>
      </c>
      <c r="B726" s="1" t="s">
        <v>6</v>
      </c>
      <c r="C726" s="1">
        <v>120.62</v>
      </c>
    </row>
    <row r="727" spans="1:3" x14ac:dyDescent="0.2">
      <c r="A727" s="2">
        <v>45250</v>
      </c>
      <c r="B727" s="1" t="s">
        <v>6</v>
      </c>
      <c r="C727" s="1">
        <v>121.53</v>
      </c>
    </row>
    <row r="728" spans="1:3" x14ac:dyDescent="0.2">
      <c r="A728" s="2">
        <v>45251</v>
      </c>
      <c r="B728" s="1" t="s">
        <v>6</v>
      </c>
      <c r="C728" s="1">
        <v>119.16</v>
      </c>
    </row>
    <row r="729" spans="1:3" x14ac:dyDescent="0.2">
      <c r="A729" s="2">
        <v>45252</v>
      </c>
      <c r="B729" s="1" t="s">
        <v>6</v>
      </c>
      <c r="C729" s="1">
        <v>122.51</v>
      </c>
    </row>
    <row r="730" spans="1:3" x14ac:dyDescent="0.2">
      <c r="A730" s="2">
        <v>45254</v>
      </c>
      <c r="B730" s="1" t="s">
        <v>6</v>
      </c>
      <c r="C730" s="1">
        <v>122.31</v>
      </c>
    </row>
    <row r="731" spans="1:3" x14ac:dyDescent="0.2">
      <c r="A731" s="2">
        <v>45257</v>
      </c>
      <c r="B731" s="1" t="s">
        <v>6</v>
      </c>
      <c r="C731" s="1">
        <v>122.65</v>
      </c>
    </row>
    <row r="732" spans="1:3" x14ac:dyDescent="0.2">
      <c r="A732" s="2">
        <v>45258</v>
      </c>
      <c r="B732" s="1" t="s">
        <v>6</v>
      </c>
      <c r="C732" s="1">
        <v>122.01</v>
      </c>
    </row>
    <row r="733" spans="1:3" x14ac:dyDescent="0.2">
      <c r="A733" s="2">
        <v>45259</v>
      </c>
      <c r="B733" s="1" t="s">
        <v>6</v>
      </c>
      <c r="C733" s="1">
        <v>123.85</v>
      </c>
    </row>
    <row r="734" spans="1:3" x14ac:dyDescent="0.2">
      <c r="A734" s="2">
        <v>45260</v>
      </c>
      <c r="B734" s="1" t="s">
        <v>6</v>
      </c>
      <c r="C734" s="1">
        <v>121.16</v>
      </c>
    </row>
    <row r="735" spans="1:3" x14ac:dyDescent="0.2">
      <c r="A735" s="2">
        <v>45261</v>
      </c>
      <c r="B735" s="1" t="s">
        <v>6</v>
      </c>
      <c r="C735" s="1">
        <v>121.39</v>
      </c>
    </row>
    <row r="736" spans="1:3" x14ac:dyDescent="0.2">
      <c r="A736" s="2">
        <v>45264</v>
      </c>
      <c r="B736" s="1" t="s">
        <v>6</v>
      </c>
      <c r="C736" s="1">
        <v>118.57</v>
      </c>
    </row>
    <row r="737" spans="1:3" x14ac:dyDescent="0.2">
      <c r="A737" s="2">
        <v>45265</v>
      </c>
      <c r="B737" s="1" t="s">
        <v>6</v>
      </c>
      <c r="C737" s="1">
        <v>118.38</v>
      </c>
    </row>
    <row r="738" spans="1:3" x14ac:dyDescent="0.2">
      <c r="A738" s="2">
        <v>45266</v>
      </c>
      <c r="B738" s="1" t="s">
        <v>6</v>
      </c>
      <c r="C738" s="1">
        <v>116.82</v>
      </c>
    </row>
    <row r="739" spans="1:3" x14ac:dyDescent="0.2">
      <c r="A739" s="2">
        <v>45267</v>
      </c>
      <c r="B739" s="1" t="s">
        <v>6</v>
      </c>
      <c r="C739" s="1">
        <v>128.37</v>
      </c>
    </row>
    <row r="740" spans="1:3" x14ac:dyDescent="0.2">
      <c r="A740" s="2">
        <v>45268</v>
      </c>
      <c r="B740" s="1" t="s">
        <v>6</v>
      </c>
      <c r="C740" s="1">
        <v>128.91999999999999</v>
      </c>
    </row>
    <row r="741" spans="1:3" x14ac:dyDescent="0.2">
      <c r="A741" s="2">
        <v>45271</v>
      </c>
      <c r="B741" s="1" t="s">
        <v>6</v>
      </c>
      <c r="C741" s="1">
        <v>134.41</v>
      </c>
    </row>
    <row r="742" spans="1:3" x14ac:dyDescent="0.2">
      <c r="A742" s="2">
        <v>45272</v>
      </c>
      <c r="B742" s="1" t="s">
        <v>6</v>
      </c>
      <c r="C742" s="1">
        <v>137.61000000000001</v>
      </c>
    </row>
    <row r="743" spans="1:3" x14ac:dyDescent="0.2">
      <c r="A743" s="2">
        <v>45273</v>
      </c>
      <c r="B743" s="1" t="s">
        <v>6</v>
      </c>
      <c r="C743" s="1">
        <v>138.19</v>
      </c>
    </row>
    <row r="744" spans="1:3" x14ac:dyDescent="0.2">
      <c r="A744" s="2">
        <v>45274</v>
      </c>
      <c r="B744" s="1" t="s">
        <v>6</v>
      </c>
      <c r="C744" s="1">
        <v>138</v>
      </c>
    </row>
    <row r="745" spans="1:3" x14ac:dyDescent="0.2">
      <c r="A745" s="2">
        <v>45275</v>
      </c>
      <c r="B745" s="1" t="s">
        <v>6</v>
      </c>
      <c r="C745" s="1">
        <v>139.15</v>
      </c>
    </row>
    <row r="746" spans="1:3" x14ac:dyDescent="0.2">
      <c r="A746" s="2">
        <v>45278</v>
      </c>
      <c r="B746" s="1" t="s">
        <v>6</v>
      </c>
      <c r="C746" s="1">
        <v>138.9</v>
      </c>
    </row>
    <row r="747" spans="1:3" x14ac:dyDescent="0.2">
      <c r="A747" s="2">
        <v>45279</v>
      </c>
      <c r="B747" s="1" t="s">
        <v>6</v>
      </c>
      <c r="C747" s="1">
        <v>140.15</v>
      </c>
    </row>
    <row r="748" spans="1:3" x14ac:dyDescent="0.2">
      <c r="A748" s="2">
        <v>45280</v>
      </c>
      <c r="B748" s="1" t="s">
        <v>6</v>
      </c>
      <c r="C748" s="1">
        <v>135.47</v>
      </c>
    </row>
    <row r="749" spans="1:3" x14ac:dyDescent="0.2">
      <c r="A749" s="2">
        <v>45281</v>
      </c>
      <c r="B749" s="1" t="s">
        <v>6</v>
      </c>
      <c r="C749" s="1">
        <v>139.91</v>
      </c>
    </row>
    <row r="750" spans="1:3" x14ac:dyDescent="0.2">
      <c r="A750" s="2">
        <v>45282</v>
      </c>
      <c r="B750" s="1" t="s">
        <v>6</v>
      </c>
      <c r="C750" s="1">
        <v>139.6</v>
      </c>
    </row>
    <row r="751" spans="1:3" x14ac:dyDescent="0.2">
      <c r="A751" s="2">
        <v>45286</v>
      </c>
      <c r="B751" s="1" t="s">
        <v>6</v>
      </c>
      <c r="C751" s="1">
        <v>143.41</v>
      </c>
    </row>
    <row r="752" spans="1:3" x14ac:dyDescent="0.2">
      <c r="A752" s="2">
        <v>45287</v>
      </c>
      <c r="B752" s="1" t="s">
        <v>6</v>
      </c>
      <c r="C752" s="1">
        <v>146.07</v>
      </c>
    </row>
    <row r="753" spans="1:3" x14ac:dyDescent="0.2">
      <c r="A753" s="2">
        <v>45288</v>
      </c>
      <c r="B753" s="1" t="s">
        <v>6</v>
      </c>
      <c r="C753" s="1">
        <v>148.76</v>
      </c>
    </row>
    <row r="754" spans="1:3" x14ac:dyDescent="0.2">
      <c r="A754" s="2">
        <v>45289</v>
      </c>
      <c r="B754" s="1" t="s">
        <v>6</v>
      </c>
      <c r="C754" s="1">
        <v>147.41</v>
      </c>
    </row>
    <row r="755" spans="1:3" x14ac:dyDescent="0.2">
      <c r="A755" s="2">
        <v>45293</v>
      </c>
      <c r="B755" s="1" t="s">
        <v>6</v>
      </c>
      <c r="C755" s="1">
        <v>138.58000000000001</v>
      </c>
    </row>
    <row r="756" spans="1:3" x14ac:dyDescent="0.2">
      <c r="A756" s="2">
        <v>45294</v>
      </c>
      <c r="B756" s="1" t="s">
        <v>6</v>
      </c>
      <c r="C756" s="1">
        <v>135.32</v>
      </c>
    </row>
    <row r="757" spans="1:3" x14ac:dyDescent="0.2">
      <c r="A757" s="2">
        <v>45295</v>
      </c>
      <c r="B757" s="1" t="s">
        <v>6</v>
      </c>
      <c r="C757" s="1">
        <v>136.01</v>
      </c>
    </row>
    <row r="758" spans="1:3" x14ac:dyDescent="0.2">
      <c r="A758" s="2">
        <v>45296</v>
      </c>
      <c r="B758" s="1" t="s">
        <v>6</v>
      </c>
      <c r="C758" s="1">
        <v>138.58000000000001</v>
      </c>
    </row>
    <row r="759" spans="1:3" x14ac:dyDescent="0.2">
      <c r="A759" s="2">
        <v>45299</v>
      </c>
      <c r="B759" s="1" t="s">
        <v>6</v>
      </c>
      <c r="C759" s="1">
        <v>146.18</v>
      </c>
    </row>
    <row r="760" spans="1:3" x14ac:dyDescent="0.2">
      <c r="A760" s="2">
        <v>45300</v>
      </c>
      <c r="B760" s="1" t="s">
        <v>6</v>
      </c>
      <c r="C760" s="1">
        <v>149.26</v>
      </c>
    </row>
    <row r="761" spans="1:3" x14ac:dyDescent="0.2">
      <c r="A761" s="2">
        <v>45301</v>
      </c>
      <c r="B761" s="1" t="s">
        <v>6</v>
      </c>
      <c r="C761" s="1">
        <v>148.54</v>
      </c>
    </row>
    <row r="762" spans="1:3" x14ac:dyDescent="0.2">
      <c r="A762" s="2">
        <v>45302</v>
      </c>
      <c r="B762" s="1" t="s">
        <v>6</v>
      </c>
      <c r="C762" s="1">
        <v>148.02000000000001</v>
      </c>
    </row>
    <row r="763" spans="1:3" x14ac:dyDescent="0.2">
      <c r="A763" s="2">
        <v>45303</v>
      </c>
      <c r="B763" s="1" t="s">
        <v>6</v>
      </c>
      <c r="C763" s="1">
        <v>146.56</v>
      </c>
    </row>
    <row r="764" spans="1:3" x14ac:dyDescent="0.2">
      <c r="A764" s="2">
        <v>45307</v>
      </c>
      <c r="B764" s="1" t="s">
        <v>6</v>
      </c>
      <c r="C764" s="1">
        <v>158.74</v>
      </c>
    </row>
    <row r="765" spans="1:3" x14ac:dyDescent="0.2">
      <c r="A765" s="2">
        <v>45308</v>
      </c>
      <c r="B765" s="1" t="s">
        <v>6</v>
      </c>
      <c r="C765" s="1">
        <v>160.16999999999999</v>
      </c>
    </row>
    <row r="766" spans="1:3" x14ac:dyDescent="0.2">
      <c r="A766" s="2">
        <v>45309</v>
      </c>
      <c r="B766" s="1" t="s">
        <v>6</v>
      </c>
      <c r="C766" s="1">
        <v>162.66999999999999</v>
      </c>
    </row>
    <row r="767" spans="1:3" x14ac:dyDescent="0.2">
      <c r="A767" s="2">
        <v>45310</v>
      </c>
      <c r="B767" s="1" t="s">
        <v>6</v>
      </c>
      <c r="C767" s="1">
        <v>174.23</v>
      </c>
    </row>
    <row r="768" spans="1:3" x14ac:dyDescent="0.2">
      <c r="A768" s="2">
        <v>45313</v>
      </c>
      <c r="B768" s="1" t="s">
        <v>6</v>
      </c>
      <c r="C768" s="1">
        <v>168.18</v>
      </c>
    </row>
    <row r="769" spans="1:3" x14ac:dyDescent="0.2">
      <c r="A769" s="2">
        <v>45314</v>
      </c>
      <c r="B769" s="1" t="s">
        <v>6</v>
      </c>
      <c r="C769" s="1">
        <v>168.42</v>
      </c>
    </row>
    <row r="770" spans="1:3" x14ac:dyDescent="0.2">
      <c r="A770" s="2">
        <v>45315</v>
      </c>
      <c r="B770" s="1" t="s">
        <v>6</v>
      </c>
      <c r="C770" s="1">
        <v>178.29</v>
      </c>
    </row>
    <row r="771" spans="1:3" x14ac:dyDescent="0.2">
      <c r="A771" s="2">
        <v>45316</v>
      </c>
      <c r="B771" s="1" t="s">
        <v>6</v>
      </c>
      <c r="C771" s="1">
        <v>180.33</v>
      </c>
    </row>
    <row r="772" spans="1:3" x14ac:dyDescent="0.2">
      <c r="A772" s="2">
        <v>45317</v>
      </c>
      <c r="B772" s="1" t="s">
        <v>6</v>
      </c>
      <c r="C772" s="1">
        <v>177.25</v>
      </c>
    </row>
    <row r="773" spans="1:3" x14ac:dyDescent="0.2">
      <c r="A773" s="2">
        <v>45320</v>
      </c>
      <c r="B773" s="1" t="s">
        <v>6</v>
      </c>
      <c r="C773" s="1">
        <v>177.83</v>
      </c>
    </row>
    <row r="774" spans="1:3" x14ac:dyDescent="0.2">
      <c r="A774" s="2">
        <v>45321</v>
      </c>
      <c r="B774" s="1" t="s">
        <v>6</v>
      </c>
      <c r="C774" s="1">
        <v>172.06</v>
      </c>
    </row>
    <row r="775" spans="1:3" x14ac:dyDescent="0.2">
      <c r="A775" s="2">
        <v>45322</v>
      </c>
      <c r="B775" s="1" t="s">
        <v>6</v>
      </c>
      <c r="C775" s="1">
        <v>167.69</v>
      </c>
    </row>
    <row r="776" spans="1:3" x14ac:dyDescent="0.2">
      <c r="A776" s="2">
        <v>45323</v>
      </c>
      <c r="B776" s="1" t="s">
        <v>6</v>
      </c>
      <c r="C776" s="1">
        <v>170.48</v>
      </c>
    </row>
    <row r="777" spans="1:3" x14ac:dyDescent="0.2">
      <c r="A777" s="2">
        <v>45324</v>
      </c>
      <c r="B777" s="1" t="s">
        <v>6</v>
      </c>
      <c r="C777" s="1">
        <v>177.66</v>
      </c>
    </row>
    <row r="778" spans="1:3" x14ac:dyDescent="0.2">
      <c r="A778" s="2">
        <v>45327</v>
      </c>
      <c r="B778" s="1" t="s">
        <v>6</v>
      </c>
      <c r="C778" s="1">
        <v>174.23</v>
      </c>
    </row>
    <row r="779" spans="1:3" x14ac:dyDescent="0.2">
      <c r="A779" s="2">
        <v>45328</v>
      </c>
      <c r="B779" s="1" t="s">
        <v>6</v>
      </c>
      <c r="C779" s="1">
        <v>167.88</v>
      </c>
    </row>
    <row r="780" spans="1:3" x14ac:dyDescent="0.2">
      <c r="A780" s="2">
        <v>45329</v>
      </c>
      <c r="B780" s="1" t="s">
        <v>6</v>
      </c>
      <c r="C780" s="1">
        <v>170.94</v>
      </c>
    </row>
    <row r="781" spans="1:3" x14ac:dyDescent="0.2">
      <c r="A781" s="2">
        <v>45330</v>
      </c>
      <c r="B781" s="1" t="s">
        <v>6</v>
      </c>
      <c r="C781" s="1">
        <v>169.35</v>
      </c>
    </row>
    <row r="782" spans="1:3" x14ac:dyDescent="0.2">
      <c r="A782" s="2">
        <v>45331</v>
      </c>
      <c r="B782" s="1" t="s">
        <v>6</v>
      </c>
      <c r="C782" s="1">
        <v>172.48</v>
      </c>
    </row>
    <row r="783" spans="1:3" x14ac:dyDescent="0.2">
      <c r="A783" s="2">
        <v>45334</v>
      </c>
      <c r="B783" s="1" t="s">
        <v>6</v>
      </c>
      <c r="C783" s="1">
        <v>171.91</v>
      </c>
    </row>
    <row r="784" spans="1:3" x14ac:dyDescent="0.2">
      <c r="A784" s="2">
        <v>45335</v>
      </c>
      <c r="B784" s="1" t="s">
        <v>6</v>
      </c>
      <c r="C784" s="1">
        <v>171.54</v>
      </c>
    </row>
    <row r="785" spans="1:3" x14ac:dyDescent="0.2">
      <c r="A785" s="2">
        <v>45336</v>
      </c>
      <c r="B785" s="1" t="s">
        <v>6</v>
      </c>
      <c r="C785" s="1">
        <v>178.7</v>
      </c>
    </row>
    <row r="786" spans="1:3" x14ac:dyDescent="0.2">
      <c r="A786" s="2">
        <v>45337</v>
      </c>
      <c r="B786" s="1" t="s">
        <v>6</v>
      </c>
      <c r="C786" s="1">
        <v>176.76</v>
      </c>
    </row>
    <row r="787" spans="1:3" x14ac:dyDescent="0.2">
      <c r="A787" s="2">
        <v>45338</v>
      </c>
      <c r="B787" s="1" t="s">
        <v>6</v>
      </c>
      <c r="C787" s="1">
        <v>173.87</v>
      </c>
    </row>
    <row r="788" spans="1:3" x14ac:dyDescent="0.2">
      <c r="A788" s="2">
        <v>45342</v>
      </c>
      <c r="B788" s="1" t="s">
        <v>6</v>
      </c>
      <c r="C788" s="1">
        <v>165.69</v>
      </c>
    </row>
    <row r="789" spans="1:3" x14ac:dyDescent="0.2">
      <c r="A789" s="2">
        <v>45343</v>
      </c>
      <c r="B789" s="1" t="s">
        <v>6</v>
      </c>
      <c r="C789" s="1">
        <v>164.29</v>
      </c>
    </row>
    <row r="790" spans="1:3" x14ac:dyDescent="0.2">
      <c r="A790" s="2">
        <v>45344</v>
      </c>
      <c r="B790" s="1" t="s">
        <v>6</v>
      </c>
      <c r="C790" s="1">
        <v>181.86</v>
      </c>
    </row>
    <row r="791" spans="1:3" x14ac:dyDescent="0.2">
      <c r="A791" s="2">
        <v>45345</v>
      </c>
      <c r="B791" s="1" t="s">
        <v>6</v>
      </c>
      <c r="C791" s="1">
        <v>176.52</v>
      </c>
    </row>
    <row r="792" spans="1:3" x14ac:dyDescent="0.2">
      <c r="A792" s="2">
        <v>45348</v>
      </c>
      <c r="B792" s="1" t="s">
        <v>6</v>
      </c>
      <c r="C792" s="1">
        <v>176.01</v>
      </c>
    </row>
    <row r="793" spans="1:3" x14ac:dyDescent="0.2">
      <c r="A793" s="2">
        <v>45349</v>
      </c>
      <c r="B793" s="1" t="s">
        <v>6</v>
      </c>
      <c r="C793" s="1">
        <v>178</v>
      </c>
    </row>
    <row r="794" spans="1:3" x14ac:dyDescent="0.2">
      <c r="A794" s="2">
        <v>45350</v>
      </c>
      <c r="B794" s="1" t="s">
        <v>6</v>
      </c>
      <c r="C794" s="1">
        <v>176.54</v>
      </c>
    </row>
    <row r="795" spans="1:3" x14ac:dyDescent="0.2">
      <c r="A795" s="2">
        <v>45351</v>
      </c>
      <c r="B795" s="1" t="s">
        <v>6</v>
      </c>
      <c r="C795" s="1">
        <v>192.53</v>
      </c>
    </row>
    <row r="796" spans="1:3" x14ac:dyDescent="0.2">
      <c r="A796" s="2">
        <v>45352</v>
      </c>
      <c r="B796" s="1" t="s">
        <v>6</v>
      </c>
      <c r="C796" s="1">
        <v>202.64</v>
      </c>
    </row>
    <row r="797" spans="1:3" x14ac:dyDescent="0.2">
      <c r="A797" s="2">
        <v>45355</v>
      </c>
      <c r="B797" s="1" t="s">
        <v>6</v>
      </c>
      <c r="C797" s="1">
        <v>205.36</v>
      </c>
    </row>
    <row r="798" spans="1:3" x14ac:dyDescent="0.2">
      <c r="A798" s="2">
        <v>45356</v>
      </c>
      <c r="B798" s="1" t="s">
        <v>6</v>
      </c>
      <c r="C798" s="1">
        <v>205.13</v>
      </c>
    </row>
    <row r="799" spans="1:3" x14ac:dyDescent="0.2">
      <c r="A799" s="2">
        <v>45357</v>
      </c>
      <c r="B799" s="1" t="s">
        <v>6</v>
      </c>
      <c r="C799" s="1">
        <v>210.63</v>
      </c>
    </row>
    <row r="800" spans="1:3" x14ac:dyDescent="0.2">
      <c r="A800" s="2">
        <v>45358</v>
      </c>
      <c r="B800" s="1" t="s">
        <v>6</v>
      </c>
      <c r="C800" s="1">
        <v>211.38</v>
      </c>
    </row>
    <row r="801" spans="1:3" x14ac:dyDescent="0.2">
      <c r="A801" s="2">
        <v>45359</v>
      </c>
      <c r="B801" s="1" t="s">
        <v>6</v>
      </c>
      <c r="C801" s="1">
        <v>207.39</v>
      </c>
    </row>
    <row r="802" spans="1:3" x14ac:dyDescent="0.2">
      <c r="A802" s="2">
        <v>45362</v>
      </c>
      <c r="B802" s="1" t="s">
        <v>6</v>
      </c>
      <c r="C802" s="1">
        <v>198.39</v>
      </c>
    </row>
    <row r="803" spans="1:3" x14ac:dyDescent="0.2">
      <c r="A803" s="2">
        <v>45363</v>
      </c>
      <c r="B803" s="1" t="s">
        <v>6</v>
      </c>
      <c r="C803" s="1">
        <v>202.76</v>
      </c>
    </row>
    <row r="804" spans="1:3" x14ac:dyDescent="0.2">
      <c r="A804" s="2">
        <v>45364</v>
      </c>
      <c r="B804" s="1" t="s">
        <v>6</v>
      </c>
      <c r="C804" s="1">
        <v>194.79</v>
      </c>
    </row>
    <row r="805" spans="1:3" x14ac:dyDescent="0.2">
      <c r="A805" s="2">
        <v>45365</v>
      </c>
      <c r="B805" s="1" t="s">
        <v>6</v>
      </c>
      <c r="C805" s="1">
        <v>187.06</v>
      </c>
    </row>
    <row r="806" spans="1:3" x14ac:dyDescent="0.2">
      <c r="A806" s="2">
        <v>45366</v>
      </c>
      <c r="B806" s="1" t="s">
        <v>6</v>
      </c>
      <c r="C806" s="1">
        <v>191.06</v>
      </c>
    </row>
    <row r="807" spans="1:3" x14ac:dyDescent="0.2">
      <c r="A807" s="2">
        <v>45369</v>
      </c>
      <c r="B807" s="1" t="s">
        <v>6</v>
      </c>
      <c r="C807" s="1">
        <v>190.65</v>
      </c>
    </row>
    <row r="808" spans="1:3" x14ac:dyDescent="0.2">
      <c r="A808" s="2">
        <v>45370</v>
      </c>
      <c r="B808" s="1" t="s">
        <v>6</v>
      </c>
      <c r="C808" s="1">
        <v>181.42</v>
      </c>
    </row>
    <row r="809" spans="1:3" x14ac:dyDescent="0.2">
      <c r="A809" s="2">
        <v>45371</v>
      </c>
      <c r="B809" s="1" t="s">
        <v>6</v>
      </c>
      <c r="C809" s="1">
        <v>179.73</v>
      </c>
    </row>
    <row r="810" spans="1:3" x14ac:dyDescent="0.2">
      <c r="A810" s="2">
        <v>45372</v>
      </c>
      <c r="B810" s="1" t="s">
        <v>6</v>
      </c>
      <c r="C810" s="1">
        <v>178.68</v>
      </c>
    </row>
    <row r="811" spans="1:3" x14ac:dyDescent="0.2">
      <c r="A811" s="2">
        <v>45373</v>
      </c>
      <c r="B811" s="1" t="s">
        <v>6</v>
      </c>
      <c r="C811" s="1">
        <v>179.65</v>
      </c>
    </row>
    <row r="812" spans="1:3" x14ac:dyDescent="0.2">
      <c r="A812" s="2">
        <v>45376</v>
      </c>
      <c r="B812" s="1" t="s">
        <v>6</v>
      </c>
      <c r="C812" s="1">
        <v>178.63</v>
      </c>
    </row>
    <row r="813" spans="1:3" x14ac:dyDescent="0.2">
      <c r="A813" s="2">
        <v>45377</v>
      </c>
      <c r="B813" s="1" t="s">
        <v>6</v>
      </c>
      <c r="C813" s="1">
        <v>177.87</v>
      </c>
    </row>
    <row r="814" spans="1:3" x14ac:dyDescent="0.2">
      <c r="A814" s="2">
        <v>45378</v>
      </c>
      <c r="B814" s="1" t="s">
        <v>6</v>
      </c>
      <c r="C814" s="1">
        <v>179.59</v>
      </c>
    </row>
    <row r="815" spans="1:3" x14ac:dyDescent="0.2">
      <c r="A815" s="2">
        <v>45379</v>
      </c>
      <c r="B815" s="1" t="s">
        <v>6</v>
      </c>
      <c r="C815" s="1">
        <v>180.49</v>
      </c>
    </row>
    <row r="816" spans="1:3" x14ac:dyDescent="0.2">
      <c r="A816" s="2">
        <v>45383</v>
      </c>
      <c r="B816" s="1" t="s">
        <v>6</v>
      </c>
      <c r="C816" s="1">
        <v>183.34</v>
      </c>
    </row>
    <row r="817" spans="1:3" x14ac:dyDescent="0.2">
      <c r="A817" s="2">
        <v>45384</v>
      </c>
      <c r="B817" s="1" t="s">
        <v>6</v>
      </c>
      <c r="C817" s="1">
        <v>178.7</v>
      </c>
    </row>
    <row r="818" spans="1:3" x14ac:dyDescent="0.2">
      <c r="A818" s="2">
        <v>45385</v>
      </c>
      <c r="B818" s="1" t="s">
        <v>6</v>
      </c>
      <c r="C818" s="1">
        <v>180.77</v>
      </c>
    </row>
    <row r="819" spans="1:3" x14ac:dyDescent="0.2">
      <c r="A819" s="2">
        <v>45386</v>
      </c>
      <c r="B819" s="1" t="s">
        <v>6</v>
      </c>
      <c r="C819" s="1">
        <v>165.83</v>
      </c>
    </row>
    <row r="820" spans="1:3" x14ac:dyDescent="0.2">
      <c r="A820" s="2">
        <v>45387</v>
      </c>
      <c r="B820" s="1" t="s">
        <v>6</v>
      </c>
      <c r="C820" s="1">
        <v>170.42</v>
      </c>
    </row>
    <row r="821" spans="1:3" x14ac:dyDescent="0.2">
      <c r="A821" s="2">
        <v>45390</v>
      </c>
      <c r="B821" s="1" t="s">
        <v>6</v>
      </c>
      <c r="C821" s="1">
        <v>169.9</v>
      </c>
    </row>
    <row r="822" spans="1:3" x14ac:dyDescent="0.2">
      <c r="A822" s="2">
        <v>45391</v>
      </c>
      <c r="B822" s="1" t="s">
        <v>6</v>
      </c>
      <c r="C822" s="1">
        <v>170.78</v>
      </c>
    </row>
    <row r="823" spans="1:3" x14ac:dyDescent="0.2">
      <c r="A823" s="2">
        <v>45392</v>
      </c>
      <c r="B823" s="1" t="s">
        <v>6</v>
      </c>
      <c r="C823" s="1">
        <v>167.14</v>
      </c>
    </row>
    <row r="824" spans="1:3" x14ac:dyDescent="0.2">
      <c r="A824" s="2">
        <v>45393</v>
      </c>
      <c r="B824" s="1" t="s">
        <v>6</v>
      </c>
      <c r="C824" s="1">
        <v>170.5</v>
      </c>
    </row>
    <row r="825" spans="1:3" x14ac:dyDescent="0.2">
      <c r="A825" s="2">
        <v>45394</v>
      </c>
      <c r="B825" s="1" t="s">
        <v>6</v>
      </c>
      <c r="C825" s="1">
        <v>163.28</v>
      </c>
    </row>
    <row r="826" spans="1:3" x14ac:dyDescent="0.2">
      <c r="A826" s="2">
        <v>45397</v>
      </c>
      <c r="B826" s="1" t="s">
        <v>6</v>
      </c>
      <c r="C826" s="1">
        <v>160.32</v>
      </c>
    </row>
    <row r="827" spans="1:3" x14ac:dyDescent="0.2">
      <c r="A827" s="2">
        <v>45398</v>
      </c>
      <c r="B827" s="1" t="s">
        <v>6</v>
      </c>
      <c r="C827" s="1">
        <v>163.46</v>
      </c>
    </row>
    <row r="828" spans="1:3" x14ac:dyDescent="0.2">
      <c r="A828" s="2">
        <v>45399</v>
      </c>
      <c r="B828" s="1" t="s">
        <v>6</v>
      </c>
      <c r="C828" s="1">
        <v>154.02000000000001</v>
      </c>
    </row>
    <row r="829" spans="1:3" x14ac:dyDescent="0.2">
      <c r="A829" s="2">
        <v>45400</v>
      </c>
      <c r="B829" s="1" t="s">
        <v>6</v>
      </c>
      <c r="C829" s="1">
        <v>155.08000000000001</v>
      </c>
    </row>
    <row r="830" spans="1:3" x14ac:dyDescent="0.2">
      <c r="A830" s="2">
        <v>45401</v>
      </c>
      <c r="B830" s="1" t="s">
        <v>6</v>
      </c>
      <c r="C830" s="1">
        <v>146.63999999999999</v>
      </c>
    </row>
    <row r="831" spans="1:3" x14ac:dyDescent="0.2">
      <c r="A831" s="2">
        <v>45404</v>
      </c>
      <c r="B831" s="1" t="s">
        <v>6</v>
      </c>
      <c r="C831" s="1">
        <v>148.63999999999999</v>
      </c>
    </row>
    <row r="832" spans="1:3" x14ac:dyDescent="0.2">
      <c r="A832" s="2">
        <v>45405</v>
      </c>
      <c r="B832" s="1" t="s">
        <v>6</v>
      </c>
      <c r="C832" s="1">
        <v>152.27000000000001</v>
      </c>
    </row>
    <row r="833" spans="1:3" x14ac:dyDescent="0.2">
      <c r="A833" s="2">
        <v>45406</v>
      </c>
      <c r="B833" s="1" t="s">
        <v>6</v>
      </c>
      <c r="C833" s="1">
        <v>151.74</v>
      </c>
    </row>
    <row r="834" spans="1:3" x14ac:dyDescent="0.2">
      <c r="A834" s="2">
        <v>45407</v>
      </c>
      <c r="B834" s="1" t="s">
        <v>6</v>
      </c>
      <c r="C834" s="1">
        <v>153.76</v>
      </c>
    </row>
    <row r="835" spans="1:3" x14ac:dyDescent="0.2">
      <c r="A835" s="2">
        <v>45408</v>
      </c>
      <c r="B835" s="1" t="s">
        <v>6</v>
      </c>
      <c r="C835" s="1">
        <v>157.4</v>
      </c>
    </row>
    <row r="836" spans="1:3" x14ac:dyDescent="0.2">
      <c r="A836" s="2">
        <v>45411</v>
      </c>
      <c r="B836" s="1" t="s">
        <v>6</v>
      </c>
      <c r="C836" s="1">
        <v>160.19999999999999</v>
      </c>
    </row>
    <row r="837" spans="1:3" x14ac:dyDescent="0.2">
      <c r="A837" s="2">
        <v>45412</v>
      </c>
      <c r="B837" s="1" t="s">
        <v>6</v>
      </c>
      <c r="C837" s="1">
        <v>158.38</v>
      </c>
    </row>
    <row r="838" spans="1:3" x14ac:dyDescent="0.2">
      <c r="A838" s="2">
        <v>45413</v>
      </c>
      <c r="B838" s="1" t="s">
        <v>6</v>
      </c>
      <c r="C838" s="1">
        <v>144.27000000000001</v>
      </c>
    </row>
    <row r="839" spans="1:3" x14ac:dyDescent="0.2">
      <c r="A839" s="2">
        <v>45414</v>
      </c>
      <c r="B839" s="1" t="s">
        <v>6</v>
      </c>
      <c r="C839" s="1">
        <v>146.16</v>
      </c>
    </row>
    <row r="840" spans="1:3" x14ac:dyDescent="0.2">
      <c r="A840" s="2">
        <v>45415</v>
      </c>
      <c r="B840" s="1" t="s">
        <v>6</v>
      </c>
      <c r="C840" s="1">
        <v>150.6</v>
      </c>
    </row>
    <row r="841" spans="1:3" x14ac:dyDescent="0.2">
      <c r="A841" s="2">
        <v>45418</v>
      </c>
      <c r="B841" s="1" t="s">
        <v>6</v>
      </c>
      <c r="C841" s="1">
        <v>155.78</v>
      </c>
    </row>
    <row r="842" spans="1:3" x14ac:dyDescent="0.2">
      <c r="A842" s="2">
        <v>45419</v>
      </c>
      <c r="B842" s="1" t="s">
        <v>6</v>
      </c>
      <c r="C842" s="1">
        <v>154.43</v>
      </c>
    </row>
    <row r="843" spans="1:3" x14ac:dyDescent="0.2">
      <c r="A843" s="2">
        <v>45420</v>
      </c>
      <c r="B843" s="1" t="s">
        <v>6</v>
      </c>
      <c r="C843" s="1">
        <v>153.62</v>
      </c>
    </row>
    <row r="844" spans="1:3" x14ac:dyDescent="0.2">
      <c r="A844" s="2">
        <v>45421</v>
      </c>
      <c r="B844" s="1" t="s">
        <v>6</v>
      </c>
      <c r="C844" s="1">
        <v>152.38999999999999</v>
      </c>
    </row>
    <row r="845" spans="1:3" x14ac:dyDescent="0.2">
      <c r="A845" s="2">
        <v>45422</v>
      </c>
      <c r="B845" s="1" t="s">
        <v>6</v>
      </c>
      <c r="C845" s="1">
        <v>151.91999999999999</v>
      </c>
    </row>
    <row r="846" spans="1:3" x14ac:dyDescent="0.2">
      <c r="A846" s="2">
        <v>45425</v>
      </c>
      <c r="B846" s="1" t="s">
        <v>6</v>
      </c>
      <c r="C846" s="1">
        <v>150.56</v>
      </c>
    </row>
    <row r="847" spans="1:3" x14ac:dyDescent="0.2">
      <c r="A847" s="2">
        <v>45426</v>
      </c>
      <c r="B847" s="1" t="s">
        <v>6</v>
      </c>
      <c r="C847" s="1">
        <v>153.16</v>
      </c>
    </row>
    <row r="848" spans="1:3" x14ac:dyDescent="0.2">
      <c r="A848" s="2">
        <v>45427</v>
      </c>
      <c r="B848" s="1" t="s">
        <v>6</v>
      </c>
      <c r="C848" s="1">
        <v>159.66999999999999</v>
      </c>
    </row>
    <row r="849" spans="1:3" x14ac:dyDescent="0.2">
      <c r="A849" s="2">
        <v>45428</v>
      </c>
      <c r="B849" s="1" t="s">
        <v>6</v>
      </c>
      <c r="C849" s="1">
        <v>162.62</v>
      </c>
    </row>
    <row r="850" spans="1:3" x14ac:dyDescent="0.2">
      <c r="A850" s="2">
        <v>45429</v>
      </c>
      <c r="B850" s="1" t="s">
        <v>6</v>
      </c>
      <c r="C850" s="1">
        <v>164.47</v>
      </c>
    </row>
    <row r="851" spans="1:3" x14ac:dyDescent="0.2">
      <c r="A851" s="2">
        <v>45432</v>
      </c>
      <c r="B851" s="1" t="s">
        <v>6</v>
      </c>
      <c r="C851" s="1">
        <v>166.33</v>
      </c>
    </row>
    <row r="852" spans="1:3" x14ac:dyDescent="0.2">
      <c r="A852" s="2">
        <v>45433</v>
      </c>
      <c r="B852" s="1" t="s">
        <v>6</v>
      </c>
      <c r="C852" s="1">
        <v>164.66</v>
      </c>
    </row>
    <row r="853" spans="1:3" x14ac:dyDescent="0.2">
      <c r="A853" s="2">
        <v>45434</v>
      </c>
      <c r="B853" s="1" t="s">
        <v>6</v>
      </c>
      <c r="C853" s="1">
        <v>165.52</v>
      </c>
    </row>
    <row r="854" spans="1:3" x14ac:dyDescent="0.2">
      <c r="A854" s="2">
        <v>45435</v>
      </c>
      <c r="B854" s="1" t="s">
        <v>6</v>
      </c>
      <c r="C854" s="1">
        <v>160.43</v>
      </c>
    </row>
    <row r="855" spans="1:3" x14ac:dyDescent="0.2">
      <c r="A855" s="2">
        <v>45436</v>
      </c>
      <c r="B855" s="1" t="s">
        <v>6</v>
      </c>
      <c r="C855" s="1">
        <v>166.36</v>
      </c>
    </row>
    <row r="856" spans="1:3" x14ac:dyDescent="0.2">
      <c r="A856" s="2">
        <v>45440</v>
      </c>
      <c r="B856" s="1" t="s">
        <v>6</v>
      </c>
      <c r="C856" s="1">
        <v>171.61</v>
      </c>
    </row>
    <row r="857" spans="1:3" x14ac:dyDescent="0.2">
      <c r="A857" s="2">
        <v>45441</v>
      </c>
      <c r="B857" s="1" t="s">
        <v>6</v>
      </c>
      <c r="C857" s="1">
        <v>165.14</v>
      </c>
    </row>
    <row r="858" spans="1:3" x14ac:dyDescent="0.2">
      <c r="A858" s="2">
        <v>45442</v>
      </c>
      <c r="B858" s="1" t="s">
        <v>6</v>
      </c>
      <c r="C858" s="1">
        <v>166.75</v>
      </c>
    </row>
    <row r="859" spans="1:3" x14ac:dyDescent="0.2">
      <c r="A859" s="2">
        <v>45443</v>
      </c>
      <c r="B859" s="1" t="s">
        <v>6</v>
      </c>
      <c r="C859" s="1">
        <v>166.9</v>
      </c>
    </row>
    <row r="860" spans="1:3" x14ac:dyDescent="0.2">
      <c r="A860" s="2">
        <v>45446</v>
      </c>
      <c r="B860" s="1" t="s">
        <v>6</v>
      </c>
      <c r="C860" s="1">
        <v>163.55000000000001</v>
      </c>
    </row>
    <row r="861" spans="1:3" x14ac:dyDescent="0.2">
      <c r="A861" s="2">
        <v>45447</v>
      </c>
      <c r="B861" s="1" t="s">
        <v>6</v>
      </c>
      <c r="C861" s="1">
        <v>159.99</v>
      </c>
    </row>
    <row r="862" spans="1:3" x14ac:dyDescent="0.2">
      <c r="A862" s="2">
        <v>45448</v>
      </c>
      <c r="B862" s="1" t="s">
        <v>6</v>
      </c>
      <c r="C862" s="1">
        <v>166.17</v>
      </c>
    </row>
    <row r="863" spans="1:3" x14ac:dyDescent="0.2">
      <c r="A863" s="2">
        <v>45449</v>
      </c>
      <c r="B863" s="1" t="s">
        <v>6</v>
      </c>
      <c r="C863" s="1">
        <v>166.78</v>
      </c>
    </row>
    <row r="864" spans="1:3" x14ac:dyDescent="0.2">
      <c r="A864" s="2">
        <v>45450</v>
      </c>
      <c r="B864" s="1" t="s">
        <v>6</v>
      </c>
      <c r="C864" s="1">
        <v>167.87</v>
      </c>
    </row>
    <row r="865" spans="1:3" x14ac:dyDescent="0.2">
      <c r="A865" s="2">
        <v>45453</v>
      </c>
      <c r="B865" s="1" t="s">
        <v>6</v>
      </c>
      <c r="C865" s="1">
        <v>160.34</v>
      </c>
    </row>
    <row r="866" spans="1:3" x14ac:dyDescent="0.2">
      <c r="A866" s="2">
        <v>45454</v>
      </c>
      <c r="B866" s="1" t="s">
        <v>6</v>
      </c>
      <c r="C866" s="1">
        <v>158.96</v>
      </c>
    </row>
    <row r="867" spans="1:3" x14ac:dyDescent="0.2">
      <c r="A867" s="2">
        <v>45455</v>
      </c>
      <c r="B867" s="1" t="s">
        <v>6</v>
      </c>
      <c r="C867" s="1">
        <v>160.24</v>
      </c>
    </row>
    <row r="868" spans="1:3" x14ac:dyDescent="0.2">
      <c r="A868" s="2">
        <v>45456</v>
      </c>
      <c r="B868" s="1" t="s">
        <v>6</v>
      </c>
      <c r="C868" s="1">
        <v>159.9</v>
      </c>
    </row>
    <row r="869" spans="1:3" x14ac:dyDescent="0.2">
      <c r="A869" s="2">
        <v>45457</v>
      </c>
      <c r="B869" s="1" t="s">
        <v>6</v>
      </c>
      <c r="C869" s="1">
        <v>159.63</v>
      </c>
    </row>
    <row r="870" spans="1:3" x14ac:dyDescent="0.2">
      <c r="A870" s="2">
        <v>45460</v>
      </c>
      <c r="B870" s="1" t="s">
        <v>6</v>
      </c>
      <c r="C870" s="1">
        <v>158.4</v>
      </c>
    </row>
    <row r="871" spans="1:3" x14ac:dyDescent="0.2">
      <c r="A871" s="2">
        <v>45461</v>
      </c>
      <c r="B871" s="1" t="s">
        <v>6</v>
      </c>
      <c r="C871" s="1">
        <v>154.63</v>
      </c>
    </row>
    <row r="872" spans="1:3" x14ac:dyDescent="0.2">
      <c r="A872" s="2">
        <v>45463</v>
      </c>
      <c r="B872" s="1" t="s">
        <v>6</v>
      </c>
      <c r="C872" s="1">
        <v>161.78</v>
      </c>
    </row>
    <row r="873" spans="1:3" x14ac:dyDescent="0.2">
      <c r="A873" s="2">
        <v>45464</v>
      </c>
      <c r="B873" s="1" t="s">
        <v>6</v>
      </c>
      <c r="C873" s="1">
        <v>161.22999999999999</v>
      </c>
    </row>
    <row r="874" spans="1:3" x14ac:dyDescent="0.2">
      <c r="A874" s="2">
        <v>45467</v>
      </c>
      <c r="B874" s="1" t="s">
        <v>6</v>
      </c>
      <c r="C874" s="1">
        <v>160.25</v>
      </c>
    </row>
    <row r="875" spans="1:3" x14ac:dyDescent="0.2">
      <c r="A875" s="2">
        <v>45468</v>
      </c>
      <c r="B875" s="1" t="s">
        <v>6</v>
      </c>
      <c r="C875" s="1">
        <v>160.25</v>
      </c>
    </row>
    <row r="876" spans="1:3" x14ac:dyDescent="0.2">
      <c r="A876" s="2">
        <v>45469</v>
      </c>
      <c r="B876" s="1" t="s">
        <v>6</v>
      </c>
      <c r="C876" s="1">
        <v>157.54</v>
      </c>
    </row>
    <row r="877" spans="1:3" x14ac:dyDescent="0.2">
      <c r="A877" s="2">
        <v>45470</v>
      </c>
      <c r="B877" s="1" t="s">
        <v>6</v>
      </c>
      <c r="C877" s="1">
        <v>159.47</v>
      </c>
    </row>
    <row r="878" spans="1:3" x14ac:dyDescent="0.2">
      <c r="A878" s="2">
        <v>45471</v>
      </c>
      <c r="B878" s="1" t="s">
        <v>6</v>
      </c>
      <c r="C878" s="1">
        <v>162.21</v>
      </c>
    </row>
    <row r="879" spans="1:3" x14ac:dyDescent="0.2">
      <c r="A879" s="2">
        <v>45474</v>
      </c>
      <c r="B879" s="1" t="s">
        <v>6</v>
      </c>
      <c r="C879" s="1">
        <v>157.69</v>
      </c>
    </row>
    <row r="880" spans="1:3" x14ac:dyDescent="0.2">
      <c r="A880" s="2">
        <v>45475</v>
      </c>
      <c r="B880" s="1" t="s">
        <v>6</v>
      </c>
      <c r="C880" s="1">
        <v>164.31</v>
      </c>
    </row>
    <row r="881" spans="1:3" x14ac:dyDescent="0.2">
      <c r="A881" s="2">
        <v>45476</v>
      </c>
      <c r="B881" s="1" t="s">
        <v>6</v>
      </c>
      <c r="C881" s="1">
        <v>163.9</v>
      </c>
    </row>
    <row r="882" spans="1:3" x14ac:dyDescent="0.2">
      <c r="A882" s="2">
        <v>45478</v>
      </c>
      <c r="B882" s="1" t="s">
        <v>6</v>
      </c>
      <c r="C882" s="1">
        <v>171.9</v>
      </c>
    </row>
    <row r="883" spans="1:3" x14ac:dyDescent="0.2">
      <c r="A883" s="2">
        <v>45481</v>
      </c>
      <c r="B883" s="1" t="s">
        <v>6</v>
      </c>
      <c r="C883" s="1">
        <v>178.69</v>
      </c>
    </row>
    <row r="884" spans="1:3" x14ac:dyDescent="0.2">
      <c r="A884" s="2">
        <v>45482</v>
      </c>
      <c r="B884" s="1" t="s">
        <v>6</v>
      </c>
      <c r="C884" s="1">
        <v>177.1</v>
      </c>
    </row>
    <row r="885" spans="1:3" x14ac:dyDescent="0.2">
      <c r="A885" s="2">
        <v>45483</v>
      </c>
      <c r="B885" s="1" t="s">
        <v>6</v>
      </c>
      <c r="C885" s="1">
        <v>183.96</v>
      </c>
    </row>
    <row r="886" spans="1:3" x14ac:dyDescent="0.2">
      <c r="A886" s="2">
        <v>45484</v>
      </c>
      <c r="B886" s="1" t="s">
        <v>6</v>
      </c>
      <c r="C886" s="1">
        <v>181.94</v>
      </c>
    </row>
    <row r="887" spans="1:3" x14ac:dyDescent="0.2">
      <c r="A887" s="2">
        <v>45485</v>
      </c>
      <c r="B887" s="1" t="s">
        <v>6</v>
      </c>
      <c r="C887" s="1">
        <v>181.61</v>
      </c>
    </row>
    <row r="888" spans="1:3" x14ac:dyDescent="0.2">
      <c r="A888" s="2">
        <v>45488</v>
      </c>
      <c r="B888" s="1" t="s">
        <v>6</v>
      </c>
      <c r="C888" s="1">
        <v>179.83</v>
      </c>
    </row>
    <row r="889" spans="1:3" x14ac:dyDescent="0.2">
      <c r="A889" s="2">
        <v>45489</v>
      </c>
      <c r="B889" s="1" t="s">
        <v>6</v>
      </c>
      <c r="C889" s="1">
        <v>177.55</v>
      </c>
    </row>
    <row r="890" spans="1:3" x14ac:dyDescent="0.2">
      <c r="A890" s="2">
        <v>45490</v>
      </c>
      <c r="B890" s="1" t="s">
        <v>6</v>
      </c>
      <c r="C890" s="1">
        <v>159.43</v>
      </c>
    </row>
    <row r="891" spans="1:3" x14ac:dyDescent="0.2">
      <c r="A891" s="2">
        <v>45491</v>
      </c>
      <c r="B891" s="1" t="s">
        <v>6</v>
      </c>
      <c r="C891" s="1">
        <v>155.77000000000001</v>
      </c>
    </row>
    <row r="892" spans="1:3" x14ac:dyDescent="0.2">
      <c r="A892" s="2">
        <v>45492</v>
      </c>
      <c r="B892" s="1" t="s">
        <v>6</v>
      </c>
      <c r="C892" s="1">
        <v>151.58000000000001</v>
      </c>
    </row>
    <row r="893" spans="1:3" x14ac:dyDescent="0.2">
      <c r="A893" s="2">
        <v>45495</v>
      </c>
      <c r="B893" s="1" t="s">
        <v>6</v>
      </c>
      <c r="C893" s="1">
        <v>155.87</v>
      </c>
    </row>
    <row r="894" spans="1:3" x14ac:dyDescent="0.2">
      <c r="A894" s="2">
        <v>45496</v>
      </c>
      <c r="B894" s="1" t="s">
        <v>6</v>
      </c>
      <c r="C894" s="1">
        <v>154</v>
      </c>
    </row>
    <row r="895" spans="1:3" x14ac:dyDescent="0.2">
      <c r="A895" s="2">
        <v>45497</v>
      </c>
      <c r="B895" s="1" t="s">
        <v>6</v>
      </c>
      <c r="C895" s="1">
        <v>144.63</v>
      </c>
    </row>
    <row r="896" spans="1:3" x14ac:dyDescent="0.2">
      <c r="A896" s="2">
        <v>45498</v>
      </c>
      <c r="B896" s="1" t="s">
        <v>6</v>
      </c>
      <c r="C896" s="1">
        <v>138.32</v>
      </c>
    </row>
    <row r="897" spans="1:3" x14ac:dyDescent="0.2">
      <c r="A897" s="2">
        <v>45499</v>
      </c>
      <c r="B897" s="1" t="s">
        <v>6</v>
      </c>
      <c r="C897" s="1">
        <v>139.99</v>
      </c>
    </row>
    <row r="898" spans="1:3" x14ac:dyDescent="0.2">
      <c r="A898" s="2">
        <v>45502</v>
      </c>
      <c r="B898" s="1" t="s">
        <v>6</v>
      </c>
      <c r="C898" s="1">
        <v>139.75</v>
      </c>
    </row>
    <row r="899" spans="1:3" x14ac:dyDescent="0.2">
      <c r="A899" s="2">
        <v>45503</v>
      </c>
      <c r="B899" s="1" t="s">
        <v>6</v>
      </c>
      <c r="C899" s="1">
        <v>138.44</v>
      </c>
    </row>
    <row r="900" spans="1:3" x14ac:dyDescent="0.2">
      <c r="A900" s="2">
        <v>45504</v>
      </c>
      <c r="B900" s="1" t="s">
        <v>6</v>
      </c>
      <c r="C900" s="1">
        <v>144.47999999999999</v>
      </c>
    </row>
    <row r="901" spans="1:3" x14ac:dyDescent="0.2">
      <c r="A901" s="2">
        <v>45505</v>
      </c>
      <c r="B901" s="1" t="s">
        <v>6</v>
      </c>
      <c r="C901" s="1">
        <v>132.54</v>
      </c>
    </row>
    <row r="902" spans="1:3" x14ac:dyDescent="0.2">
      <c r="A902" s="2">
        <v>45506</v>
      </c>
      <c r="B902" s="1" t="s">
        <v>6</v>
      </c>
      <c r="C902" s="1">
        <v>132.5</v>
      </c>
    </row>
    <row r="903" spans="1:3" x14ac:dyDescent="0.2">
      <c r="A903" s="2">
        <v>45509</v>
      </c>
      <c r="B903" s="1" t="s">
        <v>6</v>
      </c>
      <c r="C903" s="1">
        <v>134.82</v>
      </c>
    </row>
    <row r="904" spans="1:3" x14ac:dyDescent="0.2">
      <c r="A904" s="2">
        <v>45510</v>
      </c>
      <c r="B904" s="1" t="s">
        <v>6</v>
      </c>
      <c r="C904" s="1">
        <v>130.18</v>
      </c>
    </row>
    <row r="905" spans="1:3" x14ac:dyDescent="0.2">
      <c r="A905" s="2">
        <v>45511</v>
      </c>
      <c r="B905" s="1" t="s">
        <v>6</v>
      </c>
      <c r="C905" s="1">
        <v>128.66999999999999</v>
      </c>
    </row>
    <row r="906" spans="1:3" x14ac:dyDescent="0.2">
      <c r="A906" s="2">
        <v>45512</v>
      </c>
      <c r="B906" s="1" t="s">
        <v>6</v>
      </c>
      <c r="C906" s="1">
        <v>136.32</v>
      </c>
    </row>
    <row r="907" spans="1:3" x14ac:dyDescent="0.2">
      <c r="A907" s="2">
        <v>45513</v>
      </c>
      <c r="B907" s="1" t="s">
        <v>6</v>
      </c>
      <c r="C907" s="1">
        <v>134.27000000000001</v>
      </c>
    </row>
    <row r="908" spans="1:3" x14ac:dyDescent="0.2">
      <c r="A908" s="2">
        <v>45516</v>
      </c>
      <c r="B908" s="1" t="s">
        <v>6</v>
      </c>
      <c r="C908" s="1">
        <v>136.77000000000001</v>
      </c>
    </row>
    <row r="909" spans="1:3" x14ac:dyDescent="0.2">
      <c r="A909" s="2">
        <v>45517</v>
      </c>
      <c r="B909" s="1" t="s">
        <v>6</v>
      </c>
      <c r="C909" s="1">
        <v>141.13</v>
      </c>
    </row>
    <row r="910" spans="1:3" x14ac:dyDescent="0.2">
      <c r="A910" s="2">
        <v>45518</v>
      </c>
      <c r="B910" s="1" t="s">
        <v>6</v>
      </c>
      <c r="C910" s="1">
        <v>140.75</v>
      </c>
    </row>
    <row r="911" spans="1:3" x14ac:dyDescent="0.2">
      <c r="A911" s="2">
        <v>45519</v>
      </c>
      <c r="B911" s="1" t="s">
        <v>6</v>
      </c>
      <c r="C911" s="1">
        <v>147.36000000000001</v>
      </c>
    </row>
    <row r="912" spans="1:3" x14ac:dyDescent="0.2">
      <c r="A912" s="2">
        <v>45520</v>
      </c>
      <c r="B912" s="1" t="s">
        <v>6</v>
      </c>
      <c r="C912" s="1">
        <v>148.56</v>
      </c>
    </row>
    <row r="913" spans="1:3" x14ac:dyDescent="0.2">
      <c r="A913" s="2">
        <v>45523</v>
      </c>
      <c r="B913" s="1" t="s">
        <v>6</v>
      </c>
      <c r="C913" s="1">
        <v>155.28</v>
      </c>
    </row>
    <row r="914" spans="1:3" x14ac:dyDescent="0.2">
      <c r="A914" s="2">
        <v>45524</v>
      </c>
      <c r="B914" s="1" t="s">
        <v>6</v>
      </c>
      <c r="C914" s="1">
        <v>156.4</v>
      </c>
    </row>
    <row r="915" spans="1:3" x14ac:dyDescent="0.2">
      <c r="A915" s="2">
        <v>45525</v>
      </c>
      <c r="B915" s="1" t="s">
        <v>6</v>
      </c>
      <c r="C915" s="1">
        <v>157.81</v>
      </c>
    </row>
    <row r="916" spans="1:3" x14ac:dyDescent="0.2">
      <c r="A916" s="2">
        <v>45526</v>
      </c>
      <c r="B916" s="1" t="s">
        <v>6</v>
      </c>
      <c r="C916" s="1">
        <v>151.69999999999999</v>
      </c>
    </row>
    <row r="917" spans="1:3" x14ac:dyDescent="0.2">
      <c r="A917" s="2">
        <v>45527</v>
      </c>
      <c r="B917" s="1" t="s">
        <v>6</v>
      </c>
      <c r="C917" s="1">
        <v>154.97999999999999</v>
      </c>
    </row>
    <row r="918" spans="1:3" x14ac:dyDescent="0.2">
      <c r="A918" s="2">
        <v>45530</v>
      </c>
      <c r="B918" s="1" t="s">
        <v>6</v>
      </c>
      <c r="C918" s="1">
        <v>149.99</v>
      </c>
    </row>
    <row r="919" spans="1:3" x14ac:dyDescent="0.2">
      <c r="A919" s="2">
        <v>45531</v>
      </c>
      <c r="B919" s="1" t="s">
        <v>6</v>
      </c>
      <c r="C919" s="1">
        <v>150.5</v>
      </c>
    </row>
    <row r="920" spans="1:3" x14ac:dyDescent="0.2">
      <c r="A920" s="2">
        <v>45532</v>
      </c>
      <c r="B920" s="1" t="s">
        <v>6</v>
      </c>
      <c r="C920" s="1">
        <v>146.36000000000001</v>
      </c>
    </row>
    <row r="921" spans="1:3" x14ac:dyDescent="0.2">
      <c r="A921" s="2">
        <v>45533</v>
      </c>
      <c r="B921" s="1" t="s">
        <v>6</v>
      </c>
      <c r="C921" s="1">
        <v>145.49</v>
      </c>
    </row>
    <row r="922" spans="1:3" x14ac:dyDescent="0.2">
      <c r="A922" s="2">
        <v>45534</v>
      </c>
      <c r="B922" s="1" t="s">
        <v>6</v>
      </c>
      <c r="C922" s="1">
        <v>148.56</v>
      </c>
    </row>
    <row r="923" spans="1:3" x14ac:dyDescent="0.2">
      <c r="A923" s="2">
        <v>45538</v>
      </c>
      <c r="B923" s="1" t="s">
        <v>6</v>
      </c>
      <c r="C923" s="1">
        <v>136.94</v>
      </c>
    </row>
    <row r="924" spans="1:3" x14ac:dyDescent="0.2">
      <c r="A924" s="2">
        <v>45539</v>
      </c>
      <c r="B924" s="1" t="s">
        <v>6</v>
      </c>
      <c r="C924" s="1">
        <v>140.87</v>
      </c>
    </row>
    <row r="925" spans="1:3" x14ac:dyDescent="0.2">
      <c r="A925" s="2">
        <v>45540</v>
      </c>
      <c r="B925" s="1" t="s">
        <v>6</v>
      </c>
      <c r="C925" s="1">
        <v>139.44</v>
      </c>
    </row>
    <row r="926" spans="1:3" x14ac:dyDescent="0.2">
      <c r="A926" s="2">
        <v>45541</v>
      </c>
      <c r="B926" s="1" t="s">
        <v>6</v>
      </c>
      <c r="C926" s="1">
        <v>134.35</v>
      </c>
    </row>
    <row r="927" spans="1:3" x14ac:dyDescent="0.2">
      <c r="A927" s="2">
        <v>45544</v>
      </c>
      <c r="B927" s="1" t="s">
        <v>6</v>
      </c>
      <c r="C927" s="1">
        <v>138.15</v>
      </c>
    </row>
    <row r="928" spans="1:3" x14ac:dyDescent="0.2">
      <c r="A928" s="2">
        <v>45545</v>
      </c>
      <c r="B928" s="1" t="s">
        <v>6</v>
      </c>
      <c r="C928" s="1">
        <v>142.84</v>
      </c>
    </row>
    <row r="929" spans="1:3" x14ac:dyDescent="0.2">
      <c r="A929" s="2">
        <v>45546</v>
      </c>
      <c r="B929" s="1" t="s">
        <v>6</v>
      </c>
      <c r="C929" s="1">
        <v>149.86000000000001</v>
      </c>
    </row>
    <row r="930" spans="1:3" x14ac:dyDescent="0.2">
      <c r="A930" s="2">
        <v>45547</v>
      </c>
      <c r="B930" s="1" t="s">
        <v>6</v>
      </c>
      <c r="C930" s="1">
        <v>150.77000000000001</v>
      </c>
    </row>
    <row r="931" spans="1:3" x14ac:dyDescent="0.2">
      <c r="A931" s="2">
        <v>45548</v>
      </c>
      <c r="B931" s="1" t="s">
        <v>6</v>
      </c>
      <c r="C931" s="1">
        <v>152.31</v>
      </c>
    </row>
    <row r="932" spans="1:3" x14ac:dyDescent="0.2">
      <c r="A932" s="2">
        <v>45551</v>
      </c>
      <c r="B932" s="1" t="s">
        <v>6</v>
      </c>
      <c r="C932" s="1">
        <v>152.08000000000001</v>
      </c>
    </row>
    <row r="933" spans="1:3" x14ac:dyDescent="0.2">
      <c r="A933" s="2">
        <v>45552</v>
      </c>
      <c r="B933" s="1" t="s">
        <v>6</v>
      </c>
      <c r="C933" s="1">
        <v>150.82</v>
      </c>
    </row>
    <row r="934" spans="1:3" x14ac:dyDescent="0.2">
      <c r="A934" s="2">
        <v>45553</v>
      </c>
      <c r="B934" s="1" t="s">
        <v>6</v>
      </c>
      <c r="C934" s="1">
        <v>148.29</v>
      </c>
    </row>
    <row r="935" spans="1:3" x14ac:dyDescent="0.2">
      <c r="A935" s="2">
        <v>45554</v>
      </c>
      <c r="B935" s="1" t="s">
        <v>6</v>
      </c>
      <c r="C935" s="1">
        <v>156.74</v>
      </c>
    </row>
    <row r="936" spans="1:3" x14ac:dyDescent="0.2">
      <c r="A936" s="2">
        <v>45555</v>
      </c>
      <c r="B936" s="1" t="s">
        <v>6</v>
      </c>
      <c r="C936" s="1">
        <v>155.94999999999999</v>
      </c>
    </row>
    <row r="937" spans="1:3" x14ac:dyDescent="0.2">
      <c r="A937" s="2">
        <v>45558</v>
      </c>
      <c r="B937" s="1" t="s">
        <v>6</v>
      </c>
      <c r="C937" s="1">
        <v>156.75</v>
      </c>
    </row>
    <row r="938" spans="1:3" x14ac:dyDescent="0.2">
      <c r="A938" s="2">
        <v>45559</v>
      </c>
      <c r="B938" s="1" t="s">
        <v>6</v>
      </c>
      <c r="C938" s="1">
        <v>158.32</v>
      </c>
    </row>
    <row r="939" spans="1:3" x14ac:dyDescent="0.2">
      <c r="A939" s="2">
        <v>45560</v>
      </c>
      <c r="B939" s="1" t="s">
        <v>6</v>
      </c>
      <c r="C939" s="1">
        <v>162.02000000000001</v>
      </c>
    </row>
    <row r="940" spans="1:3" x14ac:dyDescent="0.2">
      <c r="A940" s="2">
        <v>45561</v>
      </c>
      <c r="B940" s="1" t="s">
        <v>6</v>
      </c>
      <c r="C940" s="1">
        <v>167.49</v>
      </c>
    </row>
    <row r="941" spans="1:3" x14ac:dyDescent="0.2">
      <c r="A941" s="2">
        <v>45562</v>
      </c>
      <c r="B941" s="1" t="s">
        <v>6</v>
      </c>
      <c r="C941" s="1">
        <v>164.35</v>
      </c>
    </row>
    <row r="942" spans="1:3" x14ac:dyDescent="0.2">
      <c r="A942" s="2">
        <v>45565</v>
      </c>
      <c r="B942" s="1" t="s">
        <v>6</v>
      </c>
      <c r="C942" s="1">
        <v>164.08</v>
      </c>
    </row>
    <row r="943" spans="1:3" x14ac:dyDescent="0.2">
      <c r="A943" s="2">
        <v>45566</v>
      </c>
      <c r="B943" s="1" t="s">
        <v>6</v>
      </c>
      <c r="C943" s="1">
        <v>159.75</v>
      </c>
    </row>
    <row r="944" spans="1:3" x14ac:dyDescent="0.2">
      <c r="A944" s="2">
        <v>45567</v>
      </c>
      <c r="B944" s="1" t="s">
        <v>6</v>
      </c>
      <c r="C944" s="1">
        <v>159.78</v>
      </c>
    </row>
    <row r="945" spans="1:3" x14ac:dyDescent="0.2">
      <c r="A945" s="2">
        <v>45568</v>
      </c>
      <c r="B945" s="1" t="s">
        <v>6</v>
      </c>
      <c r="C945" s="1">
        <v>162.85</v>
      </c>
    </row>
    <row r="946" spans="1:3" x14ac:dyDescent="0.2">
      <c r="A946" s="2">
        <v>45569</v>
      </c>
      <c r="B946" s="1" t="s">
        <v>6</v>
      </c>
      <c r="C946" s="1">
        <v>170.9</v>
      </c>
    </row>
    <row r="947" spans="1:3" x14ac:dyDescent="0.2">
      <c r="A947" s="2">
        <v>45572</v>
      </c>
      <c r="B947" s="1" t="s">
        <v>6</v>
      </c>
      <c r="C947" s="1">
        <v>170.97</v>
      </c>
    </row>
    <row r="948" spans="1:3" x14ac:dyDescent="0.2">
      <c r="A948" s="2">
        <v>45573</v>
      </c>
      <c r="B948" s="1" t="s">
        <v>6</v>
      </c>
      <c r="C948" s="1">
        <v>172.8</v>
      </c>
    </row>
    <row r="949" spans="1:3" x14ac:dyDescent="0.2">
      <c r="A949" s="2">
        <v>45574</v>
      </c>
      <c r="B949" s="1" t="s">
        <v>6</v>
      </c>
      <c r="C949" s="1">
        <v>171.02</v>
      </c>
    </row>
    <row r="950" spans="1:3" x14ac:dyDescent="0.2">
      <c r="A950" s="2">
        <v>45575</v>
      </c>
      <c r="B950" s="1" t="s">
        <v>6</v>
      </c>
      <c r="C950" s="1">
        <v>164.18</v>
      </c>
    </row>
    <row r="951" spans="1:3" x14ac:dyDescent="0.2">
      <c r="A951" s="2">
        <v>45576</v>
      </c>
      <c r="B951" s="1" t="s">
        <v>6</v>
      </c>
      <c r="C951" s="1">
        <v>167.89</v>
      </c>
    </row>
    <row r="952" spans="1:3" x14ac:dyDescent="0.2">
      <c r="A952" s="2">
        <v>45579</v>
      </c>
      <c r="B952" s="1" t="s">
        <v>6</v>
      </c>
      <c r="C952" s="1">
        <v>165.27</v>
      </c>
    </row>
    <row r="953" spans="1:3" x14ac:dyDescent="0.2">
      <c r="A953" s="2">
        <v>45580</v>
      </c>
      <c r="B953" s="1" t="s">
        <v>6</v>
      </c>
      <c r="C953" s="1">
        <v>156.63999999999999</v>
      </c>
    </row>
    <row r="954" spans="1:3" x14ac:dyDescent="0.2">
      <c r="A954" s="2">
        <v>45581</v>
      </c>
      <c r="B954" s="1" t="s">
        <v>6</v>
      </c>
      <c r="C954" s="1">
        <v>156.13</v>
      </c>
    </row>
    <row r="955" spans="1:3" x14ac:dyDescent="0.2">
      <c r="A955" s="2">
        <v>45582</v>
      </c>
      <c r="B955" s="1" t="s">
        <v>6</v>
      </c>
      <c r="C955" s="1">
        <v>156.25</v>
      </c>
    </row>
    <row r="956" spans="1:3" x14ac:dyDescent="0.2">
      <c r="A956" s="2">
        <v>45583</v>
      </c>
      <c r="B956" s="1" t="s">
        <v>6</v>
      </c>
      <c r="C956" s="1">
        <v>155.97</v>
      </c>
    </row>
    <row r="957" spans="1:3" x14ac:dyDescent="0.2">
      <c r="A957" s="2">
        <v>45586</v>
      </c>
      <c r="B957" s="1" t="s">
        <v>6</v>
      </c>
      <c r="C957" s="1">
        <v>157.9</v>
      </c>
    </row>
    <row r="958" spans="1:3" x14ac:dyDescent="0.2">
      <c r="A958" s="2">
        <v>45587</v>
      </c>
      <c r="B958" s="1" t="s">
        <v>6</v>
      </c>
      <c r="C958" s="1">
        <v>154.09</v>
      </c>
    </row>
    <row r="959" spans="1:3" x14ac:dyDescent="0.2">
      <c r="A959" s="2">
        <v>45588</v>
      </c>
      <c r="B959" s="1" t="s">
        <v>6</v>
      </c>
      <c r="C959" s="1">
        <v>152.91</v>
      </c>
    </row>
    <row r="960" spans="1:3" x14ac:dyDescent="0.2">
      <c r="A960" s="2">
        <v>45589</v>
      </c>
      <c r="B960" s="1" t="s">
        <v>6</v>
      </c>
      <c r="C960" s="1">
        <v>153.44</v>
      </c>
    </row>
    <row r="961" spans="1:3" x14ac:dyDescent="0.2">
      <c r="A961" s="2">
        <v>45590</v>
      </c>
      <c r="B961" s="1" t="s">
        <v>6</v>
      </c>
      <c r="C961" s="1">
        <v>156.22999999999999</v>
      </c>
    </row>
    <row r="962" spans="1:3" x14ac:dyDescent="0.2">
      <c r="A962" s="2">
        <v>45593</v>
      </c>
      <c r="B962" s="1" t="s">
        <v>6</v>
      </c>
      <c r="C962" s="1">
        <v>159.91999999999999</v>
      </c>
    </row>
    <row r="963" spans="1:3" x14ac:dyDescent="0.2">
      <c r="A963" s="2">
        <v>45594</v>
      </c>
      <c r="B963" s="1" t="s">
        <v>6</v>
      </c>
      <c r="C963" s="1">
        <v>166.25</v>
      </c>
    </row>
    <row r="964" spans="1:3" x14ac:dyDescent="0.2">
      <c r="A964" s="2">
        <v>45595</v>
      </c>
      <c r="B964" s="1" t="s">
        <v>6</v>
      </c>
      <c r="C964" s="1">
        <v>148.6</v>
      </c>
    </row>
    <row r="965" spans="1:3" x14ac:dyDescent="0.2">
      <c r="A965" s="2">
        <v>45596</v>
      </c>
      <c r="B965" s="1" t="s">
        <v>6</v>
      </c>
      <c r="C965" s="1">
        <v>144.07</v>
      </c>
    </row>
    <row r="966" spans="1:3" x14ac:dyDescent="0.2">
      <c r="A966" s="2">
        <v>45597</v>
      </c>
      <c r="B966" s="1" t="s">
        <v>6</v>
      </c>
      <c r="C966" s="1">
        <v>141.86000000000001</v>
      </c>
    </row>
    <row r="967" spans="1:3" x14ac:dyDescent="0.2">
      <c r="A967" s="2">
        <v>45600</v>
      </c>
      <c r="B967" s="1" t="s">
        <v>6</v>
      </c>
      <c r="C967" s="1">
        <v>140.71</v>
      </c>
    </row>
    <row r="968" spans="1:3" x14ac:dyDescent="0.2">
      <c r="A968" s="2">
        <v>45601</v>
      </c>
      <c r="B968" s="1" t="s">
        <v>6</v>
      </c>
      <c r="C968" s="1">
        <v>141.66</v>
      </c>
    </row>
    <row r="969" spans="1:3" x14ac:dyDescent="0.2">
      <c r="A969" s="2">
        <v>45602</v>
      </c>
      <c r="B969" s="1" t="s">
        <v>6</v>
      </c>
      <c r="C969" s="1">
        <v>145.1</v>
      </c>
    </row>
    <row r="970" spans="1:3" x14ac:dyDescent="0.2">
      <c r="A970" s="2">
        <v>45603</v>
      </c>
      <c r="B970" s="1" t="s">
        <v>6</v>
      </c>
      <c r="C970" s="1">
        <v>149.82</v>
      </c>
    </row>
    <row r="971" spans="1:3" x14ac:dyDescent="0.2">
      <c r="A971" s="2">
        <v>45604</v>
      </c>
      <c r="B971" s="1" t="s">
        <v>6</v>
      </c>
      <c r="C971" s="1">
        <v>147.94999999999999</v>
      </c>
    </row>
    <row r="972" spans="1:3" x14ac:dyDescent="0.2">
      <c r="A972" s="2">
        <v>45607</v>
      </c>
      <c r="B972" s="1" t="s">
        <v>6</v>
      </c>
      <c r="C972" s="1">
        <v>147.35</v>
      </c>
    </row>
    <row r="973" spans="1:3" x14ac:dyDescent="0.2">
      <c r="A973" s="2">
        <v>45608</v>
      </c>
      <c r="B973" s="1" t="s">
        <v>6</v>
      </c>
      <c r="C973" s="1">
        <v>143.63</v>
      </c>
    </row>
    <row r="974" spans="1:3" x14ac:dyDescent="0.2">
      <c r="A974" s="2">
        <v>45609</v>
      </c>
      <c r="B974" s="1" t="s">
        <v>6</v>
      </c>
      <c r="C974" s="1">
        <v>139.30000000000001</v>
      </c>
    </row>
    <row r="975" spans="1:3" x14ac:dyDescent="0.2">
      <c r="A975" s="2">
        <v>45610</v>
      </c>
      <c r="B975" s="1" t="s">
        <v>6</v>
      </c>
      <c r="C975" s="1">
        <v>138.84</v>
      </c>
    </row>
    <row r="976" spans="1:3" x14ac:dyDescent="0.2">
      <c r="A976" s="2">
        <v>45611</v>
      </c>
      <c r="B976" s="1" t="s">
        <v>6</v>
      </c>
      <c r="C976" s="1">
        <v>134.9</v>
      </c>
    </row>
    <row r="977" spans="1:3" x14ac:dyDescent="0.2">
      <c r="A977" s="2">
        <v>45614</v>
      </c>
      <c r="B977" s="1" t="s">
        <v>6</v>
      </c>
      <c r="C977" s="1">
        <v>138.93</v>
      </c>
    </row>
    <row r="978" spans="1:3" x14ac:dyDescent="0.2">
      <c r="A978" s="2">
        <v>45615</v>
      </c>
      <c r="B978" s="1" t="s">
        <v>6</v>
      </c>
      <c r="C978" s="1">
        <v>139.38999999999999</v>
      </c>
    </row>
    <row r="979" spans="1:3" x14ac:dyDescent="0.2">
      <c r="A979" s="2">
        <v>45616</v>
      </c>
      <c r="B979" s="1" t="s">
        <v>6</v>
      </c>
      <c r="C979" s="1">
        <v>137.6</v>
      </c>
    </row>
    <row r="980" spans="1:3" x14ac:dyDescent="0.2">
      <c r="A980" s="2">
        <v>45617</v>
      </c>
      <c r="B980" s="1" t="s">
        <v>6</v>
      </c>
      <c r="C980" s="1">
        <v>137.49</v>
      </c>
    </row>
    <row r="981" spans="1:3" x14ac:dyDescent="0.2">
      <c r="A981" s="2">
        <v>45618</v>
      </c>
      <c r="B981" s="1" t="s">
        <v>6</v>
      </c>
      <c r="C981" s="1">
        <v>138.35</v>
      </c>
    </row>
    <row r="982" spans="1:3" x14ac:dyDescent="0.2">
      <c r="A982" s="2">
        <v>45621</v>
      </c>
      <c r="B982" s="1" t="s">
        <v>6</v>
      </c>
      <c r="C982" s="1">
        <v>141.13</v>
      </c>
    </row>
    <row r="983" spans="1:3" x14ac:dyDescent="0.2">
      <c r="A983" s="2">
        <v>45622</v>
      </c>
      <c r="B983" s="1" t="s">
        <v>6</v>
      </c>
      <c r="C983" s="1">
        <v>137.72</v>
      </c>
    </row>
    <row r="984" spans="1:3" x14ac:dyDescent="0.2">
      <c r="A984" s="2">
        <v>45623</v>
      </c>
      <c r="B984" s="1" t="s">
        <v>6</v>
      </c>
      <c r="C984" s="1">
        <v>136.24</v>
      </c>
    </row>
    <row r="985" spans="1:3" x14ac:dyDescent="0.2">
      <c r="A985" s="2">
        <v>45625</v>
      </c>
      <c r="B985" s="1" t="s">
        <v>6</v>
      </c>
      <c r="C985" s="1">
        <v>137.17500000000001</v>
      </c>
    </row>
    <row r="986" spans="1:3" x14ac:dyDescent="0.2">
      <c r="A986" s="2">
        <v>45628</v>
      </c>
      <c r="B986" s="1" t="s">
        <v>6</v>
      </c>
      <c r="C986" s="1">
        <v>142.06</v>
      </c>
    </row>
    <row r="987" spans="1:3" x14ac:dyDescent="0.2">
      <c r="A987" s="2">
        <v>45629</v>
      </c>
      <c r="B987" s="1" t="s">
        <v>6</v>
      </c>
      <c r="C987" s="1">
        <v>141.97999999999999</v>
      </c>
    </row>
    <row r="988" spans="1:3" x14ac:dyDescent="0.2">
      <c r="A988" s="2">
        <v>45630</v>
      </c>
      <c r="B988" s="1" t="s">
        <v>6</v>
      </c>
      <c r="C988" s="1">
        <v>143.99</v>
      </c>
    </row>
    <row r="989" spans="1:3" x14ac:dyDescent="0.2">
      <c r="A989" s="2">
        <v>45631</v>
      </c>
      <c r="B989" s="1" t="s">
        <v>6</v>
      </c>
      <c r="C989" s="1">
        <v>141.36000000000001</v>
      </c>
    </row>
    <row r="990" spans="1:3" x14ac:dyDescent="0.2">
      <c r="A990" s="2">
        <v>45632</v>
      </c>
      <c r="B990" s="1" t="s">
        <v>6</v>
      </c>
      <c r="C990" s="1">
        <v>138.59</v>
      </c>
    </row>
    <row r="991" spans="1:3" x14ac:dyDescent="0.2">
      <c r="A991" s="2">
        <v>45635</v>
      </c>
      <c r="B991" s="1" t="s">
        <v>6</v>
      </c>
      <c r="C991" s="1">
        <v>130.87</v>
      </c>
    </row>
    <row r="992" spans="1:3" x14ac:dyDescent="0.2">
      <c r="A992" s="2">
        <v>45636</v>
      </c>
      <c r="B992" s="1" t="s">
        <v>6</v>
      </c>
      <c r="C992" s="1">
        <v>127.74</v>
      </c>
    </row>
    <row r="993" spans="1:3" x14ac:dyDescent="0.2">
      <c r="A993" s="2">
        <v>45637</v>
      </c>
      <c r="B993" s="1" t="s">
        <v>6</v>
      </c>
      <c r="C993" s="1">
        <v>130.15</v>
      </c>
    </row>
    <row r="994" spans="1:3" x14ac:dyDescent="0.2">
      <c r="A994" s="2">
        <v>45638</v>
      </c>
      <c r="B994" s="1" t="s">
        <v>6</v>
      </c>
      <c r="C994" s="1">
        <v>130.6</v>
      </c>
    </row>
    <row r="995" spans="1:3" x14ac:dyDescent="0.2">
      <c r="A995" s="2">
        <v>45639</v>
      </c>
      <c r="B995" s="1" t="s">
        <v>6</v>
      </c>
      <c r="C995" s="1">
        <v>126.91</v>
      </c>
    </row>
    <row r="996" spans="1:3" x14ac:dyDescent="0.2">
      <c r="A996" s="2">
        <v>45642</v>
      </c>
      <c r="B996" s="1" t="s">
        <v>6</v>
      </c>
      <c r="C996" s="1">
        <v>126.69</v>
      </c>
    </row>
    <row r="997" spans="1:3" x14ac:dyDescent="0.2">
      <c r="A997" s="2">
        <v>45643</v>
      </c>
      <c r="B997" s="1" t="s">
        <v>6</v>
      </c>
      <c r="C997" s="1">
        <v>125.02</v>
      </c>
    </row>
    <row r="998" spans="1:3" x14ac:dyDescent="0.2">
      <c r="A998" s="2">
        <v>45644</v>
      </c>
      <c r="B998" s="1" t="s">
        <v>6</v>
      </c>
      <c r="C998" s="1">
        <v>121.41</v>
      </c>
    </row>
    <row r="999" spans="1:3" x14ac:dyDescent="0.2">
      <c r="A999" s="2">
        <v>45645</v>
      </c>
      <c r="B999" s="1" t="s">
        <v>6</v>
      </c>
      <c r="C999" s="1">
        <v>118.88</v>
      </c>
    </row>
    <row r="1000" spans="1:3" x14ac:dyDescent="0.2">
      <c r="A1000" s="2">
        <v>45646</v>
      </c>
      <c r="B1000" s="1" t="s">
        <v>6</v>
      </c>
      <c r="C1000" s="1">
        <v>119.21</v>
      </c>
    </row>
    <row r="1001" spans="1:3" x14ac:dyDescent="0.2">
      <c r="A1001" s="2">
        <v>45649</v>
      </c>
      <c r="B1001" s="1" t="s">
        <v>6</v>
      </c>
      <c r="C1001" s="1">
        <v>124.6</v>
      </c>
    </row>
    <row r="1002" spans="1:3" x14ac:dyDescent="0.2">
      <c r="A1002" s="2">
        <v>45650</v>
      </c>
      <c r="B1002" s="1" t="s">
        <v>6</v>
      </c>
      <c r="C1002" s="1">
        <v>126.29</v>
      </c>
    </row>
    <row r="1003" spans="1:3" x14ac:dyDescent="0.2">
      <c r="A1003" s="2">
        <v>45652</v>
      </c>
      <c r="B1003" s="1" t="s">
        <v>6</v>
      </c>
      <c r="C1003" s="1">
        <v>125.06</v>
      </c>
    </row>
    <row r="1004" spans="1:3" x14ac:dyDescent="0.2">
      <c r="A1004" s="2">
        <v>45653</v>
      </c>
      <c r="B1004" s="1" t="s">
        <v>6</v>
      </c>
      <c r="C1004" s="1">
        <v>125.19</v>
      </c>
    </row>
    <row r="1005" spans="1:3" x14ac:dyDescent="0.2">
      <c r="A1005" s="2">
        <v>45656</v>
      </c>
      <c r="B1005" s="1" t="s">
        <v>6</v>
      </c>
      <c r="C1005" s="1">
        <v>122.44</v>
      </c>
    </row>
    <row r="1006" spans="1:3" x14ac:dyDescent="0.2">
      <c r="A1006" s="2">
        <v>45657</v>
      </c>
      <c r="B1006" s="1" t="s">
        <v>6</v>
      </c>
      <c r="C1006" s="1">
        <v>120.79</v>
      </c>
    </row>
    <row r="1007" spans="1:3" x14ac:dyDescent="0.2">
      <c r="A1007" s="2">
        <v>45659</v>
      </c>
      <c r="B1007" s="1" t="s">
        <v>6</v>
      </c>
      <c r="C1007" s="1">
        <v>120.63</v>
      </c>
    </row>
    <row r="1008" spans="1:3" x14ac:dyDescent="0.2">
      <c r="A1008" s="2">
        <v>45660</v>
      </c>
      <c r="B1008" s="1" t="s">
        <v>6</v>
      </c>
      <c r="C1008" s="1">
        <v>125.37</v>
      </c>
    </row>
    <row r="1009" spans="1:3" x14ac:dyDescent="0.2">
      <c r="A1009" s="2">
        <v>45663</v>
      </c>
      <c r="B1009" s="1" t="s">
        <v>6</v>
      </c>
      <c r="C1009" s="1">
        <v>129.55000000000001</v>
      </c>
    </row>
    <row r="1010" spans="1:3" x14ac:dyDescent="0.2">
      <c r="A1010" s="2">
        <v>45664</v>
      </c>
      <c r="B1010" s="1" t="s">
        <v>6</v>
      </c>
      <c r="C1010" s="1">
        <v>127.33</v>
      </c>
    </row>
    <row r="1011" spans="1:3" x14ac:dyDescent="0.2">
      <c r="A1011" s="2">
        <v>45665</v>
      </c>
      <c r="B1011" s="1" t="s">
        <v>6</v>
      </c>
      <c r="C1011" s="1">
        <v>121.84</v>
      </c>
    </row>
    <row r="1012" spans="1:3" x14ac:dyDescent="0.2">
      <c r="A1012" s="2">
        <v>45667</v>
      </c>
      <c r="B1012" s="1" t="s">
        <v>6</v>
      </c>
      <c r="C1012" s="1">
        <v>116.04</v>
      </c>
    </row>
    <row r="1013" spans="1:3" x14ac:dyDescent="0.2">
      <c r="A1013" s="2">
        <v>45670</v>
      </c>
      <c r="B1013" s="1" t="s">
        <v>6</v>
      </c>
      <c r="C1013" s="1">
        <v>117.32</v>
      </c>
    </row>
    <row r="1014" spans="1:3" x14ac:dyDescent="0.2">
      <c r="A1014" s="2">
        <v>45671</v>
      </c>
      <c r="B1014" s="1" t="s">
        <v>6</v>
      </c>
      <c r="C1014" s="1">
        <v>116.09</v>
      </c>
    </row>
    <row r="1015" spans="1:3" x14ac:dyDescent="0.2">
      <c r="A1015" s="2">
        <v>45672</v>
      </c>
      <c r="B1015" s="1" t="s">
        <v>6</v>
      </c>
      <c r="C1015" s="1">
        <v>119.96</v>
      </c>
    </row>
    <row r="1016" spans="1:3" x14ac:dyDescent="0.2">
      <c r="A1016" s="2">
        <v>45673</v>
      </c>
      <c r="B1016" s="1" t="s">
        <v>6</v>
      </c>
      <c r="C1016" s="1">
        <v>118.44</v>
      </c>
    </row>
    <row r="1017" spans="1:3" x14ac:dyDescent="0.2">
      <c r="A1017" s="2">
        <v>45674</v>
      </c>
      <c r="B1017" s="1" t="s">
        <v>6</v>
      </c>
      <c r="C1017" s="1">
        <v>121.46</v>
      </c>
    </row>
    <row r="1018" spans="1:3" x14ac:dyDescent="0.2">
      <c r="A1018" s="2">
        <v>45678</v>
      </c>
      <c r="B1018" s="1" t="s">
        <v>6</v>
      </c>
      <c r="C1018" s="1">
        <v>122.28</v>
      </c>
    </row>
    <row r="1019" spans="1:3" x14ac:dyDescent="0.2">
      <c r="A1019" s="2">
        <v>45679</v>
      </c>
      <c r="B1019" s="1" t="s">
        <v>6</v>
      </c>
      <c r="C1019" s="1">
        <v>123.75</v>
      </c>
    </row>
    <row r="1020" spans="1:3" x14ac:dyDescent="0.2">
      <c r="A1020" s="2">
        <v>45680</v>
      </c>
      <c r="B1020" s="1" t="s">
        <v>6</v>
      </c>
      <c r="C1020" s="1">
        <v>123.04</v>
      </c>
    </row>
    <row r="1021" spans="1:3" x14ac:dyDescent="0.2">
      <c r="A1021" s="2">
        <v>45681</v>
      </c>
      <c r="B1021" s="1" t="s">
        <v>6</v>
      </c>
      <c r="C1021" s="1">
        <v>122.84</v>
      </c>
    </row>
    <row r="1022" spans="1:3" x14ac:dyDescent="0.2">
      <c r="A1022" s="2">
        <v>45684</v>
      </c>
      <c r="B1022" s="1" t="s">
        <v>6</v>
      </c>
      <c r="C1022" s="1">
        <v>115.01</v>
      </c>
    </row>
    <row r="1023" spans="1:3" x14ac:dyDescent="0.2">
      <c r="A1023" s="2">
        <v>45685</v>
      </c>
      <c r="B1023" s="1" t="s">
        <v>6</v>
      </c>
      <c r="C1023" s="1">
        <v>114.17</v>
      </c>
    </row>
    <row r="1024" spans="1:3" x14ac:dyDescent="0.2">
      <c r="A1024" s="2">
        <v>45686</v>
      </c>
      <c r="B1024" s="1" t="s">
        <v>6</v>
      </c>
      <c r="C1024" s="1">
        <v>117.35</v>
      </c>
    </row>
    <row r="1025" spans="1:3" x14ac:dyDescent="0.2">
      <c r="A1025" s="2">
        <v>45687</v>
      </c>
      <c r="B1025" s="1" t="s">
        <v>6</v>
      </c>
      <c r="C1025" s="1">
        <v>118.86</v>
      </c>
    </row>
    <row r="1026" spans="1:3" x14ac:dyDescent="0.2">
      <c r="A1026" s="2">
        <v>45688</v>
      </c>
      <c r="B1026" s="1" t="s">
        <v>6</v>
      </c>
      <c r="C1026" s="1">
        <v>115.95</v>
      </c>
    </row>
    <row r="1027" spans="1:3" x14ac:dyDescent="0.2">
      <c r="A1027" s="2">
        <v>45691</v>
      </c>
      <c r="B1027" s="1" t="s">
        <v>6</v>
      </c>
      <c r="C1027" s="1">
        <v>114.27</v>
      </c>
    </row>
    <row r="1028" spans="1:3" x14ac:dyDescent="0.2">
      <c r="A1028" s="2">
        <v>45692</v>
      </c>
      <c r="B1028" s="1" t="s">
        <v>6</v>
      </c>
      <c r="C1028" s="1">
        <v>119.5</v>
      </c>
    </row>
    <row r="1029" spans="1:3" x14ac:dyDescent="0.2">
      <c r="A1029" s="2">
        <v>45693</v>
      </c>
      <c r="B1029" s="1" t="s">
        <v>6</v>
      </c>
      <c r="C1029" s="1">
        <v>112.01</v>
      </c>
    </row>
    <row r="1030" spans="1:3" x14ac:dyDescent="0.2">
      <c r="A1030" s="2">
        <v>45694</v>
      </c>
      <c r="B1030" s="1" t="s">
        <v>6</v>
      </c>
      <c r="C1030" s="1">
        <v>110.16</v>
      </c>
    </row>
    <row r="1031" spans="1:3" x14ac:dyDescent="0.2">
      <c r="A1031" s="2">
        <v>45695</v>
      </c>
      <c r="B1031" s="1" t="s">
        <v>6</v>
      </c>
      <c r="C1031" s="1">
        <v>107.56</v>
      </c>
    </row>
    <row r="1032" spans="1:3" x14ac:dyDescent="0.2">
      <c r="A1032" s="2">
        <v>45698</v>
      </c>
      <c r="B1032" s="1" t="s">
        <v>6</v>
      </c>
      <c r="C1032" s="1">
        <v>110.48</v>
      </c>
    </row>
    <row r="1033" spans="1:3" x14ac:dyDescent="0.2">
      <c r="A1033" s="2">
        <v>45699</v>
      </c>
      <c r="B1033" s="1" t="s">
        <v>6</v>
      </c>
      <c r="C1033" s="1">
        <v>111.1</v>
      </c>
    </row>
    <row r="1034" spans="1:3" x14ac:dyDescent="0.2">
      <c r="A1034" s="2">
        <v>45700</v>
      </c>
      <c r="B1034" s="1" t="s">
        <v>6</v>
      </c>
      <c r="C1034" s="1">
        <v>111.72</v>
      </c>
    </row>
    <row r="1035" spans="1:3" x14ac:dyDescent="0.2">
      <c r="A1035" s="2">
        <v>45701</v>
      </c>
      <c r="B1035" s="1" t="s">
        <v>6</v>
      </c>
      <c r="C1035" s="1">
        <v>111.81</v>
      </c>
    </row>
    <row r="1036" spans="1:3" x14ac:dyDescent="0.2">
      <c r="A1036" s="2">
        <v>45702</v>
      </c>
      <c r="B1036" s="1" t="s">
        <v>6</v>
      </c>
      <c r="C1036" s="1">
        <v>113.1</v>
      </c>
    </row>
    <row r="1037" spans="1:3" x14ac:dyDescent="0.2">
      <c r="A1037" s="2">
        <v>45706</v>
      </c>
      <c r="B1037" s="1" t="s">
        <v>6</v>
      </c>
      <c r="C1037" s="1">
        <v>114.28</v>
      </c>
    </row>
    <row r="1038" spans="1:3" x14ac:dyDescent="0.2">
      <c r="A1038" s="2">
        <v>45707</v>
      </c>
      <c r="B1038" s="1" t="s">
        <v>6</v>
      </c>
      <c r="C1038" s="1">
        <v>114.69</v>
      </c>
    </row>
    <row r="1039" spans="1:3" x14ac:dyDescent="0.2">
      <c r="A1039" s="2">
        <v>45708</v>
      </c>
      <c r="B1039" s="1" t="s">
        <v>6</v>
      </c>
      <c r="C1039" s="1">
        <v>114.17</v>
      </c>
    </row>
    <row r="1040" spans="1:3" x14ac:dyDescent="0.2">
      <c r="A1040" s="2">
        <v>45709</v>
      </c>
      <c r="B1040" s="1" t="s">
        <v>6</v>
      </c>
      <c r="C1040" s="1">
        <v>110.84</v>
      </c>
    </row>
    <row r="1041" spans="1:3" x14ac:dyDescent="0.2">
      <c r="A1041" s="2">
        <v>45712</v>
      </c>
      <c r="B1041" s="1" t="s">
        <v>6</v>
      </c>
      <c r="C1041" s="1">
        <v>108.12</v>
      </c>
    </row>
    <row r="1042" spans="1:3" x14ac:dyDescent="0.2">
      <c r="A1042" s="2">
        <v>45713</v>
      </c>
      <c r="B1042" s="1" t="s">
        <v>6</v>
      </c>
      <c r="C1042" s="1">
        <v>103.96</v>
      </c>
    </row>
    <row r="1043" spans="1:3" x14ac:dyDescent="0.2">
      <c r="A1043" s="2">
        <v>45714</v>
      </c>
      <c r="B1043" s="1" t="s">
        <v>6</v>
      </c>
      <c r="C1043" s="1">
        <v>104.74</v>
      </c>
    </row>
    <row r="1044" spans="1:3" x14ac:dyDescent="0.2">
      <c r="A1044" s="2">
        <v>45715</v>
      </c>
      <c r="B1044" s="1" t="s">
        <v>6</v>
      </c>
      <c r="C1044" s="1">
        <v>99.51</v>
      </c>
    </row>
    <row r="1045" spans="1:3" x14ac:dyDescent="0.2">
      <c r="A1045" s="2">
        <v>45716</v>
      </c>
      <c r="B1045" s="1" t="s">
        <v>6</v>
      </c>
      <c r="C1045" s="1">
        <v>99.86</v>
      </c>
    </row>
    <row r="1046" spans="1:3" x14ac:dyDescent="0.2">
      <c r="A1046" s="2">
        <v>45719</v>
      </c>
      <c r="B1046" s="1" t="s">
        <v>6</v>
      </c>
      <c r="C1046" s="1">
        <v>98.23</v>
      </c>
    </row>
    <row r="1047" spans="1:3" x14ac:dyDescent="0.2">
      <c r="A1047" s="2">
        <v>45720</v>
      </c>
      <c r="B1047" s="1" t="s">
        <v>6</v>
      </c>
      <c r="C1047" s="1">
        <v>100.75</v>
      </c>
    </row>
    <row r="1048" spans="1:3" x14ac:dyDescent="0.2">
      <c r="A1048" s="2">
        <v>45721</v>
      </c>
      <c r="B1048" s="1" t="s">
        <v>6</v>
      </c>
      <c r="C1048" s="1">
        <v>101.67</v>
      </c>
    </row>
    <row r="1049" spans="1:3" x14ac:dyDescent="0.2">
      <c r="A1049" s="2">
        <v>45722</v>
      </c>
      <c r="B1049" s="1" t="s">
        <v>6</v>
      </c>
      <c r="C1049" s="1">
        <v>98.85</v>
      </c>
    </row>
    <row r="1050" spans="1:3" x14ac:dyDescent="0.2">
      <c r="A1050" s="2">
        <v>45723</v>
      </c>
      <c r="B1050" s="1" t="s">
        <v>6</v>
      </c>
      <c r="C1050" s="1">
        <v>100.31</v>
      </c>
    </row>
    <row r="1051" spans="1:3" x14ac:dyDescent="0.2">
      <c r="A1051" s="2">
        <v>45726</v>
      </c>
      <c r="B1051" s="1" t="s">
        <v>6</v>
      </c>
      <c r="C1051" s="1">
        <v>96.63</v>
      </c>
    </row>
    <row r="1052" spans="1:3" x14ac:dyDescent="0.2">
      <c r="A1052" s="2">
        <v>45727</v>
      </c>
      <c r="B1052" s="1" t="s">
        <v>6</v>
      </c>
      <c r="C1052" s="1">
        <v>96.76</v>
      </c>
    </row>
    <row r="1053" spans="1:3" x14ac:dyDescent="0.2">
      <c r="A1053" s="2">
        <v>45728</v>
      </c>
      <c r="B1053" s="1" t="s">
        <v>6</v>
      </c>
      <c r="C1053" s="1">
        <v>100.79</v>
      </c>
    </row>
    <row r="1054" spans="1:3" x14ac:dyDescent="0.2">
      <c r="A1054" s="2">
        <v>45729</v>
      </c>
      <c r="B1054" s="1" t="s">
        <v>6</v>
      </c>
      <c r="C1054" s="1">
        <v>98.11</v>
      </c>
    </row>
    <row r="1055" spans="1:3" x14ac:dyDescent="0.2">
      <c r="A1055" s="2">
        <v>45730</v>
      </c>
      <c r="B1055" s="1" t="s">
        <v>6</v>
      </c>
      <c r="C1055" s="1">
        <v>100.97</v>
      </c>
    </row>
    <row r="1056" spans="1:3" x14ac:dyDescent="0.2">
      <c r="A1056" s="2">
        <v>45733</v>
      </c>
      <c r="B1056" s="1" t="s">
        <v>6</v>
      </c>
      <c r="C1056" s="1">
        <v>104.59</v>
      </c>
    </row>
    <row r="1057" spans="1:3" x14ac:dyDescent="0.2">
      <c r="A1057" s="2">
        <v>45734</v>
      </c>
      <c r="B1057" s="1" t="s">
        <v>6</v>
      </c>
      <c r="C1057" s="1">
        <v>103.51</v>
      </c>
    </row>
    <row r="1058" spans="1:3" x14ac:dyDescent="0.2">
      <c r="A1058" s="2">
        <v>45735</v>
      </c>
      <c r="B1058" s="1" t="s">
        <v>6</v>
      </c>
      <c r="C1058" s="1">
        <v>106.23</v>
      </c>
    </row>
    <row r="1059" spans="1:3" x14ac:dyDescent="0.2">
      <c r="A1059" s="2">
        <v>45736</v>
      </c>
      <c r="B1059" s="1" t="s">
        <v>6</v>
      </c>
      <c r="C1059" s="1">
        <v>107.14</v>
      </c>
    </row>
    <row r="1060" spans="1:3" x14ac:dyDescent="0.2">
      <c r="A1060" s="2">
        <v>45737</v>
      </c>
      <c r="B1060" s="1" t="s">
        <v>6</v>
      </c>
      <c r="C1060" s="1">
        <v>106.44</v>
      </c>
    </row>
    <row r="1061" spans="1:3" x14ac:dyDescent="0.2">
      <c r="A1061" s="2">
        <v>45740</v>
      </c>
      <c r="B1061" s="1" t="s">
        <v>6</v>
      </c>
      <c r="C1061" s="1">
        <v>113.85</v>
      </c>
    </row>
    <row r="1062" spans="1:3" x14ac:dyDescent="0.2">
      <c r="A1062" s="2">
        <v>45741</v>
      </c>
      <c r="B1062" s="1" t="s">
        <v>6</v>
      </c>
      <c r="C1062" s="1">
        <v>114.81</v>
      </c>
    </row>
    <row r="1063" spans="1:3" x14ac:dyDescent="0.2">
      <c r="A1063" s="2">
        <v>45742</v>
      </c>
      <c r="B1063" s="1" t="s">
        <v>6</v>
      </c>
      <c r="C1063" s="1">
        <v>110.19</v>
      </c>
    </row>
    <row r="1064" spans="1:3" x14ac:dyDescent="0.2">
      <c r="A1064" s="2">
        <v>45743</v>
      </c>
      <c r="B1064" s="1" t="s">
        <v>6</v>
      </c>
      <c r="C1064" s="1">
        <v>106.65</v>
      </c>
    </row>
    <row r="1065" spans="1:3" x14ac:dyDescent="0.2">
      <c r="A1065" s="2">
        <v>45744</v>
      </c>
      <c r="B1065" s="1" t="s">
        <v>6</v>
      </c>
      <c r="C1065" s="1">
        <v>103.22</v>
      </c>
    </row>
    <row r="1066" spans="1:3" x14ac:dyDescent="0.2">
      <c r="A1066" s="2">
        <v>45747</v>
      </c>
      <c r="B1066" s="1" t="s">
        <v>6</v>
      </c>
      <c r="C1066" s="1">
        <v>102.74</v>
      </c>
    </row>
    <row r="1067" spans="1:3" x14ac:dyDescent="0.2">
      <c r="A1067" s="2">
        <v>45748</v>
      </c>
      <c r="B1067" s="1" t="s">
        <v>6</v>
      </c>
      <c r="C1067" s="1">
        <v>102.78</v>
      </c>
    </row>
    <row r="1068" spans="1:3" x14ac:dyDescent="0.2">
      <c r="A1068" s="2">
        <v>45749</v>
      </c>
      <c r="B1068" s="1" t="s">
        <v>6</v>
      </c>
      <c r="C1068" s="1">
        <v>102.96</v>
      </c>
    </row>
    <row r="1069" spans="1:3" x14ac:dyDescent="0.2">
      <c r="A1069" s="2">
        <v>45750</v>
      </c>
      <c r="B1069" s="1" t="s">
        <v>6</v>
      </c>
      <c r="C1069" s="1">
        <v>93.8</v>
      </c>
    </row>
    <row r="1070" spans="1:3" x14ac:dyDescent="0.2">
      <c r="A1070" s="2">
        <v>45751</v>
      </c>
      <c r="B1070" s="1" t="s">
        <v>6</v>
      </c>
      <c r="C1070" s="1">
        <v>85.76</v>
      </c>
    </row>
    <row r="1071" spans="1:3" x14ac:dyDescent="0.2">
      <c r="A1071" s="2">
        <v>45754</v>
      </c>
      <c r="B1071" s="1" t="s">
        <v>6</v>
      </c>
      <c r="C1071" s="1">
        <v>83.64</v>
      </c>
    </row>
    <row r="1072" spans="1:3" x14ac:dyDescent="0.2">
      <c r="A1072" s="2">
        <v>45755</v>
      </c>
      <c r="B1072" s="1" t="s">
        <v>6</v>
      </c>
      <c r="C1072" s="1">
        <v>78.209999999999994</v>
      </c>
    </row>
    <row r="1073" spans="1:3" x14ac:dyDescent="0.2">
      <c r="A1073" s="2">
        <v>45756</v>
      </c>
      <c r="B1073" s="1" t="s">
        <v>6</v>
      </c>
      <c r="C1073" s="1">
        <v>96.84</v>
      </c>
    </row>
    <row r="1074" spans="1:3" x14ac:dyDescent="0.2">
      <c r="A1074" s="2">
        <v>45757</v>
      </c>
      <c r="B1074" s="1" t="s">
        <v>6</v>
      </c>
      <c r="C1074" s="1">
        <v>88.7</v>
      </c>
    </row>
    <row r="1075" spans="1:3" x14ac:dyDescent="0.2">
      <c r="A1075" s="2">
        <v>45758</v>
      </c>
      <c r="B1075" s="1" t="s">
        <v>6</v>
      </c>
      <c r="C1075" s="1">
        <v>93.4</v>
      </c>
    </row>
    <row r="1076" spans="1:3" x14ac:dyDescent="0.2">
      <c r="A1076" s="2">
        <v>45761</v>
      </c>
      <c r="B1076" s="1" t="s">
        <v>6</v>
      </c>
      <c r="C1076" s="1">
        <v>94.5</v>
      </c>
    </row>
    <row r="1077" spans="1:3" x14ac:dyDescent="0.2">
      <c r="A1077" s="2">
        <v>45762</v>
      </c>
      <c r="B1077" s="1" t="s">
        <v>6</v>
      </c>
      <c r="C1077" s="1">
        <v>95.29</v>
      </c>
    </row>
    <row r="1078" spans="1:3" x14ac:dyDescent="0.2">
      <c r="A1078" s="2">
        <v>45763</v>
      </c>
      <c r="B1078" s="1" t="s">
        <v>6</v>
      </c>
      <c r="C1078" s="1">
        <v>88.29</v>
      </c>
    </row>
    <row r="1079" spans="1:3" x14ac:dyDescent="0.2">
      <c r="A1079" s="2">
        <v>45764</v>
      </c>
      <c r="B1079" s="1" t="s">
        <v>6</v>
      </c>
      <c r="C1079" s="1">
        <v>87.5</v>
      </c>
    </row>
    <row r="1080" spans="1:3" x14ac:dyDescent="0.2">
      <c r="A1080" s="2">
        <v>45768</v>
      </c>
      <c r="B1080" s="1" t="s">
        <v>6</v>
      </c>
      <c r="C1080" s="1">
        <v>85.56</v>
      </c>
    </row>
    <row r="1081" spans="1:3" x14ac:dyDescent="0.2">
      <c r="A1081" s="2">
        <v>45769</v>
      </c>
      <c r="B1081" s="1" t="s">
        <v>6</v>
      </c>
      <c r="C1081" s="1">
        <v>86.26</v>
      </c>
    </row>
    <row r="1082" spans="1:3" x14ac:dyDescent="0.2">
      <c r="A1082" s="2">
        <v>45770</v>
      </c>
      <c r="B1082" s="1" t="s">
        <v>6</v>
      </c>
      <c r="C1082" s="1">
        <v>90.39</v>
      </c>
    </row>
    <row r="1083" spans="1:3" x14ac:dyDescent="0.2">
      <c r="A1083" s="2">
        <v>45771</v>
      </c>
      <c r="B1083" s="1" t="s">
        <v>6</v>
      </c>
      <c r="C1083" s="1">
        <v>94.47</v>
      </c>
    </row>
    <row r="1084" spans="1:3" x14ac:dyDescent="0.2">
      <c r="A1084" s="2">
        <v>45772</v>
      </c>
      <c r="B1084" s="1" t="s">
        <v>6</v>
      </c>
      <c r="C1084" s="1">
        <v>96.644999999999996</v>
      </c>
    </row>
    <row r="1085" spans="1:3" x14ac:dyDescent="0.2">
      <c r="A1085" s="2">
        <v>45775</v>
      </c>
      <c r="B1085" s="1" t="s">
        <v>6</v>
      </c>
      <c r="C1085" s="1">
        <v>96.39</v>
      </c>
    </row>
    <row r="1086" spans="1:3" x14ac:dyDescent="0.2">
      <c r="A1086" s="2">
        <v>45776</v>
      </c>
      <c r="B1086" s="1" t="s">
        <v>6</v>
      </c>
      <c r="C1086" s="1">
        <v>96.06</v>
      </c>
    </row>
    <row r="1087" spans="1:3" x14ac:dyDescent="0.2">
      <c r="A1087" s="2">
        <v>45777</v>
      </c>
      <c r="B1087" s="1" t="s">
        <v>6</v>
      </c>
      <c r="C1087" s="1">
        <v>97.35</v>
      </c>
    </row>
    <row r="1088" spans="1:3" x14ac:dyDescent="0.2">
      <c r="A1088" s="2">
        <v>45778</v>
      </c>
      <c r="B1088" s="1" t="s">
        <v>6</v>
      </c>
      <c r="C1088" s="1">
        <v>96.65</v>
      </c>
    </row>
    <row r="1089" spans="1:3" x14ac:dyDescent="0.2">
      <c r="A1089" s="2">
        <v>45779</v>
      </c>
      <c r="B1089" s="1" t="s">
        <v>6</v>
      </c>
      <c r="C1089" s="1">
        <v>98.8</v>
      </c>
    </row>
    <row r="1090" spans="1:3" x14ac:dyDescent="0.2">
      <c r="A1090" s="2">
        <v>45782</v>
      </c>
      <c r="B1090" s="1" t="s">
        <v>6</v>
      </c>
      <c r="C1090" s="1">
        <v>100.59</v>
      </c>
    </row>
    <row r="1091" spans="1:3" x14ac:dyDescent="0.2">
      <c r="A1091" s="2">
        <v>45783</v>
      </c>
      <c r="B1091" s="1" t="s">
        <v>6</v>
      </c>
      <c r="C1091" s="1">
        <v>98.62</v>
      </c>
    </row>
    <row r="1092" spans="1:3" x14ac:dyDescent="0.2">
      <c r="A1092" s="2">
        <v>45784</v>
      </c>
      <c r="B1092" s="1" t="s">
        <v>6</v>
      </c>
      <c r="C1092" s="1">
        <v>100.36</v>
      </c>
    </row>
    <row r="1093" spans="1:3" x14ac:dyDescent="0.2">
      <c r="A1093" s="2">
        <v>45785</v>
      </c>
      <c r="B1093" s="1" t="s">
        <v>6</v>
      </c>
      <c r="C1093" s="1">
        <v>101.7</v>
      </c>
    </row>
    <row r="1094" spans="1:3" x14ac:dyDescent="0.2">
      <c r="A1094" s="2">
        <v>45786</v>
      </c>
      <c r="B1094" s="1" t="s">
        <v>6</v>
      </c>
      <c r="C1094" s="1">
        <v>102.84</v>
      </c>
    </row>
    <row r="1095" spans="1:3" x14ac:dyDescent="0.2">
      <c r="A1095" s="2">
        <v>45789</v>
      </c>
      <c r="B1095" s="1" t="s">
        <v>6</v>
      </c>
      <c r="C1095" s="1">
        <v>108.12</v>
      </c>
    </row>
    <row r="1096" spans="1:3" x14ac:dyDescent="0.2">
      <c r="A1096" s="2">
        <v>45790</v>
      </c>
      <c r="B1096" s="1" t="s">
        <v>6</v>
      </c>
      <c r="C1096" s="1">
        <v>112.46</v>
      </c>
    </row>
    <row r="1097" spans="1:3" x14ac:dyDescent="0.2">
      <c r="A1097" s="2">
        <v>45791</v>
      </c>
      <c r="B1097" s="1" t="s">
        <v>6</v>
      </c>
      <c r="C1097" s="1">
        <v>117.72</v>
      </c>
    </row>
    <row r="1098" spans="1:3" x14ac:dyDescent="0.2">
      <c r="A1098" s="2">
        <v>45792</v>
      </c>
      <c r="B1098" s="1" t="s">
        <v>6</v>
      </c>
      <c r="C1098" s="1">
        <v>114.99</v>
      </c>
    </row>
    <row r="1099" spans="1:3" x14ac:dyDescent="0.2">
      <c r="A1099" s="2">
        <v>45793</v>
      </c>
      <c r="B1099" s="1" t="s">
        <v>6</v>
      </c>
      <c r="C1099" s="1">
        <v>117.17</v>
      </c>
    </row>
    <row r="1100" spans="1:3" x14ac:dyDescent="0.2">
      <c r="A1100" s="2">
        <v>45796</v>
      </c>
      <c r="B1100" s="1" t="s">
        <v>6</v>
      </c>
      <c r="C1100" s="1">
        <v>114.74</v>
      </c>
    </row>
    <row r="1101" spans="1:3" x14ac:dyDescent="0.2">
      <c r="A1101" s="2">
        <v>45797</v>
      </c>
      <c r="B1101" s="1" t="s">
        <v>6</v>
      </c>
      <c r="C1101" s="1">
        <v>113.51</v>
      </c>
    </row>
    <row r="1102" spans="1:3" x14ac:dyDescent="0.2">
      <c r="A1102" s="2">
        <v>45798</v>
      </c>
      <c r="B1102" s="1" t="s">
        <v>6</v>
      </c>
      <c r="C1102" s="1">
        <v>112.06</v>
      </c>
    </row>
    <row r="1103" spans="1:3" x14ac:dyDescent="0.2">
      <c r="A1103" s="2">
        <v>45799</v>
      </c>
      <c r="B1103" s="1" t="s">
        <v>6</v>
      </c>
      <c r="C1103" s="1">
        <v>110.71</v>
      </c>
    </row>
    <row r="1104" spans="1:3" x14ac:dyDescent="0.2">
      <c r="A1104" s="2">
        <v>45800</v>
      </c>
      <c r="B1104" s="1" t="s">
        <v>6</v>
      </c>
      <c r="C1104" s="1">
        <v>110.31</v>
      </c>
    </row>
    <row r="1105" spans="1:3" x14ac:dyDescent="0.2">
      <c r="A1105" s="2">
        <v>45804</v>
      </c>
      <c r="B1105" s="1" t="s">
        <v>6</v>
      </c>
      <c r="C1105" s="1">
        <v>114.56</v>
      </c>
    </row>
    <row r="1106" spans="1:3" x14ac:dyDescent="0.2">
      <c r="A1106" s="2">
        <v>45805</v>
      </c>
      <c r="B1106" s="1" t="s">
        <v>6</v>
      </c>
      <c r="C1106" s="1">
        <v>112.86</v>
      </c>
    </row>
    <row r="1107" spans="1:3" x14ac:dyDescent="0.2">
      <c r="A1107" s="2">
        <v>45806</v>
      </c>
      <c r="B1107" s="1" t="s">
        <v>6</v>
      </c>
      <c r="C1107" s="1">
        <v>113.03</v>
      </c>
    </row>
    <row r="1108" spans="1:3" x14ac:dyDescent="0.2">
      <c r="A1108" s="2">
        <v>45807</v>
      </c>
      <c r="B1108" s="1" t="s">
        <v>6</v>
      </c>
      <c r="C1108" s="1">
        <v>110.73</v>
      </c>
    </row>
    <row r="1109" spans="1:3" x14ac:dyDescent="0.2">
      <c r="A1109" s="2">
        <v>45810</v>
      </c>
      <c r="B1109" s="1" t="s">
        <v>6</v>
      </c>
      <c r="C1109" s="1">
        <v>114.63</v>
      </c>
    </row>
    <row r="1110" spans="1:3" x14ac:dyDescent="0.2">
      <c r="A1110" s="2">
        <v>45811</v>
      </c>
      <c r="B1110" s="1" t="s">
        <v>6</v>
      </c>
      <c r="C1110" s="1">
        <v>117.31</v>
      </c>
    </row>
    <row r="1111" spans="1:3" x14ac:dyDescent="0.2">
      <c r="A1111" s="2">
        <v>45812</v>
      </c>
      <c r="B1111" s="1" t="s">
        <v>6</v>
      </c>
      <c r="C1111" s="1">
        <v>118.58</v>
      </c>
    </row>
    <row r="1112" spans="1:3" x14ac:dyDescent="0.2">
      <c r="A1112" s="2">
        <v>45813</v>
      </c>
      <c r="B1112" s="1" t="s">
        <v>6</v>
      </c>
      <c r="C1112" s="1">
        <v>115.69</v>
      </c>
    </row>
    <row r="1113" spans="1:3" x14ac:dyDescent="0.2">
      <c r="A1113" s="2">
        <v>45814</v>
      </c>
      <c r="B1113" s="1" t="s">
        <v>6</v>
      </c>
      <c r="C1113" s="1">
        <v>116.19</v>
      </c>
    </row>
    <row r="1114" spans="1:3" x14ac:dyDescent="0.2">
      <c r="A1114" s="2">
        <v>45817</v>
      </c>
      <c r="B1114" s="1" t="s">
        <v>6</v>
      </c>
      <c r="C1114" s="1">
        <v>121.73</v>
      </c>
    </row>
    <row r="1115" spans="1:3" x14ac:dyDescent="0.2">
      <c r="A1115" s="2">
        <v>45818</v>
      </c>
      <c r="B1115" s="1" t="s">
        <v>6</v>
      </c>
      <c r="C1115" s="1">
        <v>123.24</v>
      </c>
    </row>
    <row r="1116" spans="1:3" x14ac:dyDescent="0.2">
      <c r="A1116" s="2">
        <v>45819</v>
      </c>
      <c r="B1116" s="1" t="s">
        <v>6</v>
      </c>
      <c r="C1116" s="1">
        <v>121.14</v>
      </c>
    </row>
    <row r="1117" spans="1:3" x14ac:dyDescent="0.2">
      <c r="A1117" s="2">
        <v>45820</v>
      </c>
      <c r="B1117" s="1" t="s">
        <v>6</v>
      </c>
      <c r="C1117" s="1">
        <v>118.5</v>
      </c>
    </row>
    <row r="1118" spans="1:3" x14ac:dyDescent="0.2">
      <c r="A1118" s="2">
        <v>45821</v>
      </c>
      <c r="B1118" s="1" t="s">
        <v>6</v>
      </c>
      <c r="C1118" s="1">
        <v>116.16</v>
      </c>
    </row>
    <row r="1119" spans="1:3" x14ac:dyDescent="0.2">
      <c r="A1119" s="2">
        <v>45824</v>
      </c>
      <c r="B1119" s="1" t="s">
        <v>6</v>
      </c>
      <c r="C1119" s="1">
        <v>126.39</v>
      </c>
    </row>
    <row r="1120" spans="1:3" x14ac:dyDescent="0.2">
      <c r="A1120" s="2">
        <v>45825</v>
      </c>
      <c r="B1120" s="1" t="s">
        <v>6</v>
      </c>
      <c r="C1120" s="1">
        <v>127.1</v>
      </c>
    </row>
    <row r="1121" spans="1:3" x14ac:dyDescent="0.2">
      <c r="A1121" s="2">
        <v>45826</v>
      </c>
      <c r="B1121" s="1" t="s">
        <v>6</v>
      </c>
      <c r="C1121" s="1">
        <v>126.79</v>
      </c>
    </row>
    <row r="1122" spans="1:3" x14ac:dyDescent="0.2">
      <c r="A1122" s="2">
        <v>45828</v>
      </c>
      <c r="B1122" s="1" t="s">
        <v>6</v>
      </c>
      <c r="C1122" s="1">
        <v>128.24</v>
      </c>
    </row>
    <row r="1123" spans="1:3" x14ac:dyDescent="0.2">
      <c r="A1123" s="2">
        <v>45831</v>
      </c>
      <c r="B1123" s="1" t="s">
        <v>6</v>
      </c>
      <c r="C1123" s="1">
        <v>129.58000000000001</v>
      </c>
    </row>
    <row r="1124" spans="1:3" x14ac:dyDescent="0.2">
      <c r="A1124" s="2">
        <v>45832</v>
      </c>
      <c r="B1124" s="1" t="s">
        <v>6</v>
      </c>
      <c r="C1124" s="1">
        <v>138.43</v>
      </c>
    </row>
    <row r="1125" spans="1:3" x14ac:dyDescent="0.2">
      <c r="A1125" s="2">
        <v>45833</v>
      </c>
      <c r="B1125" s="1" t="s">
        <v>6</v>
      </c>
      <c r="C1125" s="1">
        <v>143.4</v>
      </c>
    </row>
    <row r="1126" spans="1:3" x14ac:dyDescent="0.2">
      <c r="A1126" s="2">
        <v>45834</v>
      </c>
      <c r="B1126" s="1" t="s">
        <v>6</v>
      </c>
      <c r="C1126" s="1">
        <v>143.68</v>
      </c>
    </row>
    <row r="1127" spans="1:3" x14ac:dyDescent="0.2">
      <c r="A1127" s="2">
        <v>45835</v>
      </c>
      <c r="B1127" s="1" t="s">
        <v>6</v>
      </c>
      <c r="C1127" s="1">
        <v>143.81</v>
      </c>
    </row>
    <row r="1128" spans="1:3" x14ac:dyDescent="0.2">
      <c r="A1128" s="2">
        <v>45838</v>
      </c>
      <c r="B1128" s="1" t="s">
        <v>6</v>
      </c>
      <c r="C1128" s="1">
        <v>141.9</v>
      </c>
    </row>
    <row r="1129" spans="1:3" x14ac:dyDescent="0.2">
      <c r="A1129" s="2">
        <v>45839</v>
      </c>
      <c r="B1129" s="1" t="s">
        <v>6</v>
      </c>
      <c r="C1129" s="1">
        <v>136.11000000000001</v>
      </c>
    </row>
    <row r="1130" spans="1:3" x14ac:dyDescent="0.2">
      <c r="A1130" s="2">
        <v>45840</v>
      </c>
      <c r="B1130" s="1" t="s">
        <v>6</v>
      </c>
      <c r="C1130" s="1">
        <v>138.52000000000001</v>
      </c>
    </row>
    <row r="1131" spans="1:3" x14ac:dyDescent="0.2">
      <c r="A1131" s="2">
        <v>45841</v>
      </c>
      <c r="B1131" s="1" t="s">
        <v>6</v>
      </c>
      <c r="C1131" s="1">
        <v>137.91</v>
      </c>
    </row>
    <row r="1132" spans="1:3" x14ac:dyDescent="0.2">
      <c r="A1132" s="2">
        <v>45845</v>
      </c>
      <c r="B1132" s="1" t="s">
        <v>6</v>
      </c>
      <c r="C1132" s="1">
        <v>134.80000000000001</v>
      </c>
    </row>
    <row r="1133" spans="1:3" x14ac:dyDescent="0.2">
      <c r="A1133" s="2">
        <v>45846</v>
      </c>
      <c r="B1133" s="1" t="s">
        <v>6</v>
      </c>
      <c r="C1133" s="1">
        <v>137.82</v>
      </c>
    </row>
    <row r="1134" spans="1:3" x14ac:dyDescent="0.2">
      <c r="A1134" s="2">
        <v>45847</v>
      </c>
      <c r="B1134" s="1" t="s">
        <v>6</v>
      </c>
      <c r="C1134" s="1">
        <v>138.41</v>
      </c>
    </row>
    <row r="1135" spans="1:3" x14ac:dyDescent="0.2">
      <c r="A1135" s="2">
        <v>45848</v>
      </c>
      <c r="B1135" s="1" t="s">
        <v>6</v>
      </c>
      <c r="C1135" s="1">
        <v>144.16</v>
      </c>
    </row>
    <row r="1136" spans="1:3" x14ac:dyDescent="0.2">
      <c r="A1136" s="2">
        <v>45849</v>
      </c>
      <c r="B1136" s="1" t="s">
        <v>6</v>
      </c>
      <c r="C1136" s="1">
        <v>146.41999999999999</v>
      </c>
    </row>
    <row r="1137" spans="1:3" x14ac:dyDescent="0.2">
      <c r="A1137" s="2">
        <v>45852</v>
      </c>
      <c r="B1137" s="1" t="s">
        <v>6</v>
      </c>
      <c r="C1137" s="1">
        <v>146.24</v>
      </c>
    </row>
    <row r="1138" spans="1:3" x14ac:dyDescent="0.2">
      <c r="A1138" s="2">
        <v>45853</v>
      </c>
      <c r="B1138" s="1" t="s">
        <v>6</v>
      </c>
      <c r="C1138" s="1">
        <v>155.61000000000001</v>
      </c>
    </row>
    <row r="1139" spans="1:3" x14ac:dyDescent="0.2">
      <c r="A1139" s="2">
        <v>45854</v>
      </c>
      <c r="B1139" s="1" t="s">
        <v>6</v>
      </c>
      <c r="C1139" s="1">
        <v>160.08000000000001</v>
      </c>
    </row>
    <row r="1140" spans="1:3" x14ac:dyDescent="0.2">
      <c r="A1140" s="2">
        <v>45855</v>
      </c>
      <c r="B1140" s="1" t="s">
        <v>6</v>
      </c>
      <c r="C1140" s="1">
        <v>160.41</v>
      </c>
    </row>
    <row r="1141" spans="1:3" x14ac:dyDescent="0.2">
      <c r="A1141" s="2">
        <v>45856</v>
      </c>
      <c r="B1141" s="1" t="s">
        <v>6</v>
      </c>
      <c r="C1141" s="1">
        <v>156.99</v>
      </c>
    </row>
    <row r="1142" spans="1:3" x14ac:dyDescent="0.2">
      <c r="A1142" s="2">
        <v>45859</v>
      </c>
      <c r="B1142" s="1" t="s">
        <v>6</v>
      </c>
      <c r="C1142" s="1">
        <v>157</v>
      </c>
    </row>
    <row r="1143" spans="1:3" x14ac:dyDescent="0.2">
      <c r="A1143" s="2">
        <v>45860</v>
      </c>
      <c r="B1143" s="1" t="s">
        <v>6</v>
      </c>
      <c r="C1143" s="1">
        <v>154.72</v>
      </c>
    </row>
    <row r="1144" spans="1:3" x14ac:dyDescent="0.2">
      <c r="A1144" s="2">
        <v>45861</v>
      </c>
      <c r="B1144" s="1" t="s">
        <v>6</v>
      </c>
      <c r="C1144" s="1">
        <v>158.65</v>
      </c>
    </row>
    <row r="1145" spans="1:3" x14ac:dyDescent="0.2">
      <c r="A1145" s="2">
        <v>45862</v>
      </c>
      <c r="B1145" s="1" t="s">
        <v>6</v>
      </c>
      <c r="C1145" s="1">
        <v>162.12</v>
      </c>
    </row>
    <row r="1146" spans="1:3" x14ac:dyDescent="0.2">
      <c r="A1146" s="2">
        <v>45863</v>
      </c>
      <c r="B1146" s="1" t="s">
        <v>6</v>
      </c>
      <c r="C1146" s="1">
        <v>166.47</v>
      </c>
    </row>
    <row r="1147" spans="1:3" x14ac:dyDescent="0.2">
      <c r="A1147" s="2">
        <v>45866</v>
      </c>
      <c r="B1147" s="1" t="s">
        <v>6</v>
      </c>
      <c r="C1147" s="1">
        <v>173.66</v>
      </c>
    </row>
    <row r="1148" spans="1:3" x14ac:dyDescent="0.2">
      <c r="A1148" s="2">
        <v>45867</v>
      </c>
      <c r="B1148" s="1" t="s">
        <v>6</v>
      </c>
      <c r="C1148" s="1">
        <v>177.44</v>
      </c>
    </row>
    <row r="1149" spans="1:3" x14ac:dyDescent="0.2">
      <c r="A1149" s="2">
        <v>45868</v>
      </c>
      <c r="B1149" s="1" t="s">
        <v>6</v>
      </c>
      <c r="C1149" s="1">
        <v>179.51</v>
      </c>
    </row>
    <row r="1150" spans="1:3" x14ac:dyDescent="0.2">
      <c r="A1150" s="2">
        <v>45869</v>
      </c>
      <c r="B1150" s="1" t="s">
        <v>6</v>
      </c>
      <c r="C1150" s="1">
        <v>176.31</v>
      </c>
    </row>
    <row r="1151" spans="1:3" x14ac:dyDescent="0.2">
      <c r="A1151" s="2">
        <v>45870</v>
      </c>
      <c r="B1151" s="1" t="s">
        <v>6</v>
      </c>
      <c r="C1151" s="1">
        <v>171.7</v>
      </c>
    </row>
    <row r="1152" spans="1:3" x14ac:dyDescent="0.2">
      <c r="A1152" s="2">
        <v>45873</v>
      </c>
      <c r="B1152" s="1" t="s">
        <v>6</v>
      </c>
      <c r="C1152" s="1">
        <v>176.78</v>
      </c>
    </row>
    <row r="1153" spans="1:3" x14ac:dyDescent="0.2">
      <c r="A1153" s="2">
        <v>45874</v>
      </c>
      <c r="B1153" s="1" t="s">
        <v>6</v>
      </c>
      <c r="C1153" s="1">
        <v>174.31</v>
      </c>
    </row>
    <row r="1154" spans="1:3" x14ac:dyDescent="0.2">
      <c r="A1154" s="2">
        <v>45875</v>
      </c>
      <c r="B1154" s="1" t="s">
        <v>6</v>
      </c>
      <c r="C1154" s="1">
        <v>163.12</v>
      </c>
    </row>
    <row r="1155" spans="1:3" x14ac:dyDescent="0.2">
      <c r="A1155" s="2">
        <v>45876</v>
      </c>
      <c r="B1155" s="1" t="s">
        <v>6</v>
      </c>
      <c r="C1155" s="1">
        <v>172.4</v>
      </c>
    </row>
    <row r="1156" spans="1:3" x14ac:dyDescent="0.2">
      <c r="A1156" s="2">
        <v>45877</v>
      </c>
      <c r="B1156" s="1" t="s">
        <v>6</v>
      </c>
      <c r="C1156" s="1">
        <v>172.76</v>
      </c>
    </row>
    <row r="1157" spans="1:3" x14ac:dyDescent="0.2">
      <c r="A1157" s="2">
        <v>45880</v>
      </c>
      <c r="B1157" s="1" t="s">
        <v>6</v>
      </c>
      <c r="C1157" s="1">
        <v>172.28</v>
      </c>
    </row>
    <row r="1158" spans="1:3" x14ac:dyDescent="0.2">
      <c r="A1158" s="2">
        <v>45881</v>
      </c>
      <c r="B1158" s="1" t="s">
        <v>6</v>
      </c>
      <c r="C1158" s="1">
        <v>174.95</v>
      </c>
    </row>
    <row r="1159" spans="1:3" x14ac:dyDescent="0.2">
      <c r="A1159" s="2">
        <v>45882</v>
      </c>
      <c r="B1159" s="1" t="s">
        <v>6</v>
      </c>
      <c r="C1159" s="1">
        <v>184.42</v>
      </c>
    </row>
    <row r="1160" spans="1:3" x14ac:dyDescent="0.2">
      <c r="A1160" s="2">
        <v>45883</v>
      </c>
      <c r="B1160" s="1" t="s">
        <v>6</v>
      </c>
      <c r="C1160" s="1">
        <v>180.95</v>
      </c>
    </row>
    <row r="1161" spans="1:3" x14ac:dyDescent="0.2">
      <c r="A1161" s="2">
        <v>45884</v>
      </c>
      <c r="B1161" s="1" t="s">
        <v>6</v>
      </c>
      <c r="C1161" s="1">
        <v>177.51</v>
      </c>
    </row>
    <row r="1162" spans="1:3" x14ac:dyDescent="0.2">
      <c r="A1162" s="2">
        <v>45887</v>
      </c>
      <c r="B1162" s="1" t="s">
        <v>6</v>
      </c>
      <c r="C1162" s="1">
        <v>176.14</v>
      </c>
    </row>
    <row r="1163" spans="1:3" x14ac:dyDescent="0.2">
      <c r="A1163" s="2">
        <v>45888</v>
      </c>
      <c r="B1163" s="1" t="s">
        <v>6</v>
      </c>
      <c r="C1163" s="1">
        <v>166.55</v>
      </c>
    </row>
    <row r="1164" spans="1:3" x14ac:dyDescent="0.2">
      <c r="A1164" s="2">
        <v>45889</v>
      </c>
      <c r="B1164" s="1" t="s">
        <v>6</v>
      </c>
      <c r="C1164" s="1">
        <v>165.2</v>
      </c>
    </row>
    <row r="1165" spans="1:3" x14ac:dyDescent="0.2">
      <c r="A1165" s="2">
        <v>45890</v>
      </c>
      <c r="B1165" s="1" t="s">
        <v>6</v>
      </c>
      <c r="C1165" s="1">
        <v>163.71</v>
      </c>
    </row>
    <row r="1166" spans="1:3" x14ac:dyDescent="0.2">
      <c r="A1166" s="2">
        <v>45891</v>
      </c>
      <c r="B1166" s="1" t="s">
        <v>6</v>
      </c>
      <c r="C1166" s="1">
        <v>167.76</v>
      </c>
    </row>
    <row r="1167" spans="1:3" x14ac:dyDescent="0.2">
      <c r="A1167" s="2">
        <v>45894</v>
      </c>
      <c r="B1167" s="1" t="s">
        <v>6</v>
      </c>
      <c r="C1167" s="1">
        <v>163.36000000000001</v>
      </c>
    </row>
    <row r="1168" spans="1:3" x14ac:dyDescent="0.2">
      <c r="A1168" s="2">
        <v>45895</v>
      </c>
      <c r="B1168" s="1" t="s">
        <v>6</v>
      </c>
      <c r="C1168" s="1">
        <v>166.62</v>
      </c>
    </row>
    <row r="1169" spans="1:3" x14ac:dyDescent="0.2">
      <c r="A1169" s="2">
        <v>45896</v>
      </c>
      <c r="B1169" s="1" t="s">
        <v>6</v>
      </c>
      <c r="C1169" s="1">
        <v>167.13</v>
      </c>
    </row>
    <row r="1170" spans="1:3" x14ac:dyDescent="0.2">
      <c r="A1170" s="2">
        <v>45897</v>
      </c>
      <c r="B1170" s="1" t="s">
        <v>6</v>
      </c>
      <c r="C1170" s="1">
        <v>168.58</v>
      </c>
    </row>
    <row r="1171" spans="1:3" x14ac:dyDescent="0.2">
      <c r="A1171" s="2">
        <v>45898</v>
      </c>
      <c r="B1171" s="1" t="s">
        <v>6</v>
      </c>
      <c r="C1171" s="1">
        <v>162.63</v>
      </c>
    </row>
    <row r="1172" spans="1:3" x14ac:dyDescent="0.2">
      <c r="A1172" s="2">
        <v>45902</v>
      </c>
      <c r="B1172" s="1" t="s">
        <v>6</v>
      </c>
      <c r="C1172" s="1">
        <v>162.32</v>
      </c>
    </row>
    <row r="1173" spans="1:3" x14ac:dyDescent="0.2">
      <c r="A1173" s="2">
        <v>45903</v>
      </c>
      <c r="B1173" s="1" t="s">
        <v>6</v>
      </c>
      <c r="C1173" s="1">
        <v>162.13</v>
      </c>
    </row>
    <row r="1174" spans="1:3" x14ac:dyDescent="0.2">
      <c r="A1174" s="2">
        <v>45904</v>
      </c>
      <c r="B1174" s="1" t="s">
        <v>6</v>
      </c>
      <c r="C1174" s="1">
        <v>161.79</v>
      </c>
    </row>
    <row r="1175" spans="1:3" x14ac:dyDescent="0.2">
      <c r="A1175" s="2">
        <v>45905</v>
      </c>
      <c r="B1175" s="1" t="s">
        <v>6</v>
      </c>
      <c r="C1175" s="1">
        <v>151.13999999999999</v>
      </c>
    </row>
    <row r="1176" spans="1:3" x14ac:dyDescent="0.2">
      <c r="A1176" s="2">
        <v>45908</v>
      </c>
      <c r="B1176" s="1" t="s">
        <v>6</v>
      </c>
      <c r="C1176" s="1">
        <v>151.41</v>
      </c>
    </row>
    <row r="1177" spans="1:3" x14ac:dyDescent="0.2">
      <c r="A1177" s="2">
        <v>45909</v>
      </c>
      <c r="B1177" s="1" t="s">
        <v>6</v>
      </c>
      <c r="C1177" s="1">
        <v>155.82</v>
      </c>
    </row>
    <row r="1178" spans="1:3" x14ac:dyDescent="0.2">
      <c r="A1178" s="2">
        <v>45910</v>
      </c>
      <c r="B1178" s="1" t="s">
        <v>6</v>
      </c>
      <c r="C1178" s="1">
        <v>159.54</v>
      </c>
    </row>
    <row r="1179" spans="1:3" x14ac:dyDescent="0.2">
      <c r="A1179" s="2">
        <v>45911</v>
      </c>
      <c r="B1179" s="1" t="s">
        <v>6</v>
      </c>
      <c r="C1179" s="1">
        <v>155.66999999999999</v>
      </c>
    </row>
    <row r="1180" spans="1:3" x14ac:dyDescent="0.2">
      <c r="A1180" s="2">
        <v>45912</v>
      </c>
      <c r="B1180" s="1" t="s">
        <v>6</v>
      </c>
      <c r="C1180" s="1">
        <v>158.57</v>
      </c>
    </row>
    <row r="1181" spans="1:3" x14ac:dyDescent="0.2">
      <c r="A1181" s="2">
        <v>45915</v>
      </c>
      <c r="B1181" s="1" t="s">
        <v>6</v>
      </c>
      <c r="C1181" s="1">
        <v>161.16</v>
      </c>
    </row>
    <row r="1182" spans="1:3" x14ac:dyDescent="0.2">
      <c r="A1182" s="2">
        <v>45916</v>
      </c>
      <c r="B1182" s="1" t="s">
        <v>6</v>
      </c>
      <c r="C1182" s="1">
        <v>160.46</v>
      </c>
    </row>
    <row r="1183" spans="1:3" x14ac:dyDescent="0.2">
      <c r="A1183" s="2">
        <v>45917</v>
      </c>
      <c r="B1183" s="1" t="s">
        <v>6</v>
      </c>
      <c r="C1183" s="1">
        <v>159.16</v>
      </c>
    </row>
    <row r="1184" spans="1:3" x14ac:dyDescent="0.2">
      <c r="A1184" s="2">
        <v>45918</v>
      </c>
      <c r="B1184" s="1" t="s">
        <v>6</v>
      </c>
      <c r="C1184" s="1">
        <v>157.91999999999999</v>
      </c>
    </row>
    <row r="1185" spans="1:3" x14ac:dyDescent="0.2">
      <c r="A1185" s="2">
        <v>45919</v>
      </c>
      <c r="B1185" s="1" t="s">
        <v>6</v>
      </c>
      <c r="C1185" s="1">
        <v>157.38999999999999</v>
      </c>
    </row>
    <row r="1186" spans="1:3" x14ac:dyDescent="0.2">
      <c r="A1186" s="2">
        <v>45922</v>
      </c>
      <c r="B1186" s="1" t="s">
        <v>6</v>
      </c>
      <c r="C1186" s="1">
        <v>159.79</v>
      </c>
    </row>
    <row r="1187" spans="1:3" x14ac:dyDescent="0.2">
      <c r="A1187" s="2">
        <v>45923</v>
      </c>
      <c r="B1187" s="1" t="s">
        <v>6</v>
      </c>
      <c r="C1187" s="1">
        <v>160.9</v>
      </c>
    </row>
    <row r="1188" spans="1:3" x14ac:dyDescent="0.2">
      <c r="A1188" s="2">
        <v>45924</v>
      </c>
      <c r="B1188" s="1" t="s">
        <v>6</v>
      </c>
      <c r="C1188" s="1">
        <v>160.88</v>
      </c>
    </row>
    <row r="1189" spans="1:3" x14ac:dyDescent="0.2">
      <c r="A1189" s="2">
        <v>45925</v>
      </c>
      <c r="B1189" s="1" t="s">
        <v>6</v>
      </c>
      <c r="C1189" s="1">
        <v>161.27000000000001</v>
      </c>
    </row>
    <row r="1190" spans="1:3" x14ac:dyDescent="0.2">
      <c r="A1190" s="2">
        <v>45926</v>
      </c>
      <c r="B1190" s="1" t="s">
        <v>6</v>
      </c>
      <c r="C1190" s="1">
        <v>159.46</v>
      </c>
    </row>
    <row r="1191" spans="1:3" x14ac:dyDescent="0.2">
      <c r="A1191" s="2">
        <v>45929</v>
      </c>
      <c r="B1191" s="1" t="s">
        <v>6</v>
      </c>
      <c r="C1191" s="1">
        <v>161.36000000000001</v>
      </c>
    </row>
    <row r="1192" spans="1:3" x14ac:dyDescent="0.2">
      <c r="A1192" s="2">
        <v>45930</v>
      </c>
      <c r="B1192" s="1" t="s">
        <v>6</v>
      </c>
      <c r="C1192" s="1">
        <v>161.79</v>
      </c>
    </row>
    <row r="1193" spans="1:3" x14ac:dyDescent="0.2">
      <c r="A1193" s="2">
        <v>45931</v>
      </c>
      <c r="B1193" s="1" t="s">
        <v>6</v>
      </c>
      <c r="C1193" s="1">
        <v>164.01</v>
      </c>
    </row>
    <row r="1194" spans="1:3" x14ac:dyDescent="0.2">
      <c r="A1194" s="2">
        <v>45932</v>
      </c>
      <c r="B1194" s="1" t="s">
        <v>6</v>
      </c>
      <c r="C1194" s="1">
        <v>169.73</v>
      </c>
    </row>
    <row r="1195" spans="1:3" x14ac:dyDescent="0.2">
      <c r="A1195" s="2">
        <v>45933</v>
      </c>
      <c r="B1195" s="1" t="s">
        <v>6</v>
      </c>
      <c r="C1195" s="1">
        <v>164.67</v>
      </c>
    </row>
    <row r="1196" spans="1:3" x14ac:dyDescent="0.2">
      <c r="A1196" s="2">
        <v>45936</v>
      </c>
      <c r="B1196" s="1" t="s">
        <v>6</v>
      </c>
      <c r="C1196" s="1">
        <v>203.71</v>
      </c>
    </row>
    <row r="1197" spans="1:3" x14ac:dyDescent="0.2">
      <c r="A1197" s="2">
        <v>45937</v>
      </c>
      <c r="B1197" s="1" t="s">
        <v>6</v>
      </c>
      <c r="C1197" s="1">
        <v>211.51</v>
      </c>
    </row>
    <row r="1198" spans="1:3" x14ac:dyDescent="0.2">
      <c r="A1198" s="2">
        <v>45938</v>
      </c>
      <c r="B1198" s="1" t="s">
        <v>6</v>
      </c>
      <c r="C1198" s="1">
        <v>235.56</v>
      </c>
    </row>
    <row r="1199" spans="1:3" x14ac:dyDescent="0.2">
      <c r="A1199" s="2">
        <v>45939</v>
      </c>
      <c r="B1199" s="1" t="s">
        <v>6</v>
      </c>
      <c r="C1199" s="1">
        <v>232.89</v>
      </c>
    </row>
    <row r="1200" spans="1:3" x14ac:dyDescent="0.2">
      <c r="A1200" s="2">
        <v>45940</v>
      </c>
      <c r="B1200" s="1" t="s">
        <v>6</v>
      </c>
      <c r="C1200" s="1">
        <v>214.9</v>
      </c>
    </row>
    <row r="1201" spans="1:3" x14ac:dyDescent="0.2">
      <c r="A1201" s="2">
        <v>45943</v>
      </c>
      <c r="B1201" s="1" t="s">
        <v>6</v>
      </c>
      <c r="C1201" s="1">
        <v>216.42</v>
      </c>
    </row>
    <row r="1202" spans="1:3" x14ac:dyDescent="0.2">
      <c r="A1202" s="2">
        <v>45944</v>
      </c>
      <c r="B1202" s="1" t="s">
        <v>6</v>
      </c>
      <c r="C1202" s="1">
        <v>218.09</v>
      </c>
    </row>
    <row r="1203" spans="1:3" x14ac:dyDescent="0.2">
      <c r="A1203" s="2">
        <v>45945</v>
      </c>
      <c r="B1203" s="1" t="s">
        <v>6</v>
      </c>
      <c r="C1203" s="1">
        <v>238.6</v>
      </c>
    </row>
    <row r="1204" spans="1:3" x14ac:dyDescent="0.2">
      <c r="A1204" s="2">
        <v>45946</v>
      </c>
      <c r="B1204" s="1" t="s">
        <v>6</v>
      </c>
      <c r="C1204" s="1">
        <v>234.56</v>
      </c>
    </row>
    <row r="1205" spans="1:3" x14ac:dyDescent="0.2">
      <c r="A1205" s="2">
        <v>45947</v>
      </c>
      <c r="B1205" s="1" t="s">
        <v>6</v>
      </c>
      <c r="C1205" s="1">
        <v>233.08</v>
      </c>
    </row>
    <row r="1206" spans="1:3" x14ac:dyDescent="0.2">
      <c r="A1206" s="2">
        <v>45950</v>
      </c>
      <c r="B1206" s="1" t="s">
        <v>6</v>
      </c>
      <c r="C1206" s="1">
        <v>240.56</v>
      </c>
    </row>
    <row r="1207" spans="1:3" x14ac:dyDescent="0.2">
      <c r="A1207" s="2">
        <v>45951</v>
      </c>
      <c r="B1207" s="1" t="s">
        <v>6</v>
      </c>
      <c r="C1207" s="1">
        <v>238.03</v>
      </c>
    </row>
    <row r="1208" spans="1:3" x14ac:dyDescent="0.2">
      <c r="A1208" s="2">
        <v>45952</v>
      </c>
      <c r="B1208" s="1" t="s">
        <v>6</v>
      </c>
      <c r="C1208" s="1">
        <v>230.23</v>
      </c>
    </row>
    <row r="1209" spans="1:3" x14ac:dyDescent="0.2">
      <c r="A1209" s="2">
        <v>45953</v>
      </c>
      <c r="B1209" s="1" t="s">
        <v>6</v>
      </c>
      <c r="C1209" s="1">
        <v>234.99</v>
      </c>
    </row>
    <row r="1210" spans="1:3" x14ac:dyDescent="0.2">
      <c r="A1210" s="2">
        <v>45954</v>
      </c>
      <c r="B1210" s="1" t="s">
        <v>6</v>
      </c>
      <c r="C1210" s="1">
        <v>252.92</v>
      </c>
    </row>
    <row r="1211" spans="1:3" x14ac:dyDescent="0.2">
      <c r="A1211" s="2">
        <v>45957</v>
      </c>
      <c r="B1211" s="1" t="s">
        <v>6</v>
      </c>
      <c r="C1211" s="1">
        <v>259.67</v>
      </c>
    </row>
    <row r="1212" spans="1:3" x14ac:dyDescent="0.2">
      <c r="A1212" s="2">
        <v>45958</v>
      </c>
      <c r="B1212" s="1" t="s">
        <v>6</v>
      </c>
      <c r="C1212" s="1">
        <v>258.01</v>
      </c>
    </row>
    <row r="1213" spans="1:3" x14ac:dyDescent="0.2">
      <c r="A1213" s="2">
        <v>45959</v>
      </c>
      <c r="B1213" s="1" t="s">
        <v>6</v>
      </c>
      <c r="C1213" s="1">
        <v>264.33</v>
      </c>
    </row>
    <row r="1214" spans="1:3" x14ac:dyDescent="0.2">
      <c r="A1214" s="2">
        <v>45960</v>
      </c>
      <c r="B1214" s="1" t="s">
        <v>6</v>
      </c>
      <c r="C1214" s="1">
        <v>254.84</v>
      </c>
    </row>
    <row r="1215" spans="1:3" x14ac:dyDescent="0.2">
      <c r="A1215" s="2">
        <v>45961</v>
      </c>
      <c r="B1215" s="1" t="s">
        <v>6</v>
      </c>
      <c r="C1215" s="1">
        <v>256.12</v>
      </c>
    </row>
    <row r="1216" spans="1:3" x14ac:dyDescent="0.2">
      <c r="A1216" s="2">
        <v>45964</v>
      </c>
      <c r="B1216" s="1" t="s">
        <v>6</v>
      </c>
      <c r="C1216" s="1">
        <v>259.64999999999998</v>
      </c>
    </row>
    <row r="1217" spans="1:3" x14ac:dyDescent="0.2">
      <c r="A1217" s="2">
        <v>45965</v>
      </c>
      <c r="B1217" s="1" t="s">
        <v>6</v>
      </c>
      <c r="C1217" s="1">
        <v>250.05</v>
      </c>
    </row>
    <row r="1218" spans="1:3" x14ac:dyDescent="0.2">
      <c r="A1218" s="2">
        <v>45966</v>
      </c>
      <c r="B1218" s="1" t="s">
        <v>6</v>
      </c>
      <c r="C1218" s="1">
        <v>256.33</v>
      </c>
    </row>
    <row r="1219" spans="1:3" x14ac:dyDescent="0.2">
      <c r="A1219" s="2">
        <v>45967</v>
      </c>
      <c r="B1219" s="1" t="s">
        <v>6</v>
      </c>
      <c r="C1219" s="1">
        <v>237.7</v>
      </c>
    </row>
    <row r="1220" spans="1:3" x14ac:dyDescent="0.2">
      <c r="A1220" s="2">
        <v>45968</v>
      </c>
      <c r="B1220" s="1" t="s">
        <v>6</v>
      </c>
      <c r="C1220" s="1">
        <v>233.54</v>
      </c>
    </row>
    <row r="1221" spans="1:3" x14ac:dyDescent="0.2">
      <c r="A1221" s="2">
        <v>45971</v>
      </c>
      <c r="B1221" s="1" t="s">
        <v>6</v>
      </c>
      <c r="C1221" s="1">
        <v>243.98</v>
      </c>
    </row>
    <row r="1222" spans="1:3" x14ac:dyDescent="0.2">
      <c r="A1222" s="2">
        <v>45972</v>
      </c>
      <c r="B1222" s="1" t="s">
        <v>6</v>
      </c>
      <c r="C1222" s="1">
        <v>237.52</v>
      </c>
    </row>
    <row r="1223" spans="1:3" x14ac:dyDescent="0.2">
      <c r="A1223" s="2">
        <v>45973</v>
      </c>
      <c r="B1223" s="1" t="s">
        <v>6</v>
      </c>
      <c r="C1223" s="1">
        <v>258.89</v>
      </c>
    </row>
    <row r="1224" spans="1:3" x14ac:dyDescent="0.2">
      <c r="A1224" s="2">
        <v>45974</v>
      </c>
      <c r="B1224" s="1" t="s">
        <v>6</v>
      </c>
      <c r="C1224" s="1">
        <v>247.96</v>
      </c>
    </row>
    <row r="1225" spans="1:3" x14ac:dyDescent="0.2">
      <c r="A1225" s="2">
        <v>45975</v>
      </c>
      <c r="B1225" s="1" t="s">
        <v>6</v>
      </c>
      <c r="C1225" s="1">
        <v>246.81</v>
      </c>
    </row>
    <row r="1226" spans="1:3" x14ac:dyDescent="0.2">
      <c r="A1226" s="2">
        <v>45978</v>
      </c>
      <c r="B1226" s="1" t="s">
        <v>6</v>
      </c>
      <c r="C1226" s="1">
        <v>240.52</v>
      </c>
    </row>
    <row r="1227" spans="1:3" x14ac:dyDescent="0.2">
      <c r="A1227" s="2">
        <v>45979</v>
      </c>
      <c r="B1227" s="1" t="s">
        <v>6</v>
      </c>
      <c r="C1227" s="1">
        <v>230.29</v>
      </c>
    </row>
    <row r="1228" spans="1:3" x14ac:dyDescent="0.2">
      <c r="A1228" s="2">
        <v>45980</v>
      </c>
      <c r="B1228" s="1" t="s">
        <v>6</v>
      </c>
      <c r="C1228" s="1">
        <v>223.55</v>
      </c>
    </row>
    <row r="1229" spans="1:3" x14ac:dyDescent="0.2">
      <c r="A1229" s="2">
        <v>45981</v>
      </c>
      <c r="B1229" s="1" t="s">
        <v>6</v>
      </c>
      <c r="C1229" s="1">
        <v>206.02</v>
      </c>
    </row>
    <row r="1230" spans="1:3" x14ac:dyDescent="0.2">
      <c r="A1230" s="2">
        <v>45982</v>
      </c>
      <c r="B1230" s="1" t="s">
        <v>6</v>
      </c>
      <c r="C1230" s="1">
        <v>203.78</v>
      </c>
    </row>
    <row r="1231" spans="1:3" x14ac:dyDescent="0.2">
      <c r="A1231" s="2">
        <v>45985</v>
      </c>
      <c r="B1231" s="1" t="s">
        <v>6</v>
      </c>
      <c r="C1231" s="1">
        <v>215.05</v>
      </c>
    </row>
    <row r="1232" spans="1:3" x14ac:dyDescent="0.2">
      <c r="A1232" s="2">
        <v>45986</v>
      </c>
      <c r="B1232" s="1" t="s">
        <v>6</v>
      </c>
      <c r="C1232" s="1">
        <v>206.13</v>
      </c>
    </row>
    <row r="1233" spans="1:3" x14ac:dyDescent="0.2">
      <c r="A1233" s="2">
        <v>45987</v>
      </c>
      <c r="B1233" s="1" t="s">
        <v>6</v>
      </c>
      <c r="C1233" s="1">
        <v>214.24</v>
      </c>
    </row>
    <row r="1234" spans="1:3" x14ac:dyDescent="0.2">
      <c r="A1234" s="2">
        <v>45989</v>
      </c>
      <c r="B1234" s="1" t="s">
        <v>6</v>
      </c>
      <c r="C1234" s="1">
        <v>217.53</v>
      </c>
    </row>
    <row r="1235" spans="1:3" x14ac:dyDescent="0.2">
      <c r="A1235" s="2">
        <v>45992</v>
      </c>
      <c r="B1235" s="1" t="s">
        <v>6</v>
      </c>
      <c r="C1235" s="1">
        <v>219.76</v>
      </c>
    </row>
    <row r="1236" spans="1:3" x14ac:dyDescent="0.2">
      <c r="A1236" s="2">
        <v>45993</v>
      </c>
      <c r="B1236" s="1" t="s">
        <v>6</v>
      </c>
      <c r="C1236" s="1">
        <v>215.24</v>
      </c>
    </row>
    <row r="1237" spans="1:3" x14ac:dyDescent="0.2">
      <c r="A1237" s="2">
        <v>45994</v>
      </c>
      <c r="B1237" s="1" t="s">
        <v>6</v>
      </c>
      <c r="C1237" s="1">
        <v>217.6</v>
      </c>
    </row>
    <row r="1238" spans="1:3" x14ac:dyDescent="0.2">
      <c r="A1238" s="2">
        <v>45995</v>
      </c>
      <c r="B1238" s="1" t="s">
        <v>6</v>
      </c>
      <c r="C1238" s="1">
        <v>215.98</v>
      </c>
    </row>
    <row r="1239" spans="1:3" x14ac:dyDescent="0.2">
      <c r="A1239" s="2">
        <v>45996</v>
      </c>
      <c r="B1239" s="1" t="s">
        <v>6</v>
      </c>
      <c r="C1239" s="1">
        <v>217.97</v>
      </c>
    </row>
    <row r="1240" spans="1:3" x14ac:dyDescent="0.2">
      <c r="A1240" s="2">
        <v>45999</v>
      </c>
      <c r="B1240" s="1" t="s">
        <v>6</v>
      </c>
      <c r="C1240" s="1">
        <v>221.11</v>
      </c>
    </row>
    <row r="1241" spans="1:3" x14ac:dyDescent="0.2">
      <c r="A1241" s="2">
        <v>46000</v>
      </c>
      <c r="B1241" s="1" t="s">
        <v>6</v>
      </c>
      <c r="C1241" s="1">
        <v>221.62</v>
      </c>
    </row>
    <row r="1242" spans="1:3" x14ac:dyDescent="0.2">
      <c r="A1242" s="2">
        <v>46001</v>
      </c>
      <c r="B1242" s="1" t="s">
        <v>6</v>
      </c>
      <c r="C1242" s="1">
        <v>221.42</v>
      </c>
    </row>
    <row r="1243" spans="1:3" x14ac:dyDescent="0.2">
      <c r="A1243" s="2">
        <v>46002</v>
      </c>
      <c r="B1243" s="1" t="s">
        <v>6</v>
      </c>
      <c r="C1243" s="1">
        <v>221.43</v>
      </c>
    </row>
    <row r="1244" spans="1:3" x14ac:dyDescent="0.2">
      <c r="A1244" s="2">
        <v>46003</v>
      </c>
      <c r="B1244" s="1" t="s">
        <v>6</v>
      </c>
      <c r="C1244" s="1">
        <v>210.78</v>
      </c>
    </row>
    <row r="1245" spans="1:3" x14ac:dyDescent="0.2">
      <c r="A1245" s="2">
        <v>46006</v>
      </c>
      <c r="B1245" s="1" t="s">
        <v>6</v>
      </c>
      <c r="C1245" s="1">
        <v>207.58</v>
      </c>
    </row>
    <row r="1246" spans="1:3" x14ac:dyDescent="0.2">
      <c r="A1246" s="2">
        <v>46007</v>
      </c>
      <c r="B1246" s="1" t="s">
        <v>6</v>
      </c>
      <c r="C1246" s="1">
        <v>209.17</v>
      </c>
    </row>
    <row r="1247" spans="1:3" x14ac:dyDescent="0.2">
      <c r="A1247" s="2">
        <v>46008</v>
      </c>
      <c r="B1247" s="1" t="s">
        <v>6</v>
      </c>
      <c r="C1247" s="1">
        <v>198.11</v>
      </c>
    </row>
    <row r="1248" spans="1:3" x14ac:dyDescent="0.2">
      <c r="A1248" s="2">
        <v>46009</v>
      </c>
      <c r="B1248" s="1" t="s">
        <v>6</v>
      </c>
      <c r="C1248" s="1">
        <v>201.06</v>
      </c>
    </row>
    <row r="1249" spans="1:3" x14ac:dyDescent="0.2">
      <c r="A1249" s="2">
        <v>46010</v>
      </c>
      <c r="B1249" s="1" t="s">
        <v>6</v>
      </c>
      <c r="C1249" s="1">
        <v>213.43</v>
      </c>
    </row>
    <row r="1250" spans="1:3" x14ac:dyDescent="0.2">
      <c r="A1250" s="2">
        <v>46013</v>
      </c>
      <c r="B1250" s="1" t="s">
        <v>6</v>
      </c>
      <c r="C1250" s="1">
        <v>214.95</v>
      </c>
    </row>
    <row r="1251" spans="1:3" x14ac:dyDescent="0.2">
      <c r="A1251" s="2">
        <v>46014</v>
      </c>
      <c r="B1251" s="1" t="s">
        <v>6</v>
      </c>
      <c r="C1251" s="1">
        <v>214.9</v>
      </c>
    </row>
    <row r="1252" spans="1:3" x14ac:dyDescent="0.2">
      <c r="A1252" s="2">
        <v>46015</v>
      </c>
      <c r="B1252" s="1" t="s">
        <v>6</v>
      </c>
      <c r="C1252" s="1">
        <v>215.04</v>
      </c>
    </row>
    <row r="1253" spans="1:3" x14ac:dyDescent="0.2">
      <c r="A1253" s="2">
        <v>46017</v>
      </c>
      <c r="B1253" s="1" t="s">
        <v>6</v>
      </c>
      <c r="C1253" s="1">
        <v>214.99</v>
      </c>
    </row>
    <row r="1254" spans="1:3" x14ac:dyDescent="0.2">
      <c r="A1254" s="2">
        <v>46020</v>
      </c>
      <c r="B1254" s="1" t="s">
        <v>6</v>
      </c>
      <c r="C1254" s="1">
        <v>215.61</v>
      </c>
    </row>
    <row r="1255" spans="1:3" x14ac:dyDescent="0.2">
      <c r="A1255" s="2">
        <v>46021</v>
      </c>
      <c r="B1255" s="1" t="s">
        <v>6</v>
      </c>
      <c r="C1255" s="1">
        <v>215.34</v>
      </c>
    </row>
    <row r="1256" spans="1:3" x14ac:dyDescent="0.2">
      <c r="A1256" s="2">
        <v>46022</v>
      </c>
      <c r="B1256" s="1" t="s">
        <v>6</v>
      </c>
      <c r="C1256" s="1">
        <v>214.16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1350-2F99-4179-97EA-D2F3C96D56BE}">
  <sheetPr codeName="Sheet5"/>
  <dimension ref="A1:C5261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7</v>
      </c>
      <c r="C2" s="1">
        <v>159.33199999999999</v>
      </c>
    </row>
    <row r="3" spans="1:3" x14ac:dyDescent="0.2">
      <c r="A3" s="2">
        <v>44201</v>
      </c>
      <c r="B3" s="1" t="s">
        <v>7</v>
      </c>
      <c r="C3" s="1">
        <v>160.92599999999999</v>
      </c>
    </row>
    <row r="4" spans="1:3" x14ac:dyDescent="0.2">
      <c r="A4" s="2">
        <v>44202</v>
      </c>
      <c r="B4" s="1" t="s">
        <v>7</v>
      </c>
      <c r="C4" s="1">
        <v>156.91900000000001</v>
      </c>
    </row>
    <row r="5" spans="1:3" x14ac:dyDescent="0.2">
      <c r="A5" s="2">
        <v>44203</v>
      </c>
      <c r="B5" s="1" t="s">
        <v>7</v>
      </c>
      <c r="C5" s="1">
        <v>158.108</v>
      </c>
    </row>
    <row r="6" spans="1:3" x14ac:dyDescent="0.2">
      <c r="A6" s="2">
        <v>44204</v>
      </c>
      <c r="B6" s="1" t="s">
        <v>7</v>
      </c>
      <c r="C6" s="1">
        <v>159.13499999999999</v>
      </c>
    </row>
    <row r="7" spans="1:3" x14ac:dyDescent="0.2">
      <c r="A7" s="2">
        <v>44207</v>
      </c>
      <c r="B7" s="1" t="s">
        <v>7</v>
      </c>
      <c r="C7" s="1">
        <v>155.71</v>
      </c>
    </row>
    <row r="8" spans="1:3" x14ac:dyDescent="0.2">
      <c r="A8" s="2">
        <v>44208</v>
      </c>
      <c r="B8" s="1" t="s">
        <v>7</v>
      </c>
      <c r="C8" s="1">
        <v>156.041</v>
      </c>
    </row>
    <row r="9" spans="1:3" x14ac:dyDescent="0.2">
      <c r="A9" s="2">
        <v>44209</v>
      </c>
      <c r="B9" s="1" t="s">
        <v>7</v>
      </c>
      <c r="C9" s="1">
        <v>158.29400000000001</v>
      </c>
    </row>
    <row r="10" spans="1:3" x14ac:dyDescent="0.2">
      <c r="A10" s="2">
        <v>44210</v>
      </c>
      <c r="B10" s="1" t="s">
        <v>7</v>
      </c>
      <c r="C10" s="1">
        <v>156.37299999999999</v>
      </c>
    </row>
    <row r="11" spans="1:3" x14ac:dyDescent="0.2">
      <c r="A11" s="2">
        <v>44211</v>
      </c>
      <c r="B11" s="1" t="s">
        <v>7</v>
      </c>
      <c r="C11" s="1">
        <v>155.21199999999999</v>
      </c>
    </row>
    <row r="12" spans="1:3" x14ac:dyDescent="0.2">
      <c r="A12" s="2">
        <v>44215</v>
      </c>
      <c r="B12" s="1" t="s">
        <v>7</v>
      </c>
      <c r="C12" s="1">
        <v>156.03800000000001</v>
      </c>
    </row>
    <row r="13" spans="1:3" x14ac:dyDescent="0.2">
      <c r="A13" s="2">
        <v>44216</v>
      </c>
      <c r="B13" s="1" t="s">
        <v>7</v>
      </c>
      <c r="C13" s="1">
        <v>163.16900000000001</v>
      </c>
    </row>
    <row r="14" spans="1:3" x14ac:dyDescent="0.2">
      <c r="A14" s="2">
        <v>44217</v>
      </c>
      <c r="B14" s="1" t="s">
        <v>7</v>
      </c>
      <c r="C14" s="1">
        <v>165.34899999999999</v>
      </c>
    </row>
    <row r="15" spans="1:3" x14ac:dyDescent="0.2">
      <c r="A15" s="2">
        <v>44218</v>
      </c>
      <c r="B15" s="1" t="s">
        <v>7</v>
      </c>
      <c r="C15" s="1">
        <v>164.61199999999999</v>
      </c>
    </row>
    <row r="16" spans="1:3" x14ac:dyDescent="0.2">
      <c r="A16" s="2">
        <v>44221</v>
      </c>
      <c r="B16" s="1" t="s">
        <v>7</v>
      </c>
      <c r="C16" s="1">
        <v>164.7</v>
      </c>
    </row>
    <row r="17" spans="1:3" x14ac:dyDescent="0.2">
      <c r="A17" s="2">
        <v>44222</v>
      </c>
      <c r="B17" s="1" t="s">
        <v>7</v>
      </c>
      <c r="C17" s="1">
        <v>166.30600000000001</v>
      </c>
    </row>
    <row r="18" spans="1:3" x14ac:dyDescent="0.2">
      <c r="A18" s="2">
        <v>44223</v>
      </c>
      <c r="B18" s="1" t="s">
        <v>7</v>
      </c>
      <c r="C18" s="1">
        <v>161.62899999999999</v>
      </c>
    </row>
    <row r="19" spans="1:3" x14ac:dyDescent="0.2">
      <c r="A19" s="2">
        <v>44224</v>
      </c>
      <c r="B19" s="1" t="s">
        <v>7</v>
      </c>
      <c r="C19" s="1">
        <v>161.881</v>
      </c>
    </row>
    <row r="20" spans="1:3" x14ac:dyDescent="0.2">
      <c r="A20" s="2">
        <v>44225</v>
      </c>
      <c r="B20" s="1" t="s">
        <v>7</v>
      </c>
      <c r="C20" s="1">
        <v>160.31</v>
      </c>
    </row>
    <row r="21" spans="1:3" x14ac:dyDescent="0.2">
      <c r="A21" s="2">
        <v>44228</v>
      </c>
      <c r="B21" s="1" t="s">
        <v>7</v>
      </c>
      <c r="C21" s="1">
        <v>167.14400000000001</v>
      </c>
    </row>
    <row r="22" spans="1:3" x14ac:dyDescent="0.2">
      <c r="A22" s="2">
        <v>44229</v>
      </c>
      <c r="B22" s="1" t="s">
        <v>7</v>
      </c>
      <c r="C22" s="1">
        <v>169</v>
      </c>
    </row>
    <row r="23" spans="1:3" x14ac:dyDescent="0.2">
      <c r="A23" s="2">
        <v>44230</v>
      </c>
      <c r="B23" s="1" t="s">
        <v>7</v>
      </c>
      <c r="C23" s="1">
        <v>165.62700000000001</v>
      </c>
    </row>
    <row r="24" spans="1:3" x14ac:dyDescent="0.2">
      <c r="A24" s="2">
        <v>44231</v>
      </c>
      <c r="B24" s="1" t="s">
        <v>7</v>
      </c>
      <c r="C24" s="1">
        <v>166.55</v>
      </c>
    </row>
    <row r="25" spans="1:3" x14ac:dyDescent="0.2">
      <c r="A25" s="2">
        <v>44232</v>
      </c>
      <c r="B25" s="1" t="s">
        <v>7</v>
      </c>
      <c r="C25" s="1">
        <v>167.608</v>
      </c>
    </row>
    <row r="26" spans="1:3" x14ac:dyDescent="0.2">
      <c r="A26" s="2">
        <v>44235</v>
      </c>
      <c r="B26" s="1" t="s">
        <v>7</v>
      </c>
      <c r="C26" s="1">
        <v>166.14699999999999</v>
      </c>
    </row>
    <row r="27" spans="1:3" x14ac:dyDescent="0.2">
      <c r="A27" s="2">
        <v>44236</v>
      </c>
      <c r="B27" s="1" t="s">
        <v>7</v>
      </c>
      <c r="C27" s="1">
        <v>165.25</v>
      </c>
    </row>
    <row r="28" spans="1:3" x14ac:dyDescent="0.2">
      <c r="A28" s="2">
        <v>44237</v>
      </c>
      <c r="B28" s="1" t="s">
        <v>7</v>
      </c>
      <c r="C28" s="1">
        <v>164.32900000000001</v>
      </c>
    </row>
    <row r="29" spans="1:3" x14ac:dyDescent="0.2">
      <c r="A29" s="2">
        <v>44238</v>
      </c>
      <c r="B29" s="1" t="s">
        <v>7</v>
      </c>
      <c r="C29" s="1">
        <v>163.10599999999999</v>
      </c>
    </row>
    <row r="30" spans="1:3" x14ac:dyDescent="0.2">
      <c r="A30" s="2">
        <v>44239</v>
      </c>
      <c r="B30" s="1" t="s">
        <v>7</v>
      </c>
      <c r="C30" s="1">
        <v>163.886</v>
      </c>
    </row>
    <row r="31" spans="1:3" x14ac:dyDescent="0.2">
      <c r="A31" s="2">
        <v>44243</v>
      </c>
      <c r="B31" s="1" t="s">
        <v>7</v>
      </c>
      <c r="C31" s="1">
        <v>163.44800000000001</v>
      </c>
    </row>
    <row r="32" spans="1:3" x14ac:dyDescent="0.2">
      <c r="A32" s="2">
        <v>44244</v>
      </c>
      <c r="B32" s="1" t="s">
        <v>7</v>
      </c>
      <c r="C32" s="1">
        <v>165.43199999999999</v>
      </c>
    </row>
    <row r="33" spans="1:3" x14ac:dyDescent="0.2">
      <c r="A33" s="2">
        <v>44245</v>
      </c>
      <c r="B33" s="1" t="s">
        <v>7</v>
      </c>
      <c r="C33" s="1">
        <v>166.41200000000001</v>
      </c>
    </row>
    <row r="34" spans="1:3" x14ac:dyDescent="0.2">
      <c r="A34" s="2">
        <v>44246</v>
      </c>
      <c r="B34" s="1" t="s">
        <v>7</v>
      </c>
      <c r="C34" s="1">
        <v>162.495</v>
      </c>
    </row>
    <row r="35" spans="1:3" x14ac:dyDescent="0.2">
      <c r="A35" s="2">
        <v>44249</v>
      </c>
      <c r="B35" s="1" t="s">
        <v>7</v>
      </c>
      <c r="C35" s="1">
        <v>159.03700000000001</v>
      </c>
    </row>
    <row r="36" spans="1:3" x14ac:dyDescent="0.2">
      <c r="A36" s="2">
        <v>44250</v>
      </c>
      <c r="B36" s="1" t="s">
        <v>7</v>
      </c>
      <c r="C36" s="1">
        <v>159.72499999999999</v>
      </c>
    </row>
    <row r="37" spans="1:3" x14ac:dyDescent="0.2">
      <c r="A37" s="2">
        <v>44251</v>
      </c>
      <c r="B37" s="1" t="s">
        <v>7</v>
      </c>
      <c r="C37" s="1">
        <v>157.977</v>
      </c>
    </row>
    <row r="38" spans="1:3" x14ac:dyDescent="0.2">
      <c r="A38" s="2">
        <v>44252</v>
      </c>
      <c r="B38" s="1" t="s">
        <v>7</v>
      </c>
      <c r="C38" s="1">
        <v>152.858</v>
      </c>
    </row>
    <row r="39" spans="1:3" x14ac:dyDescent="0.2">
      <c r="A39" s="2">
        <v>44253</v>
      </c>
      <c r="B39" s="1" t="s">
        <v>7</v>
      </c>
      <c r="C39" s="1">
        <v>154.64599999999999</v>
      </c>
    </row>
    <row r="40" spans="1:3" x14ac:dyDescent="0.2">
      <c r="A40" s="2">
        <v>44256</v>
      </c>
      <c r="B40" s="1" t="s">
        <v>7</v>
      </c>
      <c r="C40" s="1">
        <v>157.30699999999999</v>
      </c>
    </row>
    <row r="41" spans="1:3" x14ac:dyDescent="0.2">
      <c r="A41" s="2">
        <v>44257</v>
      </c>
      <c r="B41" s="1" t="s">
        <v>7</v>
      </c>
      <c r="C41" s="1">
        <v>154.727</v>
      </c>
    </row>
    <row r="42" spans="1:3" x14ac:dyDescent="0.2">
      <c r="A42" s="2">
        <v>44258</v>
      </c>
      <c r="B42" s="1" t="s">
        <v>7</v>
      </c>
      <c r="C42" s="1">
        <v>150.25</v>
      </c>
    </row>
    <row r="43" spans="1:3" x14ac:dyDescent="0.2">
      <c r="A43" s="2">
        <v>44259</v>
      </c>
      <c r="B43" s="1" t="s">
        <v>7</v>
      </c>
      <c r="C43" s="1">
        <v>148.87799999999999</v>
      </c>
    </row>
    <row r="44" spans="1:3" x14ac:dyDescent="0.2">
      <c r="A44" s="2">
        <v>44260</v>
      </c>
      <c r="B44" s="1" t="s">
        <v>7</v>
      </c>
      <c r="C44" s="1">
        <v>150.023</v>
      </c>
    </row>
    <row r="45" spans="1:3" x14ac:dyDescent="0.2">
      <c r="A45" s="2">
        <v>44263</v>
      </c>
      <c r="B45" s="1" t="s">
        <v>7</v>
      </c>
      <c r="C45" s="1">
        <v>147.59800000000001</v>
      </c>
    </row>
    <row r="46" spans="1:3" x14ac:dyDescent="0.2">
      <c r="A46" s="2">
        <v>44264</v>
      </c>
      <c r="B46" s="1" t="s">
        <v>7</v>
      </c>
      <c r="C46" s="1">
        <v>153.142</v>
      </c>
    </row>
    <row r="47" spans="1:3" x14ac:dyDescent="0.2">
      <c r="A47" s="2">
        <v>44265</v>
      </c>
      <c r="B47" s="1" t="s">
        <v>7</v>
      </c>
      <c r="C47" s="1">
        <v>152.88200000000001</v>
      </c>
    </row>
    <row r="48" spans="1:3" x14ac:dyDescent="0.2">
      <c r="A48" s="2">
        <v>44266</v>
      </c>
      <c r="B48" s="1" t="s">
        <v>7</v>
      </c>
      <c r="C48" s="1">
        <v>155.68</v>
      </c>
    </row>
    <row r="49" spans="1:3" x14ac:dyDescent="0.2">
      <c r="A49" s="2">
        <v>44267</v>
      </c>
      <c r="B49" s="1" t="s">
        <v>7</v>
      </c>
      <c r="C49" s="1">
        <v>154.47399999999999</v>
      </c>
    </row>
    <row r="50" spans="1:3" x14ac:dyDescent="0.2">
      <c r="A50" s="2">
        <v>44270</v>
      </c>
      <c r="B50" s="1" t="s">
        <v>7</v>
      </c>
      <c r="C50" s="1">
        <v>154.084</v>
      </c>
    </row>
    <row r="51" spans="1:3" x14ac:dyDescent="0.2">
      <c r="A51" s="2">
        <v>44271</v>
      </c>
      <c r="B51" s="1" t="s">
        <v>7</v>
      </c>
      <c r="C51" s="1">
        <v>154.59299999999999</v>
      </c>
    </row>
    <row r="52" spans="1:3" x14ac:dyDescent="0.2">
      <c r="A52" s="2">
        <v>44272</v>
      </c>
      <c r="B52" s="1" t="s">
        <v>7</v>
      </c>
      <c r="C52" s="1">
        <v>156.786</v>
      </c>
    </row>
    <row r="53" spans="1:3" x14ac:dyDescent="0.2">
      <c r="A53" s="2">
        <v>44273</v>
      </c>
      <c r="B53" s="1" t="s">
        <v>7</v>
      </c>
      <c r="C53" s="1">
        <v>151.4</v>
      </c>
    </row>
    <row r="54" spans="1:3" x14ac:dyDescent="0.2">
      <c r="A54" s="2">
        <v>44274</v>
      </c>
      <c r="B54" s="1" t="s">
        <v>7</v>
      </c>
      <c r="C54" s="1">
        <v>153.74799999999999</v>
      </c>
    </row>
    <row r="55" spans="1:3" x14ac:dyDescent="0.2">
      <c r="A55" s="2">
        <v>44277</v>
      </c>
      <c r="B55" s="1" t="s">
        <v>7</v>
      </c>
      <c r="C55" s="1">
        <v>155.54400000000001</v>
      </c>
    </row>
    <row r="56" spans="1:3" x14ac:dyDescent="0.2">
      <c r="A56" s="2">
        <v>44278</v>
      </c>
      <c r="B56" s="1" t="s">
        <v>7</v>
      </c>
      <c r="C56" s="1">
        <v>156.875</v>
      </c>
    </row>
    <row r="57" spans="1:3" x14ac:dyDescent="0.2">
      <c r="A57" s="2">
        <v>44279</v>
      </c>
      <c r="B57" s="1" t="s">
        <v>7</v>
      </c>
      <c r="C57" s="1">
        <v>154.35400000000001</v>
      </c>
    </row>
    <row r="58" spans="1:3" x14ac:dyDescent="0.2">
      <c r="A58" s="2">
        <v>44280</v>
      </c>
      <c r="B58" s="1" t="s">
        <v>7</v>
      </c>
      <c r="C58" s="1">
        <v>152.31299999999999</v>
      </c>
    </row>
    <row r="59" spans="1:3" x14ac:dyDescent="0.2">
      <c r="A59" s="2">
        <v>44281</v>
      </c>
      <c r="B59" s="1" t="s">
        <v>7</v>
      </c>
      <c r="C59" s="1">
        <v>152.602</v>
      </c>
    </row>
    <row r="60" spans="1:3" x14ac:dyDescent="0.2">
      <c r="A60" s="2">
        <v>44284</v>
      </c>
      <c r="B60" s="1" t="s">
        <v>7</v>
      </c>
      <c r="C60" s="1">
        <v>153.786</v>
      </c>
    </row>
    <row r="61" spans="1:3" x14ac:dyDescent="0.2">
      <c r="A61" s="2">
        <v>44285</v>
      </c>
      <c r="B61" s="1" t="s">
        <v>7</v>
      </c>
      <c r="C61" s="1">
        <v>152.76400000000001</v>
      </c>
    </row>
    <row r="62" spans="1:3" x14ac:dyDescent="0.2">
      <c r="A62" s="2">
        <v>44286</v>
      </c>
      <c r="B62" s="1" t="s">
        <v>7</v>
      </c>
      <c r="C62" s="1">
        <v>154.70400000000001</v>
      </c>
    </row>
    <row r="63" spans="1:3" x14ac:dyDescent="0.2">
      <c r="A63" s="2">
        <v>44287</v>
      </c>
      <c r="B63" s="1" t="s">
        <v>7</v>
      </c>
      <c r="C63" s="1">
        <v>158.05000000000001</v>
      </c>
    </row>
    <row r="64" spans="1:3" x14ac:dyDescent="0.2">
      <c r="A64" s="2">
        <v>44291</v>
      </c>
      <c r="B64" s="1" t="s">
        <v>7</v>
      </c>
      <c r="C64" s="1">
        <v>161.33600000000001</v>
      </c>
    </row>
    <row r="65" spans="1:3" x14ac:dyDescent="0.2">
      <c r="A65" s="2">
        <v>44292</v>
      </c>
      <c r="B65" s="1" t="s">
        <v>7</v>
      </c>
      <c r="C65" s="1">
        <v>161.191</v>
      </c>
    </row>
    <row r="66" spans="1:3" x14ac:dyDescent="0.2">
      <c r="A66" s="2">
        <v>44293</v>
      </c>
      <c r="B66" s="1" t="s">
        <v>7</v>
      </c>
      <c r="C66" s="1">
        <v>163.96899999999999</v>
      </c>
    </row>
    <row r="67" spans="1:3" x14ac:dyDescent="0.2">
      <c r="A67" s="2">
        <v>44294</v>
      </c>
      <c r="B67" s="1" t="s">
        <v>7</v>
      </c>
      <c r="C67" s="1">
        <v>164.965</v>
      </c>
    </row>
    <row r="68" spans="1:3" x14ac:dyDescent="0.2">
      <c r="A68" s="2">
        <v>44295</v>
      </c>
      <c r="B68" s="1" t="s">
        <v>7</v>
      </c>
      <c r="C68" s="1">
        <v>168.61</v>
      </c>
    </row>
    <row r="69" spans="1:3" x14ac:dyDescent="0.2">
      <c r="A69" s="2">
        <v>44298</v>
      </c>
      <c r="B69" s="1" t="s">
        <v>7</v>
      </c>
      <c r="C69" s="1">
        <v>168.96899999999999</v>
      </c>
    </row>
    <row r="70" spans="1:3" x14ac:dyDescent="0.2">
      <c r="A70" s="2">
        <v>44299</v>
      </c>
      <c r="B70" s="1" t="s">
        <v>7</v>
      </c>
      <c r="C70" s="1">
        <v>170</v>
      </c>
    </row>
    <row r="71" spans="1:3" x14ac:dyDescent="0.2">
      <c r="A71" s="2">
        <v>44300</v>
      </c>
      <c r="B71" s="1" t="s">
        <v>7</v>
      </c>
      <c r="C71" s="1">
        <v>166.65</v>
      </c>
    </row>
    <row r="72" spans="1:3" x14ac:dyDescent="0.2">
      <c r="A72" s="2">
        <v>44301</v>
      </c>
      <c r="B72" s="1" t="s">
        <v>7</v>
      </c>
      <c r="C72" s="1">
        <v>168.95400000000001</v>
      </c>
    </row>
    <row r="73" spans="1:3" x14ac:dyDescent="0.2">
      <c r="A73" s="2">
        <v>44302</v>
      </c>
      <c r="B73" s="1" t="s">
        <v>7</v>
      </c>
      <c r="C73" s="1">
        <v>169.97200000000001</v>
      </c>
    </row>
    <row r="74" spans="1:3" x14ac:dyDescent="0.2">
      <c r="A74" s="2">
        <v>44305</v>
      </c>
      <c r="B74" s="1" t="s">
        <v>7</v>
      </c>
      <c r="C74" s="1">
        <v>168.6</v>
      </c>
    </row>
    <row r="75" spans="1:3" x14ac:dyDescent="0.2">
      <c r="A75" s="2">
        <v>44306</v>
      </c>
      <c r="B75" s="1" t="s">
        <v>7</v>
      </c>
      <c r="C75" s="1">
        <v>166.73400000000001</v>
      </c>
    </row>
    <row r="76" spans="1:3" x14ac:dyDescent="0.2">
      <c r="A76" s="2">
        <v>44307</v>
      </c>
      <c r="B76" s="1" t="s">
        <v>7</v>
      </c>
      <c r="C76" s="1">
        <v>168.101</v>
      </c>
    </row>
    <row r="77" spans="1:3" x14ac:dyDescent="0.2">
      <c r="A77" s="2">
        <v>44308</v>
      </c>
      <c r="B77" s="1" t="s">
        <v>7</v>
      </c>
      <c r="C77" s="1">
        <v>165.452</v>
      </c>
    </row>
    <row r="78" spans="1:3" x14ac:dyDescent="0.2">
      <c r="A78" s="2">
        <v>44309</v>
      </c>
      <c r="B78" s="1" t="s">
        <v>7</v>
      </c>
      <c r="C78" s="1">
        <v>167.04400000000001</v>
      </c>
    </row>
    <row r="79" spans="1:3" x14ac:dyDescent="0.2">
      <c r="A79" s="2">
        <v>44312</v>
      </c>
      <c r="B79" s="1" t="s">
        <v>7</v>
      </c>
      <c r="C79" s="1">
        <v>170.45</v>
      </c>
    </row>
    <row r="80" spans="1:3" x14ac:dyDescent="0.2">
      <c r="A80" s="2">
        <v>44313</v>
      </c>
      <c r="B80" s="1" t="s">
        <v>7</v>
      </c>
      <c r="C80" s="1">
        <v>170.87200000000001</v>
      </c>
    </row>
    <row r="81" spans="1:3" x14ac:dyDescent="0.2">
      <c r="A81" s="2">
        <v>44314</v>
      </c>
      <c r="B81" s="1" t="s">
        <v>7</v>
      </c>
      <c r="C81" s="1">
        <v>172.92500000000001</v>
      </c>
    </row>
    <row r="82" spans="1:3" x14ac:dyDescent="0.2">
      <c r="A82" s="2">
        <v>44315</v>
      </c>
      <c r="B82" s="1" t="s">
        <v>7</v>
      </c>
      <c r="C82" s="1">
        <v>173.566</v>
      </c>
    </row>
    <row r="83" spans="1:3" x14ac:dyDescent="0.2">
      <c r="A83" s="2">
        <v>44316</v>
      </c>
      <c r="B83" s="1" t="s">
        <v>7</v>
      </c>
      <c r="C83" s="1">
        <v>173.37100000000001</v>
      </c>
    </row>
    <row r="84" spans="1:3" x14ac:dyDescent="0.2">
      <c r="A84" s="2">
        <v>44319</v>
      </c>
      <c r="B84" s="1" t="s">
        <v>7</v>
      </c>
      <c r="C84" s="1">
        <v>169.32400000000001</v>
      </c>
    </row>
    <row r="85" spans="1:3" x14ac:dyDescent="0.2">
      <c r="A85" s="2">
        <v>44320</v>
      </c>
      <c r="B85" s="1" t="s">
        <v>7</v>
      </c>
      <c r="C85" s="1">
        <v>165.59399999999999</v>
      </c>
    </row>
    <row r="86" spans="1:3" x14ac:dyDescent="0.2">
      <c r="A86" s="2">
        <v>44321</v>
      </c>
      <c r="B86" s="1" t="s">
        <v>7</v>
      </c>
      <c r="C86" s="1">
        <v>163.52699999999999</v>
      </c>
    </row>
    <row r="87" spans="1:3" x14ac:dyDescent="0.2">
      <c r="A87" s="2">
        <v>44322</v>
      </c>
      <c r="B87" s="1" t="s">
        <v>7</v>
      </c>
      <c r="C87" s="1">
        <v>165.31800000000001</v>
      </c>
    </row>
    <row r="88" spans="1:3" x14ac:dyDescent="0.2">
      <c r="A88" s="2">
        <v>44323</v>
      </c>
      <c r="B88" s="1" t="s">
        <v>7</v>
      </c>
      <c r="C88" s="1">
        <v>164.58</v>
      </c>
    </row>
    <row r="89" spans="1:3" x14ac:dyDescent="0.2">
      <c r="A89" s="2">
        <v>44326</v>
      </c>
      <c r="B89" s="1" t="s">
        <v>7</v>
      </c>
      <c r="C89" s="1">
        <v>159.524</v>
      </c>
    </row>
    <row r="90" spans="1:3" x14ac:dyDescent="0.2">
      <c r="A90" s="2">
        <v>44327</v>
      </c>
      <c r="B90" s="1" t="s">
        <v>7</v>
      </c>
      <c r="C90" s="1">
        <v>161.19499999999999</v>
      </c>
    </row>
    <row r="91" spans="1:3" x14ac:dyDescent="0.2">
      <c r="A91" s="2">
        <v>44328</v>
      </c>
      <c r="B91" s="1" t="s">
        <v>7</v>
      </c>
      <c r="C91" s="1">
        <v>157.59700000000001</v>
      </c>
    </row>
    <row r="92" spans="1:3" x14ac:dyDescent="0.2">
      <c r="A92" s="2">
        <v>44329</v>
      </c>
      <c r="B92" s="1" t="s">
        <v>7</v>
      </c>
      <c r="C92" s="1">
        <v>158.07400000000001</v>
      </c>
    </row>
    <row r="93" spans="1:3" x14ac:dyDescent="0.2">
      <c r="A93" s="2">
        <v>44330</v>
      </c>
      <c r="B93" s="1" t="s">
        <v>7</v>
      </c>
      <c r="C93" s="1">
        <v>161.14500000000001</v>
      </c>
    </row>
    <row r="94" spans="1:3" x14ac:dyDescent="0.2">
      <c r="A94" s="2">
        <v>44333</v>
      </c>
      <c r="B94" s="1" t="s">
        <v>7</v>
      </c>
      <c r="C94" s="1">
        <v>163.52000000000001</v>
      </c>
    </row>
    <row r="95" spans="1:3" x14ac:dyDescent="0.2">
      <c r="A95" s="2">
        <v>44334</v>
      </c>
      <c r="B95" s="1" t="s">
        <v>7</v>
      </c>
      <c r="C95" s="1">
        <v>161.614</v>
      </c>
    </row>
    <row r="96" spans="1:3" x14ac:dyDescent="0.2">
      <c r="A96" s="2">
        <v>44335</v>
      </c>
      <c r="B96" s="1" t="s">
        <v>7</v>
      </c>
      <c r="C96" s="1">
        <v>161.59</v>
      </c>
    </row>
    <row r="97" spans="1:3" x14ac:dyDescent="0.2">
      <c r="A97" s="2">
        <v>44336</v>
      </c>
      <c r="B97" s="1" t="s">
        <v>7</v>
      </c>
      <c r="C97" s="1">
        <v>162.38399999999999</v>
      </c>
    </row>
    <row r="98" spans="1:3" x14ac:dyDescent="0.2">
      <c r="A98" s="2">
        <v>44337</v>
      </c>
      <c r="B98" s="1" t="s">
        <v>7</v>
      </c>
      <c r="C98" s="1">
        <v>160.154</v>
      </c>
    </row>
    <row r="99" spans="1:3" x14ac:dyDescent="0.2">
      <c r="A99" s="2">
        <v>44340</v>
      </c>
      <c r="B99" s="1" t="s">
        <v>7</v>
      </c>
      <c r="C99" s="1">
        <v>162.249</v>
      </c>
    </row>
    <row r="100" spans="1:3" x14ac:dyDescent="0.2">
      <c r="A100" s="2">
        <v>44341</v>
      </c>
      <c r="B100" s="1" t="s">
        <v>7</v>
      </c>
      <c r="C100" s="1">
        <v>162.953</v>
      </c>
    </row>
    <row r="101" spans="1:3" x14ac:dyDescent="0.2">
      <c r="A101" s="2">
        <v>44342</v>
      </c>
      <c r="B101" s="1" t="s">
        <v>7</v>
      </c>
      <c r="C101" s="1">
        <v>163.25800000000001</v>
      </c>
    </row>
    <row r="102" spans="1:3" x14ac:dyDescent="0.2">
      <c r="A102" s="2">
        <v>44343</v>
      </c>
      <c r="B102" s="1" t="s">
        <v>7</v>
      </c>
      <c r="C102" s="1">
        <v>161.506</v>
      </c>
    </row>
    <row r="103" spans="1:3" x14ac:dyDescent="0.2">
      <c r="A103" s="2">
        <v>44344</v>
      </c>
      <c r="B103" s="1" t="s">
        <v>7</v>
      </c>
      <c r="C103" s="1">
        <v>161.154</v>
      </c>
    </row>
    <row r="104" spans="1:3" x14ac:dyDescent="0.2">
      <c r="A104" s="2">
        <v>44348</v>
      </c>
      <c r="B104" s="1" t="s">
        <v>7</v>
      </c>
      <c r="C104" s="1">
        <v>160.93199999999999</v>
      </c>
    </row>
    <row r="105" spans="1:3" x14ac:dyDescent="0.2">
      <c r="A105" s="2">
        <v>44349</v>
      </c>
      <c r="B105" s="1" t="s">
        <v>7</v>
      </c>
      <c r="C105" s="1">
        <v>161.69999999999999</v>
      </c>
    </row>
    <row r="106" spans="1:3" x14ac:dyDescent="0.2">
      <c r="A106" s="2">
        <v>44350</v>
      </c>
      <c r="B106" s="1" t="s">
        <v>7</v>
      </c>
      <c r="C106" s="1">
        <v>159.35</v>
      </c>
    </row>
    <row r="107" spans="1:3" x14ac:dyDescent="0.2">
      <c r="A107" s="2">
        <v>44351</v>
      </c>
      <c r="B107" s="1" t="s">
        <v>7</v>
      </c>
      <c r="C107" s="1">
        <v>160.31100000000001</v>
      </c>
    </row>
    <row r="108" spans="1:3" x14ac:dyDescent="0.2">
      <c r="A108" s="2">
        <v>44354</v>
      </c>
      <c r="B108" s="1" t="s">
        <v>7</v>
      </c>
      <c r="C108" s="1">
        <v>159.90100000000001</v>
      </c>
    </row>
    <row r="109" spans="1:3" x14ac:dyDescent="0.2">
      <c r="A109" s="2">
        <v>44355</v>
      </c>
      <c r="B109" s="1" t="s">
        <v>7</v>
      </c>
      <c r="C109" s="1">
        <v>163.20599999999999</v>
      </c>
    </row>
    <row r="110" spans="1:3" x14ac:dyDescent="0.2">
      <c r="A110" s="2">
        <v>44356</v>
      </c>
      <c r="B110" s="1" t="s">
        <v>7</v>
      </c>
      <c r="C110" s="1">
        <v>164.05799999999999</v>
      </c>
    </row>
    <row r="111" spans="1:3" x14ac:dyDescent="0.2">
      <c r="A111" s="2">
        <v>44357</v>
      </c>
      <c r="B111" s="1" t="s">
        <v>7</v>
      </c>
      <c r="C111" s="1">
        <v>167.483</v>
      </c>
    </row>
    <row r="112" spans="1:3" x14ac:dyDescent="0.2">
      <c r="A112" s="2">
        <v>44358</v>
      </c>
      <c r="B112" s="1" t="s">
        <v>7</v>
      </c>
      <c r="C112" s="1">
        <v>167.34200000000001</v>
      </c>
    </row>
    <row r="113" spans="1:3" x14ac:dyDescent="0.2">
      <c r="A113" s="2">
        <v>44361</v>
      </c>
      <c r="B113" s="1" t="s">
        <v>7</v>
      </c>
      <c r="C113" s="1">
        <v>169.19399999999999</v>
      </c>
    </row>
    <row r="114" spans="1:3" x14ac:dyDescent="0.2">
      <c r="A114" s="2">
        <v>44362</v>
      </c>
      <c r="B114" s="1" t="s">
        <v>7</v>
      </c>
      <c r="C114" s="1">
        <v>169.15600000000001</v>
      </c>
    </row>
    <row r="115" spans="1:3" x14ac:dyDescent="0.2">
      <c r="A115" s="2">
        <v>44363</v>
      </c>
      <c r="B115" s="1" t="s">
        <v>7</v>
      </c>
      <c r="C115" s="1">
        <v>170.762</v>
      </c>
    </row>
    <row r="116" spans="1:3" x14ac:dyDescent="0.2">
      <c r="A116" s="2">
        <v>44364</v>
      </c>
      <c r="B116" s="1" t="s">
        <v>7</v>
      </c>
      <c r="C116" s="1">
        <v>174.46199999999999</v>
      </c>
    </row>
    <row r="117" spans="1:3" x14ac:dyDescent="0.2">
      <c r="A117" s="2">
        <v>44365</v>
      </c>
      <c r="B117" s="1" t="s">
        <v>7</v>
      </c>
      <c r="C117" s="1">
        <v>174.345</v>
      </c>
    </row>
    <row r="118" spans="1:3" x14ac:dyDescent="0.2">
      <c r="A118" s="2">
        <v>44368</v>
      </c>
      <c r="B118" s="1" t="s">
        <v>7</v>
      </c>
      <c r="C118" s="1">
        <v>172.69800000000001</v>
      </c>
    </row>
    <row r="119" spans="1:3" x14ac:dyDescent="0.2">
      <c r="A119" s="2">
        <v>44369</v>
      </c>
      <c r="B119" s="1" t="s">
        <v>7</v>
      </c>
      <c r="C119" s="1">
        <v>175.27199999999999</v>
      </c>
    </row>
    <row r="120" spans="1:3" x14ac:dyDescent="0.2">
      <c r="A120" s="2">
        <v>44370</v>
      </c>
      <c r="B120" s="1" t="s">
        <v>7</v>
      </c>
      <c r="C120" s="1">
        <v>175.191</v>
      </c>
    </row>
    <row r="121" spans="1:3" x14ac:dyDescent="0.2">
      <c r="A121" s="2">
        <v>44371</v>
      </c>
      <c r="B121" s="1" t="s">
        <v>7</v>
      </c>
      <c r="C121" s="1">
        <v>172.45400000000001</v>
      </c>
    </row>
    <row r="122" spans="1:3" x14ac:dyDescent="0.2">
      <c r="A122" s="2">
        <v>44372</v>
      </c>
      <c r="B122" s="1" t="s">
        <v>7</v>
      </c>
      <c r="C122" s="1">
        <v>170.07300000000001</v>
      </c>
    </row>
    <row r="123" spans="1:3" x14ac:dyDescent="0.2">
      <c r="A123" s="2">
        <v>44375</v>
      </c>
      <c r="B123" s="1" t="s">
        <v>7</v>
      </c>
      <c r="C123" s="1">
        <v>172.19399999999999</v>
      </c>
    </row>
    <row r="124" spans="1:3" x14ac:dyDescent="0.2">
      <c r="A124" s="2">
        <v>44376</v>
      </c>
      <c r="B124" s="1" t="s">
        <v>7</v>
      </c>
      <c r="C124" s="1">
        <v>172.40700000000001</v>
      </c>
    </row>
    <row r="125" spans="1:3" x14ac:dyDescent="0.2">
      <c r="A125" s="2">
        <v>44377</v>
      </c>
      <c r="B125" s="1" t="s">
        <v>7</v>
      </c>
      <c r="C125" s="1">
        <v>172.00800000000001</v>
      </c>
    </row>
    <row r="126" spans="1:3" x14ac:dyDescent="0.2">
      <c r="A126" s="2">
        <v>44378</v>
      </c>
      <c r="B126" s="1" t="s">
        <v>7</v>
      </c>
      <c r="C126" s="1">
        <v>171.648</v>
      </c>
    </row>
    <row r="127" spans="1:3" x14ac:dyDescent="0.2">
      <c r="A127" s="2">
        <v>44379</v>
      </c>
      <c r="B127" s="1" t="s">
        <v>7</v>
      </c>
      <c r="C127" s="1">
        <v>175.54900000000001</v>
      </c>
    </row>
    <row r="128" spans="1:3" x14ac:dyDescent="0.2">
      <c r="A128" s="2">
        <v>44383</v>
      </c>
      <c r="B128" s="1" t="s">
        <v>7</v>
      </c>
      <c r="C128" s="1">
        <v>183.78700000000001</v>
      </c>
    </row>
    <row r="129" spans="1:3" x14ac:dyDescent="0.2">
      <c r="A129" s="2">
        <v>44384</v>
      </c>
      <c r="B129" s="1" t="s">
        <v>7</v>
      </c>
      <c r="C129" s="1">
        <v>184.82900000000001</v>
      </c>
    </row>
    <row r="130" spans="1:3" x14ac:dyDescent="0.2">
      <c r="A130" s="2">
        <v>44385</v>
      </c>
      <c r="B130" s="1" t="s">
        <v>7</v>
      </c>
      <c r="C130" s="1">
        <v>186.57</v>
      </c>
    </row>
    <row r="131" spans="1:3" x14ac:dyDescent="0.2">
      <c r="A131" s="2">
        <v>44386</v>
      </c>
      <c r="B131" s="1" t="s">
        <v>7</v>
      </c>
      <c r="C131" s="1">
        <v>185.96700000000001</v>
      </c>
    </row>
    <row r="132" spans="1:3" x14ac:dyDescent="0.2">
      <c r="A132" s="2">
        <v>44389</v>
      </c>
      <c r="B132" s="1" t="s">
        <v>7</v>
      </c>
      <c r="C132" s="1">
        <v>185.928</v>
      </c>
    </row>
    <row r="133" spans="1:3" x14ac:dyDescent="0.2">
      <c r="A133" s="2">
        <v>44390</v>
      </c>
      <c r="B133" s="1" t="s">
        <v>7</v>
      </c>
      <c r="C133" s="1">
        <v>183.86799999999999</v>
      </c>
    </row>
    <row r="134" spans="1:3" x14ac:dyDescent="0.2">
      <c r="A134" s="2">
        <v>44391</v>
      </c>
      <c r="B134" s="1" t="s">
        <v>7</v>
      </c>
      <c r="C134" s="1">
        <v>184.084</v>
      </c>
    </row>
    <row r="135" spans="1:3" x14ac:dyDescent="0.2">
      <c r="A135" s="2">
        <v>44392</v>
      </c>
      <c r="B135" s="1" t="s">
        <v>7</v>
      </c>
      <c r="C135" s="1">
        <v>181.56</v>
      </c>
    </row>
    <row r="136" spans="1:3" x14ac:dyDescent="0.2">
      <c r="A136" s="2">
        <v>44393</v>
      </c>
      <c r="B136" s="1" t="s">
        <v>7</v>
      </c>
      <c r="C136" s="1">
        <v>178.68199999999999</v>
      </c>
    </row>
    <row r="137" spans="1:3" x14ac:dyDescent="0.2">
      <c r="A137" s="2">
        <v>44396</v>
      </c>
      <c r="B137" s="1" t="s">
        <v>7</v>
      </c>
      <c r="C137" s="1">
        <v>177.48</v>
      </c>
    </row>
    <row r="138" spans="1:3" x14ac:dyDescent="0.2">
      <c r="A138" s="2">
        <v>44397</v>
      </c>
      <c r="B138" s="1" t="s">
        <v>7</v>
      </c>
      <c r="C138" s="1">
        <v>178.66</v>
      </c>
    </row>
    <row r="139" spans="1:3" x14ac:dyDescent="0.2">
      <c r="A139" s="2">
        <v>44398</v>
      </c>
      <c r="B139" s="1" t="s">
        <v>7</v>
      </c>
      <c r="C139" s="1">
        <v>179.26</v>
      </c>
    </row>
    <row r="140" spans="1:3" x14ac:dyDescent="0.2">
      <c r="A140" s="2">
        <v>44399</v>
      </c>
      <c r="B140" s="1" t="s">
        <v>7</v>
      </c>
      <c r="C140" s="1">
        <v>181.90199999999999</v>
      </c>
    </row>
    <row r="141" spans="1:3" x14ac:dyDescent="0.2">
      <c r="A141" s="2">
        <v>44400</v>
      </c>
      <c r="B141" s="1" t="s">
        <v>7</v>
      </c>
      <c r="C141" s="1">
        <v>182.83199999999999</v>
      </c>
    </row>
    <row r="142" spans="1:3" x14ac:dyDescent="0.2">
      <c r="A142" s="2">
        <v>44403</v>
      </c>
      <c r="B142" s="1" t="s">
        <v>7</v>
      </c>
      <c r="C142" s="1">
        <v>184.99100000000001</v>
      </c>
    </row>
    <row r="143" spans="1:3" x14ac:dyDescent="0.2">
      <c r="A143" s="2">
        <v>44404</v>
      </c>
      <c r="B143" s="1" t="s">
        <v>7</v>
      </c>
      <c r="C143" s="1">
        <v>181.32</v>
      </c>
    </row>
    <row r="144" spans="1:3" x14ac:dyDescent="0.2">
      <c r="A144" s="2">
        <v>44405</v>
      </c>
      <c r="B144" s="1" t="s">
        <v>7</v>
      </c>
      <c r="C144" s="1">
        <v>181.51599999999999</v>
      </c>
    </row>
    <row r="145" spans="1:3" x14ac:dyDescent="0.2">
      <c r="A145" s="2">
        <v>44406</v>
      </c>
      <c r="B145" s="1" t="s">
        <v>7</v>
      </c>
      <c r="C145" s="1">
        <v>179.99600000000001</v>
      </c>
    </row>
    <row r="146" spans="1:3" x14ac:dyDescent="0.2">
      <c r="A146" s="2">
        <v>44407</v>
      </c>
      <c r="B146" s="1" t="s">
        <v>7</v>
      </c>
      <c r="C146" s="1">
        <v>166.38</v>
      </c>
    </row>
    <row r="147" spans="1:3" x14ac:dyDescent="0.2">
      <c r="A147" s="2">
        <v>44410</v>
      </c>
      <c r="B147" s="1" t="s">
        <v>7</v>
      </c>
      <c r="C147" s="1">
        <v>166.57400000000001</v>
      </c>
    </row>
    <row r="148" spans="1:3" x14ac:dyDescent="0.2">
      <c r="A148" s="2">
        <v>44411</v>
      </c>
      <c r="B148" s="1" t="s">
        <v>7</v>
      </c>
      <c r="C148" s="1">
        <v>168.31200000000001</v>
      </c>
    </row>
    <row r="149" spans="1:3" x14ac:dyDescent="0.2">
      <c r="A149" s="2">
        <v>44412</v>
      </c>
      <c r="B149" s="1" t="s">
        <v>7</v>
      </c>
      <c r="C149" s="1">
        <v>167.73599999999999</v>
      </c>
    </row>
    <row r="150" spans="1:3" x14ac:dyDescent="0.2">
      <c r="A150" s="2">
        <v>44413</v>
      </c>
      <c r="B150" s="1" t="s">
        <v>7</v>
      </c>
      <c r="C150" s="1">
        <v>168.8</v>
      </c>
    </row>
    <row r="151" spans="1:3" x14ac:dyDescent="0.2">
      <c r="A151" s="2">
        <v>44414</v>
      </c>
      <c r="B151" s="1" t="s">
        <v>7</v>
      </c>
      <c r="C151" s="1">
        <v>167.24700000000001</v>
      </c>
    </row>
    <row r="152" spans="1:3" x14ac:dyDescent="0.2">
      <c r="A152" s="2">
        <v>44417</v>
      </c>
      <c r="B152" s="1" t="s">
        <v>7</v>
      </c>
      <c r="C152" s="1">
        <v>167.09399999999999</v>
      </c>
    </row>
    <row r="153" spans="1:3" x14ac:dyDescent="0.2">
      <c r="A153" s="2">
        <v>44418</v>
      </c>
      <c r="B153" s="1" t="s">
        <v>7</v>
      </c>
      <c r="C153" s="1">
        <v>166.03399999999999</v>
      </c>
    </row>
    <row r="154" spans="1:3" x14ac:dyDescent="0.2">
      <c r="A154" s="2">
        <v>44419</v>
      </c>
      <c r="B154" s="1" t="s">
        <v>7</v>
      </c>
      <c r="C154" s="1">
        <v>164.60599999999999</v>
      </c>
    </row>
    <row r="155" spans="1:3" x14ac:dyDescent="0.2">
      <c r="A155" s="2">
        <v>44420</v>
      </c>
      <c r="B155" s="1" t="s">
        <v>7</v>
      </c>
      <c r="C155" s="1">
        <v>165.17500000000001</v>
      </c>
    </row>
    <row r="156" spans="1:3" x14ac:dyDescent="0.2">
      <c r="A156" s="2">
        <v>44421</v>
      </c>
      <c r="B156" s="1" t="s">
        <v>7</v>
      </c>
      <c r="C156" s="1">
        <v>164.69800000000001</v>
      </c>
    </row>
    <row r="157" spans="1:3" x14ac:dyDescent="0.2">
      <c r="A157" s="2">
        <v>44424</v>
      </c>
      <c r="B157" s="1" t="s">
        <v>7</v>
      </c>
      <c r="C157" s="1">
        <v>164.95</v>
      </c>
    </row>
    <row r="158" spans="1:3" x14ac:dyDescent="0.2">
      <c r="A158" s="2">
        <v>44425</v>
      </c>
      <c r="B158" s="1" t="s">
        <v>7</v>
      </c>
      <c r="C158" s="1">
        <v>162.09800000000001</v>
      </c>
    </row>
    <row r="159" spans="1:3" x14ac:dyDescent="0.2">
      <c r="A159" s="2">
        <v>44426</v>
      </c>
      <c r="B159" s="1" t="s">
        <v>7</v>
      </c>
      <c r="C159" s="1">
        <v>160.06100000000001</v>
      </c>
    </row>
    <row r="160" spans="1:3" x14ac:dyDescent="0.2">
      <c r="A160" s="2">
        <v>44427</v>
      </c>
      <c r="B160" s="1" t="s">
        <v>7</v>
      </c>
      <c r="C160" s="1">
        <v>159.38800000000001</v>
      </c>
    </row>
    <row r="161" spans="1:3" x14ac:dyDescent="0.2">
      <c r="A161" s="2">
        <v>44428</v>
      </c>
      <c r="B161" s="1" t="s">
        <v>7</v>
      </c>
      <c r="C161" s="1">
        <v>159.99799999999999</v>
      </c>
    </row>
    <row r="162" spans="1:3" x14ac:dyDescent="0.2">
      <c r="A162" s="2">
        <v>44431</v>
      </c>
      <c r="B162" s="1" t="s">
        <v>7</v>
      </c>
      <c r="C162" s="1">
        <v>163.29400000000001</v>
      </c>
    </row>
    <row r="163" spans="1:3" x14ac:dyDescent="0.2">
      <c r="A163" s="2">
        <v>44432</v>
      </c>
      <c r="B163" s="1" t="s">
        <v>7</v>
      </c>
      <c r="C163" s="1">
        <v>165.28899999999999</v>
      </c>
    </row>
    <row r="164" spans="1:3" x14ac:dyDescent="0.2">
      <c r="A164" s="2">
        <v>44433</v>
      </c>
      <c r="B164" s="1" t="s">
        <v>7</v>
      </c>
      <c r="C164" s="1">
        <v>164.959</v>
      </c>
    </row>
    <row r="165" spans="1:3" x14ac:dyDescent="0.2">
      <c r="A165" s="2">
        <v>44434</v>
      </c>
      <c r="B165" s="1" t="s">
        <v>7</v>
      </c>
      <c r="C165" s="1">
        <v>165.8</v>
      </c>
    </row>
    <row r="166" spans="1:3" x14ac:dyDescent="0.2">
      <c r="A166" s="2">
        <v>44435</v>
      </c>
      <c r="B166" s="1" t="s">
        <v>7</v>
      </c>
      <c r="C166" s="1">
        <v>167.482</v>
      </c>
    </row>
    <row r="167" spans="1:3" x14ac:dyDescent="0.2">
      <c r="A167" s="2">
        <v>44438</v>
      </c>
      <c r="B167" s="1" t="s">
        <v>7</v>
      </c>
      <c r="C167" s="1">
        <v>171.07900000000001</v>
      </c>
    </row>
    <row r="168" spans="1:3" x14ac:dyDescent="0.2">
      <c r="A168" s="2">
        <v>44439</v>
      </c>
      <c r="B168" s="1" t="s">
        <v>7</v>
      </c>
      <c r="C168" s="1">
        <v>173.54</v>
      </c>
    </row>
    <row r="169" spans="1:3" x14ac:dyDescent="0.2">
      <c r="A169" s="2">
        <v>44440</v>
      </c>
      <c r="B169" s="1" t="s">
        <v>7</v>
      </c>
      <c r="C169" s="1">
        <v>173.95</v>
      </c>
    </row>
    <row r="170" spans="1:3" x14ac:dyDescent="0.2">
      <c r="A170" s="2">
        <v>44441</v>
      </c>
      <c r="B170" s="1" t="s">
        <v>7</v>
      </c>
      <c r="C170" s="1">
        <v>173.15600000000001</v>
      </c>
    </row>
    <row r="171" spans="1:3" x14ac:dyDescent="0.2">
      <c r="A171" s="2">
        <v>44442</v>
      </c>
      <c r="B171" s="1" t="s">
        <v>7</v>
      </c>
      <c r="C171" s="1">
        <v>173.90199999999999</v>
      </c>
    </row>
    <row r="172" spans="1:3" x14ac:dyDescent="0.2">
      <c r="A172" s="2">
        <v>44446</v>
      </c>
      <c r="B172" s="1" t="s">
        <v>7</v>
      </c>
      <c r="C172" s="1">
        <v>175.464</v>
      </c>
    </row>
    <row r="173" spans="1:3" x14ac:dyDescent="0.2">
      <c r="A173" s="2">
        <v>44447</v>
      </c>
      <c r="B173" s="1" t="s">
        <v>7</v>
      </c>
      <c r="C173" s="1">
        <v>176.27500000000001</v>
      </c>
    </row>
    <row r="174" spans="1:3" x14ac:dyDescent="0.2">
      <c r="A174" s="2">
        <v>44448</v>
      </c>
      <c r="B174" s="1" t="s">
        <v>7</v>
      </c>
      <c r="C174" s="1">
        <v>174.208</v>
      </c>
    </row>
    <row r="175" spans="1:3" x14ac:dyDescent="0.2">
      <c r="A175" s="2">
        <v>44449</v>
      </c>
      <c r="B175" s="1" t="s">
        <v>7</v>
      </c>
      <c r="C175" s="1">
        <v>173.458</v>
      </c>
    </row>
    <row r="176" spans="1:3" x14ac:dyDescent="0.2">
      <c r="A176" s="2">
        <v>44452</v>
      </c>
      <c r="B176" s="1" t="s">
        <v>7</v>
      </c>
      <c r="C176" s="1">
        <v>172.858</v>
      </c>
    </row>
    <row r="177" spans="1:3" x14ac:dyDescent="0.2">
      <c r="A177" s="2">
        <v>44453</v>
      </c>
      <c r="B177" s="1" t="s">
        <v>7</v>
      </c>
      <c r="C177" s="1">
        <v>172.5</v>
      </c>
    </row>
    <row r="178" spans="1:3" x14ac:dyDescent="0.2">
      <c r="A178" s="2">
        <v>44454</v>
      </c>
      <c r="B178" s="1" t="s">
        <v>7</v>
      </c>
      <c r="C178" s="1">
        <v>173.79</v>
      </c>
    </row>
    <row r="179" spans="1:3" x14ac:dyDescent="0.2">
      <c r="A179" s="2">
        <v>44455</v>
      </c>
      <c r="B179" s="1" t="s">
        <v>7</v>
      </c>
      <c r="C179" s="1">
        <v>174.41200000000001</v>
      </c>
    </row>
    <row r="180" spans="1:3" x14ac:dyDescent="0.2">
      <c r="A180" s="2">
        <v>44456</v>
      </c>
      <c r="B180" s="1" t="s">
        <v>7</v>
      </c>
      <c r="C180" s="1">
        <v>173.126</v>
      </c>
    </row>
    <row r="181" spans="1:3" x14ac:dyDescent="0.2">
      <c r="A181" s="2">
        <v>44459</v>
      </c>
      <c r="B181" s="1" t="s">
        <v>7</v>
      </c>
      <c r="C181" s="1">
        <v>167.786</v>
      </c>
    </row>
    <row r="182" spans="1:3" x14ac:dyDescent="0.2">
      <c r="A182" s="2">
        <v>44460</v>
      </c>
      <c r="B182" s="1" t="s">
        <v>7</v>
      </c>
      <c r="C182" s="1">
        <v>167.18199999999999</v>
      </c>
    </row>
    <row r="183" spans="1:3" x14ac:dyDescent="0.2">
      <c r="A183" s="2">
        <v>44461</v>
      </c>
      <c r="B183" s="1" t="s">
        <v>7</v>
      </c>
      <c r="C183" s="1">
        <v>169.00200000000001</v>
      </c>
    </row>
    <row r="184" spans="1:3" x14ac:dyDescent="0.2">
      <c r="A184" s="2">
        <v>44462</v>
      </c>
      <c r="B184" s="1" t="s">
        <v>7</v>
      </c>
      <c r="C184" s="1">
        <v>170.8</v>
      </c>
    </row>
    <row r="185" spans="1:3" x14ac:dyDescent="0.2">
      <c r="A185" s="2">
        <v>44463</v>
      </c>
      <c r="B185" s="1" t="s">
        <v>7</v>
      </c>
      <c r="C185" s="1">
        <v>171.27600000000001</v>
      </c>
    </row>
    <row r="186" spans="1:3" x14ac:dyDescent="0.2">
      <c r="A186" s="2">
        <v>44466</v>
      </c>
      <c r="B186" s="1" t="s">
        <v>7</v>
      </c>
      <c r="C186" s="1">
        <v>170.29</v>
      </c>
    </row>
    <row r="187" spans="1:3" x14ac:dyDescent="0.2">
      <c r="A187" s="2">
        <v>44467</v>
      </c>
      <c r="B187" s="1" t="s">
        <v>7</v>
      </c>
      <c r="C187" s="1">
        <v>165.798</v>
      </c>
    </row>
    <row r="188" spans="1:3" x14ac:dyDescent="0.2">
      <c r="A188" s="2">
        <v>44468</v>
      </c>
      <c r="B188" s="1" t="s">
        <v>7</v>
      </c>
      <c r="C188" s="1">
        <v>165.05600000000001</v>
      </c>
    </row>
    <row r="189" spans="1:3" x14ac:dyDescent="0.2">
      <c r="A189" s="2">
        <v>44469</v>
      </c>
      <c r="B189" s="1" t="s">
        <v>7</v>
      </c>
      <c r="C189" s="1">
        <v>164.25200000000001</v>
      </c>
    </row>
    <row r="190" spans="1:3" x14ac:dyDescent="0.2">
      <c r="A190" s="2">
        <v>44470</v>
      </c>
      <c r="B190" s="1" t="s">
        <v>7</v>
      </c>
      <c r="C190" s="1">
        <v>164.16300000000001</v>
      </c>
    </row>
    <row r="191" spans="1:3" x14ac:dyDescent="0.2">
      <c r="A191" s="2">
        <v>44473</v>
      </c>
      <c r="B191" s="1" t="s">
        <v>7</v>
      </c>
      <c r="C191" s="1">
        <v>159.489</v>
      </c>
    </row>
    <row r="192" spans="1:3" x14ac:dyDescent="0.2">
      <c r="A192" s="2">
        <v>44474</v>
      </c>
      <c r="B192" s="1" t="s">
        <v>7</v>
      </c>
      <c r="C192" s="1">
        <v>161.05000000000001</v>
      </c>
    </row>
    <row r="193" spans="1:3" x14ac:dyDescent="0.2">
      <c r="A193" s="2">
        <v>44475</v>
      </c>
      <c r="B193" s="1" t="s">
        <v>7</v>
      </c>
      <c r="C193" s="1">
        <v>163.1</v>
      </c>
    </row>
    <row r="194" spans="1:3" x14ac:dyDescent="0.2">
      <c r="A194" s="2">
        <v>44476</v>
      </c>
      <c r="B194" s="1" t="s">
        <v>7</v>
      </c>
      <c r="C194" s="1">
        <v>165.12200000000001</v>
      </c>
    </row>
    <row r="195" spans="1:3" x14ac:dyDescent="0.2">
      <c r="A195" s="2">
        <v>44477</v>
      </c>
      <c r="B195" s="1" t="s">
        <v>7</v>
      </c>
      <c r="C195" s="1">
        <v>164.43100000000001</v>
      </c>
    </row>
    <row r="196" spans="1:3" x14ac:dyDescent="0.2">
      <c r="A196" s="2">
        <v>44480</v>
      </c>
      <c r="B196" s="1" t="s">
        <v>7</v>
      </c>
      <c r="C196" s="1">
        <v>162.315</v>
      </c>
    </row>
    <row r="197" spans="1:3" x14ac:dyDescent="0.2">
      <c r="A197" s="2">
        <v>44481</v>
      </c>
      <c r="B197" s="1" t="s">
        <v>7</v>
      </c>
      <c r="C197" s="1">
        <v>162.36600000000001</v>
      </c>
    </row>
    <row r="198" spans="1:3" x14ac:dyDescent="0.2">
      <c r="A198" s="2">
        <v>44482</v>
      </c>
      <c r="B198" s="1" t="s">
        <v>7</v>
      </c>
      <c r="C198" s="1">
        <v>164.214</v>
      </c>
    </row>
    <row r="199" spans="1:3" x14ac:dyDescent="0.2">
      <c r="A199" s="2">
        <v>44483</v>
      </c>
      <c r="B199" s="1" t="s">
        <v>7</v>
      </c>
      <c r="C199" s="1">
        <v>164.99299999999999</v>
      </c>
    </row>
    <row r="200" spans="1:3" x14ac:dyDescent="0.2">
      <c r="A200" s="2">
        <v>44484</v>
      </c>
      <c r="B200" s="1" t="s">
        <v>7</v>
      </c>
      <c r="C200" s="1">
        <v>170.45099999999999</v>
      </c>
    </row>
    <row r="201" spans="1:3" x14ac:dyDescent="0.2">
      <c r="A201" s="2">
        <v>44487</v>
      </c>
      <c r="B201" s="1" t="s">
        <v>7</v>
      </c>
      <c r="C201" s="1">
        <v>172.33699999999999</v>
      </c>
    </row>
    <row r="202" spans="1:3" x14ac:dyDescent="0.2">
      <c r="A202" s="2">
        <v>44488</v>
      </c>
      <c r="B202" s="1" t="s">
        <v>7</v>
      </c>
      <c r="C202" s="1">
        <v>172.208</v>
      </c>
    </row>
    <row r="203" spans="1:3" x14ac:dyDescent="0.2">
      <c r="A203" s="2">
        <v>44489</v>
      </c>
      <c r="B203" s="1" t="s">
        <v>7</v>
      </c>
      <c r="C203" s="1">
        <v>170.75299999999999</v>
      </c>
    </row>
    <row r="204" spans="1:3" x14ac:dyDescent="0.2">
      <c r="A204" s="2">
        <v>44490</v>
      </c>
      <c r="B204" s="1" t="s">
        <v>7</v>
      </c>
      <c r="C204" s="1">
        <v>171.751</v>
      </c>
    </row>
    <row r="205" spans="1:3" x14ac:dyDescent="0.2">
      <c r="A205" s="2">
        <v>44491</v>
      </c>
      <c r="B205" s="1" t="s">
        <v>7</v>
      </c>
      <c r="C205" s="1">
        <v>166.77799999999999</v>
      </c>
    </row>
    <row r="206" spans="1:3" x14ac:dyDescent="0.2">
      <c r="A206" s="2">
        <v>44494</v>
      </c>
      <c r="B206" s="1" t="s">
        <v>7</v>
      </c>
      <c r="C206" s="1">
        <v>166.018</v>
      </c>
    </row>
    <row r="207" spans="1:3" x14ac:dyDescent="0.2">
      <c r="A207" s="2">
        <v>44495</v>
      </c>
      <c r="B207" s="1" t="s">
        <v>7</v>
      </c>
      <c r="C207" s="1">
        <v>168.804</v>
      </c>
    </row>
    <row r="208" spans="1:3" x14ac:dyDescent="0.2">
      <c r="A208" s="2">
        <v>44496</v>
      </c>
      <c r="B208" s="1" t="s">
        <v>7</v>
      </c>
      <c r="C208" s="1">
        <v>169.624</v>
      </c>
    </row>
    <row r="209" spans="1:3" x14ac:dyDescent="0.2">
      <c r="A209" s="2">
        <v>44497</v>
      </c>
      <c r="B209" s="1" t="s">
        <v>7</v>
      </c>
      <c r="C209" s="1">
        <v>172.32900000000001</v>
      </c>
    </row>
    <row r="210" spans="1:3" x14ac:dyDescent="0.2">
      <c r="A210" s="2">
        <v>44498</v>
      </c>
      <c r="B210" s="1" t="s">
        <v>7</v>
      </c>
      <c r="C210" s="1">
        <v>168.62200000000001</v>
      </c>
    </row>
    <row r="211" spans="1:3" x14ac:dyDescent="0.2">
      <c r="A211" s="2">
        <v>44501</v>
      </c>
      <c r="B211" s="1" t="s">
        <v>7</v>
      </c>
      <c r="C211" s="1">
        <v>165.90600000000001</v>
      </c>
    </row>
    <row r="212" spans="1:3" x14ac:dyDescent="0.2">
      <c r="A212" s="2">
        <v>44502</v>
      </c>
      <c r="B212" s="1" t="s">
        <v>7</v>
      </c>
      <c r="C212" s="1">
        <v>165.63800000000001</v>
      </c>
    </row>
    <row r="213" spans="1:3" x14ac:dyDescent="0.2">
      <c r="A213" s="2">
        <v>44503</v>
      </c>
      <c r="B213" s="1" t="s">
        <v>7</v>
      </c>
      <c r="C213" s="1">
        <v>169.2</v>
      </c>
    </row>
    <row r="214" spans="1:3" x14ac:dyDescent="0.2">
      <c r="A214" s="2">
        <v>44504</v>
      </c>
      <c r="B214" s="1" t="s">
        <v>7</v>
      </c>
      <c r="C214" s="1">
        <v>173.85</v>
      </c>
    </row>
    <row r="215" spans="1:3" x14ac:dyDescent="0.2">
      <c r="A215" s="2">
        <v>44505</v>
      </c>
      <c r="B215" s="1" t="s">
        <v>7</v>
      </c>
      <c r="C215" s="1">
        <v>175.95</v>
      </c>
    </row>
    <row r="216" spans="1:3" x14ac:dyDescent="0.2">
      <c r="A216" s="2">
        <v>44508</v>
      </c>
      <c r="B216" s="1" t="s">
        <v>7</v>
      </c>
      <c r="C216" s="1">
        <v>174.44900000000001</v>
      </c>
    </row>
    <row r="217" spans="1:3" x14ac:dyDescent="0.2">
      <c r="A217" s="2">
        <v>44509</v>
      </c>
      <c r="B217" s="1" t="s">
        <v>7</v>
      </c>
      <c r="C217" s="1">
        <v>178.81200000000001</v>
      </c>
    </row>
    <row r="218" spans="1:3" x14ac:dyDescent="0.2">
      <c r="A218" s="2">
        <v>44510</v>
      </c>
      <c r="B218" s="1" t="s">
        <v>7</v>
      </c>
      <c r="C218" s="1">
        <v>174.10300000000001</v>
      </c>
    </row>
    <row r="219" spans="1:3" x14ac:dyDescent="0.2">
      <c r="A219" s="2">
        <v>44511</v>
      </c>
      <c r="B219" s="1" t="s">
        <v>7</v>
      </c>
      <c r="C219" s="1">
        <v>173.625</v>
      </c>
    </row>
    <row r="220" spans="1:3" x14ac:dyDescent="0.2">
      <c r="A220" s="2">
        <v>44512</v>
      </c>
      <c r="B220" s="1" t="s">
        <v>7</v>
      </c>
      <c r="C220" s="1">
        <v>176.25800000000001</v>
      </c>
    </row>
    <row r="221" spans="1:3" x14ac:dyDescent="0.2">
      <c r="A221" s="2">
        <v>44515</v>
      </c>
      <c r="B221" s="1" t="s">
        <v>7</v>
      </c>
      <c r="C221" s="1">
        <v>177.28399999999999</v>
      </c>
    </row>
    <row r="222" spans="1:3" x14ac:dyDescent="0.2">
      <c r="A222" s="2">
        <v>44516</v>
      </c>
      <c r="B222" s="1" t="s">
        <v>7</v>
      </c>
      <c r="C222" s="1">
        <v>177.035</v>
      </c>
    </row>
    <row r="223" spans="1:3" x14ac:dyDescent="0.2">
      <c r="A223" s="2">
        <v>44517</v>
      </c>
      <c r="B223" s="1" t="s">
        <v>7</v>
      </c>
      <c r="C223" s="1">
        <v>177.45</v>
      </c>
    </row>
    <row r="224" spans="1:3" x14ac:dyDescent="0.2">
      <c r="A224" s="2">
        <v>44518</v>
      </c>
      <c r="B224" s="1" t="s">
        <v>7</v>
      </c>
      <c r="C224" s="1">
        <v>184.803</v>
      </c>
    </row>
    <row r="225" spans="1:3" x14ac:dyDescent="0.2">
      <c r="A225" s="2">
        <v>44519</v>
      </c>
      <c r="B225" s="1" t="s">
        <v>7</v>
      </c>
      <c r="C225" s="1">
        <v>183.82900000000001</v>
      </c>
    </row>
    <row r="226" spans="1:3" x14ac:dyDescent="0.2">
      <c r="A226" s="2">
        <v>44522</v>
      </c>
      <c r="B226" s="1" t="s">
        <v>7</v>
      </c>
      <c r="C226" s="1">
        <v>178.62799999999999</v>
      </c>
    </row>
    <row r="227" spans="1:3" x14ac:dyDescent="0.2">
      <c r="A227" s="2">
        <v>44523</v>
      </c>
      <c r="B227" s="1" t="s">
        <v>7</v>
      </c>
      <c r="C227" s="1">
        <v>179.00200000000001</v>
      </c>
    </row>
    <row r="228" spans="1:3" x14ac:dyDescent="0.2">
      <c r="A228" s="2">
        <v>44524</v>
      </c>
      <c r="B228" s="1" t="s">
        <v>7</v>
      </c>
      <c r="C228" s="1">
        <v>179.02</v>
      </c>
    </row>
    <row r="229" spans="1:3" x14ac:dyDescent="0.2">
      <c r="A229" s="2">
        <v>44526</v>
      </c>
      <c r="B229" s="1" t="s">
        <v>7</v>
      </c>
      <c r="C229" s="1">
        <v>175.22800000000001</v>
      </c>
    </row>
    <row r="230" spans="1:3" x14ac:dyDescent="0.2">
      <c r="A230" s="2">
        <v>44529</v>
      </c>
      <c r="B230" s="1" t="s">
        <v>7</v>
      </c>
      <c r="C230" s="1">
        <v>178.07900000000001</v>
      </c>
    </row>
    <row r="231" spans="1:3" x14ac:dyDescent="0.2">
      <c r="A231" s="2">
        <v>44530</v>
      </c>
      <c r="B231" s="1" t="s">
        <v>7</v>
      </c>
      <c r="C231" s="1">
        <v>175.35400000000001</v>
      </c>
    </row>
    <row r="232" spans="1:3" x14ac:dyDescent="0.2">
      <c r="A232" s="2">
        <v>44531</v>
      </c>
      <c r="B232" s="1" t="s">
        <v>7</v>
      </c>
      <c r="C232" s="1">
        <v>172.18600000000001</v>
      </c>
    </row>
    <row r="233" spans="1:3" x14ac:dyDescent="0.2">
      <c r="A233" s="2">
        <v>44532</v>
      </c>
      <c r="B233" s="1" t="s">
        <v>7</v>
      </c>
      <c r="C233" s="1">
        <v>171.86799999999999</v>
      </c>
    </row>
    <row r="234" spans="1:3" x14ac:dyDescent="0.2">
      <c r="A234" s="2">
        <v>44533</v>
      </c>
      <c r="B234" s="1" t="s">
        <v>7</v>
      </c>
      <c r="C234" s="1">
        <v>169.49</v>
      </c>
    </row>
    <row r="235" spans="1:3" x14ac:dyDescent="0.2">
      <c r="A235" s="2">
        <v>44536</v>
      </c>
      <c r="B235" s="1" t="s">
        <v>7</v>
      </c>
      <c r="C235" s="1">
        <v>171.36799999999999</v>
      </c>
    </row>
    <row r="236" spans="1:3" x14ac:dyDescent="0.2">
      <c r="A236" s="2">
        <v>44537</v>
      </c>
      <c r="B236" s="1" t="s">
        <v>7</v>
      </c>
      <c r="C236" s="1">
        <v>176.16399999999999</v>
      </c>
    </row>
    <row r="237" spans="1:3" x14ac:dyDescent="0.2">
      <c r="A237" s="2">
        <v>44538</v>
      </c>
      <c r="B237" s="1" t="s">
        <v>7</v>
      </c>
      <c r="C237" s="1">
        <v>176.15799999999999</v>
      </c>
    </row>
    <row r="238" spans="1:3" x14ac:dyDescent="0.2">
      <c r="A238" s="2">
        <v>44539</v>
      </c>
      <c r="B238" s="1" t="s">
        <v>7</v>
      </c>
      <c r="C238" s="1">
        <v>174.17099999999999</v>
      </c>
    </row>
    <row r="239" spans="1:3" x14ac:dyDescent="0.2">
      <c r="A239" s="2">
        <v>44540</v>
      </c>
      <c r="B239" s="1" t="s">
        <v>7</v>
      </c>
      <c r="C239" s="1">
        <v>172.21199999999999</v>
      </c>
    </row>
    <row r="240" spans="1:3" x14ac:dyDescent="0.2">
      <c r="A240" s="2">
        <v>44543</v>
      </c>
      <c r="B240" s="1" t="s">
        <v>7</v>
      </c>
      <c r="C240" s="1">
        <v>169.56800000000001</v>
      </c>
    </row>
    <row r="241" spans="1:3" x14ac:dyDescent="0.2">
      <c r="A241" s="2">
        <v>44544</v>
      </c>
      <c r="B241" s="1" t="s">
        <v>7</v>
      </c>
      <c r="C241" s="1">
        <v>169.09200000000001</v>
      </c>
    </row>
    <row r="242" spans="1:3" x14ac:dyDescent="0.2">
      <c r="A242" s="2">
        <v>44545</v>
      </c>
      <c r="B242" s="1" t="s">
        <v>7</v>
      </c>
      <c r="C242" s="1">
        <v>173.315</v>
      </c>
    </row>
    <row r="243" spans="1:3" x14ac:dyDescent="0.2">
      <c r="A243" s="2">
        <v>44546</v>
      </c>
      <c r="B243" s="1" t="s">
        <v>7</v>
      </c>
      <c r="C243" s="1">
        <v>168.87100000000001</v>
      </c>
    </row>
    <row r="244" spans="1:3" x14ac:dyDescent="0.2">
      <c r="A244" s="2">
        <v>44547</v>
      </c>
      <c r="B244" s="1" t="s">
        <v>7</v>
      </c>
      <c r="C244" s="1">
        <v>170.017</v>
      </c>
    </row>
    <row r="245" spans="1:3" x14ac:dyDescent="0.2">
      <c r="A245" s="2">
        <v>44550</v>
      </c>
      <c r="B245" s="1" t="s">
        <v>7</v>
      </c>
      <c r="C245" s="1">
        <v>167.07900000000001</v>
      </c>
    </row>
    <row r="246" spans="1:3" x14ac:dyDescent="0.2">
      <c r="A246" s="2">
        <v>44551</v>
      </c>
      <c r="B246" s="1" t="s">
        <v>7</v>
      </c>
      <c r="C246" s="1">
        <v>170.417</v>
      </c>
    </row>
    <row r="247" spans="1:3" x14ac:dyDescent="0.2">
      <c r="A247" s="2">
        <v>44552</v>
      </c>
      <c r="B247" s="1" t="s">
        <v>7</v>
      </c>
      <c r="C247" s="1">
        <v>171.03700000000001</v>
      </c>
    </row>
    <row r="248" spans="1:3" x14ac:dyDescent="0.2">
      <c r="A248" s="2">
        <v>44553</v>
      </c>
      <c r="B248" s="1" t="s">
        <v>7</v>
      </c>
      <c r="C248" s="1">
        <v>171.06800000000001</v>
      </c>
    </row>
    <row r="249" spans="1:3" x14ac:dyDescent="0.2">
      <c r="A249" s="2">
        <v>44557</v>
      </c>
      <c r="B249" s="1" t="s">
        <v>7</v>
      </c>
      <c r="C249" s="1">
        <v>169.67</v>
      </c>
    </row>
    <row r="250" spans="1:3" x14ac:dyDescent="0.2">
      <c r="A250" s="2">
        <v>44558</v>
      </c>
      <c r="B250" s="1" t="s">
        <v>7</v>
      </c>
      <c r="C250" s="1">
        <v>170.661</v>
      </c>
    </row>
    <row r="251" spans="1:3" x14ac:dyDescent="0.2">
      <c r="A251" s="2">
        <v>44559</v>
      </c>
      <c r="B251" s="1" t="s">
        <v>7</v>
      </c>
      <c r="C251" s="1">
        <v>169.20099999999999</v>
      </c>
    </row>
    <row r="252" spans="1:3" x14ac:dyDescent="0.2">
      <c r="A252" s="2">
        <v>44560</v>
      </c>
      <c r="B252" s="1" t="s">
        <v>7</v>
      </c>
      <c r="C252" s="1">
        <v>168.64400000000001</v>
      </c>
    </row>
    <row r="253" spans="1:3" x14ac:dyDescent="0.2">
      <c r="A253" s="2">
        <v>44561</v>
      </c>
      <c r="B253" s="1" t="s">
        <v>7</v>
      </c>
      <c r="C253" s="1">
        <v>166.71700000000001</v>
      </c>
    </row>
    <row r="254" spans="1:3" x14ac:dyDescent="0.2">
      <c r="A254" s="2">
        <v>44564</v>
      </c>
      <c r="B254" s="1" t="s">
        <v>7</v>
      </c>
      <c r="C254" s="1">
        <v>170.404</v>
      </c>
    </row>
    <row r="255" spans="1:3" x14ac:dyDescent="0.2">
      <c r="A255" s="2">
        <v>44565</v>
      </c>
      <c r="B255" s="1" t="s">
        <v>7</v>
      </c>
      <c r="C255" s="1">
        <v>167.52199999999999</v>
      </c>
    </row>
    <row r="256" spans="1:3" x14ac:dyDescent="0.2">
      <c r="A256" s="2">
        <v>44566</v>
      </c>
      <c r="B256" s="1" t="s">
        <v>7</v>
      </c>
      <c r="C256" s="1">
        <v>164.357</v>
      </c>
    </row>
    <row r="257" spans="1:3" x14ac:dyDescent="0.2">
      <c r="A257" s="2">
        <v>44567</v>
      </c>
      <c r="B257" s="1" t="s">
        <v>7</v>
      </c>
      <c r="C257" s="1">
        <v>163.25399999999999</v>
      </c>
    </row>
    <row r="258" spans="1:3" x14ac:dyDescent="0.2">
      <c r="A258" s="2">
        <v>44568</v>
      </c>
      <c r="B258" s="1" t="s">
        <v>7</v>
      </c>
      <c r="C258" s="1">
        <v>162.554</v>
      </c>
    </row>
    <row r="259" spans="1:3" x14ac:dyDescent="0.2">
      <c r="A259" s="2">
        <v>44571</v>
      </c>
      <c r="B259" s="1" t="s">
        <v>7</v>
      </c>
      <c r="C259" s="1">
        <v>161.48599999999999</v>
      </c>
    </row>
    <row r="260" spans="1:3" x14ac:dyDescent="0.2">
      <c r="A260" s="2">
        <v>44572</v>
      </c>
      <c r="B260" s="1" t="s">
        <v>7</v>
      </c>
      <c r="C260" s="1">
        <v>165.36199999999999</v>
      </c>
    </row>
    <row r="261" spans="1:3" x14ac:dyDescent="0.2">
      <c r="A261" s="2">
        <v>44573</v>
      </c>
      <c r="B261" s="1" t="s">
        <v>7</v>
      </c>
      <c r="C261" s="1">
        <v>165.20699999999999</v>
      </c>
    </row>
    <row r="262" spans="1:3" x14ac:dyDescent="0.2">
      <c r="A262" s="2">
        <v>44574</v>
      </c>
      <c r="B262" s="1" t="s">
        <v>7</v>
      </c>
      <c r="C262" s="1">
        <v>161.214</v>
      </c>
    </row>
    <row r="263" spans="1:3" x14ac:dyDescent="0.2">
      <c r="A263" s="2">
        <v>44575</v>
      </c>
      <c r="B263" s="1" t="s">
        <v>7</v>
      </c>
      <c r="C263" s="1">
        <v>162.13800000000001</v>
      </c>
    </row>
    <row r="264" spans="1:3" x14ac:dyDescent="0.2">
      <c r="A264" s="2">
        <v>44579</v>
      </c>
      <c r="B264" s="1" t="s">
        <v>7</v>
      </c>
      <c r="C264" s="1">
        <v>158.91800000000001</v>
      </c>
    </row>
    <row r="265" spans="1:3" x14ac:dyDescent="0.2">
      <c r="A265" s="2">
        <v>44580</v>
      </c>
      <c r="B265" s="1" t="s">
        <v>7</v>
      </c>
      <c r="C265" s="1">
        <v>156.29900000000001</v>
      </c>
    </row>
    <row r="266" spans="1:3" x14ac:dyDescent="0.2">
      <c r="A266" s="2">
        <v>44581</v>
      </c>
      <c r="B266" s="1" t="s">
        <v>7</v>
      </c>
      <c r="C266" s="1">
        <v>151.66800000000001</v>
      </c>
    </row>
    <row r="267" spans="1:3" x14ac:dyDescent="0.2">
      <c r="A267" s="2">
        <v>44582</v>
      </c>
      <c r="B267" s="1" t="s">
        <v>7</v>
      </c>
      <c r="C267" s="1">
        <v>142.643</v>
      </c>
    </row>
    <row r="268" spans="1:3" x14ac:dyDescent="0.2">
      <c r="A268" s="2">
        <v>44585</v>
      </c>
      <c r="B268" s="1" t="s">
        <v>7</v>
      </c>
      <c r="C268" s="1">
        <v>144.54400000000001</v>
      </c>
    </row>
    <row r="269" spans="1:3" x14ac:dyDescent="0.2">
      <c r="A269" s="2">
        <v>44586</v>
      </c>
      <c r="B269" s="1" t="s">
        <v>7</v>
      </c>
      <c r="C269" s="1">
        <v>139.98599999999999</v>
      </c>
    </row>
    <row r="270" spans="1:3" x14ac:dyDescent="0.2">
      <c r="A270" s="2">
        <v>44587</v>
      </c>
      <c r="B270" s="1" t="s">
        <v>7</v>
      </c>
      <c r="C270" s="1">
        <v>138.87200000000001</v>
      </c>
    </row>
    <row r="271" spans="1:3" x14ac:dyDescent="0.2">
      <c r="A271" s="2">
        <v>44588</v>
      </c>
      <c r="B271" s="1" t="s">
        <v>7</v>
      </c>
      <c r="C271" s="1">
        <v>139.63800000000001</v>
      </c>
    </row>
    <row r="272" spans="1:3" x14ac:dyDescent="0.2">
      <c r="A272" s="2">
        <v>44589</v>
      </c>
      <c r="B272" s="1" t="s">
        <v>7</v>
      </c>
      <c r="C272" s="1">
        <v>143.97800000000001</v>
      </c>
    </row>
    <row r="273" spans="1:3" x14ac:dyDescent="0.2">
      <c r="A273" s="2">
        <v>44592</v>
      </c>
      <c r="B273" s="1" t="s">
        <v>7</v>
      </c>
      <c r="C273" s="1">
        <v>149.57400000000001</v>
      </c>
    </row>
    <row r="274" spans="1:3" x14ac:dyDescent="0.2">
      <c r="A274" s="2">
        <v>44593</v>
      </c>
      <c r="B274" s="1" t="s">
        <v>7</v>
      </c>
      <c r="C274" s="1">
        <v>151.19399999999999</v>
      </c>
    </row>
    <row r="275" spans="1:3" x14ac:dyDescent="0.2">
      <c r="A275" s="2">
        <v>44594</v>
      </c>
      <c r="B275" s="1" t="s">
        <v>7</v>
      </c>
      <c r="C275" s="1">
        <v>150.61199999999999</v>
      </c>
    </row>
    <row r="276" spans="1:3" x14ac:dyDescent="0.2">
      <c r="A276" s="2">
        <v>44595</v>
      </c>
      <c r="B276" s="1" t="s">
        <v>7</v>
      </c>
      <c r="C276" s="1">
        <v>138.846</v>
      </c>
    </row>
    <row r="277" spans="1:3" x14ac:dyDescent="0.2">
      <c r="A277" s="2">
        <v>44596</v>
      </c>
      <c r="B277" s="1" t="s">
        <v>7</v>
      </c>
      <c r="C277" s="1">
        <v>157.63999999999999</v>
      </c>
    </row>
    <row r="278" spans="1:3" x14ac:dyDescent="0.2">
      <c r="A278" s="2">
        <v>44599</v>
      </c>
      <c r="B278" s="1" t="s">
        <v>7</v>
      </c>
      <c r="C278" s="1">
        <v>157.93600000000001</v>
      </c>
    </row>
    <row r="279" spans="1:3" x14ac:dyDescent="0.2">
      <c r="A279" s="2">
        <v>44600</v>
      </c>
      <c r="B279" s="1" t="s">
        <v>7</v>
      </c>
      <c r="C279" s="1">
        <v>161.41399999999999</v>
      </c>
    </row>
    <row r="280" spans="1:3" x14ac:dyDescent="0.2">
      <c r="A280" s="2">
        <v>44601</v>
      </c>
      <c r="B280" s="1" t="s">
        <v>7</v>
      </c>
      <c r="C280" s="1">
        <v>161.19</v>
      </c>
    </row>
    <row r="281" spans="1:3" x14ac:dyDescent="0.2">
      <c r="A281" s="2">
        <v>44602</v>
      </c>
      <c r="B281" s="1" t="s">
        <v>7</v>
      </c>
      <c r="C281" s="1">
        <v>159.00399999999999</v>
      </c>
    </row>
    <row r="282" spans="1:3" x14ac:dyDescent="0.2">
      <c r="A282" s="2">
        <v>44603</v>
      </c>
      <c r="B282" s="1" t="s">
        <v>7</v>
      </c>
      <c r="C282" s="1">
        <v>153.29400000000001</v>
      </c>
    </row>
    <row r="283" spans="1:3" x14ac:dyDescent="0.2">
      <c r="A283" s="2">
        <v>44606</v>
      </c>
      <c r="B283" s="1" t="s">
        <v>7</v>
      </c>
      <c r="C283" s="1">
        <v>155.167</v>
      </c>
    </row>
    <row r="284" spans="1:3" x14ac:dyDescent="0.2">
      <c r="A284" s="2">
        <v>44607</v>
      </c>
      <c r="B284" s="1" t="s">
        <v>7</v>
      </c>
      <c r="C284" s="1">
        <v>156.51</v>
      </c>
    </row>
    <row r="285" spans="1:3" x14ac:dyDescent="0.2">
      <c r="A285" s="2">
        <v>44608</v>
      </c>
      <c r="B285" s="1" t="s">
        <v>7</v>
      </c>
      <c r="C285" s="1">
        <v>158.1</v>
      </c>
    </row>
    <row r="286" spans="1:3" x14ac:dyDescent="0.2">
      <c r="A286" s="2">
        <v>44609</v>
      </c>
      <c r="B286" s="1" t="s">
        <v>7</v>
      </c>
      <c r="C286" s="1">
        <v>154.65199999999999</v>
      </c>
    </row>
    <row r="287" spans="1:3" x14ac:dyDescent="0.2">
      <c r="A287" s="2">
        <v>44610</v>
      </c>
      <c r="B287" s="1" t="s">
        <v>7</v>
      </c>
      <c r="C287" s="1">
        <v>152.602</v>
      </c>
    </row>
    <row r="288" spans="1:3" x14ac:dyDescent="0.2">
      <c r="A288" s="2">
        <v>44614</v>
      </c>
      <c r="B288" s="1" t="s">
        <v>7</v>
      </c>
      <c r="C288" s="1">
        <v>150.19800000000001</v>
      </c>
    </row>
    <row r="289" spans="1:3" x14ac:dyDescent="0.2">
      <c r="A289" s="2">
        <v>44615</v>
      </c>
      <c r="B289" s="1" t="s">
        <v>7</v>
      </c>
      <c r="C289" s="1">
        <v>144.827</v>
      </c>
    </row>
    <row r="290" spans="1:3" x14ac:dyDescent="0.2">
      <c r="A290" s="2">
        <v>44616</v>
      </c>
      <c r="B290" s="1" t="s">
        <v>7</v>
      </c>
      <c r="C290" s="1">
        <v>151.358</v>
      </c>
    </row>
    <row r="291" spans="1:3" x14ac:dyDescent="0.2">
      <c r="A291" s="2">
        <v>44617</v>
      </c>
      <c r="B291" s="1" t="s">
        <v>7</v>
      </c>
      <c r="C291" s="1">
        <v>153.78800000000001</v>
      </c>
    </row>
    <row r="292" spans="1:3" x14ac:dyDescent="0.2">
      <c r="A292" s="2">
        <v>44620</v>
      </c>
      <c r="B292" s="1" t="s">
        <v>7</v>
      </c>
      <c r="C292" s="1">
        <v>153.56299999999999</v>
      </c>
    </row>
    <row r="293" spans="1:3" x14ac:dyDescent="0.2">
      <c r="A293" s="2">
        <v>44621</v>
      </c>
      <c r="B293" s="1" t="s">
        <v>7</v>
      </c>
      <c r="C293" s="1">
        <v>151.142</v>
      </c>
    </row>
    <row r="294" spans="1:3" x14ac:dyDescent="0.2">
      <c r="A294" s="2">
        <v>44622</v>
      </c>
      <c r="B294" s="1" t="s">
        <v>7</v>
      </c>
      <c r="C294" s="1">
        <v>152.05199999999999</v>
      </c>
    </row>
    <row r="295" spans="1:3" x14ac:dyDescent="0.2">
      <c r="A295" s="2">
        <v>44623</v>
      </c>
      <c r="B295" s="1" t="s">
        <v>7</v>
      </c>
      <c r="C295" s="1">
        <v>147.898</v>
      </c>
    </row>
    <row r="296" spans="1:3" x14ac:dyDescent="0.2">
      <c r="A296" s="2">
        <v>44624</v>
      </c>
      <c r="B296" s="1" t="s">
        <v>7</v>
      </c>
      <c r="C296" s="1">
        <v>145.64099999999999</v>
      </c>
    </row>
    <row r="297" spans="1:3" x14ac:dyDescent="0.2">
      <c r="A297" s="2">
        <v>44627</v>
      </c>
      <c r="B297" s="1" t="s">
        <v>7</v>
      </c>
      <c r="C297" s="1">
        <v>137.453</v>
      </c>
    </row>
    <row r="298" spans="1:3" x14ac:dyDescent="0.2">
      <c r="A298" s="2">
        <v>44628</v>
      </c>
      <c r="B298" s="1" t="s">
        <v>7</v>
      </c>
      <c r="C298" s="1">
        <v>136.01400000000001</v>
      </c>
    </row>
    <row r="299" spans="1:3" x14ac:dyDescent="0.2">
      <c r="A299" s="2">
        <v>44629</v>
      </c>
      <c r="B299" s="1" t="s">
        <v>7</v>
      </c>
      <c r="C299" s="1">
        <v>139.279</v>
      </c>
    </row>
    <row r="300" spans="1:3" x14ac:dyDescent="0.2">
      <c r="A300" s="2">
        <v>44630</v>
      </c>
      <c r="B300" s="1" t="s">
        <v>7</v>
      </c>
      <c r="C300" s="1">
        <v>146.81800000000001</v>
      </c>
    </row>
    <row r="301" spans="1:3" x14ac:dyDescent="0.2">
      <c r="A301" s="2">
        <v>44631</v>
      </c>
      <c r="B301" s="1" t="s">
        <v>7</v>
      </c>
      <c r="C301" s="1">
        <v>145.524</v>
      </c>
    </row>
    <row r="302" spans="1:3" x14ac:dyDescent="0.2">
      <c r="A302" s="2">
        <v>44634</v>
      </c>
      <c r="B302" s="1" t="s">
        <v>7</v>
      </c>
      <c r="C302" s="1">
        <v>141.85300000000001</v>
      </c>
    </row>
    <row r="303" spans="1:3" x14ac:dyDescent="0.2">
      <c r="A303" s="2">
        <v>44635</v>
      </c>
      <c r="B303" s="1" t="s">
        <v>7</v>
      </c>
      <c r="C303" s="1">
        <v>147.36600000000001</v>
      </c>
    </row>
    <row r="304" spans="1:3" x14ac:dyDescent="0.2">
      <c r="A304" s="2">
        <v>44636</v>
      </c>
      <c r="B304" s="1" t="s">
        <v>7</v>
      </c>
      <c r="C304" s="1">
        <v>153.10400000000001</v>
      </c>
    </row>
    <row r="305" spans="1:3" x14ac:dyDescent="0.2">
      <c r="A305" s="2">
        <v>44637</v>
      </c>
      <c r="B305" s="1" t="s">
        <v>7</v>
      </c>
      <c r="C305" s="1">
        <v>157.239</v>
      </c>
    </row>
    <row r="306" spans="1:3" x14ac:dyDescent="0.2">
      <c r="A306" s="2">
        <v>44638</v>
      </c>
      <c r="B306" s="1" t="s">
        <v>7</v>
      </c>
      <c r="C306" s="1">
        <v>161.251</v>
      </c>
    </row>
    <row r="307" spans="1:3" x14ac:dyDescent="0.2">
      <c r="A307" s="2">
        <v>44641</v>
      </c>
      <c r="B307" s="1" t="s">
        <v>7</v>
      </c>
      <c r="C307" s="1">
        <v>161.49199999999999</v>
      </c>
    </row>
    <row r="308" spans="1:3" x14ac:dyDescent="0.2">
      <c r="A308" s="2">
        <v>44642</v>
      </c>
      <c r="B308" s="1" t="s">
        <v>7</v>
      </c>
      <c r="C308" s="1">
        <v>164.88900000000001</v>
      </c>
    </row>
    <row r="309" spans="1:3" x14ac:dyDescent="0.2">
      <c r="A309" s="2">
        <v>44643</v>
      </c>
      <c r="B309" s="1" t="s">
        <v>7</v>
      </c>
      <c r="C309" s="1">
        <v>163.40799999999999</v>
      </c>
    </row>
    <row r="310" spans="1:3" x14ac:dyDescent="0.2">
      <c r="A310" s="2">
        <v>44644</v>
      </c>
      <c r="B310" s="1" t="s">
        <v>7</v>
      </c>
      <c r="C310" s="1">
        <v>163.65</v>
      </c>
    </row>
    <row r="311" spans="1:3" x14ac:dyDescent="0.2">
      <c r="A311" s="2">
        <v>44645</v>
      </c>
      <c r="B311" s="1" t="s">
        <v>7</v>
      </c>
      <c r="C311" s="1">
        <v>164.773</v>
      </c>
    </row>
    <row r="312" spans="1:3" x14ac:dyDescent="0.2">
      <c r="A312" s="2">
        <v>44648</v>
      </c>
      <c r="B312" s="1" t="s">
        <v>7</v>
      </c>
      <c r="C312" s="1">
        <v>168.99</v>
      </c>
    </row>
    <row r="313" spans="1:3" x14ac:dyDescent="0.2">
      <c r="A313" s="2">
        <v>44649</v>
      </c>
      <c r="B313" s="1" t="s">
        <v>7</v>
      </c>
      <c r="C313" s="1">
        <v>169.315</v>
      </c>
    </row>
    <row r="314" spans="1:3" x14ac:dyDescent="0.2">
      <c r="A314" s="2">
        <v>44650</v>
      </c>
      <c r="B314" s="1" t="s">
        <v>7</v>
      </c>
      <c r="C314" s="1">
        <v>166.30099999999999</v>
      </c>
    </row>
    <row r="315" spans="1:3" x14ac:dyDescent="0.2">
      <c r="A315" s="2">
        <v>44651</v>
      </c>
      <c r="B315" s="1" t="s">
        <v>7</v>
      </c>
      <c r="C315" s="1">
        <v>162.99799999999999</v>
      </c>
    </row>
    <row r="316" spans="1:3" x14ac:dyDescent="0.2">
      <c r="A316" s="2">
        <v>44652</v>
      </c>
      <c r="B316" s="1" t="s">
        <v>7</v>
      </c>
      <c r="C316" s="1">
        <v>163.56</v>
      </c>
    </row>
    <row r="317" spans="1:3" x14ac:dyDescent="0.2">
      <c r="A317" s="2">
        <v>44655</v>
      </c>
      <c r="B317" s="1" t="s">
        <v>7</v>
      </c>
      <c r="C317" s="1">
        <v>168.346</v>
      </c>
    </row>
    <row r="318" spans="1:3" x14ac:dyDescent="0.2">
      <c r="A318" s="2">
        <v>44656</v>
      </c>
      <c r="B318" s="1" t="s">
        <v>7</v>
      </c>
      <c r="C318" s="1">
        <v>164.05500000000001</v>
      </c>
    </row>
    <row r="319" spans="1:3" x14ac:dyDescent="0.2">
      <c r="A319" s="2">
        <v>44657</v>
      </c>
      <c r="B319" s="1" t="s">
        <v>7</v>
      </c>
      <c r="C319" s="1">
        <v>158.756</v>
      </c>
    </row>
    <row r="320" spans="1:3" x14ac:dyDescent="0.2">
      <c r="A320" s="2">
        <v>44658</v>
      </c>
      <c r="B320" s="1" t="s">
        <v>7</v>
      </c>
      <c r="C320" s="1">
        <v>157.78399999999999</v>
      </c>
    </row>
    <row r="321" spans="1:3" x14ac:dyDescent="0.2">
      <c r="A321" s="2">
        <v>44659</v>
      </c>
      <c r="B321" s="1" t="s">
        <v>7</v>
      </c>
      <c r="C321" s="1">
        <v>154.46</v>
      </c>
    </row>
    <row r="322" spans="1:3" x14ac:dyDescent="0.2">
      <c r="A322" s="2">
        <v>44662</v>
      </c>
      <c r="B322" s="1" t="s">
        <v>7</v>
      </c>
      <c r="C322" s="1">
        <v>151.12200000000001</v>
      </c>
    </row>
    <row r="323" spans="1:3" x14ac:dyDescent="0.2">
      <c r="A323" s="2">
        <v>44663</v>
      </c>
      <c r="B323" s="1" t="s">
        <v>7</v>
      </c>
      <c r="C323" s="1">
        <v>150.78800000000001</v>
      </c>
    </row>
    <row r="324" spans="1:3" x14ac:dyDescent="0.2">
      <c r="A324" s="2">
        <v>44664</v>
      </c>
      <c r="B324" s="1" t="s">
        <v>7</v>
      </c>
      <c r="C324" s="1">
        <v>155.541</v>
      </c>
    </row>
    <row r="325" spans="1:3" x14ac:dyDescent="0.2">
      <c r="A325" s="2">
        <v>44665</v>
      </c>
      <c r="B325" s="1" t="s">
        <v>7</v>
      </c>
      <c r="C325" s="1">
        <v>151.70599999999999</v>
      </c>
    </row>
    <row r="326" spans="1:3" x14ac:dyDescent="0.2">
      <c r="A326" s="2">
        <v>44669</v>
      </c>
      <c r="B326" s="1" t="s">
        <v>7</v>
      </c>
      <c r="C326" s="1">
        <v>152.785</v>
      </c>
    </row>
    <row r="327" spans="1:3" x14ac:dyDescent="0.2">
      <c r="A327" s="2">
        <v>44670</v>
      </c>
      <c r="B327" s="1" t="s">
        <v>7</v>
      </c>
      <c r="C327" s="1">
        <v>158.11600000000001</v>
      </c>
    </row>
    <row r="328" spans="1:3" x14ac:dyDescent="0.2">
      <c r="A328" s="2">
        <v>44671</v>
      </c>
      <c r="B328" s="1" t="s">
        <v>7</v>
      </c>
      <c r="C328" s="1">
        <v>153.99799999999999</v>
      </c>
    </row>
    <row r="329" spans="1:3" x14ac:dyDescent="0.2">
      <c r="A329" s="2">
        <v>44672</v>
      </c>
      <c r="B329" s="1" t="s">
        <v>7</v>
      </c>
      <c r="C329" s="1">
        <v>148.29599999999999</v>
      </c>
    </row>
    <row r="330" spans="1:3" x14ac:dyDescent="0.2">
      <c r="A330" s="2">
        <v>44673</v>
      </c>
      <c r="B330" s="1" t="s">
        <v>7</v>
      </c>
      <c r="C330" s="1">
        <v>144.35</v>
      </c>
    </row>
    <row r="331" spans="1:3" x14ac:dyDescent="0.2">
      <c r="A331" s="2">
        <v>44676</v>
      </c>
      <c r="B331" s="1" t="s">
        <v>7</v>
      </c>
      <c r="C331" s="1">
        <v>146.07400000000001</v>
      </c>
    </row>
    <row r="332" spans="1:3" x14ac:dyDescent="0.2">
      <c r="A332" s="2">
        <v>44677</v>
      </c>
      <c r="B332" s="1" t="s">
        <v>7</v>
      </c>
      <c r="C332" s="1">
        <v>139.39099999999999</v>
      </c>
    </row>
    <row r="333" spans="1:3" x14ac:dyDescent="0.2">
      <c r="A333" s="2">
        <v>44678</v>
      </c>
      <c r="B333" s="1" t="s">
        <v>7</v>
      </c>
      <c r="C333" s="1">
        <v>138.167</v>
      </c>
    </row>
    <row r="334" spans="1:3" x14ac:dyDescent="0.2">
      <c r="A334" s="2">
        <v>44679</v>
      </c>
      <c r="B334" s="1" t="s">
        <v>7</v>
      </c>
      <c r="C334" s="1">
        <v>144.596</v>
      </c>
    </row>
    <row r="335" spans="1:3" x14ac:dyDescent="0.2">
      <c r="A335" s="2">
        <v>44680</v>
      </c>
      <c r="B335" s="1" t="s">
        <v>7</v>
      </c>
      <c r="C335" s="1">
        <v>124.282</v>
      </c>
    </row>
    <row r="336" spans="1:3" x14ac:dyDescent="0.2">
      <c r="A336" s="2">
        <v>44683</v>
      </c>
      <c r="B336" s="1" t="s">
        <v>7</v>
      </c>
      <c r="C336" s="1">
        <v>124.5</v>
      </c>
    </row>
    <row r="337" spans="1:3" x14ac:dyDescent="0.2">
      <c r="A337" s="2">
        <v>44684</v>
      </c>
      <c r="B337" s="1" t="s">
        <v>7</v>
      </c>
      <c r="C337" s="1">
        <v>124.254</v>
      </c>
    </row>
    <row r="338" spans="1:3" x14ac:dyDescent="0.2">
      <c r="A338" s="2">
        <v>44685</v>
      </c>
      <c r="B338" s="1" t="s">
        <v>7</v>
      </c>
      <c r="C338" s="1">
        <v>125.929</v>
      </c>
    </row>
    <row r="339" spans="1:3" x14ac:dyDescent="0.2">
      <c r="A339" s="2">
        <v>44686</v>
      </c>
      <c r="B339" s="1" t="s">
        <v>7</v>
      </c>
      <c r="C339" s="1">
        <v>116.407</v>
      </c>
    </row>
    <row r="340" spans="1:3" x14ac:dyDescent="0.2">
      <c r="A340" s="2">
        <v>44687</v>
      </c>
      <c r="B340" s="1" t="s">
        <v>7</v>
      </c>
      <c r="C340" s="1">
        <v>114.77200000000001</v>
      </c>
    </row>
    <row r="341" spans="1:3" x14ac:dyDescent="0.2">
      <c r="A341" s="2">
        <v>44690</v>
      </c>
      <c r="B341" s="1" t="s">
        <v>7</v>
      </c>
      <c r="C341" s="1">
        <v>108.789</v>
      </c>
    </row>
    <row r="342" spans="1:3" x14ac:dyDescent="0.2">
      <c r="A342" s="2">
        <v>44691</v>
      </c>
      <c r="B342" s="1" t="s">
        <v>7</v>
      </c>
      <c r="C342" s="1">
        <v>108.85899999999999</v>
      </c>
    </row>
    <row r="343" spans="1:3" x14ac:dyDescent="0.2">
      <c r="A343" s="2">
        <v>44692</v>
      </c>
      <c r="B343" s="1" t="s">
        <v>7</v>
      </c>
      <c r="C343" s="1">
        <v>105.372</v>
      </c>
    </row>
    <row r="344" spans="1:3" x14ac:dyDescent="0.2">
      <c r="A344" s="2">
        <v>44693</v>
      </c>
      <c r="B344" s="1" t="s">
        <v>7</v>
      </c>
      <c r="C344" s="1">
        <v>106.931</v>
      </c>
    </row>
    <row r="345" spans="1:3" x14ac:dyDescent="0.2">
      <c r="A345" s="2">
        <v>44694</v>
      </c>
      <c r="B345" s="1" t="s">
        <v>7</v>
      </c>
      <c r="C345" s="1">
        <v>113.05500000000001</v>
      </c>
    </row>
    <row r="346" spans="1:3" x14ac:dyDescent="0.2">
      <c r="A346" s="2">
        <v>44697</v>
      </c>
      <c r="B346" s="1" t="s">
        <v>7</v>
      </c>
      <c r="C346" s="1">
        <v>110.81</v>
      </c>
    </row>
    <row r="347" spans="1:3" x14ac:dyDescent="0.2">
      <c r="A347" s="2">
        <v>44698</v>
      </c>
      <c r="B347" s="1" t="s">
        <v>7</v>
      </c>
      <c r="C347" s="1">
        <v>115.36799999999999</v>
      </c>
    </row>
    <row r="348" spans="1:3" x14ac:dyDescent="0.2">
      <c r="A348" s="2">
        <v>44699</v>
      </c>
      <c r="B348" s="1" t="s">
        <v>7</v>
      </c>
      <c r="C348" s="1">
        <v>107.11199999999999</v>
      </c>
    </row>
    <row r="349" spans="1:3" x14ac:dyDescent="0.2">
      <c r="A349" s="2">
        <v>44700</v>
      </c>
      <c r="B349" s="1" t="s">
        <v>7</v>
      </c>
      <c r="C349" s="1">
        <v>107.319</v>
      </c>
    </row>
    <row r="350" spans="1:3" x14ac:dyDescent="0.2">
      <c r="A350" s="2">
        <v>44701</v>
      </c>
      <c r="B350" s="1" t="s">
        <v>7</v>
      </c>
      <c r="C350" s="1">
        <v>107.59099999999999</v>
      </c>
    </row>
    <row r="351" spans="1:3" x14ac:dyDescent="0.2">
      <c r="A351" s="2">
        <v>44704</v>
      </c>
      <c r="B351" s="1" t="s">
        <v>7</v>
      </c>
      <c r="C351" s="1">
        <v>107.557</v>
      </c>
    </row>
    <row r="352" spans="1:3" x14ac:dyDescent="0.2">
      <c r="A352" s="2">
        <v>44705</v>
      </c>
      <c r="B352" s="1" t="s">
        <v>7</v>
      </c>
      <c r="C352" s="1">
        <v>104.1</v>
      </c>
    </row>
    <row r="353" spans="1:3" x14ac:dyDescent="0.2">
      <c r="A353" s="2">
        <v>44706</v>
      </c>
      <c r="B353" s="1" t="s">
        <v>7</v>
      </c>
      <c r="C353" s="1">
        <v>106.77500000000001</v>
      </c>
    </row>
    <row r="354" spans="1:3" x14ac:dyDescent="0.2">
      <c r="A354" s="2">
        <v>44707</v>
      </c>
      <c r="B354" s="1" t="s">
        <v>7</v>
      </c>
      <c r="C354" s="1">
        <v>111.078</v>
      </c>
    </row>
    <row r="355" spans="1:3" x14ac:dyDescent="0.2">
      <c r="A355" s="2">
        <v>44708</v>
      </c>
      <c r="B355" s="1" t="s">
        <v>7</v>
      </c>
      <c r="C355" s="1">
        <v>115.146</v>
      </c>
    </row>
    <row r="356" spans="1:3" x14ac:dyDescent="0.2">
      <c r="A356" s="2">
        <v>44712</v>
      </c>
      <c r="B356" s="1" t="s">
        <v>7</v>
      </c>
      <c r="C356" s="1">
        <v>120.21</v>
      </c>
    </row>
    <row r="357" spans="1:3" x14ac:dyDescent="0.2">
      <c r="A357" s="2">
        <v>44713</v>
      </c>
      <c r="B357" s="1" t="s">
        <v>7</v>
      </c>
      <c r="C357" s="1">
        <v>121.684</v>
      </c>
    </row>
    <row r="358" spans="1:3" x14ac:dyDescent="0.2">
      <c r="A358" s="2">
        <v>44714</v>
      </c>
      <c r="B358" s="1" t="s">
        <v>7</v>
      </c>
      <c r="C358" s="1">
        <v>125.511</v>
      </c>
    </row>
    <row r="359" spans="1:3" x14ac:dyDescent="0.2">
      <c r="A359" s="2">
        <v>44715</v>
      </c>
      <c r="B359" s="1" t="s">
        <v>7</v>
      </c>
      <c r="C359" s="1">
        <v>122.35</v>
      </c>
    </row>
    <row r="360" spans="1:3" x14ac:dyDescent="0.2">
      <c r="A360" s="2">
        <v>44718</v>
      </c>
      <c r="B360" s="1" t="s">
        <v>7</v>
      </c>
      <c r="C360" s="1">
        <v>124.79</v>
      </c>
    </row>
    <row r="361" spans="1:3" x14ac:dyDescent="0.2">
      <c r="A361" s="2">
        <v>44719</v>
      </c>
      <c r="B361" s="1" t="s">
        <v>7</v>
      </c>
      <c r="C361" s="1">
        <v>123</v>
      </c>
    </row>
    <row r="362" spans="1:3" x14ac:dyDescent="0.2">
      <c r="A362" s="2">
        <v>44720</v>
      </c>
      <c r="B362" s="1" t="s">
        <v>7</v>
      </c>
      <c r="C362" s="1">
        <v>121.18</v>
      </c>
    </row>
    <row r="363" spans="1:3" x14ac:dyDescent="0.2">
      <c r="A363" s="2">
        <v>44721</v>
      </c>
      <c r="B363" s="1" t="s">
        <v>7</v>
      </c>
      <c r="C363" s="1">
        <v>116.15</v>
      </c>
    </row>
    <row r="364" spans="1:3" x14ac:dyDescent="0.2">
      <c r="A364" s="2">
        <v>44722</v>
      </c>
      <c r="B364" s="1" t="s">
        <v>7</v>
      </c>
      <c r="C364" s="1">
        <v>109.65</v>
      </c>
    </row>
    <row r="365" spans="1:3" x14ac:dyDescent="0.2">
      <c r="A365" s="2">
        <v>44725</v>
      </c>
      <c r="B365" s="1" t="s">
        <v>7</v>
      </c>
      <c r="C365" s="1">
        <v>103.67</v>
      </c>
    </row>
    <row r="366" spans="1:3" x14ac:dyDescent="0.2">
      <c r="A366" s="2">
        <v>44726</v>
      </c>
      <c r="B366" s="1" t="s">
        <v>7</v>
      </c>
      <c r="C366" s="1">
        <v>102.31</v>
      </c>
    </row>
    <row r="367" spans="1:3" x14ac:dyDescent="0.2">
      <c r="A367" s="2">
        <v>44727</v>
      </c>
      <c r="B367" s="1" t="s">
        <v>7</v>
      </c>
      <c r="C367" s="1">
        <v>107.67</v>
      </c>
    </row>
    <row r="368" spans="1:3" x14ac:dyDescent="0.2">
      <c r="A368" s="2">
        <v>44728</v>
      </c>
      <c r="B368" s="1" t="s">
        <v>7</v>
      </c>
      <c r="C368" s="1">
        <v>103.66</v>
      </c>
    </row>
    <row r="369" spans="1:3" x14ac:dyDescent="0.2">
      <c r="A369" s="2">
        <v>44729</v>
      </c>
      <c r="B369" s="1" t="s">
        <v>7</v>
      </c>
      <c r="C369" s="1">
        <v>106.22</v>
      </c>
    </row>
    <row r="370" spans="1:3" x14ac:dyDescent="0.2">
      <c r="A370" s="2">
        <v>44733</v>
      </c>
      <c r="B370" s="1" t="s">
        <v>7</v>
      </c>
      <c r="C370" s="1">
        <v>108.68</v>
      </c>
    </row>
    <row r="371" spans="1:3" x14ac:dyDescent="0.2">
      <c r="A371" s="2">
        <v>44734</v>
      </c>
      <c r="B371" s="1" t="s">
        <v>7</v>
      </c>
      <c r="C371" s="1">
        <v>108.95</v>
      </c>
    </row>
    <row r="372" spans="1:3" x14ac:dyDescent="0.2">
      <c r="A372" s="2">
        <v>44735</v>
      </c>
      <c r="B372" s="1" t="s">
        <v>7</v>
      </c>
      <c r="C372" s="1">
        <v>112.44</v>
      </c>
    </row>
    <row r="373" spans="1:3" x14ac:dyDescent="0.2">
      <c r="A373" s="2">
        <v>44736</v>
      </c>
      <c r="B373" s="1" t="s">
        <v>7</v>
      </c>
      <c r="C373" s="1">
        <v>116.46</v>
      </c>
    </row>
    <row r="374" spans="1:3" x14ac:dyDescent="0.2">
      <c r="A374" s="2">
        <v>44739</v>
      </c>
      <c r="B374" s="1" t="s">
        <v>7</v>
      </c>
      <c r="C374" s="1">
        <v>113.22</v>
      </c>
    </row>
    <row r="375" spans="1:3" x14ac:dyDescent="0.2">
      <c r="A375" s="2">
        <v>44740</v>
      </c>
      <c r="B375" s="1" t="s">
        <v>7</v>
      </c>
      <c r="C375" s="1">
        <v>107.4</v>
      </c>
    </row>
    <row r="376" spans="1:3" x14ac:dyDescent="0.2">
      <c r="A376" s="2">
        <v>44741</v>
      </c>
      <c r="B376" s="1" t="s">
        <v>7</v>
      </c>
      <c r="C376" s="1">
        <v>108.92</v>
      </c>
    </row>
    <row r="377" spans="1:3" x14ac:dyDescent="0.2">
      <c r="A377" s="2">
        <v>44742</v>
      </c>
      <c r="B377" s="1" t="s">
        <v>7</v>
      </c>
      <c r="C377" s="1">
        <v>106.21</v>
      </c>
    </row>
    <row r="378" spans="1:3" x14ac:dyDescent="0.2">
      <c r="A378" s="2">
        <v>44743</v>
      </c>
      <c r="B378" s="1" t="s">
        <v>7</v>
      </c>
      <c r="C378" s="1">
        <v>109.56</v>
      </c>
    </row>
    <row r="379" spans="1:3" x14ac:dyDescent="0.2">
      <c r="A379" s="2">
        <v>44747</v>
      </c>
      <c r="B379" s="1" t="s">
        <v>7</v>
      </c>
      <c r="C379" s="1">
        <v>113.5</v>
      </c>
    </row>
    <row r="380" spans="1:3" x14ac:dyDescent="0.2">
      <c r="A380" s="2">
        <v>44748</v>
      </c>
      <c r="B380" s="1" t="s">
        <v>7</v>
      </c>
      <c r="C380" s="1">
        <v>114.33</v>
      </c>
    </row>
    <row r="381" spans="1:3" x14ac:dyDescent="0.2">
      <c r="A381" s="2">
        <v>44749</v>
      </c>
      <c r="B381" s="1" t="s">
        <v>7</v>
      </c>
      <c r="C381" s="1">
        <v>116.33</v>
      </c>
    </row>
    <row r="382" spans="1:3" x14ac:dyDescent="0.2">
      <c r="A382" s="2">
        <v>44750</v>
      </c>
      <c r="B382" s="1" t="s">
        <v>7</v>
      </c>
      <c r="C382" s="1">
        <v>115.54</v>
      </c>
    </row>
    <row r="383" spans="1:3" x14ac:dyDescent="0.2">
      <c r="A383" s="2">
        <v>44753</v>
      </c>
      <c r="B383" s="1" t="s">
        <v>7</v>
      </c>
      <c r="C383" s="1">
        <v>111.75</v>
      </c>
    </row>
    <row r="384" spans="1:3" x14ac:dyDescent="0.2">
      <c r="A384" s="2">
        <v>44754</v>
      </c>
      <c r="B384" s="1" t="s">
        <v>7</v>
      </c>
      <c r="C384" s="1">
        <v>109.22</v>
      </c>
    </row>
    <row r="385" spans="1:3" x14ac:dyDescent="0.2">
      <c r="A385" s="2">
        <v>44755</v>
      </c>
      <c r="B385" s="1" t="s">
        <v>7</v>
      </c>
      <c r="C385" s="1">
        <v>110.4</v>
      </c>
    </row>
    <row r="386" spans="1:3" x14ac:dyDescent="0.2">
      <c r="A386" s="2">
        <v>44756</v>
      </c>
      <c r="B386" s="1" t="s">
        <v>7</v>
      </c>
      <c r="C386" s="1">
        <v>110.63</v>
      </c>
    </row>
    <row r="387" spans="1:3" x14ac:dyDescent="0.2">
      <c r="A387" s="2">
        <v>44757</v>
      </c>
      <c r="B387" s="1" t="s">
        <v>7</v>
      </c>
      <c r="C387" s="1">
        <v>113.55</v>
      </c>
    </row>
    <row r="388" spans="1:3" x14ac:dyDescent="0.2">
      <c r="A388" s="2">
        <v>44760</v>
      </c>
      <c r="B388" s="1" t="s">
        <v>7</v>
      </c>
      <c r="C388" s="1">
        <v>113.76</v>
      </c>
    </row>
    <row r="389" spans="1:3" x14ac:dyDescent="0.2">
      <c r="A389" s="2">
        <v>44761</v>
      </c>
      <c r="B389" s="1" t="s">
        <v>7</v>
      </c>
      <c r="C389" s="1">
        <v>118.21</v>
      </c>
    </row>
    <row r="390" spans="1:3" x14ac:dyDescent="0.2">
      <c r="A390" s="2">
        <v>44762</v>
      </c>
      <c r="B390" s="1" t="s">
        <v>7</v>
      </c>
      <c r="C390" s="1">
        <v>122.77</v>
      </c>
    </row>
    <row r="391" spans="1:3" x14ac:dyDescent="0.2">
      <c r="A391" s="2">
        <v>44763</v>
      </c>
      <c r="B391" s="1" t="s">
        <v>7</v>
      </c>
      <c r="C391" s="1">
        <v>124.63</v>
      </c>
    </row>
    <row r="392" spans="1:3" x14ac:dyDescent="0.2">
      <c r="A392" s="2">
        <v>44764</v>
      </c>
      <c r="B392" s="1" t="s">
        <v>7</v>
      </c>
      <c r="C392" s="1">
        <v>122.42</v>
      </c>
    </row>
    <row r="393" spans="1:3" x14ac:dyDescent="0.2">
      <c r="A393" s="2">
        <v>44767</v>
      </c>
      <c r="B393" s="1" t="s">
        <v>7</v>
      </c>
      <c r="C393" s="1">
        <v>121.14</v>
      </c>
    </row>
    <row r="394" spans="1:3" x14ac:dyDescent="0.2">
      <c r="A394" s="2">
        <v>44768</v>
      </c>
      <c r="B394" s="1" t="s">
        <v>7</v>
      </c>
      <c r="C394" s="1">
        <v>114.81</v>
      </c>
    </row>
    <row r="395" spans="1:3" x14ac:dyDescent="0.2">
      <c r="A395" s="2">
        <v>44769</v>
      </c>
      <c r="B395" s="1" t="s">
        <v>7</v>
      </c>
      <c r="C395" s="1">
        <v>120.97</v>
      </c>
    </row>
    <row r="396" spans="1:3" x14ac:dyDescent="0.2">
      <c r="A396" s="2">
        <v>44770</v>
      </c>
      <c r="B396" s="1" t="s">
        <v>7</v>
      </c>
      <c r="C396" s="1">
        <v>122.28</v>
      </c>
    </row>
    <row r="397" spans="1:3" x14ac:dyDescent="0.2">
      <c r="A397" s="2">
        <v>44771</v>
      </c>
      <c r="B397" s="1" t="s">
        <v>7</v>
      </c>
      <c r="C397" s="1">
        <v>134.94999999999999</v>
      </c>
    </row>
    <row r="398" spans="1:3" x14ac:dyDescent="0.2">
      <c r="A398" s="2">
        <v>44774</v>
      </c>
      <c r="B398" s="1" t="s">
        <v>7</v>
      </c>
      <c r="C398" s="1">
        <v>135.38999999999999</v>
      </c>
    </row>
    <row r="399" spans="1:3" x14ac:dyDescent="0.2">
      <c r="A399" s="2">
        <v>44775</v>
      </c>
      <c r="B399" s="1" t="s">
        <v>7</v>
      </c>
      <c r="C399" s="1">
        <v>134.16</v>
      </c>
    </row>
    <row r="400" spans="1:3" x14ac:dyDescent="0.2">
      <c r="A400" s="2">
        <v>44776</v>
      </c>
      <c r="B400" s="1" t="s">
        <v>7</v>
      </c>
      <c r="C400" s="1">
        <v>139.52000000000001</v>
      </c>
    </row>
    <row r="401" spans="1:3" x14ac:dyDescent="0.2">
      <c r="A401" s="2">
        <v>44777</v>
      </c>
      <c r="B401" s="1" t="s">
        <v>7</v>
      </c>
      <c r="C401" s="1">
        <v>142.57</v>
      </c>
    </row>
    <row r="402" spans="1:3" x14ac:dyDescent="0.2">
      <c r="A402" s="2">
        <v>44778</v>
      </c>
      <c r="B402" s="1" t="s">
        <v>7</v>
      </c>
      <c r="C402" s="1">
        <v>140.80000000000001</v>
      </c>
    </row>
    <row r="403" spans="1:3" x14ac:dyDescent="0.2">
      <c r="A403" s="2">
        <v>44781</v>
      </c>
      <c r="B403" s="1" t="s">
        <v>7</v>
      </c>
      <c r="C403" s="1">
        <v>139.41</v>
      </c>
    </row>
    <row r="404" spans="1:3" x14ac:dyDescent="0.2">
      <c r="A404" s="2">
        <v>44782</v>
      </c>
      <c r="B404" s="1" t="s">
        <v>7</v>
      </c>
      <c r="C404" s="1">
        <v>137.83000000000001</v>
      </c>
    </row>
    <row r="405" spans="1:3" x14ac:dyDescent="0.2">
      <c r="A405" s="2">
        <v>44783</v>
      </c>
      <c r="B405" s="1" t="s">
        <v>7</v>
      </c>
      <c r="C405" s="1">
        <v>142.69</v>
      </c>
    </row>
    <row r="406" spans="1:3" x14ac:dyDescent="0.2">
      <c r="A406" s="2">
        <v>44784</v>
      </c>
      <c r="B406" s="1" t="s">
        <v>7</v>
      </c>
      <c r="C406" s="1">
        <v>140.63999999999999</v>
      </c>
    </row>
    <row r="407" spans="1:3" x14ac:dyDescent="0.2">
      <c r="A407" s="2">
        <v>44785</v>
      </c>
      <c r="B407" s="1" t="s">
        <v>7</v>
      </c>
      <c r="C407" s="1">
        <v>143.55000000000001</v>
      </c>
    </row>
    <row r="408" spans="1:3" x14ac:dyDescent="0.2">
      <c r="A408" s="2">
        <v>44788</v>
      </c>
      <c r="B408" s="1" t="s">
        <v>7</v>
      </c>
      <c r="C408" s="1">
        <v>143.18</v>
      </c>
    </row>
    <row r="409" spans="1:3" x14ac:dyDescent="0.2">
      <c r="A409" s="2">
        <v>44789</v>
      </c>
      <c r="B409" s="1" t="s">
        <v>7</v>
      </c>
      <c r="C409" s="1">
        <v>144.78</v>
      </c>
    </row>
    <row r="410" spans="1:3" x14ac:dyDescent="0.2">
      <c r="A410" s="2">
        <v>44790</v>
      </c>
      <c r="B410" s="1" t="s">
        <v>7</v>
      </c>
      <c r="C410" s="1">
        <v>142.1</v>
      </c>
    </row>
    <row r="411" spans="1:3" x14ac:dyDescent="0.2">
      <c r="A411" s="2">
        <v>44791</v>
      </c>
      <c r="B411" s="1" t="s">
        <v>7</v>
      </c>
      <c r="C411" s="1">
        <v>142.30000000000001</v>
      </c>
    </row>
    <row r="412" spans="1:3" x14ac:dyDescent="0.2">
      <c r="A412" s="2">
        <v>44792</v>
      </c>
      <c r="B412" s="1" t="s">
        <v>7</v>
      </c>
      <c r="C412" s="1">
        <v>138.22999999999999</v>
      </c>
    </row>
    <row r="413" spans="1:3" x14ac:dyDescent="0.2">
      <c r="A413" s="2">
        <v>44795</v>
      </c>
      <c r="B413" s="1" t="s">
        <v>7</v>
      </c>
      <c r="C413" s="1">
        <v>133.22</v>
      </c>
    </row>
    <row r="414" spans="1:3" x14ac:dyDescent="0.2">
      <c r="A414" s="2">
        <v>44796</v>
      </c>
      <c r="B414" s="1" t="s">
        <v>7</v>
      </c>
      <c r="C414" s="1">
        <v>133.62</v>
      </c>
    </row>
    <row r="415" spans="1:3" x14ac:dyDescent="0.2">
      <c r="A415" s="2">
        <v>44797</v>
      </c>
      <c r="B415" s="1" t="s">
        <v>7</v>
      </c>
      <c r="C415" s="1">
        <v>133.80000000000001</v>
      </c>
    </row>
    <row r="416" spans="1:3" x14ac:dyDescent="0.2">
      <c r="A416" s="2">
        <v>44798</v>
      </c>
      <c r="B416" s="1" t="s">
        <v>7</v>
      </c>
      <c r="C416" s="1">
        <v>137.28</v>
      </c>
    </row>
    <row r="417" spans="1:3" x14ac:dyDescent="0.2">
      <c r="A417" s="2">
        <v>44799</v>
      </c>
      <c r="B417" s="1" t="s">
        <v>7</v>
      </c>
      <c r="C417" s="1">
        <v>130.75</v>
      </c>
    </row>
    <row r="418" spans="1:3" x14ac:dyDescent="0.2">
      <c r="A418" s="2">
        <v>44802</v>
      </c>
      <c r="B418" s="1" t="s">
        <v>7</v>
      </c>
      <c r="C418" s="1">
        <v>129.79</v>
      </c>
    </row>
    <row r="419" spans="1:3" x14ac:dyDescent="0.2">
      <c r="A419" s="2">
        <v>44803</v>
      </c>
      <c r="B419" s="1" t="s">
        <v>7</v>
      </c>
      <c r="C419" s="1">
        <v>128.72999999999999</v>
      </c>
    </row>
    <row r="420" spans="1:3" x14ac:dyDescent="0.2">
      <c r="A420" s="2">
        <v>44804</v>
      </c>
      <c r="B420" s="1" t="s">
        <v>7</v>
      </c>
      <c r="C420" s="1">
        <v>126.77</v>
      </c>
    </row>
    <row r="421" spans="1:3" x14ac:dyDescent="0.2">
      <c r="A421" s="2">
        <v>44805</v>
      </c>
      <c r="B421" s="1" t="s">
        <v>7</v>
      </c>
      <c r="C421" s="1">
        <v>127.82</v>
      </c>
    </row>
    <row r="422" spans="1:3" x14ac:dyDescent="0.2">
      <c r="A422" s="2">
        <v>44806</v>
      </c>
      <c r="B422" s="1" t="s">
        <v>7</v>
      </c>
      <c r="C422" s="1">
        <v>127.51</v>
      </c>
    </row>
    <row r="423" spans="1:3" x14ac:dyDescent="0.2">
      <c r="A423" s="2">
        <v>44810</v>
      </c>
      <c r="B423" s="1" t="s">
        <v>7</v>
      </c>
      <c r="C423" s="1">
        <v>126.11</v>
      </c>
    </row>
    <row r="424" spans="1:3" x14ac:dyDescent="0.2">
      <c r="A424" s="2">
        <v>44811</v>
      </c>
      <c r="B424" s="1" t="s">
        <v>7</v>
      </c>
      <c r="C424" s="1">
        <v>129.47999999999999</v>
      </c>
    </row>
    <row r="425" spans="1:3" x14ac:dyDescent="0.2">
      <c r="A425" s="2">
        <v>44812</v>
      </c>
      <c r="B425" s="1" t="s">
        <v>7</v>
      </c>
      <c r="C425" s="1">
        <v>129.82</v>
      </c>
    </row>
    <row r="426" spans="1:3" x14ac:dyDescent="0.2">
      <c r="A426" s="2">
        <v>44813</v>
      </c>
      <c r="B426" s="1" t="s">
        <v>7</v>
      </c>
      <c r="C426" s="1">
        <v>133.27000000000001</v>
      </c>
    </row>
    <row r="427" spans="1:3" x14ac:dyDescent="0.2">
      <c r="A427" s="2">
        <v>44816</v>
      </c>
      <c r="B427" s="1" t="s">
        <v>7</v>
      </c>
      <c r="C427" s="1">
        <v>136.44999999999999</v>
      </c>
    </row>
    <row r="428" spans="1:3" x14ac:dyDescent="0.2">
      <c r="A428" s="2">
        <v>44817</v>
      </c>
      <c r="B428" s="1" t="s">
        <v>7</v>
      </c>
      <c r="C428" s="1">
        <v>126.82</v>
      </c>
    </row>
    <row r="429" spans="1:3" x14ac:dyDescent="0.2">
      <c r="A429" s="2">
        <v>44818</v>
      </c>
      <c r="B429" s="1" t="s">
        <v>7</v>
      </c>
      <c r="C429" s="1">
        <v>128.55000000000001</v>
      </c>
    </row>
    <row r="430" spans="1:3" x14ac:dyDescent="0.2">
      <c r="A430" s="2">
        <v>44819</v>
      </c>
      <c r="B430" s="1" t="s">
        <v>7</v>
      </c>
      <c r="C430" s="1">
        <v>126.28</v>
      </c>
    </row>
    <row r="431" spans="1:3" x14ac:dyDescent="0.2">
      <c r="A431" s="2">
        <v>44820</v>
      </c>
      <c r="B431" s="1" t="s">
        <v>7</v>
      </c>
      <c r="C431" s="1">
        <v>123.53</v>
      </c>
    </row>
    <row r="432" spans="1:3" x14ac:dyDescent="0.2">
      <c r="A432" s="2">
        <v>44823</v>
      </c>
      <c r="B432" s="1" t="s">
        <v>7</v>
      </c>
      <c r="C432" s="1">
        <v>124.66</v>
      </c>
    </row>
    <row r="433" spans="1:3" x14ac:dyDescent="0.2">
      <c r="A433" s="2">
        <v>44824</v>
      </c>
      <c r="B433" s="1" t="s">
        <v>7</v>
      </c>
      <c r="C433" s="1">
        <v>122.19</v>
      </c>
    </row>
    <row r="434" spans="1:3" x14ac:dyDescent="0.2">
      <c r="A434" s="2">
        <v>44825</v>
      </c>
      <c r="B434" s="1" t="s">
        <v>7</v>
      </c>
      <c r="C434" s="1">
        <v>118.54</v>
      </c>
    </row>
    <row r="435" spans="1:3" x14ac:dyDescent="0.2">
      <c r="A435" s="2">
        <v>44826</v>
      </c>
      <c r="B435" s="1" t="s">
        <v>7</v>
      </c>
      <c r="C435" s="1">
        <v>117.31</v>
      </c>
    </row>
    <row r="436" spans="1:3" x14ac:dyDescent="0.2">
      <c r="A436" s="2">
        <v>44827</v>
      </c>
      <c r="B436" s="1" t="s">
        <v>7</v>
      </c>
      <c r="C436" s="1">
        <v>113.78</v>
      </c>
    </row>
    <row r="437" spans="1:3" x14ac:dyDescent="0.2">
      <c r="A437" s="2">
        <v>44830</v>
      </c>
      <c r="B437" s="1" t="s">
        <v>7</v>
      </c>
      <c r="C437" s="1">
        <v>115.15</v>
      </c>
    </row>
    <row r="438" spans="1:3" x14ac:dyDescent="0.2">
      <c r="A438" s="2">
        <v>44831</v>
      </c>
      <c r="B438" s="1" t="s">
        <v>7</v>
      </c>
      <c r="C438" s="1">
        <v>114.41</v>
      </c>
    </row>
    <row r="439" spans="1:3" x14ac:dyDescent="0.2">
      <c r="A439" s="2">
        <v>44832</v>
      </c>
      <c r="B439" s="1" t="s">
        <v>7</v>
      </c>
      <c r="C439" s="1">
        <v>118.01</v>
      </c>
    </row>
    <row r="440" spans="1:3" x14ac:dyDescent="0.2">
      <c r="A440" s="2">
        <v>44833</v>
      </c>
      <c r="B440" s="1" t="s">
        <v>7</v>
      </c>
      <c r="C440" s="1">
        <v>114.8</v>
      </c>
    </row>
    <row r="441" spans="1:3" x14ac:dyDescent="0.2">
      <c r="A441" s="2">
        <v>44834</v>
      </c>
      <c r="B441" s="1" t="s">
        <v>7</v>
      </c>
      <c r="C441" s="1">
        <v>113</v>
      </c>
    </row>
    <row r="442" spans="1:3" x14ac:dyDescent="0.2">
      <c r="A442" s="2">
        <v>44837</v>
      </c>
      <c r="B442" s="1" t="s">
        <v>7</v>
      </c>
      <c r="C442" s="1">
        <v>115.88</v>
      </c>
    </row>
    <row r="443" spans="1:3" x14ac:dyDescent="0.2">
      <c r="A443" s="2">
        <v>44838</v>
      </c>
      <c r="B443" s="1" t="s">
        <v>7</v>
      </c>
      <c r="C443" s="1">
        <v>121.09</v>
      </c>
    </row>
    <row r="444" spans="1:3" x14ac:dyDescent="0.2">
      <c r="A444" s="2">
        <v>44839</v>
      </c>
      <c r="B444" s="1" t="s">
        <v>7</v>
      </c>
      <c r="C444" s="1">
        <v>120.95</v>
      </c>
    </row>
    <row r="445" spans="1:3" x14ac:dyDescent="0.2">
      <c r="A445" s="2">
        <v>44840</v>
      </c>
      <c r="B445" s="1" t="s">
        <v>7</v>
      </c>
      <c r="C445" s="1">
        <v>120.3</v>
      </c>
    </row>
    <row r="446" spans="1:3" x14ac:dyDescent="0.2">
      <c r="A446" s="2">
        <v>44841</v>
      </c>
      <c r="B446" s="1" t="s">
        <v>7</v>
      </c>
      <c r="C446" s="1">
        <v>114.56</v>
      </c>
    </row>
    <row r="447" spans="1:3" x14ac:dyDescent="0.2">
      <c r="A447" s="2">
        <v>44844</v>
      </c>
      <c r="B447" s="1" t="s">
        <v>7</v>
      </c>
      <c r="C447" s="1">
        <v>113.67</v>
      </c>
    </row>
    <row r="448" spans="1:3" x14ac:dyDescent="0.2">
      <c r="A448" s="2">
        <v>44845</v>
      </c>
      <c r="B448" s="1" t="s">
        <v>7</v>
      </c>
      <c r="C448" s="1">
        <v>112.21</v>
      </c>
    </row>
    <row r="449" spans="1:3" x14ac:dyDescent="0.2">
      <c r="A449" s="2">
        <v>44846</v>
      </c>
      <c r="B449" s="1" t="s">
        <v>7</v>
      </c>
      <c r="C449" s="1">
        <v>112.9</v>
      </c>
    </row>
    <row r="450" spans="1:3" x14ac:dyDescent="0.2">
      <c r="A450" s="2">
        <v>44847</v>
      </c>
      <c r="B450" s="1" t="s">
        <v>7</v>
      </c>
      <c r="C450" s="1">
        <v>112.53</v>
      </c>
    </row>
    <row r="451" spans="1:3" x14ac:dyDescent="0.2">
      <c r="A451" s="2">
        <v>44848</v>
      </c>
      <c r="B451" s="1" t="s">
        <v>7</v>
      </c>
      <c r="C451" s="1">
        <v>106.9</v>
      </c>
    </row>
    <row r="452" spans="1:3" x14ac:dyDescent="0.2">
      <c r="A452" s="2">
        <v>44851</v>
      </c>
      <c r="B452" s="1" t="s">
        <v>7</v>
      </c>
      <c r="C452" s="1">
        <v>113.79</v>
      </c>
    </row>
    <row r="453" spans="1:3" x14ac:dyDescent="0.2">
      <c r="A453" s="2">
        <v>44852</v>
      </c>
      <c r="B453" s="1" t="s">
        <v>7</v>
      </c>
      <c r="C453" s="1">
        <v>116.36</v>
      </c>
    </row>
    <row r="454" spans="1:3" x14ac:dyDescent="0.2">
      <c r="A454" s="2">
        <v>44853</v>
      </c>
      <c r="B454" s="1" t="s">
        <v>7</v>
      </c>
      <c r="C454" s="1">
        <v>115.07</v>
      </c>
    </row>
    <row r="455" spans="1:3" x14ac:dyDescent="0.2">
      <c r="A455" s="2">
        <v>44854</v>
      </c>
      <c r="B455" s="1" t="s">
        <v>7</v>
      </c>
      <c r="C455" s="1">
        <v>115.25</v>
      </c>
    </row>
    <row r="456" spans="1:3" x14ac:dyDescent="0.2">
      <c r="A456" s="2">
        <v>44855</v>
      </c>
      <c r="B456" s="1" t="s">
        <v>7</v>
      </c>
      <c r="C456" s="1">
        <v>119.32</v>
      </c>
    </row>
    <row r="457" spans="1:3" x14ac:dyDescent="0.2">
      <c r="A457" s="2">
        <v>44858</v>
      </c>
      <c r="B457" s="1" t="s">
        <v>7</v>
      </c>
      <c r="C457" s="1">
        <v>119.82</v>
      </c>
    </row>
    <row r="458" spans="1:3" x14ac:dyDescent="0.2">
      <c r="A458" s="2">
        <v>44859</v>
      </c>
      <c r="B458" s="1" t="s">
        <v>7</v>
      </c>
      <c r="C458" s="1">
        <v>120.6</v>
      </c>
    </row>
    <row r="459" spans="1:3" x14ac:dyDescent="0.2">
      <c r="A459" s="2">
        <v>44860</v>
      </c>
      <c r="B459" s="1" t="s">
        <v>7</v>
      </c>
      <c r="C459" s="1">
        <v>115.66</v>
      </c>
    </row>
    <row r="460" spans="1:3" x14ac:dyDescent="0.2">
      <c r="A460" s="2">
        <v>44861</v>
      </c>
      <c r="B460" s="1" t="s">
        <v>7</v>
      </c>
      <c r="C460" s="1">
        <v>110.96</v>
      </c>
    </row>
    <row r="461" spans="1:3" x14ac:dyDescent="0.2">
      <c r="A461" s="2">
        <v>44862</v>
      </c>
      <c r="B461" s="1" t="s">
        <v>7</v>
      </c>
      <c r="C461" s="1">
        <v>103.41</v>
      </c>
    </row>
    <row r="462" spans="1:3" x14ac:dyDescent="0.2">
      <c r="A462" s="2">
        <v>44865</v>
      </c>
      <c r="B462" s="1" t="s">
        <v>7</v>
      </c>
      <c r="C462" s="1">
        <v>102.44</v>
      </c>
    </row>
    <row r="463" spans="1:3" x14ac:dyDescent="0.2">
      <c r="A463" s="2">
        <v>44866</v>
      </c>
      <c r="B463" s="1" t="s">
        <v>7</v>
      </c>
      <c r="C463" s="1">
        <v>96.79</v>
      </c>
    </row>
    <row r="464" spans="1:3" x14ac:dyDescent="0.2">
      <c r="A464" s="2">
        <v>44867</v>
      </c>
      <c r="B464" s="1" t="s">
        <v>7</v>
      </c>
      <c r="C464" s="1">
        <v>92.12</v>
      </c>
    </row>
    <row r="465" spans="1:3" x14ac:dyDescent="0.2">
      <c r="A465" s="2">
        <v>44868</v>
      </c>
      <c r="B465" s="1" t="s">
        <v>7</v>
      </c>
      <c r="C465" s="1">
        <v>89.3</v>
      </c>
    </row>
    <row r="466" spans="1:3" x14ac:dyDescent="0.2">
      <c r="A466" s="2">
        <v>44869</v>
      </c>
      <c r="B466" s="1" t="s">
        <v>7</v>
      </c>
      <c r="C466" s="1">
        <v>90.98</v>
      </c>
    </row>
    <row r="467" spans="1:3" x14ac:dyDescent="0.2">
      <c r="A467" s="2">
        <v>44872</v>
      </c>
      <c r="B467" s="1" t="s">
        <v>7</v>
      </c>
      <c r="C467" s="1">
        <v>90.53</v>
      </c>
    </row>
    <row r="468" spans="1:3" x14ac:dyDescent="0.2">
      <c r="A468" s="2">
        <v>44873</v>
      </c>
      <c r="B468" s="1" t="s">
        <v>7</v>
      </c>
      <c r="C468" s="1">
        <v>89.98</v>
      </c>
    </row>
    <row r="469" spans="1:3" x14ac:dyDescent="0.2">
      <c r="A469" s="2">
        <v>44874</v>
      </c>
      <c r="B469" s="1" t="s">
        <v>7</v>
      </c>
      <c r="C469" s="1">
        <v>86.14</v>
      </c>
    </row>
    <row r="470" spans="1:3" x14ac:dyDescent="0.2">
      <c r="A470" s="2">
        <v>44875</v>
      </c>
      <c r="B470" s="1" t="s">
        <v>7</v>
      </c>
      <c r="C470" s="1">
        <v>96.63</v>
      </c>
    </row>
    <row r="471" spans="1:3" x14ac:dyDescent="0.2">
      <c r="A471" s="2">
        <v>44876</v>
      </c>
      <c r="B471" s="1" t="s">
        <v>7</v>
      </c>
      <c r="C471" s="1">
        <v>100.79</v>
      </c>
    </row>
    <row r="472" spans="1:3" x14ac:dyDescent="0.2">
      <c r="A472" s="2">
        <v>44879</v>
      </c>
      <c r="B472" s="1" t="s">
        <v>7</v>
      </c>
      <c r="C472" s="1">
        <v>98.49</v>
      </c>
    </row>
    <row r="473" spans="1:3" x14ac:dyDescent="0.2">
      <c r="A473" s="2">
        <v>44880</v>
      </c>
      <c r="B473" s="1" t="s">
        <v>7</v>
      </c>
      <c r="C473" s="1">
        <v>98.94</v>
      </c>
    </row>
    <row r="474" spans="1:3" x14ac:dyDescent="0.2">
      <c r="A474" s="2">
        <v>44881</v>
      </c>
      <c r="B474" s="1" t="s">
        <v>7</v>
      </c>
      <c r="C474" s="1">
        <v>97.12</v>
      </c>
    </row>
    <row r="475" spans="1:3" x14ac:dyDescent="0.2">
      <c r="A475" s="2">
        <v>44882</v>
      </c>
      <c r="B475" s="1" t="s">
        <v>7</v>
      </c>
      <c r="C475" s="1">
        <v>94.85</v>
      </c>
    </row>
    <row r="476" spans="1:3" x14ac:dyDescent="0.2">
      <c r="A476" s="2">
        <v>44883</v>
      </c>
      <c r="B476" s="1" t="s">
        <v>7</v>
      </c>
      <c r="C476" s="1">
        <v>94.14</v>
      </c>
    </row>
    <row r="477" spans="1:3" x14ac:dyDescent="0.2">
      <c r="A477" s="2">
        <v>44886</v>
      </c>
      <c r="B477" s="1" t="s">
        <v>7</v>
      </c>
      <c r="C477" s="1">
        <v>92.46</v>
      </c>
    </row>
    <row r="478" spans="1:3" x14ac:dyDescent="0.2">
      <c r="A478" s="2">
        <v>44887</v>
      </c>
      <c r="B478" s="1" t="s">
        <v>7</v>
      </c>
      <c r="C478" s="1">
        <v>93.2</v>
      </c>
    </row>
    <row r="479" spans="1:3" x14ac:dyDescent="0.2">
      <c r="A479" s="2">
        <v>44888</v>
      </c>
      <c r="B479" s="1" t="s">
        <v>7</v>
      </c>
      <c r="C479" s="1">
        <v>94.13</v>
      </c>
    </row>
    <row r="480" spans="1:3" x14ac:dyDescent="0.2">
      <c r="A480" s="2">
        <v>44890</v>
      </c>
      <c r="B480" s="1" t="s">
        <v>7</v>
      </c>
      <c r="C480" s="1">
        <v>93.41</v>
      </c>
    </row>
    <row r="481" spans="1:3" x14ac:dyDescent="0.2">
      <c r="A481" s="2">
        <v>44893</v>
      </c>
      <c r="B481" s="1" t="s">
        <v>7</v>
      </c>
      <c r="C481" s="1">
        <v>93.95</v>
      </c>
    </row>
    <row r="482" spans="1:3" x14ac:dyDescent="0.2">
      <c r="A482" s="2">
        <v>44894</v>
      </c>
      <c r="B482" s="1" t="s">
        <v>7</v>
      </c>
      <c r="C482" s="1">
        <v>92.42</v>
      </c>
    </row>
    <row r="483" spans="1:3" x14ac:dyDescent="0.2">
      <c r="A483" s="2">
        <v>44895</v>
      </c>
      <c r="B483" s="1" t="s">
        <v>7</v>
      </c>
      <c r="C483" s="1">
        <v>96.54</v>
      </c>
    </row>
    <row r="484" spans="1:3" x14ac:dyDescent="0.2">
      <c r="A484" s="2">
        <v>44896</v>
      </c>
      <c r="B484" s="1" t="s">
        <v>7</v>
      </c>
      <c r="C484" s="1">
        <v>95.5</v>
      </c>
    </row>
    <row r="485" spans="1:3" x14ac:dyDescent="0.2">
      <c r="A485" s="2">
        <v>44897</v>
      </c>
      <c r="B485" s="1" t="s">
        <v>7</v>
      </c>
      <c r="C485" s="1">
        <v>94.13</v>
      </c>
    </row>
    <row r="486" spans="1:3" x14ac:dyDescent="0.2">
      <c r="A486" s="2">
        <v>44900</v>
      </c>
      <c r="B486" s="1" t="s">
        <v>7</v>
      </c>
      <c r="C486" s="1">
        <v>91.01</v>
      </c>
    </row>
    <row r="487" spans="1:3" x14ac:dyDescent="0.2">
      <c r="A487" s="2">
        <v>44901</v>
      </c>
      <c r="B487" s="1" t="s">
        <v>7</v>
      </c>
      <c r="C487" s="1">
        <v>88.25</v>
      </c>
    </row>
    <row r="488" spans="1:3" x14ac:dyDescent="0.2">
      <c r="A488" s="2">
        <v>44902</v>
      </c>
      <c r="B488" s="1" t="s">
        <v>7</v>
      </c>
      <c r="C488" s="1">
        <v>88.46</v>
      </c>
    </row>
    <row r="489" spans="1:3" x14ac:dyDescent="0.2">
      <c r="A489" s="2">
        <v>44903</v>
      </c>
      <c r="B489" s="1" t="s">
        <v>7</v>
      </c>
      <c r="C489" s="1">
        <v>90.35</v>
      </c>
    </row>
    <row r="490" spans="1:3" x14ac:dyDescent="0.2">
      <c r="A490" s="2">
        <v>44904</v>
      </c>
      <c r="B490" s="1" t="s">
        <v>7</v>
      </c>
      <c r="C490" s="1">
        <v>89.09</v>
      </c>
    </row>
    <row r="491" spans="1:3" x14ac:dyDescent="0.2">
      <c r="A491" s="2">
        <v>44907</v>
      </c>
      <c r="B491" s="1" t="s">
        <v>7</v>
      </c>
      <c r="C491" s="1">
        <v>90.55</v>
      </c>
    </row>
    <row r="492" spans="1:3" x14ac:dyDescent="0.2">
      <c r="A492" s="2">
        <v>44908</v>
      </c>
      <c r="B492" s="1" t="s">
        <v>7</v>
      </c>
      <c r="C492" s="1">
        <v>92.49</v>
      </c>
    </row>
    <row r="493" spans="1:3" x14ac:dyDescent="0.2">
      <c r="A493" s="2">
        <v>44909</v>
      </c>
      <c r="B493" s="1" t="s">
        <v>7</v>
      </c>
      <c r="C493" s="1">
        <v>91.58</v>
      </c>
    </row>
    <row r="494" spans="1:3" x14ac:dyDescent="0.2">
      <c r="A494" s="2">
        <v>44910</v>
      </c>
      <c r="B494" s="1" t="s">
        <v>7</v>
      </c>
      <c r="C494" s="1">
        <v>88.45</v>
      </c>
    </row>
    <row r="495" spans="1:3" x14ac:dyDescent="0.2">
      <c r="A495" s="2">
        <v>44911</v>
      </c>
      <c r="B495" s="1" t="s">
        <v>7</v>
      </c>
      <c r="C495" s="1">
        <v>87.86</v>
      </c>
    </row>
    <row r="496" spans="1:3" x14ac:dyDescent="0.2">
      <c r="A496" s="2">
        <v>44914</v>
      </c>
      <c r="B496" s="1" t="s">
        <v>7</v>
      </c>
      <c r="C496" s="1">
        <v>84.92</v>
      </c>
    </row>
    <row r="497" spans="1:3" x14ac:dyDescent="0.2">
      <c r="A497" s="2">
        <v>44915</v>
      </c>
      <c r="B497" s="1" t="s">
        <v>7</v>
      </c>
      <c r="C497" s="1">
        <v>85.19</v>
      </c>
    </row>
    <row r="498" spans="1:3" x14ac:dyDescent="0.2">
      <c r="A498" s="2">
        <v>44916</v>
      </c>
      <c r="B498" s="1" t="s">
        <v>7</v>
      </c>
      <c r="C498" s="1">
        <v>86.77</v>
      </c>
    </row>
    <row r="499" spans="1:3" x14ac:dyDescent="0.2">
      <c r="A499" s="2">
        <v>44917</v>
      </c>
      <c r="B499" s="1" t="s">
        <v>7</v>
      </c>
      <c r="C499" s="1">
        <v>83.79</v>
      </c>
    </row>
    <row r="500" spans="1:3" x14ac:dyDescent="0.2">
      <c r="A500" s="2">
        <v>44918</v>
      </c>
      <c r="B500" s="1" t="s">
        <v>7</v>
      </c>
      <c r="C500" s="1">
        <v>85.25</v>
      </c>
    </row>
    <row r="501" spans="1:3" x14ac:dyDescent="0.2">
      <c r="A501" s="2">
        <v>44922</v>
      </c>
      <c r="B501" s="1" t="s">
        <v>7</v>
      </c>
      <c r="C501" s="1">
        <v>83.04</v>
      </c>
    </row>
    <row r="502" spans="1:3" x14ac:dyDescent="0.2">
      <c r="A502" s="2">
        <v>44923</v>
      </c>
      <c r="B502" s="1" t="s">
        <v>7</v>
      </c>
      <c r="C502" s="1">
        <v>81.819999999999993</v>
      </c>
    </row>
    <row r="503" spans="1:3" x14ac:dyDescent="0.2">
      <c r="A503" s="2">
        <v>44924</v>
      </c>
      <c r="B503" s="1" t="s">
        <v>7</v>
      </c>
      <c r="C503" s="1">
        <v>84.18</v>
      </c>
    </row>
    <row r="504" spans="1:3" x14ac:dyDescent="0.2">
      <c r="A504" s="2">
        <v>44925</v>
      </c>
      <c r="B504" s="1" t="s">
        <v>7</v>
      </c>
      <c r="C504" s="1">
        <v>84</v>
      </c>
    </row>
    <row r="505" spans="1:3" x14ac:dyDescent="0.2">
      <c r="A505" s="2">
        <v>44929</v>
      </c>
      <c r="B505" s="1" t="s">
        <v>7</v>
      </c>
      <c r="C505" s="1">
        <v>85.82</v>
      </c>
    </row>
    <row r="506" spans="1:3" x14ac:dyDescent="0.2">
      <c r="A506" s="2">
        <v>44930</v>
      </c>
      <c r="B506" s="1" t="s">
        <v>7</v>
      </c>
      <c r="C506" s="1">
        <v>85.14</v>
      </c>
    </row>
    <row r="507" spans="1:3" x14ac:dyDescent="0.2">
      <c r="A507" s="2">
        <v>44931</v>
      </c>
      <c r="B507" s="1" t="s">
        <v>7</v>
      </c>
      <c r="C507" s="1">
        <v>83.12</v>
      </c>
    </row>
    <row r="508" spans="1:3" x14ac:dyDescent="0.2">
      <c r="A508" s="2">
        <v>44932</v>
      </c>
      <c r="B508" s="1" t="s">
        <v>7</v>
      </c>
      <c r="C508" s="1">
        <v>86.08</v>
      </c>
    </row>
    <row r="509" spans="1:3" x14ac:dyDescent="0.2">
      <c r="A509" s="2">
        <v>44935</v>
      </c>
      <c r="B509" s="1" t="s">
        <v>7</v>
      </c>
      <c r="C509" s="1">
        <v>87.36</v>
      </c>
    </row>
    <row r="510" spans="1:3" x14ac:dyDescent="0.2">
      <c r="A510" s="2">
        <v>44936</v>
      </c>
      <c r="B510" s="1" t="s">
        <v>7</v>
      </c>
      <c r="C510" s="1">
        <v>89.87</v>
      </c>
    </row>
    <row r="511" spans="1:3" x14ac:dyDescent="0.2">
      <c r="A511" s="2">
        <v>44937</v>
      </c>
      <c r="B511" s="1" t="s">
        <v>7</v>
      </c>
      <c r="C511" s="1">
        <v>95.09</v>
      </c>
    </row>
    <row r="512" spans="1:3" x14ac:dyDescent="0.2">
      <c r="A512" s="2">
        <v>44938</v>
      </c>
      <c r="B512" s="1" t="s">
        <v>7</v>
      </c>
      <c r="C512" s="1">
        <v>95.27</v>
      </c>
    </row>
    <row r="513" spans="1:3" x14ac:dyDescent="0.2">
      <c r="A513" s="2">
        <v>44939</v>
      </c>
      <c r="B513" s="1" t="s">
        <v>7</v>
      </c>
      <c r="C513" s="1">
        <v>98.12</v>
      </c>
    </row>
    <row r="514" spans="1:3" x14ac:dyDescent="0.2">
      <c r="A514" s="2">
        <v>44943</v>
      </c>
      <c r="B514" s="1" t="s">
        <v>7</v>
      </c>
      <c r="C514" s="1">
        <v>96.05</v>
      </c>
    </row>
    <row r="515" spans="1:3" x14ac:dyDescent="0.2">
      <c r="A515" s="2">
        <v>44944</v>
      </c>
      <c r="B515" s="1" t="s">
        <v>7</v>
      </c>
      <c r="C515" s="1">
        <v>95.46</v>
      </c>
    </row>
    <row r="516" spans="1:3" x14ac:dyDescent="0.2">
      <c r="A516" s="2">
        <v>44945</v>
      </c>
      <c r="B516" s="1" t="s">
        <v>7</v>
      </c>
      <c r="C516" s="1">
        <v>93.68</v>
      </c>
    </row>
    <row r="517" spans="1:3" x14ac:dyDescent="0.2">
      <c r="A517" s="2">
        <v>44946</v>
      </c>
      <c r="B517" s="1" t="s">
        <v>7</v>
      </c>
      <c r="C517" s="1">
        <v>97.25</v>
      </c>
    </row>
    <row r="518" spans="1:3" x14ac:dyDescent="0.2">
      <c r="A518" s="2">
        <v>44949</v>
      </c>
      <c r="B518" s="1" t="s">
        <v>7</v>
      </c>
      <c r="C518" s="1">
        <v>97.52</v>
      </c>
    </row>
    <row r="519" spans="1:3" x14ac:dyDescent="0.2">
      <c r="A519" s="2">
        <v>44950</v>
      </c>
      <c r="B519" s="1" t="s">
        <v>7</v>
      </c>
      <c r="C519" s="1">
        <v>96.32</v>
      </c>
    </row>
    <row r="520" spans="1:3" x14ac:dyDescent="0.2">
      <c r="A520" s="2">
        <v>44951</v>
      </c>
      <c r="B520" s="1" t="s">
        <v>7</v>
      </c>
      <c r="C520" s="1">
        <v>97.18</v>
      </c>
    </row>
    <row r="521" spans="1:3" x14ac:dyDescent="0.2">
      <c r="A521" s="2">
        <v>44952</v>
      </c>
      <c r="B521" s="1" t="s">
        <v>7</v>
      </c>
      <c r="C521" s="1">
        <v>99.22</v>
      </c>
    </row>
    <row r="522" spans="1:3" x14ac:dyDescent="0.2">
      <c r="A522" s="2">
        <v>44953</v>
      </c>
      <c r="B522" s="1" t="s">
        <v>7</v>
      </c>
      <c r="C522" s="1">
        <v>102.24</v>
      </c>
    </row>
    <row r="523" spans="1:3" x14ac:dyDescent="0.2">
      <c r="A523" s="2">
        <v>44956</v>
      </c>
      <c r="B523" s="1" t="s">
        <v>7</v>
      </c>
      <c r="C523" s="1">
        <v>100.55</v>
      </c>
    </row>
    <row r="524" spans="1:3" x14ac:dyDescent="0.2">
      <c r="A524" s="2">
        <v>44957</v>
      </c>
      <c r="B524" s="1" t="s">
        <v>7</v>
      </c>
      <c r="C524" s="1">
        <v>103.13</v>
      </c>
    </row>
    <row r="525" spans="1:3" x14ac:dyDescent="0.2">
      <c r="A525" s="2">
        <v>44958</v>
      </c>
      <c r="B525" s="1" t="s">
        <v>7</v>
      </c>
      <c r="C525" s="1">
        <v>105.15</v>
      </c>
    </row>
    <row r="526" spans="1:3" x14ac:dyDescent="0.2">
      <c r="A526" s="2">
        <v>44959</v>
      </c>
      <c r="B526" s="1" t="s">
        <v>7</v>
      </c>
      <c r="C526" s="1">
        <v>112.91</v>
      </c>
    </row>
    <row r="527" spans="1:3" x14ac:dyDescent="0.2">
      <c r="A527" s="2">
        <v>44960</v>
      </c>
      <c r="B527" s="1" t="s">
        <v>7</v>
      </c>
      <c r="C527" s="1">
        <v>103.39</v>
      </c>
    </row>
    <row r="528" spans="1:3" x14ac:dyDescent="0.2">
      <c r="A528" s="2">
        <v>44963</v>
      </c>
      <c r="B528" s="1" t="s">
        <v>7</v>
      </c>
      <c r="C528" s="1">
        <v>102.18</v>
      </c>
    </row>
    <row r="529" spans="1:3" x14ac:dyDescent="0.2">
      <c r="A529" s="2">
        <v>44964</v>
      </c>
      <c r="B529" s="1" t="s">
        <v>7</v>
      </c>
      <c r="C529" s="1">
        <v>102.11</v>
      </c>
    </row>
    <row r="530" spans="1:3" x14ac:dyDescent="0.2">
      <c r="A530" s="2">
        <v>44965</v>
      </c>
      <c r="B530" s="1" t="s">
        <v>7</v>
      </c>
      <c r="C530" s="1">
        <v>100.05</v>
      </c>
    </row>
    <row r="531" spans="1:3" x14ac:dyDescent="0.2">
      <c r="A531" s="2">
        <v>44966</v>
      </c>
      <c r="B531" s="1" t="s">
        <v>7</v>
      </c>
      <c r="C531" s="1">
        <v>98.24</v>
      </c>
    </row>
    <row r="532" spans="1:3" x14ac:dyDescent="0.2">
      <c r="A532" s="2">
        <v>44967</v>
      </c>
      <c r="B532" s="1" t="s">
        <v>7</v>
      </c>
      <c r="C532" s="1">
        <v>97.61</v>
      </c>
    </row>
    <row r="533" spans="1:3" x14ac:dyDescent="0.2">
      <c r="A533" s="2">
        <v>44970</v>
      </c>
      <c r="B533" s="1" t="s">
        <v>7</v>
      </c>
      <c r="C533" s="1">
        <v>99.54</v>
      </c>
    </row>
    <row r="534" spans="1:3" x14ac:dyDescent="0.2">
      <c r="A534" s="2">
        <v>44971</v>
      </c>
      <c r="B534" s="1" t="s">
        <v>7</v>
      </c>
      <c r="C534" s="1">
        <v>99.7</v>
      </c>
    </row>
    <row r="535" spans="1:3" x14ac:dyDescent="0.2">
      <c r="A535" s="2">
        <v>44972</v>
      </c>
      <c r="B535" s="1" t="s">
        <v>7</v>
      </c>
      <c r="C535" s="1">
        <v>101.16</v>
      </c>
    </row>
    <row r="536" spans="1:3" x14ac:dyDescent="0.2">
      <c r="A536" s="2">
        <v>44973</v>
      </c>
      <c r="B536" s="1" t="s">
        <v>7</v>
      </c>
      <c r="C536" s="1">
        <v>98.15</v>
      </c>
    </row>
    <row r="537" spans="1:3" x14ac:dyDescent="0.2">
      <c r="A537" s="2">
        <v>44974</v>
      </c>
      <c r="B537" s="1" t="s">
        <v>7</v>
      </c>
      <c r="C537" s="1">
        <v>97.2</v>
      </c>
    </row>
    <row r="538" spans="1:3" x14ac:dyDescent="0.2">
      <c r="A538" s="2">
        <v>44978</v>
      </c>
      <c r="B538" s="1" t="s">
        <v>7</v>
      </c>
      <c r="C538" s="1">
        <v>94.58</v>
      </c>
    </row>
    <row r="539" spans="1:3" x14ac:dyDescent="0.2">
      <c r="A539" s="2">
        <v>44979</v>
      </c>
      <c r="B539" s="1" t="s">
        <v>7</v>
      </c>
      <c r="C539" s="1">
        <v>95.79</v>
      </c>
    </row>
    <row r="540" spans="1:3" x14ac:dyDescent="0.2">
      <c r="A540" s="2">
        <v>44980</v>
      </c>
      <c r="B540" s="1" t="s">
        <v>7</v>
      </c>
      <c r="C540" s="1">
        <v>95.82</v>
      </c>
    </row>
    <row r="541" spans="1:3" x14ac:dyDescent="0.2">
      <c r="A541" s="2">
        <v>44981</v>
      </c>
      <c r="B541" s="1" t="s">
        <v>7</v>
      </c>
      <c r="C541" s="1">
        <v>93.5</v>
      </c>
    </row>
    <row r="542" spans="1:3" x14ac:dyDescent="0.2">
      <c r="A542" s="2">
        <v>44984</v>
      </c>
      <c r="B542" s="1" t="s">
        <v>7</v>
      </c>
      <c r="C542" s="1">
        <v>93.76</v>
      </c>
    </row>
    <row r="543" spans="1:3" x14ac:dyDescent="0.2">
      <c r="A543" s="2">
        <v>44985</v>
      </c>
      <c r="B543" s="1" t="s">
        <v>7</v>
      </c>
      <c r="C543" s="1">
        <v>94.23</v>
      </c>
    </row>
    <row r="544" spans="1:3" x14ac:dyDescent="0.2">
      <c r="A544" s="2">
        <v>44986</v>
      </c>
      <c r="B544" s="1" t="s">
        <v>7</v>
      </c>
      <c r="C544" s="1">
        <v>92.17</v>
      </c>
    </row>
    <row r="545" spans="1:3" x14ac:dyDescent="0.2">
      <c r="A545" s="2">
        <v>44987</v>
      </c>
      <c r="B545" s="1" t="s">
        <v>7</v>
      </c>
      <c r="C545" s="1">
        <v>92.13</v>
      </c>
    </row>
    <row r="546" spans="1:3" x14ac:dyDescent="0.2">
      <c r="A546" s="2">
        <v>44988</v>
      </c>
      <c r="B546" s="1" t="s">
        <v>7</v>
      </c>
      <c r="C546" s="1">
        <v>94.9</v>
      </c>
    </row>
    <row r="547" spans="1:3" x14ac:dyDescent="0.2">
      <c r="A547" s="2">
        <v>44991</v>
      </c>
      <c r="B547" s="1" t="s">
        <v>7</v>
      </c>
      <c r="C547" s="1">
        <v>93.75</v>
      </c>
    </row>
    <row r="548" spans="1:3" x14ac:dyDescent="0.2">
      <c r="A548" s="2">
        <v>44992</v>
      </c>
      <c r="B548" s="1" t="s">
        <v>7</v>
      </c>
      <c r="C548" s="1">
        <v>93.55</v>
      </c>
    </row>
    <row r="549" spans="1:3" x14ac:dyDescent="0.2">
      <c r="A549" s="2">
        <v>44993</v>
      </c>
      <c r="B549" s="1" t="s">
        <v>7</v>
      </c>
      <c r="C549" s="1">
        <v>93.92</v>
      </c>
    </row>
    <row r="550" spans="1:3" x14ac:dyDescent="0.2">
      <c r="A550" s="2">
        <v>44994</v>
      </c>
      <c r="B550" s="1" t="s">
        <v>7</v>
      </c>
      <c r="C550" s="1">
        <v>92.25</v>
      </c>
    </row>
    <row r="551" spans="1:3" x14ac:dyDescent="0.2">
      <c r="A551" s="2">
        <v>44995</v>
      </c>
      <c r="B551" s="1" t="s">
        <v>7</v>
      </c>
      <c r="C551" s="1">
        <v>90.73</v>
      </c>
    </row>
    <row r="552" spans="1:3" x14ac:dyDescent="0.2">
      <c r="A552" s="2">
        <v>44998</v>
      </c>
      <c r="B552" s="1" t="s">
        <v>7</v>
      </c>
      <c r="C552" s="1">
        <v>92.43</v>
      </c>
    </row>
    <row r="553" spans="1:3" x14ac:dyDescent="0.2">
      <c r="A553" s="2">
        <v>44999</v>
      </c>
      <c r="B553" s="1" t="s">
        <v>7</v>
      </c>
      <c r="C553" s="1">
        <v>94.88</v>
      </c>
    </row>
    <row r="554" spans="1:3" x14ac:dyDescent="0.2">
      <c r="A554" s="2">
        <v>45000</v>
      </c>
      <c r="B554" s="1" t="s">
        <v>7</v>
      </c>
      <c r="C554" s="1">
        <v>96.2</v>
      </c>
    </row>
    <row r="555" spans="1:3" x14ac:dyDescent="0.2">
      <c r="A555" s="2">
        <v>45001</v>
      </c>
      <c r="B555" s="1" t="s">
        <v>7</v>
      </c>
      <c r="C555" s="1">
        <v>100.04</v>
      </c>
    </row>
    <row r="556" spans="1:3" x14ac:dyDescent="0.2">
      <c r="A556" s="2">
        <v>45002</v>
      </c>
      <c r="B556" s="1" t="s">
        <v>7</v>
      </c>
      <c r="C556" s="1">
        <v>98.95</v>
      </c>
    </row>
    <row r="557" spans="1:3" x14ac:dyDescent="0.2">
      <c r="A557" s="2">
        <v>45005</v>
      </c>
      <c r="B557" s="1" t="s">
        <v>7</v>
      </c>
      <c r="C557" s="1">
        <v>97.71</v>
      </c>
    </row>
    <row r="558" spans="1:3" x14ac:dyDescent="0.2">
      <c r="A558" s="2">
        <v>45006</v>
      </c>
      <c r="B558" s="1" t="s">
        <v>7</v>
      </c>
      <c r="C558" s="1">
        <v>100.61</v>
      </c>
    </row>
    <row r="559" spans="1:3" x14ac:dyDescent="0.2">
      <c r="A559" s="2">
        <v>45007</v>
      </c>
      <c r="B559" s="1" t="s">
        <v>7</v>
      </c>
      <c r="C559" s="1">
        <v>98.7</v>
      </c>
    </row>
    <row r="560" spans="1:3" x14ac:dyDescent="0.2">
      <c r="A560" s="2">
        <v>45008</v>
      </c>
      <c r="B560" s="1" t="s">
        <v>7</v>
      </c>
      <c r="C560" s="1">
        <v>98.71</v>
      </c>
    </row>
    <row r="561" spans="1:3" x14ac:dyDescent="0.2">
      <c r="A561" s="2">
        <v>45009</v>
      </c>
      <c r="B561" s="1" t="s">
        <v>7</v>
      </c>
      <c r="C561" s="1">
        <v>98.13</v>
      </c>
    </row>
    <row r="562" spans="1:3" x14ac:dyDescent="0.2">
      <c r="A562" s="2">
        <v>45012</v>
      </c>
      <c r="B562" s="1" t="s">
        <v>7</v>
      </c>
      <c r="C562" s="1">
        <v>98.04</v>
      </c>
    </row>
    <row r="563" spans="1:3" x14ac:dyDescent="0.2">
      <c r="A563" s="2">
        <v>45013</v>
      </c>
      <c r="B563" s="1" t="s">
        <v>7</v>
      </c>
      <c r="C563" s="1">
        <v>97.24</v>
      </c>
    </row>
    <row r="564" spans="1:3" x14ac:dyDescent="0.2">
      <c r="A564" s="2">
        <v>45014</v>
      </c>
      <c r="B564" s="1" t="s">
        <v>7</v>
      </c>
      <c r="C564" s="1">
        <v>100.25</v>
      </c>
    </row>
    <row r="565" spans="1:3" x14ac:dyDescent="0.2">
      <c r="A565" s="2">
        <v>45015</v>
      </c>
      <c r="B565" s="1" t="s">
        <v>7</v>
      </c>
      <c r="C565" s="1">
        <v>102</v>
      </c>
    </row>
    <row r="566" spans="1:3" x14ac:dyDescent="0.2">
      <c r="A566" s="2">
        <v>45016</v>
      </c>
      <c r="B566" s="1" t="s">
        <v>7</v>
      </c>
      <c r="C566" s="1">
        <v>103.29</v>
      </c>
    </row>
    <row r="567" spans="1:3" x14ac:dyDescent="0.2">
      <c r="A567" s="2">
        <v>45019</v>
      </c>
      <c r="B567" s="1" t="s">
        <v>7</v>
      </c>
      <c r="C567" s="1">
        <v>102.41</v>
      </c>
    </row>
    <row r="568" spans="1:3" x14ac:dyDescent="0.2">
      <c r="A568" s="2">
        <v>45020</v>
      </c>
      <c r="B568" s="1" t="s">
        <v>7</v>
      </c>
      <c r="C568" s="1">
        <v>103.95</v>
      </c>
    </row>
    <row r="569" spans="1:3" x14ac:dyDescent="0.2">
      <c r="A569" s="2">
        <v>45021</v>
      </c>
      <c r="B569" s="1" t="s">
        <v>7</v>
      </c>
      <c r="C569" s="1">
        <v>101.1</v>
      </c>
    </row>
    <row r="570" spans="1:3" x14ac:dyDescent="0.2">
      <c r="A570" s="2">
        <v>45022</v>
      </c>
      <c r="B570" s="1" t="s">
        <v>7</v>
      </c>
      <c r="C570" s="1">
        <v>102.06</v>
      </c>
    </row>
    <row r="571" spans="1:3" x14ac:dyDescent="0.2">
      <c r="A571" s="2">
        <v>45026</v>
      </c>
      <c r="B571" s="1" t="s">
        <v>7</v>
      </c>
      <c r="C571" s="1">
        <v>102.17</v>
      </c>
    </row>
    <row r="572" spans="1:3" x14ac:dyDescent="0.2">
      <c r="A572" s="2">
        <v>45027</v>
      </c>
      <c r="B572" s="1" t="s">
        <v>7</v>
      </c>
      <c r="C572" s="1">
        <v>99.92</v>
      </c>
    </row>
    <row r="573" spans="1:3" x14ac:dyDescent="0.2">
      <c r="A573" s="2">
        <v>45028</v>
      </c>
      <c r="B573" s="1" t="s">
        <v>7</v>
      </c>
      <c r="C573" s="1">
        <v>97.83</v>
      </c>
    </row>
    <row r="574" spans="1:3" x14ac:dyDescent="0.2">
      <c r="A574" s="2">
        <v>45029</v>
      </c>
      <c r="B574" s="1" t="s">
        <v>7</v>
      </c>
      <c r="C574" s="1">
        <v>102.4</v>
      </c>
    </row>
    <row r="575" spans="1:3" x14ac:dyDescent="0.2">
      <c r="A575" s="2">
        <v>45030</v>
      </c>
      <c r="B575" s="1" t="s">
        <v>7</v>
      </c>
      <c r="C575" s="1">
        <v>102.51</v>
      </c>
    </row>
    <row r="576" spans="1:3" x14ac:dyDescent="0.2">
      <c r="A576" s="2">
        <v>45033</v>
      </c>
      <c r="B576" s="1" t="s">
        <v>7</v>
      </c>
      <c r="C576" s="1">
        <v>102.74</v>
      </c>
    </row>
    <row r="577" spans="1:3" x14ac:dyDescent="0.2">
      <c r="A577" s="2">
        <v>45034</v>
      </c>
      <c r="B577" s="1" t="s">
        <v>7</v>
      </c>
      <c r="C577" s="1">
        <v>102.3</v>
      </c>
    </row>
    <row r="578" spans="1:3" x14ac:dyDescent="0.2">
      <c r="A578" s="2">
        <v>45035</v>
      </c>
      <c r="B578" s="1" t="s">
        <v>7</v>
      </c>
      <c r="C578" s="1">
        <v>104.3</v>
      </c>
    </row>
    <row r="579" spans="1:3" x14ac:dyDescent="0.2">
      <c r="A579" s="2">
        <v>45036</v>
      </c>
      <c r="B579" s="1" t="s">
        <v>7</v>
      </c>
      <c r="C579" s="1">
        <v>103.81</v>
      </c>
    </row>
    <row r="580" spans="1:3" x14ac:dyDescent="0.2">
      <c r="A580" s="2">
        <v>45037</v>
      </c>
      <c r="B580" s="1" t="s">
        <v>7</v>
      </c>
      <c r="C580" s="1">
        <v>106.96</v>
      </c>
    </row>
    <row r="581" spans="1:3" x14ac:dyDescent="0.2">
      <c r="A581" s="2">
        <v>45040</v>
      </c>
      <c r="B581" s="1" t="s">
        <v>7</v>
      </c>
      <c r="C581" s="1">
        <v>106.21</v>
      </c>
    </row>
    <row r="582" spans="1:3" x14ac:dyDescent="0.2">
      <c r="A582" s="2">
        <v>45041</v>
      </c>
      <c r="B582" s="1" t="s">
        <v>7</v>
      </c>
      <c r="C582" s="1">
        <v>102.57</v>
      </c>
    </row>
    <row r="583" spans="1:3" x14ac:dyDescent="0.2">
      <c r="A583" s="2">
        <v>45042</v>
      </c>
      <c r="B583" s="1" t="s">
        <v>7</v>
      </c>
      <c r="C583" s="1">
        <v>104.98</v>
      </c>
    </row>
    <row r="584" spans="1:3" x14ac:dyDescent="0.2">
      <c r="A584" s="2">
        <v>45043</v>
      </c>
      <c r="B584" s="1" t="s">
        <v>7</v>
      </c>
      <c r="C584" s="1">
        <v>109.82</v>
      </c>
    </row>
    <row r="585" spans="1:3" x14ac:dyDescent="0.2">
      <c r="A585" s="2">
        <v>45044</v>
      </c>
      <c r="B585" s="1" t="s">
        <v>7</v>
      </c>
      <c r="C585" s="1">
        <v>105.45</v>
      </c>
    </row>
    <row r="586" spans="1:3" x14ac:dyDescent="0.2">
      <c r="A586" s="2">
        <v>45047</v>
      </c>
      <c r="B586" s="1" t="s">
        <v>7</v>
      </c>
      <c r="C586" s="1">
        <v>102.05</v>
      </c>
    </row>
    <row r="587" spans="1:3" x14ac:dyDescent="0.2">
      <c r="A587" s="2">
        <v>45048</v>
      </c>
      <c r="B587" s="1" t="s">
        <v>7</v>
      </c>
      <c r="C587" s="1">
        <v>103.63</v>
      </c>
    </row>
    <row r="588" spans="1:3" x14ac:dyDescent="0.2">
      <c r="A588" s="2">
        <v>45049</v>
      </c>
      <c r="B588" s="1" t="s">
        <v>7</v>
      </c>
      <c r="C588" s="1">
        <v>103.65</v>
      </c>
    </row>
    <row r="589" spans="1:3" x14ac:dyDescent="0.2">
      <c r="A589" s="2">
        <v>45050</v>
      </c>
      <c r="B589" s="1" t="s">
        <v>7</v>
      </c>
      <c r="C589" s="1">
        <v>104</v>
      </c>
    </row>
    <row r="590" spans="1:3" x14ac:dyDescent="0.2">
      <c r="A590" s="2">
        <v>45051</v>
      </c>
      <c r="B590" s="1" t="s">
        <v>7</v>
      </c>
      <c r="C590" s="1">
        <v>105.655</v>
      </c>
    </row>
    <row r="591" spans="1:3" x14ac:dyDescent="0.2">
      <c r="A591" s="2">
        <v>45054</v>
      </c>
      <c r="B591" s="1" t="s">
        <v>7</v>
      </c>
      <c r="C591" s="1">
        <v>105.83</v>
      </c>
    </row>
    <row r="592" spans="1:3" x14ac:dyDescent="0.2">
      <c r="A592" s="2">
        <v>45055</v>
      </c>
      <c r="B592" s="1" t="s">
        <v>7</v>
      </c>
      <c r="C592" s="1">
        <v>106.62</v>
      </c>
    </row>
    <row r="593" spans="1:3" x14ac:dyDescent="0.2">
      <c r="A593" s="2">
        <v>45056</v>
      </c>
      <c r="B593" s="1" t="s">
        <v>7</v>
      </c>
      <c r="C593" s="1">
        <v>110.19</v>
      </c>
    </row>
    <row r="594" spans="1:3" x14ac:dyDescent="0.2">
      <c r="A594" s="2">
        <v>45057</v>
      </c>
      <c r="B594" s="1" t="s">
        <v>7</v>
      </c>
      <c r="C594" s="1">
        <v>112.18</v>
      </c>
    </row>
    <row r="595" spans="1:3" x14ac:dyDescent="0.2">
      <c r="A595" s="2">
        <v>45058</v>
      </c>
      <c r="B595" s="1" t="s">
        <v>7</v>
      </c>
      <c r="C595" s="1">
        <v>110.26</v>
      </c>
    </row>
    <row r="596" spans="1:3" x14ac:dyDescent="0.2">
      <c r="A596" s="2">
        <v>45061</v>
      </c>
      <c r="B596" s="1" t="s">
        <v>7</v>
      </c>
      <c r="C596" s="1">
        <v>111.2</v>
      </c>
    </row>
    <row r="597" spans="1:3" x14ac:dyDescent="0.2">
      <c r="A597" s="2">
        <v>45062</v>
      </c>
      <c r="B597" s="1" t="s">
        <v>7</v>
      </c>
      <c r="C597" s="1">
        <v>113.4</v>
      </c>
    </row>
    <row r="598" spans="1:3" x14ac:dyDescent="0.2">
      <c r="A598" s="2">
        <v>45063</v>
      </c>
      <c r="B598" s="1" t="s">
        <v>7</v>
      </c>
      <c r="C598" s="1">
        <v>115.5</v>
      </c>
    </row>
    <row r="599" spans="1:3" x14ac:dyDescent="0.2">
      <c r="A599" s="2">
        <v>45064</v>
      </c>
      <c r="B599" s="1" t="s">
        <v>7</v>
      </c>
      <c r="C599" s="1">
        <v>118.15</v>
      </c>
    </row>
    <row r="600" spans="1:3" x14ac:dyDescent="0.2">
      <c r="A600" s="2">
        <v>45065</v>
      </c>
      <c r="B600" s="1" t="s">
        <v>7</v>
      </c>
      <c r="C600" s="1">
        <v>116.25</v>
      </c>
    </row>
    <row r="601" spans="1:3" x14ac:dyDescent="0.2">
      <c r="A601" s="2">
        <v>45068</v>
      </c>
      <c r="B601" s="1" t="s">
        <v>7</v>
      </c>
      <c r="C601" s="1">
        <v>115.01</v>
      </c>
    </row>
    <row r="602" spans="1:3" x14ac:dyDescent="0.2">
      <c r="A602" s="2">
        <v>45069</v>
      </c>
      <c r="B602" s="1" t="s">
        <v>7</v>
      </c>
      <c r="C602" s="1">
        <v>114.99</v>
      </c>
    </row>
    <row r="603" spans="1:3" x14ac:dyDescent="0.2">
      <c r="A603" s="2">
        <v>45070</v>
      </c>
      <c r="B603" s="1" t="s">
        <v>7</v>
      </c>
      <c r="C603" s="1">
        <v>116.75</v>
      </c>
    </row>
    <row r="604" spans="1:3" x14ac:dyDescent="0.2">
      <c r="A604" s="2">
        <v>45071</v>
      </c>
      <c r="B604" s="1" t="s">
        <v>7</v>
      </c>
      <c r="C604" s="1">
        <v>115</v>
      </c>
    </row>
    <row r="605" spans="1:3" x14ac:dyDescent="0.2">
      <c r="A605" s="2">
        <v>45072</v>
      </c>
      <c r="B605" s="1" t="s">
        <v>7</v>
      </c>
      <c r="C605" s="1">
        <v>120.11</v>
      </c>
    </row>
    <row r="606" spans="1:3" x14ac:dyDescent="0.2">
      <c r="A606" s="2">
        <v>45076</v>
      </c>
      <c r="B606" s="1" t="s">
        <v>7</v>
      </c>
      <c r="C606" s="1">
        <v>121.66</v>
      </c>
    </row>
    <row r="607" spans="1:3" x14ac:dyDescent="0.2">
      <c r="A607" s="2">
        <v>45077</v>
      </c>
      <c r="B607" s="1" t="s">
        <v>7</v>
      </c>
      <c r="C607" s="1">
        <v>120.58</v>
      </c>
    </row>
    <row r="608" spans="1:3" x14ac:dyDescent="0.2">
      <c r="A608" s="2">
        <v>45078</v>
      </c>
      <c r="B608" s="1" t="s">
        <v>7</v>
      </c>
      <c r="C608" s="1">
        <v>122.77</v>
      </c>
    </row>
    <row r="609" spans="1:3" x14ac:dyDescent="0.2">
      <c r="A609" s="2">
        <v>45079</v>
      </c>
      <c r="B609" s="1" t="s">
        <v>7</v>
      </c>
      <c r="C609" s="1">
        <v>124.25</v>
      </c>
    </row>
    <row r="610" spans="1:3" x14ac:dyDescent="0.2">
      <c r="A610" s="2">
        <v>45082</v>
      </c>
      <c r="B610" s="1" t="s">
        <v>7</v>
      </c>
      <c r="C610" s="1">
        <v>125.3</v>
      </c>
    </row>
    <row r="611" spans="1:3" x14ac:dyDescent="0.2">
      <c r="A611" s="2">
        <v>45083</v>
      </c>
      <c r="B611" s="1" t="s">
        <v>7</v>
      </c>
      <c r="C611" s="1">
        <v>126.61</v>
      </c>
    </row>
    <row r="612" spans="1:3" x14ac:dyDescent="0.2">
      <c r="A612" s="2">
        <v>45084</v>
      </c>
      <c r="B612" s="1" t="s">
        <v>7</v>
      </c>
      <c r="C612" s="1">
        <v>121.23</v>
      </c>
    </row>
    <row r="613" spans="1:3" x14ac:dyDescent="0.2">
      <c r="A613" s="2">
        <v>45085</v>
      </c>
      <c r="B613" s="1" t="s">
        <v>7</v>
      </c>
      <c r="C613" s="1">
        <v>124.25</v>
      </c>
    </row>
    <row r="614" spans="1:3" x14ac:dyDescent="0.2">
      <c r="A614" s="2">
        <v>45086</v>
      </c>
      <c r="B614" s="1" t="s">
        <v>7</v>
      </c>
      <c r="C614" s="1">
        <v>123.43</v>
      </c>
    </row>
    <row r="615" spans="1:3" x14ac:dyDescent="0.2">
      <c r="A615" s="2">
        <v>45089</v>
      </c>
      <c r="B615" s="1" t="s">
        <v>7</v>
      </c>
      <c r="C615" s="1">
        <v>126.57</v>
      </c>
    </row>
    <row r="616" spans="1:3" x14ac:dyDescent="0.2">
      <c r="A616" s="2">
        <v>45090</v>
      </c>
      <c r="B616" s="1" t="s">
        <v>7</v>
      </c>
      <c r="C616" s="1">
        <v>126.66</v>
      </c>
    </row>
    <row r="617" spans="1:3" x14ac:dyDescent="0.2">
      <c r="A617" s="2">
        <v>45091</v>
      </c>
      <c r="B617" s="1" t="s">
        <v>7</v>
      </c>
      <c r="C617" s="1">
        <v>126.42</v>
      </c>
    </row>
    <row r="618" spans="1:3" x14ac:dyDescent="0.2">
      <c r="A618" s="2">
        <v>45092</v>
      </c>
      <c r="B618" s="1" t="s">
        <v>7</v>
      </c>
      <c r="C618" s="1">
        <v>127.11</v>
      </c>
    </row>
    <row r="619" spans="1:3" x14ac:dyDescent="0.2">
      <c r="A619" s="2">
        <v>45093</v>
      </c>
      <c r="B619" s="1" t="s">
        <v>7</v>
      </c>
      <c r="C619" s="1">
        <v>125.49</v>
      </c>
    </row>
    <row r="620" spans="1:3" x14ac:dyDescent="0.2">
      <c r="A620" s="2">
        <v>45097</v>
      </c>
      <c r="B620" s="1" t="s">
        <v>7</v>
      </c>
      <c r="C620" s="1">
        <v>125.78</v>
      </c>
    </row>
    <row r="621" spans="1:3" x14ac:dyDescent="0.2">
      <c r="A621" s="2">
        <v>45098</v>
      </c>
      <c r="B621" s="1" t="s">
        <v>7</v>
      </c>
      <c r="C621" s="1">
        <v>124.83</v>
      </c>
    </row>
    <row r="622" spans="1:3" x14ac:dyDescent="0.2">
      <c r="A622" s="2">
        <v>45099</v>
      </c>
      <c r="B622" s="1" t="s">
        <v>7</v>
      </c>
      <c r="C622" s="1">
        <v>130.15</v>
      </c>
    </row>
    <row r="623" spans="1:3" x14ac:dyDescent="0.2">
      <c r="A623" s="2">
        <v>45100</v>
      </c>
      <c r="B623" s="1" t="s">
        <v>7</v>
      </c>
      <c r="C623" s="1">
        <v>129.33000000000001</v>
      </c>
    </row>
    <row r="624" spans="1:3" x14ac:dyDescent="0.2">
      <c r="A624" s="2">
        <v>45103</v>
      </c>
      <c r="B624" s="1" t="s">
        <v>7</v>
      </c>
      <c r="C624" s="1">
        <v>127.33</v>
      </c>
    </row>
    <row r="625" spans="1:3" x14ac:dyDescent="0.2">
      <c r="A625" s="2">
        <v>45104</v>
      </c>
      <c r="B625" s="1" t="s">
        <v>7</v>
      </c>
      <c r="C625" s="1">
        <v>129.18</v>
      </c>
    </row>
    <row r="626" spans="1:3" x14ac:dyDescent="0.2">
      <c r="A626" s="2">
        <v>45105</v>
      </c>
      <c r="B626" s="1" t="s">
        <v>7</v>
      </c>
      <c r="C626" s="1">
        <v>129.04</v>
      </c>
    </row>
    <row r="627" spans="1:3" x14ac:dyDescent="0.2">
      <c r="A627" s="2">
        <v>45106</v>
      </c>
      <c r="B627" s="1" t="s">
        <v>7</v>
      </c>
      <c r="C627" s="1">
        <v>127.9</v>
      </c>
    </row>
    <row r="628" spans="1:3" x14ac:dyDescent="0.2">
      <c r="A628" s="2">
        <v>45107</v>
      </c>
      <c r="B628" s="1" t="s">
        <v>7</v>
      </c>
      <c r="C628" s="1">
        <v>130.36000000000001</v>
      </c>
    </row>
    <row r="629" spans="1:3" x14ac:dyDescent="0.2">
      <c r="A629" s="2">
        <v>45110</v>
      </c>
      <c r="B629" s="1" t="s">
        <v>7</v>
      </c>
      <c r="C629" s="1">
        <v>130.22</v>
      </c>
    </row>
    <row r="630" spans="1:3" x14ac:dyDescent="0.2">
      <c r="A630" s="2">
        <v>45112</v>
      </c>
      <c r="B630" s="1" t="s">
        <v>7</v>
      </c>
      <c r="C630" s="1">
        <v>130.38</v>
      </c>
    </row>
    <row r="631" spans="1:3" x14ac:dyDescent="0.2">
      <c r="A631" s="2">
        <v>45113</v>
      </c>
      <c r="B631" s="1" t="s">
        <v>7</v>
      </c>
      <c r="C631" s="1">
        <v>128.36000000000001</v>
      </c>
    </row>
    <row r="632" spans="1:3" x14ac:dyDescent="0.2">
      <c r="A632" s="2">
        <v>45114</v>
      </c>
      <c r="B632" s="1" t="s">
        <v>7</v>
      </c>
      <c r="C632" s="1">
        <v>129.78</v>
      </c>
    </row>
    <row r="633" spans="1:3" x14ac:dyDescent="0.2">
      <c r="A633" s="2">
        <v>45117</v>
      </c>
      <c r="B633" s="1" t="s">
        <v>7</v>
      </c>
      <c r="C633" s="1">
        <v>127.13</v>
      </c>
    </row>
    <row r="634" spans="1:3" x14ac:dyDescent="0.2">
      <c r="A634" s="2">
        <v>45118</v>
      </c>
      <c r="B634" s="1" t="s">
        <v>7</v>
      </c>
      <c r="C634" s="1">
        <v>128.78</v>
      </c>
    </row>
    <row r="635" spans="1:3" x14ac:dyDescent="0.2">
      <c r="A635" s="2">
        <v>45119</v>
      </c>
      <c r="B635" s="1" t="s">
        <v>7</v>
      </c>
      <c r="C635" s="1">
        <v>130.80000000000001</v>
      </c>
    </row>
    <row r="636" spans="1:3" x14ac:dyDescent="0.2">
      <c r="A636" s="2">
        <v>45120</v>
      </c>
      <c r="B636" s="1" t="s">
        <v>7</v>
      </c>
      <c r="C636" s="1">
        <v>134.30000000000001</v>
      </c>
    </row>
    <row r="637" spans="1:3" x14ac:dyDescent="0.2">
      <c r="A637" s="2">
        <v>45121</v>
      </c>
      <c r="B637" s="1" t="s">
        <v>7</v>
      </c>
      <c r="C637" s="1">
        <v>134.68</v>
      </c>
    </row>
    <row r="638" spans="1:3" x14ac:dyDescent="0.2">
      <c r="A638" s="2">
        <v>45124</v>
      </c>
      <c r="B638" s="1" t="s">
        <v>7</v>
      </c>
      <c r="C638" s="1">
        <v>133.56</v>
      </c>
    </row>
    <row r="639" spans="1:3" x14ac:dyDescent="0.2">
      <c r="A639" s="2">
        <v>45125</v>
      </c>
      <c r="B639" s="1" t="s">
        <v>7</v>
      </c>
      <c r="C639" s="1">
        <v>132.83000000000001</v>
      </c>
    </row>
    <row r="640" spans="1:3" x14ac:dyDescent="0.2">
      <c r="A640" s="2">
        <v>45126</v>
      </c>
      <c r="B640" s="1" t="s">
        <v>7</v>
      </c>
      <c r="C640" s="1">
        <v>135.36000000000001</v>
      </c>
    </row>
    <row r="641" spans="1:3" x14ac:dyDescent="0.2">
      <c r="A641" s="2">
        <v>45127</v>
      </c>
      <c r="B641" s="1" t="s">
        <v>7</v>
      </c>
      <c r="C641" s="1">
        <v>129.96</v>
      </c>
    </row>
    <row r="642" spans="1:3" x14ac:dyDescent="0.2">
      <c r="A642" s="2">
        <v>45128</v>
      </c>
      <c r="B642" s="1" t="s">
        <v>7</v>
      </c>
      <c r="C642" s="1">
        <v>130</v>
      </c>
    </row>
    <row r="643" spans="1:3" x14ac:dyDescent="0.2">
      <c r="A643" s="2">
        <v>45131</v>
      </c>
      <c r="B643" s="1" t="s">
        <v>7</v>
      </c>
      <c r="C643" s="1">
        <v>128.80000000000001</v>
      </c>
    </row>
    <row r="644" spans="1:3" x14ac:dyDescent="0.2">
      <c r="A644" s="2">
        <v>45132</v>
      </c>
      <c r="B644" s="1" t="s">
        <v>7</v>
      </c>
      <c r="C644" s="1">
        <v>129.13</v>
      </c>
    </row>
    <row r="645" spans="1:3" x14ac:dyDescent="0.2">
      <c r="A645" s="2">
        <v>45133</v>
      </c>
      <c r="B645" s="1" t="s">
        <v>7</v>
      </c>
      <c r="C645" s="1">
        <v>128.15</v>
      </c>
    </row>
    <row r="646" spans="1:3" x14ac:dyDescent="0.2">
      <c r="A646" s="2">
        <v>45134</v>
      </c>
      <c r="B646" s="1" t="s">
        <v>7</v>
      </c>
      <c r="C646" s="1">
        <v>128.25</v>
      </c>
    </row>
    <row r="647" spans="1:3" x14ac:dyDescent="0.2">
      <c r="A647" s="2">
        <v>45135</v>
      </c>
      <c r="B647" s="1" t="s">
        <v>7</v>
      </c>
      <c r="C647" s="1">
        <v>132.21</v>
      </c>
    </row>
    <row r="648" spans="1:3" x14ac:dyDescent="0.2">
      <c r="A648" s="2">
        <v>45138</v>
      </c>
      <c r="B648" s="1" t="s">
        <v>7</v>
      </c>
      <c r="C648" s="1">
        <v>133.68</v>
      </c>
    </row>
    <row r="649" spans="1:3" x14ac:dyDescent="0.2">
      <c r="A649" s="2">
        <v>45139</v>
      </c>
      <c r="B649" s="1" t="s">
        <v>7</v>
      </c>
      <c r="C649" s="1">
        <v>131.69</v>
      </c>
    </row>
    <row r="650" spans="1:3" x14ac:dyDescent="0.2">
      <c r="A650" s="2">
        <v>45140</v>
      </c>
      <c r="B650" s="1" t="s">
        <v>7</v>
      </c>
      <c r="C650" s="1">
        <v>128.21</v>
      </c>
    </row>
    <row r="651" spans="1:3" x14ac:dyDescent="0.2">
      <c r="A651" s="2">
        <v>45141</v>
      </c>
      <c r="B651" s="1" t="s">
        <v>7</v>
      </c>
      <c r="C651" s="1">
        <v>128.91</v>
      </c>
    </row>
    <row r="652" spans="1:3" x14ac:dyDescent="0.2">
      <c r="A652" s="2">
        <v>45142</v>
      </c>
      <c r="B652" s="1" t="s">
        <v>7</v>
      </c>
      <c r="C652" s="1">
        <v>139.57</v>
      </c>
    </row>
    <row r="653" spans="1:3" x14ac:dyDescent="0.2">
      <c r="A653" s="2">
        <v>45145</v>
      </c>
      <c r="B653" s="1" t="s">
        <v>7</v>
      </c>
      <c r="C653" s="1">
        <v>142.22</v>
      </c>
    </row>
    <row r="654" spans="1:3" x14ac:dyDescent="0.2">
      <c r="A654" s="2">
        <v>45146</v>
      </c>
      <c r="B654" s="1" t="s">
        <v>7</v>
      </c>
      <c r="C654" s="1">
        <v>139.94</v>
      </c>
    </row>
    <row r="655" spans="1:3" x14ac:dyDescent="0.2">
      <c r="A655" s="2">
        <v>45147</v>
      </c>
      <c r="B655" s="1" t="s">
        <v>7</v>
      </c>
      <c r="C655" s="1">
        <v>137.85</v>
      </c>
    </row>
    <row r="656" spans="1:3" x14ac:dyDescent="0.2">
      <c r="A656" s="2">
        <v>45148</v>
      </c>
      <c r="B656" s="1" t="s">
        <v>7</v>
      </c>
      <c r="C656" s="1">
        <v>138.56</v>
      </c>
    </row>
    <row r="657" spans="1:3" x14ac:dyDescent="0.2">
      <c r="A657" s="2">
        <v>45149</v>
      </c>
      <c r="B657" s="1" t="s">
        <v>7</v>
      </c>
      <c r="C657" s="1">
        <v>138.41</v>
      </c>
    </row>
    <row r="658" spans="1:3" x14ac:dyDescent="0.2">
      <c r="A658" s="2">
        <v>45152</v>
      </c>
      <c r="B658" s="1" t="s">
        <v>7</v>
      </c>
      <c r="C658" s="1">
        <v>140.57</v>
      </c>
    </row>
    <row r="659" spans="1:3" x14ac:dyDescent="0.2">
      <c r="A659" s="2">
        <v>45153</v>
      </c>
      <c r="B659" s="1" t="s">
        <v>7</v>
      </c>
      <c r="C659" s="1">
        <v>137.66999999999999</v>
      </c>
    </row>
    <row r="660" spans="1:3" x14ac:dyDescent="0.2">
      <c r="A660" s="2">
        <v>45154</v>
      </c>
      <c r="B660" s="1" t="s">
        <v>7</v>
      </c>
      <c r="C660" s="1">
        <v>135.07</v>
      </c>
    </row>
    <row r="661" spans="1:3" x14ac:dyDescent="0.2">
      <c r="A661" s="2">
        <v>45155</v>
      </c>
      <c r="B661" s="1" t="s">
        <v>7</v>
      </c>
      <c r="C661" s="1">
        <v>133.97999999999999</v>
      </c>
    </row>
    <row r="662" spans="1:3" x14ac:dyDescent="0.2">
      <c r="A662" s="2">
        <v>45156</v>
      </c>
      <c r="B662" s="1" t="s">
        <v>7</v>
      </c>
      <c r="C662" s="1">
        <v>133.22</v>
      </c>
    </row>
    <row r="663" spans="1:3" x14ac:dyDescent="0.2">
      <c r="A663" s="2">
        <v>45159</v>
      </c>
      <c r="B663" s="1" t="s">
        <v>7</v>
      </c>
      <c r="C663" s="1">
        <v>134.68</v>
      </c>
    </row>
    <row r="664" spans="1:3" x14ac:dyDescent="0.2">
      <c r="A664" s="2">
        <v>45160</v>
      </c>
      <c r="B664" s="1" t="s">
        <v>7</v>
      </c>
      <c r="C664" s="1">
        <v>134.25</v>
      </c>
    </row>
    <row r="665" spans="1:3" x14ac:dyDescent="0.2">
      <c r="A665" s="2">
        <v>45161</v>
      </c>
      <c r="B665" s="1" t="s">
        <v>7</v>
      </c>
      <c r="C665" s="1">
        <v>135.52000000000001</v>
      </c>
    </row>
    <row r="666" spans="1:3" x14ac:dyDescent="0.2">
      <c r="A666" s="2">
        <v>45162</v>
      </c>
      <c r="B666" s="1" t="s">
        <v>7</v>
      </c>
      <c r="C666" s="1">
        <v>131.84</v>
      </c>
    </row>
    <row r="667" spans="1:3" x14ac:dyDescent="0.2">
      <c r="A667" s="2">
        <v>45163</v>
      </c>
      <c r="B667" s="1" t="s">
        <v>7</v>
      </c>
      <c r="C667" s="1">
        <v>133.26</v>
      </c>
    </row>
    <row r="668" spans="1:3" x14ac:dyDescent="0.2">
      <c r="A668" s="2">
        <v>45166</v>
      </c>
      <c r="B668" s="1" t="s">
        <v>7</v>
      </c>
      <c r="C668" s="1">
        <v>133.13999999999999</v>
      </c>
    </row>
    <row r="669" spans="1:3" x14ac:dyDescent="0.2">
      <c r="A669" s="2">
        <v>45167</v>
      </c>
      <c r="B669" s="1" t="s">
        <v>7</v>
      </c>
      <c r="C669" s="1">
        <v>134.91</v>
      </c>
    </row>
    <row r="670" spans="1:3" x14ac:dyDescent="0.2">
      <c r="A670" s="2">
        <v>45168</v>
      </c>
      <c r="B670" s="1" t="s">
        <v>7</v>
      </c>
      <c r="C670" s="1">
        <v>135.07</v>
      </c>
    </row>
    <row r="671" spans="1:3" x14ac:dyDescent="0.2">
      <c r="A671" s="2">
        <v>45169</v>
      </c>
      <c r="B671" s="1" t="s">
        <v>7</v>
      </c>
      <c r="C671" s="1">
        <v>138.01</v>
      </c>
    </row>
    <row r="672" spans="1:3" x14ac:dyDescent="0.2">
      <c r="A672" s="2">
        <v>45170</v>
      </c>
      <c r="B672" s="1" t="s">
        <v>7</v>
      </c>
      <c r="C672" s="1">
        <v>138.12</v>
      </c>
    </row>
    <row r="673" spans="1:3" x14ac:dyDescent="0.2">
      <c r="A673" s="2">
        <v>45174</v>
      </c>
      <c r="B673" s="1" t="s">
        <v>7</v>
      </c>
      <c r="C673" s="1">
        <v>137.27000000000001</v>
      </c>
    </row>
    <row r="674" spans="1:3" x14ac:dyDescent="0.2">
      <c r="A674" s="2">
        <v>45175</v>
      </c>
      <c r="B674" s="1" t="s">
        <v>7</v>
      </c>
      <c r="C674" s="1">
        <v>135.36000000000001</v>
      </c>
    </row>
    <row r="675" spans="1:3" x14ac:dyDescent="0.2">
      <c r="A675" s="2">
        <v>45176</v>
      </c>
      <c r="B675" s="1" t="s">
        <v>7</v>
      </c>
      <c r="C675" s="1">
        <v>137.85</v>
      </c>
    </row>
    <row r="676" spans="1:3" x14ac:dyDescent="0.2">
      <c r="A676" s="2">
        <v>45177</v>
      </c>
      <c r="B676" s="1" t="s">
        <v>7</v>
      </c>
      <c r="C676" s="1">
        <v>138.22999999999999</v>
      </c>
    </row>
    <row r="677" spans="1:3" x14ac:dyDescent="0.2">
      <c r="A677" s="2">
        <v>45180</v>
      </c>
      <c r="B677" s="1" t="s">
        <v>7</v>
      </c>
      <c r="C677" s="1">
        <v>143.1</v>
      </c>
    </row>
    <row r="678" spans="1:3" x14ac:dyDescent="0.2">
      <c r="A678" s="2">
        <v>45181</v>
      </c>
      <c r="B678" s="1" t="s">
        <v>7</v>
      </c>
      <c r="C678" s="1">
        <v>141.22999999999999</v>
      </c>
    </row>
    <row r="679" spans="1:3" x14ac:dyDescent="0.2">
      <c r="A679" s="2">
        <v>45182</v>
      </c>
      <c r="B679" s="1" t="s">
        <v>7</v>
      </c>
      <c r="C679" s="1">
        <v>144.85</v>
      </c>
    </row>
    <row r="680" spans="1:3" x14ac:dyDescent="0.2">
      <c r="A680" s="2">
        <v>45183</v>
      </c>
      <c r="B680" s="1" t="s">
        <v>7</v>
      </c>
      <c r="C680" s="1">
        <v>144.72</v>
      </c>
    </row>
    <row r="681" spans="1:3" x14ac:dyDescent="0.2">
      <c r="A681" s="2">
        <v>45184</v>
      </c>
      <c r="B681" s="1" t="s">
        <v>7</v>
      </c>
      <c r="C681" s="1">
        <v>140.38999999999999</v>
      </c>
    </row>
    <row r="682" spans="1:3" x14ac:dyDescent="0.2">
      <c r="A682" s="2">
        <v>45187</v>
      </c>
      <c r="B682" s="1" t="s">
        <v>7</v>
      </c>
      <c r="C682" s="1">
        <v>139.97999999999999</v>
      </c>
    </row>
    <row r="683" spans="1:3" x14ac:dyDescent="0.2">
      <c r="A683" s="2">
        <v>45188</v>
      </c>
      <c r="B683" s="1" t="s">
        <v>7</v>
      </c>
      <c r="C683" s="1">
        <v>137.63</v>
      </c>
    </row>
    <row r="684" spans="1:3" x14ac:dyDescent="0.2">
      <c r="A684" s="2">
        <v>45189</v>
      </c>
      <c r="B684" s="1" t="s">
        <v>7</v>
      </c>
      <c r="C684" s="1">
        <v>135.29</v>
      </c>
    </row>
    <row r="685" spans="1:3" x14ac:dyDescent="0.2">
      <c r="A685" s="2">
        <v>45190</v>
      </c>
      <c r="B685" s="1" t="s">
        <v>7</v>
      </c>
      <c r="C685" s="1">
        <v>129.33000000000001</v>
      </c>
    </row>
    <row r="686" spans="1:3" x14ac:dyDescent="0.2">
      <c r="A686" s="2">
        <v>45191</v>
      </c>
      <c r="B686" s="1" t="s">
        <v>7</v>
      </c>
      <c r="C686" s="1">
        <v>129.12</v>
      </c>
    </row>
    <row r="687" spans="1:3" x14ac:dyDescent="0.2">
      <c r="A687" s="2">
        <v>45194</v>
      </c>
      <c r="B687" s="1" t="s">
        <v>7</v>
      </c>
      <c r="C687" s="1">
        <v>131.27000000000001</v>
      </c>
    </row>
    <row r="688" spans="1:3" x14ac:dyDescent="0.2">
      <c r="A688" s="2">
        <v>45195</v>
      </c>
      <c r="B688" s="1" t="s">
        <v>7</v>
      </c>
      <c r="C688" s="1">
        <v>125.98</v>
      </c>
    </row>
    <row r="689" spans="1:3" x14ac:dyDescent="0.2">
      <c r="A689" s="2">
        <v>45196</v>
      </c>
      <c r="B689" s="1" t="s">
        <v>7</v>
      </c>
      <c r="C689" s="1">
        <v>125.98</v>
      </c>
    </row>
    <row r="690" spans="1:3" x14ac:dyDescent="0.2">
      <c r="A690" s="2">
        <v>45197</v>
      </c>
      <c r="B690" s="1" t="s">
        <v>7</v>
      </c>
      <c r="C690" s="1">
        <v>125.98</v>
      </c>
    </row>
    <row r="691" spans="1:3" x14ac:dyDescent="0.2">
      <c r="A691" s="2">
        <v>45198</v>
      </c>
      <c r="B691" s="1" t="s">
        <v>7</v>
      </c>
      <c r="C691" s="1">
        <v>127.12</v>
      </c>
    </row>
    <row r="692" spans="1:3" x14ac:dyDescent="0.2">
      <c r="A692" s="2">
        <v>45201</v>
      </c>
      <c r="B692" s="1" t="s">
        <v>7</v>
      </c>
      <c r="C692" s="1">
        <v>129.46</v>
      </c>
    </row>
    <row r="693" spans="1:3" x14ac:dyDescent="0.2">
      <c r="A693" s="2">
        <v>45202</v>
      </c>
      <c r="B693" s="1" t="s">
        <v>7</v>
      </c>
      <c r="C693" s="1">
        <v>124.72</v>
      </c>
    </row>
    <row r="694" spans="1:3" x14ac:dyDescent="0.2">
      <c r="A694" s="2">
        <v>45203</v>
      </c>
      <c r="B694" s="1" t="s">
        <v>7</v>
      </c>
      <c r="C694" s="1">
        <v>127</v>
      </c>
    </row>
    <row r="695" spans="1:3" x14ac:dyDescent="0.2">
      <c r="A695" s="2">
        <v>45204</v>
      </c>
      <c r="B695" s="1" t="s">
        <v>7</v>
      </c>
      <c r="C695" s="1">
        <v>125.96</v>
      </c>
    </row>
    <row r="696" spans="1:3" x14ac:dyDescent="0.2">
      <c r="A696" s="2">
        <v>45205</v>
      </c>
      <c r="B696" s="1" t="s">
        <v>7</v>
      </c>
      <c r="C696" s="1">
        <v>127.96</v>
      </c>
    </row>
    <row r="697" spans="1:3" x14ac:dyDescent="0.2">
      <c r="A697" s="2">
        <v>45208</v>
      </c>
      <c r="B697" s="1" t="s">
        <v>7</v>
      </c>
      <c r="C697" s="1">
        <v>128.26</v>
      </c>
    </row>
    <row r="698" spans="1:3" x14ac:dyDescent="0.2">
      <c r="A698" s="2">
        <v>45209</v>
      </c>
      <c r="B698" s="1" t="s">
        <v>7</v>
      </c>
      <c r="C698" s="1">
        <v>129.47999999999999</v>
      </c>
    </row>
    <row r="699" spans="1:3" x14ac:dyDescent="0.2">
      <c r="A699" s="2">
        <v>45210</v>
      </c>
      <c r="B699" s="1" t="s">
        <v>7</v>
      </c>
      <c r="C699" s="1">
        <v>131.83000000000001</v>
      </c>
    </row>
    <row r="700" spans="1:3" x14ac:dyDescent="0.2">
      <c r="A700" s="2">
        <v>45211</v>
      </c>
      <c r="B700" s="1" t="s">
        <v>7</v>
      </c>
      <c r="C700" s="1">
        <v>132.33000000000001</v>
      </c>
    </row>
    <row r="701" spans="1:3" x14ac:dyDescent="0.2">
      <c r="A701" s="2">
        <v>45212</v>
      </c>
      <c r="B701" s="1" t="s">
        <v>7</v>
      </c>
      <c r="C701" s="1">
        <v>129.79</v>
      </c>
    </row>
    <row r="702" spans="1:3" x14ac:dyDescent="0.2">
      <c r="A702" s="2">
        <v>45215</v>
      </c>
      <c r="B702" s="1" t="s">
        <v>7</v>
      </c>
      <c r="C702" s="1">
        <v>132.55000000000001</v>
      </c>
    </row>
    <row r="703" spans="1:3" x14ac:dyDescent="0.2">
      <c r="A703" s="2">
        <v>45216</v>
      </c>
      <c r="B703" s="1" t="s">
        <v>7</v>
      </c>
      <c r="C703" s="1">
        <v>131.47</v>
      </c>
    </row>
    <row r="704" spans="1:3" x14ac:dyDescent="0.2">
      <c r="A704" s="2">
        <v>45217</v>
      </c>
      <c r="B704" s="1" t="s">
        <v>7</v>
      </c>
      <c r="C704" s="1">
        <v>128.13</v>
      </c>
    </row>
    <row r="705" spans="1:3" x14ac:dyDescent="0.2">
      <c r="A705" s="2">
        <v>45218</v>
      </c>
      <c r="B705" s="1" t="s">
        <v>7</v>
      </c>
      <c r="C705" s="1">
        <v>128.4</v>
      </c>
    </row>
    <row r="706" spans="1:3" x14ac:dyDescent="0.2">
      <c r="A706" s="2">
        <v>45219</v>
      </c>
      <c r="B706" s="1" t="s">
        <v>7</v>
      </c>
      <c r="C706" s="1">
        <v>125.17</v>
      </c>
    </row>
    <row r="707" spans="1:3" x14ac:dyDescent="0.2">
      <c r="A707" s="2">
        <v>45222</v>
      </c>
      <c r="B707" s="1" t="s">
        <v>7</v>
      </c>
      <c r="C707" s="1">
        <v>126.56</v>
      </c>
    </row>
    <row r="708" spans="1:3" x14ac:dyDescent="0.2">
      <c r="A708" s="2">
        <v>45223</v>
      </c>
      <c r="B708" s="1" t="s">
        <v>7</v>
      </c>
      <c r="C708" s="1">
        <v>128.56</v>
      </c>
    </row>
    <row r="709" spans="1:3" x14ac:dyDescent="0.2">
      <c r="A709" s="2">
        <v>45224</v>
      </c>
      <c r="B709" s="1" t="s">
        <v>7</v>
      </c>
      <c r="C709" s="1">
        <v>121.39</v>
      </c>
    </row>
    <row r="710" spans="1:3" x14ac:dyDescent="0.2">
      <c r="A710" s="2">
        <v>45225</v>
      </c>
      <c r="B710" s="1" t="s">
        <v>7</v>
      </c>
      <c r="C710" s="1">
        <v>119.57</v>
      </c>
    </row>
    <row r="711" spans="1:3" x14ac:dyDescent="0.2">
      <c r="A711" s="2">
        <v>45226</v>
      </c>
      <c r="B711" s="1" t="s">
        <v>7</v>
      </c>
      <c r="C711" s="1">
        <v>127.74</v>
      </c>
    </row>
    <row r="712" spans="1:3" x14ac:dyDescent="0.2">
      <c r="A712" s="2">
        <v>45229</v>
      </c>
      <c r="B712" s="1" t="s">
        <v>7</v>
      </c>
      <c r="C712" s="1">
        <v>132.71</v>
      </c>
    </row>
    <row r="713" spans="1:3" x14ac:dyDescent="0.2">
      <c r="A713" s="2">
        <v>45230</v>
      </c>
      <c r="B713" s="1" t="s">
        <v>7</v>
      </c>
      <c r="C713" s="1">
        <v>133.09</v>
      </c>
    </row>
    <row r="714" spans="1:3" x14ac:dyDescent="0.2">
      <c r="A714" s="2">
        <v>45231</v>
      </c>
      <c r="B714" s="1" t="s">
        <v>7</v>
      </c>
      <c r="C714" s="1">
        <v>137</v>
      </c>
    </row>
    <row r="715" spans="1:3" x14ac:dyDescent="0.2">
      <c r="A715" s="2">
        <v>45232</v>
      </c>
      <c r="B715" s="1" t="s">
        <v>7</v>
      </c>
      <c r="C715" s="1">
        <v>138.07</v>
      </c>
    </row>
    <row r="716" spans="1:3" x14ac:dyDescent="0.2">
      <c r="A716" s="2">
        <v>45233</v>
      </c>
      <c r="B716" s="1" t="s">
        <v>7</v>
      </c>
      <c r="C716" s="1">
        <v>138.6</v>
      </c>
    </row>
    <row r="717" spans="1:3" x14ac:dyDescent="0.2">
      <c r="A717" s="2">
        <v>45236</v>
      </c>
      <c r="B717" s="1" t="s">
        <v>7</v>
      </c>
      <c r="C717" s="1">
        <v>139.74</v>
      </c>
    </row>
    <row r="718" spans="1:3" x14ac:dyDescent="0.2">
      <c r="A718" s="2">
        <v>45237</v>
      </c>
      <c r="B718" s="1" t="s">
        <v>7</v>
      </c>
      <c r="C718" s="1">
        <v>142.71</v>
      </c>
    </row>
    <row r="719" spans="1:3" x14ac:dyDescent="0.2">
      <c r="A719" s="2">
        <v>45238</v>
      </c>
      <c r="B719" s="1" t="s">
        <v>7</v>
      </c>
      <c r="C719" s="1">
        <v>142.08000000000001</v>
      </c>
    </row>
    <row r="720" spans="1:3" x14ac:dyDescent="0.2">
      <c r="A720" s="2">
        <v>45239</v>
      </c>
      <c r="B720" s="1" t="s">
        <v>7</v>
      </c>
      <c r="C720" s="1">
        <v>140.6</v>
      </c>
    </row>
    <row r="721" spans="1:3" x14ac:dyDescent="0.2">
      <c r="A721" s="2">
        <v>45240</v>
      </c>
      <c r="B721" s="1" t="s">
        <v>7</v>
      </c>
      <c r="C721" s="1">
        <v>143.56</v>
      </c>
    </row>
    <row r="722" spans="1:3" x14ac:dyDescent="0.2">
      <c r="A722" s="2">
        <v>45243</v>
      </c>
      <c r="B722" s="1" t="s">
        <v>7</v>
      </c>
      <c r="C722" s="1">
        <v>142.59</v>
      </c>
    </row>
    <row r="723" spans="1:3" x14ac:dyDescent="0.2">
      <c r="A723" s="2">
        <v>45244</v>
      </c>
      <c r="B723" s="1" t="s">
        <v>7</v>
      </c>
      <c r="C723" s="1">
        <v>145.80000000000001</v>
      </c>
    </row>
    <row r="724" spans="1:3" x14ac:dyDescent="0.2">
      <c r="A724" s="2">
        <v>45245</v>
      </c>
      <c r="B724" s="1" t="s">
        <v>7</v>
      </c>
      <c r="C724" s="1">
        <v>143.19999999999999</v>
      </c>
    </row>
    <row r="725" spans="1:3" x14ac:dyDescent="0.2">
      <c r="A725" s="2">
        <v>45246</v>
      </c>
      <c r="B725" s="1" t="s">
        <v>7</v>
      </c>
      <c r="C725" s="1">
        <v>142.83000000000001</v>
      </c>
    </row>
    <row r="726" spans="1:3" x14ac:dyDescent="0.2">
      <c r="A726" s="2">
        <v>45247</v>
      </c>
      <c r="B726" s="1" t="s">
        <v>7</v>
      </c>
      <c r="C726" s="1">
        <v>145.18</v>
      </c>
    </row>
    <row r="727" spans="1:3" x14ac:dyDescent="0.2">
      <c r="A727" s="2">
        <v>45250</v>
      </c>
      <c r="B727" s="1" t="s">
        <v>7</v>
      </c>
      <c r="C727" s="1">
        <v>146.13</v>
      </c>
    </row>
    <row r="728" spans="1:3" x14ac:dyDescent="0.2">
      <c r="A728" s="2">
        <v>45251</v>
      </c>
      <c r="B728" s="1" t="s">
        <v>7</v>
      </c>
      <c r="C728" s="1">
        <v>143.9</v>
      </c>
    </row>
    <row r="729" spans="1:3" x14ac:dyDescent="0.2">
      <c r="A729" s="2">
        <v>45252</v>
      </c>
      <c r="B729" s="1" t="s">
        <v>7</v>
      </c>
      <c r="C729" s="1">
        <v>146.71</v>
      </c>
    </row>
    <row r="730" spans="1:3" x14ac:dyDescent="0.2">
      <c r="A730" s="2">
        <v>45254</v>
      </c>
      <c r="B730" s="1" t="s">
        <v>7</v>
      </c>
      <c r="C730" s="1">
        <v>146.74</v>
      </c>
    </row>
    <row r="731" spans="1:3" x14ac:dyDescent="0.2">
      <c r="A731" s="2">
        <v>45257</v>
      </c>
      <c r="B731" s="1" t="s">
        <v>7</v>
      </c>
      <c r="C731" s="1">
        <v>147.72999999999999</v>
      </c>
    </row>
    <row r="732" spans="1:3" x14ac:dyDescent="0.2">
      <c r="A732" s="2">
        <v>45258</v>
      </c>
      <c r="B732" s="1" t="s">
        <v>7</v>
      </c>
      <c r="C732" s="1">
        <v>147.03</v>
      </c>
    </row>
    <row r="733" spans="1:3" x14ac:dyDescent="0.2">
      <c r="A733" s="2">
        <v>45259</v>
      </c>
      <c r="B733" s="1" t="s">
        <v>7</v>
      </c>
      <c r="C733" s="1">
        <v>146.32</v>
      </c>
    </row>
    <row r="734" spans="1:3" x14ac:dyDescent="0.2">
      <c r="A734" s="2">
        <v>45260</v>
      </c>
      <c r="B734" s="1" t="s">
        <v>7</v>
      </c>
      <c r="C734" s="1">
        <v>146.09</v>
      </c>
    </row>
    <row r="735" spans="1:3" x14ac:dyDescent="0.2">
      <c r="A735" s="2">
        <v>45261</v>
      </c>
      <c r="B735" s="1" t="s">
        <v>7</v>
      </c>
      <c r="C735" s="1">
        <v>147.03</v>
      </c>
    </row>
    <row r="736" spans="1:3" x14ac:dyDescent="0.2">
      <c r="A736" s="2">
        <v>45264</v>
      </c>
      <c r="B736" s="1" t="s">
        <v>7</v>
      </c>
      <c r="C736" s="1">
        <v>144.84</v>
      </c>
    </row>
    <row r="737" spans="1:3" x14ac:dyDescent="0.2">
      <c r="A737" s="2">
        <v>45265</v>
      </c>
      <c r="B737" s="1" t="s">
        <v>7</v>
      </c>
      <c r="C737" s="1">
        <v>146.88</v>
      </c>
    </row>
    <row r="738" spans="1:3" x14ac:dyDescent="0.2">
      <c r="A738" s="2">
        <v>45266</v>
      </c>
      <c r="B738" s="1" t="s">
        <v>7</v>
      </c>
      <c r="C738" s="1">
        <v>144.52000000000001</v>
      </c>
    </row>
    <row r="739" spans="1:3" x14ac:dyDescent="0.2">
      <c r="A739" s="2">
        <v>45267</v>
      </c>
      <c r="B739" s="1" t="s">
        <v>7</v>
      </c>
      <c r="C739" s="1">
        <v>146.88</v>
      </c>
    </row>
    <row r="740" spans="1:3" x14ac:dyDescent="0.2">
      <c r="A740" s="2">
        <v>45268</v>
      </c>
      <c r="B740" s="1" t="s">
        <v>7</v>
      </c>
      <c r="C740" s="1">
        <v>147.41999999999999</v>
      </c>
    </row>
    <row r="741" spans="1:3" x14ac:dyDescent="0.2">
      <c r="A741" s="2">
        <v>45271</v>
      </c>
      <c r="B741" s="1" t="s">
        <v>7</v>
      </c>
      <c r="C741" s="1">
        <v>145.88999999999999</v>
      </c>
    </row>
    <row r="742" spans="1:3" x14ac:dyDescent="0.2">
      <c r="A742" s="2">
        <v>45272</v>
      </c>
      <c r="B742" s="1" t="s">
        <v>7</v>
      </c>
      <c r="C742" s="1">
        <v>147.47999999999999</v>
      </c>
    </row>
    <row r="743" spans="1:3" x14ac:dyDescent="0.2">
      <c r="A743" s="2">
        <v>45273</v>
      </c>
      <c r="B743" s="1" t="s">
        <v>7</v>
      </c>
      <c r="C743" s="1">
        <v>148.84</v>
      </c>
    </row>
    <row r="744" spans="1:3" x14ac:dyDescent="0.2">
      <c r="A744" s="2">
        <v>45274</v>
      </c>
      <c r="B744" s="1" t="s">
        <v>7</v>
      </c>
      <c r="C744" s="1">
        <v>147.41999999999999</v>
      </c>
    </row>
    <row r="745" spans="1:3" x14ac:dyDescent="0.2">
      <c r="A745" s="2">
        <v>45275</v>
      </c>
      <c r="B745" s="1" t="s">
        <v>7</v>
      </c>
      <c r="C745" s="1">
        <v>149.97</v>
      </c>
    </row>
    <row r="746" spans="1:3" x14ac:dyDescent="0.2">
      <c r="A746" s="2">
        <v>45278</v>
      </c>
      <c r="B746" s="1" t="s">
        <v>7</v>
      </c>
      <c r="C746" s="1">
        <v>154.07</v>
      </c>
    </row>
    <row r="747" spans="1:3" x14ac:dyDescent="0.2">
      <c r="A747" s="2">
        <v>45279</v>
      </c>
      <c r="B747" s="1" t="s">
        <v>7</v>
      </c>
      <c r="C747" s="1">
        <v>153.79</v>
      </c>
    </row>
    <row r="748" spans="1:3" x14ac:dyDescent="0.2">
      <c r="A748" s="2">
        <v>45280</v>
      </c>
      <c r="B748" s="1" t="s">
        <v>7</v>
      </c>
      <c r="C748" s="1">
        <v>152.12</v>
      </c>
    </row>
    <row r="749" spans="1:3" x14ac:dyDescent="0.2">
      <c r="A749" s="2">
        <v>45281</v>
      </c>
      <c r="B749" s="1" t="s">
        <v>7</v>
      </c>
      <c r="C749" s="1">
        <v>153.84</v>
      </c>
    </row>
    <row r="750" spans="1:3" x14ac:dyDescent="0.2">
      <c r="A750" s="2">
        <v>45282</v>
      </c>
      <c r="B750" s="1" t="s">
        <v>7</v>
      </c>
      <c r="C750" s="1">
        <v>153.41999999999999</v>
      </c>
    </row>
    <row r="751" spans="1:3" x14ac:dyDescent="0.2">
      <c r="A751" s="2">
        <v>45286</v>
      </c>
      <c r="B751" s="1" t="s">
        <v>7</v>
      </c>
      <c r="C751" s="1">
        <v>153.41</v>
      </c>
    </row>
    <row r="752" spans="1:3" x14ac:dyDescent="0.2">
      <c r="A752" s="2">
        <v>45287</v>
      </c>
      <c r="B752" s="1" t="s">
        <v>7</v>
      </c>
      <c r="C752" s="1">
        <v>153.34</v>
      </c>
    </row>
    <row r="753" spans="1:3" x14ac:dyDescent="0.2">
      <c r="A753" s="2">
        <v>45288</v>
      </c>
      <c r="B753" s="1" t="s">
        <v>7</v>
      </c>
      <c r="C753" s="1">
        <v>153.38</v>
      </c>
    </row>
    <row r="754" spans="1:3" x14ac:dyDescent="0.2">
      <c r="A754" s="2">
        <v>45289</v>
      </c>
      <c r="B754" s="1" t="s">
        <v>7</v>
      </c>
      <c r="C754" s="1">
        <v>151.94</v>
      </c>
    </row>
    <row r="755" spans="1:3" x14ac:dyDescent="0.2">
      <c r="A755" s="2">
        <v>45293</v>
      </c>
      <c r="B755" s="1" t="s">
        <v>7</v>
      </c>
      <c r="C755" s="1">
        <v>149.93</v>
      </c>
    </row>
    <row r="756" spans="1:3" x14ac:dyDescent="0.2">
      <c r="A756" s="2">
        <v>45294</v>
      </c>
      <c r="B756" s="1" t="s">
        <v>7</v>
      </c>
      <c r="C756" s="1">
        <v>148.47</v>
      </c>
    </row>
    <row r="757" spans="1:3" x14ac:dyDescent="0.2">
      <c r="A757" s="2">
        <v>45295</v>
      </c>
      <c r="B757" s="1" t="s">
        <v>7</v>
      </c>
      <c r="C757" s="1">
        <v>144.57</v>
      </c>
    </row>
    <row r="758" spans="1:3" x14ac:dyDescent="0.2">
      <c r="A758" s="2">
        <v>45296</v>
      </c>
      <c r="B758" s="1" t="s">
        <v>7</v>
      </c>
      <c r="C758" s="1">
        <v>145.24</v>
      </c>
    </row>
    <row r="759" spans="1:3" x14ac:dyDescent="0.2">
      <c r="A759" s="2">
        <v>45299</v>
      </c>
      <c r="B759" s="1" t="s">
        <v>7</v>
      </c>
      <c r="C759" s="1">
        <v>149.1</v>
      </c>
    </row>
    <row r="760" spans="1:3" x14ac:dyDescent="0.2">
      <c r="A760" s="2">
        <v>45300</v>
      </c>
      <c r="B760" s="1" t="s">
        <v>7</v>
      </c>
      <c r="C760" s="1">
        <v>151.37</v>
      </c>
    </row>
    <row r="761" spans="1:3" x14ac:dyDescent="0.2">
      <c r="A761" s="2">
        <v>45301</v>
      </c>
      <c r="B761" s="1" t="s">
        <v>7</v>
      </c>
      <c r="C761" s="1">
        <v>153.72999999999999</v>
      </c>
    </row>
    <row r="762" spans="1:3" x14ac:dyDescent="0.2">
      <c r="A762" s="2">
        <v>45302</v>
      </c>
      <c r="B762" s="1" t="s">
        <v>7</v>
      </c>
      <c r="C762" s="1">
        <v>155.18</v>
      </c>
    </row>
    <row r="763" spans="1:3" x14ac:dyDescent="0.2">
      <c r="A763" s="2">
        <v>45303</v>
      </c>
      <c r="B763" s="1" t="s">
        <v>7</v>
      </c>
      <c r="C763" s="1">
        <v>154.62</v>
      </c>
    </row>
    <row r="764" spans="1:3" x14ac:dyDescent="0.2">
      <c r="A764" s="2">
        <v>45307</v>
      </c>
      <c r="B764" s="1" t="s">
        <v>7</v>
      </c>
      <c r="C764" s="1">
        <v>153.16</v>
      </c>
    </row>
    <row r="765" spans="1:3" x14ac:dyDescent="0.2">
      <c r="A765" s="2">
        <v>45308</v>
      </c>
      <c r="B765" s="1" t="s">
        <v>7</v>
      </c>
      <c r="C765" s="1">
        <v>151.71</v>
      </c>
    </row>
    <row r="766" spans="1:3" x14ac:dyDescent="0.2">
      <c r="A766" s="2">
        <v>45309</v>
      </c>
      <c r="B766" s="1" t="s">
        <v>7</v>
      </c>
      <c r="C766" s="1">
        <v>153.5</v>
      </c>
    </row>
    <row r="767" spans="1:3" x14ac:dyDescent="0.2">
      <c r="A767" s="2">
        <v>45310</v>
      </c>
      <c r="B767" s="1" t="s">
        <v>7</v>
      </c>
      <c r="C767" s="1">
        <v>155.34</v>
      </c>
    </row>
    <row r="768" spans="1:3" x14ac:dyDescent="0.2">
      <c r="A768" s="2">
        <v>45313</v>
      </c>
      <c r="B768" s="1" t="s">
        <v>7</v>
      </c>
      <c r="C768" s="1">
        <v>154.78</v>
      </c>
    </row>
    <row r="769" spans="1:3" x14ac:dyDescent="0.2">
      <c r="A769" s="2">
        <v>45314</v>
      </c>
      <c r="B769" s="1" t="s">
        <v>7</v>
      </c>
      <c r="C769" s="1">
        <v>156.02000000000001</v>
      </c>
    </row>
    <row r="770" spans="1:3" x14ac:dyDescent="0.2">
      <c r="A770" s="2">
        <v>45315</v>
      </c>
      <c r="B770" s="1" t="s">
        <v>7</v>
      </c>
      <c r="C770" s="1">
        <v>156.87</v>
      </c>
    </row>
    <row r="771" spans="1:3" x14ac:dyDescent="0.2">
      <c r="A771" s="2">
        <v>45316</v>
      </c>
      <c r="B771" s="1" t="s">
        <v>7</v>
      </c>
      <c r="C771" s="1">
        <v>157.75</v>
      </c>
    </row>
    <row r="772" spans="1:3" x14ac:dyDescent="0.2">
      <c r="A772" s="2">
        <v>45317</v>
      </c>
      <c r="B772" s="1" t="s">
        <v>7</v>
      </c>
      <c r="C772" s="1">
        <v>159.12</v>
      </c>
    </row>
    <row r="773" spans="1:3" x14ac:dyDescent="0.2">
      <c r="A773" s="2">
        <v>45320</v>
      </c>
      <c r="B773" s="1" t="s">
        <v>7</v>
      </c>
      <c r="C773" s="1">
        <v>161.26</v>
      </c>
    </row>
    <row r="774" spans="1:3" x14ac:dyDescent="0.2">
      <c r="A774" s="2">
        <v>45321</v>
      </c>
      <c r="B774" s="1" t="s">
        <v>7</v>
      </c>
      <c r="C774" s="1">
        <v>159</v>
      </c>
    </row>
    <row r="775" spans="1:3" x14ac:dyDescent="0.2">
      <c r="A775" s="2">
        <v>45322</v>
      </c>
      <c r="B775" s="1" t="s">
        <v>7</v>
      </c>
      <c r="C775" s="1">
        <v>155.19999999999999</v>
      </c>
    </row>
    <row r="776" spans="1:3" x14ac:dyDescent="0.2">
      <c r="A776" s="2">
        <v>45323</v>
      </c>
      <c r="B776" s="1" t="s">
        <v>7</v>
      </c>
      <c r="C776" s="1">
        <v>159.28</v>
      </c>
    </row>
    <row r="777" spans="1:3" x14ac:dyDescent="0.2">
      <c r="A777" s="2">
        <v>45324</v>
      </c>
      <c r="B777" s="1" t="s">
        <v>7</v>
      </c>
      <c r="C777" s="1">
        <v>171.81</v>
      </c>
    </row>
    <row r="778" spans="1:3" x14ac:dyDescent="0.2">
      <c r="A778" s="2">
        <v>45327</v>
      </c>
      <c r="B778" s="1" t="s">
        <v>7</v>
      </c>
      <c r="C778" s="1">
        <v>170.31</v>
      </c>
    </row>
    <row r="779" spans="1:3" x14ac:dyDescent="0.2">
      <c r="A779" s="2">
        <v>45328</v>
      </c>
      <c r="B779" s="1" t="s">
        <v>7</v>
      </c>
      <c r="C779" s="1">
        <v>169.15</v>
      </c>
    </row>
    <row r="780" spans="1:3" x14ac:dyDescent="0.2">
      <c r="A780" s="2">
        <v>45329</v>
      </c>
      <c r="B780" s="1" t="s">
        <v>7</v>
      </c>
      <c r="C780" s="1">
        <v>170.53</v>
      </c>
    </row>
    <row r="781" spans="1:3" x14ac:dyDescent="0.2">
      <c r="A781" s="2">
        <v>45330</v>
      </c>
      <c r="B781" s="1" t="s">
        <v>7</v>
      </c>
      <c r="C781" s="1">
        <v>169.84</v>
      </c>
    </row>
    <row r="782" spans="1:3" x14ac:dyDescent="0.2">
      <c r="A782" s="2">
        <v>45331</v>
      </c>
      <c r="B782" s="1" t="s">
        <v>7</v>
      </c>
      <c r="C782" s="1">
        <v>174.45</v>
      </c>
    </row>
    <row r="783" spans="1:3" x14ac:dyDescent="0.2">
      <c r="A783" s="2">
        <v>45334</v>
      </c>
      <c r="B783" s="1" t="s">
        <v>7</v>
      </c>
      <c r="C783" s="1">
        <v>172.34</v>
      </c>
    </row>
    <row r="784" spans="1:3" x14ac:dyDescent="0.2">
      <c r="A784" s="2">
        <v>45335</v>
      </c>
      <c r="B784" s="1" t="s">
        <v>7</v>
      </c>
      <c r="C784" s="1">
        <v>168.64</v>
      </c>
    </row>
    <row r="785" spans="1:3" x14ac:dyDescent="0.2">
      <c r="A785" s="2">
        <v>45336</v>
      </c>
      <c r="B785" s="1" t="s">
        <v>7</v>
      </c>
      <c r="C785" s="1">
        <v>170.98</v>
      </c>
    </row>
    <row r="786" spans="1:3" x14ac:dyDescent="0.2">
      <c r="A786" s="2">
        <v>45337</v>
      </c>
      <c r="B786" s="1" t="s">
        <v>7</v>
      </c>
      <c r="C786" s="1">
        <v>169.8</v>
      </c>
    </row>
    <row r="787" spans="1:3" x14ac:dyDescent="0.2">
      <c r="A787" s="2">
        <v>45338</v>
      </c>
      <c r="B787" s="1" t="s">
        <v>7</v>
      </c>
      <c r="C787" s="1">
        <v>169.51</v>
      </c>
    </row>
    <row r="788" spans="1:3" x14ac:dyDescent="0.2">
      <c r="A788" s="2">
        <v>45342</v>
      </c>
      <c r="B788" s="1" t="s">
        <v>7</v>
      </c>
      <c r="C788" s="1">
        <v>167.08</v>
      </c>
    </row>
    <row r="789" spans="1:3" x14ac:dyDescent="0.2">
      <c r="A789" s="2">
        <v>45343</v>
      </c>
      <c r="B789" s="1" t="s">
        <v>7</v>
      </c>
      <c r="C789" s="1">
        <v>168.59</v>
      </c>
    </row>
    <row r="790" spans="1:3" x14ac:dyDescent="0.2">
      <c r="A790" s="2">
        <v>45344</v>
      </c>
      <c r="B790" s="1" t="s">
        <v>7</v>
      </c>
      <c r="C790" s="1">
        <v>174.58</v>
      </c>
    </row>
    <row r="791" spans="1:3" x14ac:dyDescent="0.2">
      <c r="A791" s="2">
        <v>45345</v>
      </c>
      <c r="B791" s="1" t="s">
        <v>7</v>
      </c>
      <c r="C791" s="1">
        <v>174.99</v>
      </c>
    </row>
    <row r="792" spans="1:3" x14ac:dyDescent="0.2">
      <c r="A792" s="2">
        <v>45348</v>
      </c>
      <c r="B792" s="1" t="s">
        <v>7</v>
      </c>
      <c r="C792" s="1">
        <v>174.73</v>
      </c>
    </row>
    <row r="793" spans="1:3" x14ac:dyDescent="0.2">
      <c r="A793" s="2">
        <v>45349</v>
      </c>
      <c r="B793" s="1" t="s">
        <v>7</v>
      </c>
      <c r="C793" s="1">
        <v>173.54</v>
      </c>
    </row>
    <row r="794" spans="1:3" x14ac:dyDescent="0.2">
      <c r="A794" s="2">
        <v>45350</v>
      </c>
      <c r="B794" s="1" t="s">
        <v>7</v>
      </c>
      <c r="C794" s="1">
        <v>173.16</v>
      </c>
    </row>
    <row r="795" spans="1:3" x14ac:dyDescent="0.2">
      <c r="A795" s="2">
        <v>45351</v>
      </c>
      <c r="B795" s="1" t="s">
        <v>7</v>
      </c>
      <c r="C795" s="1">
        <v>176.76</v>
      </c>
    </row>
    <row r="796" spans="1:3" x14ac:dyDescent="0.2">
      <c r="A796" s="2">
        <v>45352</v>
      </c>
      <c r="B796" s="1" t="s">
        <v>7</v>
      </c>
      <c r="C796" s="1">
        <v>178.22</v>
      </c>
    </row>
    <row r="797" spans="1:3" x14ac:dyDescent="0.2">
      <c r="A797" s="2">
        <v>45355</v>
      </c>
      <c r="B797" s="1" t="s">
        <v>7</v>
      </c>
      <c r="C797" s="1">
        <v>177.58</v>
      </c>
    </row>
    <row r="798" spans="1:3" x14ac:dyDescent="0.2">
      <c r="A798" s="2">
        <v>45356</v>
      </c>
      <c r="B798" s="1" t="s">
        <v>7</v>
      </c>
      <c r="C798" s="1">
        <v>174.12</v>
      </c>
    </row>
    <row r="799" spans="1:3" x14ac:dyDescent="0.2">
      <c r="A799" s="2">
        <v>45357</v>
      </c>
      <c r="B799" s="1" t="s">
        <v>7</v>
      </c>
      <c r="C799" s="1">
        <v>173.51</v>
      </c>
    </row>
    <row r="800" spans="1:3" x14ac:dyDescent="0.2">
      <c r="A800" s="2">
        <v>45358</v>
      </c>
      <c r="B800" s="1" t="s">
        <v>7</v>
      </c>
      <c r="C800" s="1">
        <v>176.82</v>
      </c>
    </row>
    <row r="801" spans="1:3" x14ac:dyDescent="0.2">
      <c r="A801" s="2">
        <v>45359</v>
      </c>
      <c r="B801" s="1" t="s">
        <v>7</v>
      </c>
      <c r="C801" s="1">
        <v>175.35</v>
      </c>
    </row>
    <row r="802" spans="1:3" x14ac:dyDescent="0.2">
      <c r="A802" s="2">
        <v>45362</v>
      </c>
      <c r="B802" s="1" t="s">
        <v>7</v>
      </c>
      <c r="C802" s="1">
        <v>171.96</v>
      </c>
    </row>
    <row r="803" spans="1:3" x14ac:dyDescent="0.2">
      <c r="A803" s="2">
        <v>45363</v>
      </c>
      <c r="B803" s="1" t="s">
        <v>7</v>
      </c>
      <c r="C803" s="1">
        <v>175.39</v>
      </c>
    </row>
    <row r="804" spans="1:3" x14ac:dyDescent="0.2">
      <c r="A804" s="2">
        <v>45364</v>
      </c>
      <c r="B804" s="1" t="s">
        <v>7</v>
      </c>
      <c r="C804" s="1">
        <v>176.55500000000001</v>
      </c>
    </row>
    <row r="805" spans="1:3" x14ac:dyDescent="0.2">
      <c r="A805" s="2">
        <v>45365</v>
      </c>
      <c r="B805" s="1" t="s">
        <v>7</v>
      </c>
      <c r="C805" s="1">
        <v>178.75</v>
      </c>
    </row>
    <row r="806" spans="1:3" x14ac:dyDescent="0.2">
      <c r="A806" s="2">
        <v>45366</v>
      </c>
      <c r="B806" s="1" t="s">
        <v>7</v>
      </c>
      <c r="C806" s="1">
        <v>174.42</v>
      </c>
    </row>
    <row r="807" spans="1:3" x14ac:dyDescent="0.2">
      <c r="A807" s="2">
        <v>45369</v>
      </c>
      <c r="B807" s="1" t="s">
        <v>7</v>
      </c>
      <c r="C807" s="1">
        <v>174.48</v>
      </c>
    </row>
    <row r="808" spans="1:3" x14ac:dyDescent="0.2">
      <c r="A808" s="2">
        <v>45370</v>
      </c>
      <c r="B808" s="1" t="s">
        <v>7</v>
      </c>
      <c r="C808" s="1">
        <v>175.9</v>
      </c>
    </row>
    <row r="809" spans="1:3" x14ac:dyDescent="0.2">
      <c r="A809" s="2">
        <v>45371</v>
      </c>
      <c r="B809" s="1" t="s">
        <v>7</v>
      </c>
      <c r="C809" s="1">
        <v>178.15</v>
      </c>
    </row>
    <row r="810" spans="1:3" x14ac:dyDescent="0.2">
      <c r="A810" s="2">
        <v>45372</v>
      </c>
      <c r="B810" s="1" t="s">
        <v>7</v>
      </c>
      <c r="C810" s="1">
        <v>178.15</v>
      </c>
    </row>
    <row r="811" spans="1:3" x14ac:dyDescent="0.2">
      <c r="A811" s="2">
        <v>45373</v>
      </c>
      <c r="B811" s="1" t="s">
        <v>7</v>
      </c>
      <c r="C811" s="1">
        <v>178.87</v>
      </c>
    </row>
    <row r="812" spans="1:3" x14ac:dyDescent="0.2">
      <c r="A812" s="2">
        <v>45376</v>
      </c>
      <c r="B812" s="1" t="s">
        <v>7</v>
      </c>
      <c r="C812" s="1">
        <v>179.71</v>
      </c>
    </row>
    <row r="813" spans="1:3" x14ac:dyDescent="0.2">
      <c r="A813" s="2">
        <v>45377</v>
      </c>
      <c r="B813" s="1" t="s">
        <v>7</v>
      </c>
      <c r="C813" s="1">
        <v>178.3</v>
      </c>
    </row>
    <row r="814" spans="1:3" x14ac:dyDescent="0.2">
      <c r="A814" s="2">
        <v>45378</v>
      </c>
      <c r="B814" s="1" t="s">
        <v>7</v>
      </c>
      <c r="C814" s="1">
        <v>179.83</v>
      </c>
    </row>
    <row r="815" spans="1:3" x14ac:dyDescent="0.2">
      <c r="A815" s="2">
        <v>45379</v>
      </c>
      <c r="B815" s="1" t="s">
        <v>7</v>
      </c>
      <c r="C815" s="1">
        <v>180.38</v>
      </c>
    </row>
    <row r="816" spans="1:3" x14ac:dyDescent="0.2">
      <c r="A816" s="2">
        <v>45383</v>
      </c>
      <c r="B816" s="1" t="s">
        <v>7</v>
      </c>
      <c r="C816" s="1">
        <v>180.97</v>
      </c>
    </row>
    <row r="817" spans="1:3" x14ac:dyDescent="0.2">
      <c r="A817" s="2">
        <v>45384</v>
      </c>
      <c r="B817" s="1" t="s">
        <v>7</v>
      </c>
      <c r="C817" s="1">
        <v>180.69</v>
      </c>
    </row>
    <row r="818" spans="1:3" x14ac:dyDescent="0.2">
      <c r="A818" s="2">
        <v>45385</v>
      </c>
      <c r="B818" s="1" t="s">
        <v>7</v>
      </c>
      <c r="C818" s="1">
        <v>182.41</v>
      </c>
    </row>
    <row r="819" spans="1:3" x14ac:dyDescent="0.2">
      <c r="A819" s="2">
        <v>45386</v>
      </c>
      <c r="B819" s="1" t="s">
        <v>7</v>
      </c>
      <c r="C819" s="1">
        <v>180</v>
      </c>
    </row>
    <row r="820" spans="1:3" x14ac:dyDescent="0.2">
      <c r="A820" s="2">
        <v>45387</v>
      </c>
      <c r="B820" s="1" t="s">
        <v>7</v>
      </c>
      <c r="C820" s="1">
        <v>185.07</v>
      </c>
    </row>
    <row r="821" spans="1:3" x14ac:dyDescent="0.2">
      <c r="A821" s="2">
        <v>45390</v>
      </c>
      <c r="B821" s="1" t="s">
        <v>7</v>
      </c>
      <c r="C821" s="1">
        <v>185.32</v>
      </c>
    </row>
    <row r="822" spans="1:3" x14ac:dyDescent="0.2">
      <c r="A822" s="2">
        <v>45391</v>
      </c>
      <c r="B822" s="1" t="s">
        <v>7</v>
      </c>
      <c r="C822" s="1">
        <v>185.67</v>
      </c>
    </row>
    <row r="823" spans="1:3" x14ac:dyDescent="0.2">
      <c r="A823" s="2">
        <v>45392</v>
      </c>
      <c r="B823" s="1" t="s">
        <v>7</v>
      </c>
      <c r="C823" s="1">
        <v>185.95</v>
      </c>
    </row>
    <row r="824" spans="1:3" x14ac:dyDescent="0.2">
      <c r="A824" s="2">
        <v>45393</v>
      </c>
      <c r="B824" s="1" t="s">
        <v>7</v>
      </c>
      <c r="C824" s="1">
        <v>189.05</v>
      </c>
    </row>
    <row r="825" spans="1:3" x14ac:dyDescent="0.2">
      <c r="A825" s="2">
        <v>45394</v>
      </c>
      <c r="B825" s="1" t="s">
        <v>7</v>
      </c>
      <c r="C825" s="1">
        <v>186.13</v>
      </c>
    </row>
    <row r="826" spans="1:3" x14ac:dyDescent="0.2">
      <c r="A826" s="2">
        <v>45397</v>
      </c>
      <c r="B826" s="1" t="s">
        <v>7</v>
      </c>
      <c r="C826" s="1">
        <v>183.62</v>
      </c>
    </row>
    <row r="827" spans="1:3" x14ac:dyDescent="0.2">
      <c r="A827" s="2">
        <v>45398</v>
      </c>
      <c r="B827" s="1" t="s">
        <v>7</v>
      </c>
      <c r="C827" s="1">
        <v>183.32</v>
      </c>
    </row>
    <row r="828" spans="1:3" x14ac:dyDescent="0.2">
      <c r="A828" s="2">
        <v>45399</v>
      </c>
      <c r="B828" s="1" t="s">
        <v>7</v>
      </c>
      <c r="C828" s="1">
        <v>181.28</v>
      </c>
    </row>
    <row r="829" spans="1:3" x14ac:dyDescent="0.2">
      <c r="A829" s="2">
        <v>45400</v>
      </c>
      <c r="B829" s="1" t="s">
        <v>7</v>
      </c>
      <c r="C829" s="1">
        <v>179.22</v>
      </c>
    </row>
    <row r="830" spans="1:3" x14ac:dyDescent="0.2">
      <c r="A830" s="2">
        <v>45401</v>
      </c>
      <c r="B830" s="1" t="s">
        <v>7</v>
      </c>
      <c r="C830" s="1">
        <v>174.62</v>
      </c>
    </row>
    <row r="831" spans="1:3" x14ac:dyDescent="0.2">
      <c r="A831" s="2">
        <v>45404</v>
      </c>
      <c r="B831" s="1" t="s">
        <v>7</v>
      </c>
      <c r="C831" s="1">
        <v>177.23</v>
      </c>
    </row>
    <row r="832" spans="1:3" x14ac:dyDescent="0.2">
      <c r="A832" s="2">
        <v>45405</v>
      </c>
      <c r="B832" s="1" t="s">
        <v>7</v>
      </c>
      <c r="C832" s="1">
        <v>179.54</v>
      </c>
    </row>
    <row r="833" spans="1:3" x14ac:dyDescent="0.2">
      <c r="A833" s="2">
        <v>45406</v>
      </c>
      <c r="B833" s="1" t="s">
        <v>7</v>
      </c>
      <c r="C833" s="1">
        <v>176.59</v>
      </c>
    </row>
    <row r="834" spans="1:3" x14ac:dyDescent="0.2">
      <c r="A834" s="2">
        <v>45407</v>
      </c>
      <c r="B834" s="1" t="s">
        <v>7</v>
      </c>
      <c r="C834" s="1">
        <v>173.67</v>
      </c>
    </row>
    <row r="835" spans="1:3" x14ac:dyDescent="0.2">
      <c r="A835" s="2">
        <v>45408</v>
      </c>
      <c r="B835" s="1" t="s">
        <v>7</v>
      </c>
      <c r="C835" s="1">
        <v>179.62</v>
      </c>
    </row>
    <row r="836" spans="1:3" x14ac:dyDescent="0.2">
      <c r="A836" s="2">
        <v>45411</v>
      </c>
      <c r="B836" s="1" t="s">
        <v>7</v>
      </c>
      <c r="C836" s="1">
        <v>180.96</v>
      </c>
    </row>
    <row r="837" spans="1:3" x14ac:dyDescent="0.2">
      <c r="A837" s="2">
        <v>45412</v>
      </c>
      <c r="B837" s="1" t="s">
        <v>7</v>
      </c>
      <c r="C837" s="1">
        <v>175</v>
      </c>
    </row>
    <row r="838" spans="1:3" x14ac:dyDescent="0.2">
      <c r="A838" s="2">
        <v>45413</v>
      </c>
      <c r="B838" s="1" t="s">
        <v>7</v>
      </c>
      <c r="C838" s="1">
        <v>179</v>
      </c>
    </row>
    <row r="839" spans="1:3" x14ac:dyDescent="0.2">
      <c r="A839" s="2">
        <v>45414</v>
      </c>
      <c r="B839" s="1" t="s">
        <v>7</v>
      </c>
      <c r="C839" s="1">
        <v>184.72</v>
      </c>
    </row>
    <row r="840" spans="1:3" x14ac:dyDescent="0.2">
      <c r="A840" s="2">
        <v>45415</v>
      </c>
      <c r="B840" s="1" t="s">
        <v>7</v>
      </c>
      <c r="C840" s="1">
        <v>186.21</v>
      </c>
    </row>
    <row r="841" spans="1:3" x14ac:dyDescent="0.2">
      <c r="A841" s="2">
        <v>45418</v>
      </c>
      <c r="B841" s="1" t="s">
        <v>7</v>
      </c>
      <c r="C841" s="1">
        <v>188.7</v>
      </c>
    </row>
    <row r="842" spans="1:3" x14ac:dyDescent="0.2">
      <c r="A842" s="2">
        <v>45419</v>
      </c>
      <c r="B842" s="1" t="s">
        <v>7</v>
      </c>
      <c r="C842" s="1">
        <v>188.76</v>
      </c>
    </row>
    <row r="843" spans="1:3" x14ac:dyDescent="0.2">
      <c r="A843" s="2">
        <v>45420</v>
      </c>
      <c r="B843" s="1" t="s">
        <v>7</v>
      </c>
      <c r="C843" s="1">
        <v>188</v>
      </c>
    </row>
    <row r="844" spans="1:3" x14ac:dyDescent="0.2">
      <c r="A844" s="2">
        <v>45421</v>
      </c>
      <c r="B844" s="1" t="s">
        <v>7</v>
      </c>
      <c r="C844" s="1">
        <v>189.5</v>
      </c>
    </row>
    <row r="845" spans="1:3" x14ac:dyDescent="0.2">
      <c r="A845" s="2">
        <v>45422</v>
      </c>
      <c r="B845" s="1" t="s">
        <v>7</v>
      </c>
      <c r="C845" s="1">
        <v>187.48</v>
      </c>
    </row>
    <row r="846" spans="1:3" x14ac:dyDescent="0.2">
      <c r="A846" s="2">
        <v>45425</v>
      </c>
      <c r="B846" s="1" t="s">
        <v>7</v>
      </c>
      <c r="C846" s="1">
        <v>186.57</v>
      </c>
    </row>
    <row r="847" spans="1:3" x14ac:dyDescent="0.2">
      <c r="A847" s="2">
        <v>45426</v>
      </c>
      <c r="B847" s="1" t="s">
        <v>7</v>
      </c>
      <c r="C847" s="1">
        <v>187.07</v>
      </c>
    </row>
    <row r="848" spans="1:3" x14ac:dyDescent="0.2">
      <c r="A848" s="2">
        <v>45427</v>
      </c>
      <c r="B848" s="1" t="s">
        <v>7</v>
      </c>
      <c r="C848" s="1">
        <v>185.99</v>
      </c>
    </row>
    <row r="849" spans="1:3" x14ac:dyDescent="0.2">
      <c r="A849" s="2">
        <v>45428</v>
      </c>
      <c r="B849" s="1" t="s">
        <v>7</v>
      </c>
      <c r="C849" s="1">
        <v>183.63</v>
      </c>
    </row>
    <row r="850" spans="1:3" x14ac:dyDescent="0.2">
      <c r="A850" s="2">
        <v>45429</v>
      </c>
      <c r="B850" s="1" t="s">
        <v>7</v>
      </c>
      <c r="C850" s="1">
        <v>184.7</v>
      </c>
    </row>
    <row r="851" spans="1:3" x14ac:dyDescent="0.2">
      <c r="A851" s="2">
        <v>45432</v>
      </c>
      <c r="B851" s="1" t="s">
        <v>7</v>
      </c>
      <c r="C851" s="1">
        <v>183.54</v>
      </c>
    </row>
    <row r="852" spans="1:3" x14ac:dyDescent="0.2">
      <c r="A852" s="2">
        <v>45433</v>
      </c>
      <c r="B852" s="1" t="s">
        <v>7</v>
      </c>
      <c r="C852" s="1">
        <v>183.15</v>
      </c>
    </row>
    <row r="853" spans="1:3" x14ac:dyDescent="0.2">
      <c r="A853" s="2">
        <v>45434</v>
      </c>
      <c r="B853" s="1" t="s">
        <v>7</v>
      </c>
      <c r="C853" s="1">
        <v>183.13</v>
      </c>
    </row>
    <row r="854" spans="1:3" x14ac:dyDescent="0.2">
      <c r="A854" s="2">
        <v>45435</v>
      </c>
      <c r="B854" s="1" t="s">
        <v>7</v>
      </c>
      <c r="C854" s="1">
        <v>181.05</v>
      </c>
    </row>
    <row r="855" spans="1:3" x14ac:dyDescent="0.2">
      <c r="A855" s="2">
        <v>45436</v>
      </c>
      <c r="B855" s="1" t="s">
        <v>7</v>
      </c>
      <c r="C855" s="1">
        <v>180.75</v>
      </c>
    </row>
    <row r="856" spans="1:3" x14ac:dyDescent="0.2">
      <c r="A856" s="2">
        <v>45440</v>
      </c>
      <c r="B856" s="1" t="s">
        <v>7</v>
      </c>
      <c r="C856" s="1">
        <v>182.15</v>
      </c>
    </row>
    <row r="857" spans="1:3" x14ac:dyDescent="0.2">
      <c r="A857" s="2">
        <v>45441</v>
      </c>
      <c r="B857" s="1" t="s">
        <v>7</v>
      </c>
      <c r="C857" s="1">
        <v>182.02</v>
      </c>
    </row>
    <row r="858" spans="1:3" x14ac:dyDescent="0.2">
      <c r="A858" s="2">
        <v>45442</v>
      </c>
      <c r="B858" s="1" t="s">
        <v>7</v>
      </c>
      <c r="C858" s="1">
        <v>179.32</v>
      </c>
    </row>
    <row r="859" spans="1:3" x14ac:dyDescent="0.2">
      <c r="A859" s="2">
        <v>45443</v>
      </c>
      <c r="B859" s="1" t="s">
        <v>7</v>
      </c>
      <c r="C859" s="1">
        <v>176.44</v>
      </c>
    </row>
    <row r="860" spans="1:3" x14ac:dyDescent="0.2">
      <c r="A860" s="2">
        <v>45446</v>
      </c>
      <c r="B860" s="1" t="s">
        <v>7</v>
      </c>
      <c r="C860" s="1">
        <v>178.34</v>
      </c>
    </row>
    <row r="861" spans="1:3" x14ac:dyDescent="0.2">
      <c r="A861" s="2">
        <v>45447</v>
      </c>
      <c r="B861" s="1" t="s">
        <v>7</v>
      </c>
      <c r="C861" s="1">
        <v>179.34</v>
      </c>
    </row>
    <row r="862" spans="1:3" x14ac:dyDescent="0.2">
      <c r="A862" s="2">
        <v>45448</v>
      </c>
      <c r="B862" s="1" t="s">
        <v>7</v>
      </c>
      <c r="C862" s="1">
        <v>181.28</v>
      </c>
    </row>
    <row r="863" spans="1:3" x14ac:dyDescent="0.2">
      <c r="A863" s="2">
        <v>45449</v>
      </c>
      <c r="B863" s="1" t="s">
        <v>7</v>
      </c>
      <c r="C863" s="1">
        <v>185</v>
      </c>
    </row>
    <row r="864" spans="1:3" x14ac:dyDescent="0.2">
      <c r="A864" s="2">
        <v>45450</v>
      </c>
      <c r="B864" s="1" t="s">
        <v>7</v>
      </c>
      <c r="C864" s="1">
        <v>184.3</v>
      </c>
    </row>
    <row r="865" spans="1:3" x14ac:dyDescent="0.2">
      <c r="A865" s="2">
        <v>45453</v>
      </c>
      <c r="B865" s="1" t="s">
        <v>7</v>
      </c>
      <c r="C865" s="1">
        <v>187.06</v>
      </c>
    </row>
    <row r="866" spans="1:3" x14ac:dyDescent="0.2">
      <c r="A866" s="2">
        <v>45454</v>
      </c>
      <c r="B866" s="1" t="s">
        <v>7</v>
      </c>
      <c r="C866" s="1">
        <v>187.23</v>
      </c>
    </row>
    <row r="867" spans="1:3" x14ac:dyDescent="0.2">
      <c r="A867" s="2">
        <v>45455</v>
      </c>
      <c r="B867" s="1" t="s">
        <v>7</v>
      </c>
      <c r="C867" s="1">
        <v>186.89</v>
      </c>
    </row>
    <row r="868" spans="1:3" x14ac:dyDescent="0.2">
      <c r="A868" s="2">
        <v>45456</v>
      </c>
      <c r="B868" s="1" t="s">
        <v>7</v>
      </c>
      <c r="C868" s="1">
        <v>183.83</v>
      </c>
    </row>
    <row r="869" spans="1:3" x14ac:dyDescent="0.2">
      <c r="A869" s="2">
        <v>45457</v>
      </c>
      <c r="B869" s="1" t="s">
        <v>7</v>
      </c>
      <c r="C869" s="1">
        <v>183.66</v>
      </c>
    </row>
    <row r="870" spans="1:3" x14ac:dyDescent="0.2">
      <c r="A870" s="2">
        <v>45460</v>
      </c>
      <c r="B870" s="1" t="s">
        <v>7</v>
      </c>
      <c r="C870" s="1">
        <v>184.06</v>
      </c>
    </row>
    <row r="871" spans="1:3" x14ac:dyDescent="0.2">
      <c r="A871" s="2">
        <v>45461</v>
      </c>
      <c r="B871" s="1" t="s">
        <v>7</v>
      </c>
      <c r="C871" s="1">
        <v>182.81</v>
      </c>
    </row>
    <row r="872" spans="1:3" x14ac:dyDescent="0.2">
      <c r="A872" s="2">
        <v>45463</v>
      </c>
      <c r="B872" s="1" t="s">
        <v>7</v>
      </c>
      <c r="C872" s="1">
        <v>186.1</v>
      </c>
    </row>
    <row r="873" spans="1:3" x14ac:dyDescent="0.2">
      <c r="A873" s="2">
        <v>45464</v>
      </c>
      <c r="B873" s="1" t="s">
        <v>7</v>
      </c>
      <c r="C873" s="1">
        <v>189.08</v>
      </c>
    </row>
    <row r="874" spans="1:3" x14ac:dyDescent="0.2">
      <c r="A874" s="2">
        <v>45467</v>
      </c>
      <c r="B874" s="1" t="s">
        <v>7</v>
      </c>
      <c r="C874" s="1">
        <v>185.57</v>
      </c>
    </row>
    <row r="875" spans="1:3" x14ac:dyDescent="0.2">
      <c r="A875" s="2">
        <v>45468</v>
      </c>
      <c r="B875" s="1" t="s">
        <v>7</v>
      </c>
      <c r="C875" s="1">
        <v>186.34</v>
      </c>
    </row>
    <row r="876" spans="1:3" x14ac:dyDescent="0.2">
      <c r="A876" s="2">
        <v>45469</v>
      </c>
      <c r="B876" s="1" t="s">
        <v>7</v>
      </c>
      <c r="C876" s="1">
        <v>193.61</v>
      </c>
    </row>
    <row r="877" spans="1:3" x14ac:dyDescent="0.2">
      <c r="A877" s="2">
        <v>45470</v>
      </c>
      <c r="B877" s="1" t="s">
        <v>7</v>
      </c>
      <c r="C877" s="1">
        <v>197.85</v>
      </c>
    </row>
    <row r="878" spans="1:3" x14ac:dyDescent="0.2">
      <c r="A878" s="2">
        <v>45471</v>
      </c>
      <c r="B878" s="1" t="s">
        <v>7</v>
      </c>
      <c r="C878" s="1">
        <v>193.25</v>
      </c>
    </row>
    <row r="879" spans="1:3" x14ac:dyDescent="0.2">
      <c r="A879" s="2">
        <v>45474</v>
      </c>
      <c r="B879" s="1" t="s">
        <v>7</v>
      </c>
      <c r="C879" s="1">
        <v>197.2</v>
      </c>
    </row>
    <row r="880" spans="1:3" x14ac:dyDescent="0.2">
      <c r="A880" s="2">
        <v>45475</v>
      </c>
      <c r="B880" s="1" t="s">
        <v>7</v>
      </c>
      <c r="C880" s="1">
        <v>200</v>
      </c>
    </row>
    <row r="881" spans="1:3" x14ac:dyDescent="0.2">
      <c r="A881" s="2">
        <v>45476</v>
      </c>
      <c r="B881" s="1" t="s">
        <v>7</v>
      </c>
      <c r="C881" s="1">
        <v>197.59</v>
      </c>
    </row>
    <row r="882" spans="1:3" x14ac:dyDescent="0.2">
      <c r="A882" s="2">
        <v>45478</v>
      </c>
      <c r="B882" s="1" t="s">
        <v>7</v>
      </c>
      <c r="C882" s="1">
        <v>200</v>
      </c>
    </row>
    <row r="883" spans="1:3" x14ac:dyDescent="0.2">
      <c r="A883" s="2">
        <v>45481</v>
      </c>
      <c r="B883" s="1" t="s">
        <v>7</v>
      </c>
      <c r="C883" s="1">
        <v>199.29</v>
      </c>
    </row>
    <row r="884" spans="1:3" x14ac:dyDescent="0.2">
      <c r="A884" s="2">
        <v>45482</v>
      </c>
      <c r="B884" s="1" t="s">
        <v>7</v>
      </c>
      <c r="C884" s="1">
        <v>199.34</v>
      </c>
    </row>
    <row r="885" spans="1:3" x14ac:dyDescent="0.2">
      <c r="A885" s="2">
        <v>45483</v>
      </c>
      <c r="B885" s="1" t="s">
        <v>7</v>
      </c>
      <c r="C885" s="1">
        <v>199.79</v>
      </c>
    </row>
    <row r="886" spans="1:3" x14ac:dyDescent="0.2">
      <c r="A886" s="2">
        <v>45484</v>
      </c>
      <c r="B886" s="1" t="s">
        <v>7</v>
      </c>
      <c r="C886" s="1">
        <v>195.05</v>
      </c>
    </row>
    <row r="887" spans="1:3" x14ac:dyDescent="0.2">
      <c r="A887" s="2">
        <v>45485</v>
      </c>
      <c r="B887" s="1" t="s">
        <v>7</v>
      </c>
      <c r="C887" s="1">
        <v>194.49</v>
      </c>
    </row>
    <row r="888" spans="1:3" x14ac:dyDescent="0.2">
      <c r="A888" s="2">
        <v>45488</v>
      </c>
      <c r="B888" s="1" t="s">
        <v>7</v>
      </c>
      <c r="C888" s="1">
        <v>192.72</v>
      </c>
    </row>
    <row r="889" spans="1:3" x14ac:dyDescent="0.2">
      <c r="A889" s="2">
        <v>45489</v>
      </c>
      <c r="B889" s="1" t="s">
        <v>7</v>
      </c>
      <c r="C889" s="1">
        <v>193.02</v>
      </c>
    </row>
    <row r="890" spans="1:3" x14ac:dyDescent="0.2">
      <c r="A890" s="2">
        <v>45490</v>
      </c>
      <c r="B890" s="1" t="s">
        <v>7</v>
      </c>
      <c r="C890" s="1">
        <v>187.93</v>
      </c>
    </row>
    <row r="891" spans="1:3" x14ac:dyDescent="0.2">
      <c r="A891" s="2">
        <v>45491</v>
      </c>
      <c r="B891" s="1" t="s">
        <v>7</v>
      </c>
      <c r="C891" s="1">
        <v>183.75</v>
      </c>
    </row>
    <row r="892" spans="1:3" x14ac:dyDescent="0.2">
      <c r="A892" s="2">
        <v>45492</v>
      </c>
      <c r="B892" s="1" t="s">
        <v>7</v>
      </c>
      <c r="C892" s="1">
        <v>183.13</v>
      </c>
    </row>
    <row r="893" spans="1:3" x14ac:dyDescent="0.2">
      <c r="A893" s="2">
        <v>45495</v>
      </c>
      <c r="B893" s="1" t="s">
        <v>7</v>
      </c>
      <c r="C893" s="1">
        <v>182.55</v>
      </c>
    </row>
    <row r="894" spans="1:3" x14ac:dyDescent="0.2">
      <c r="A894" s="2">
        <v>45496</v>
      </c>
      <c r="B894" s="1" t="s">
        <v>7</v>
      </c>
      <c r="C894" s="1">
        <v>186.41</v>
      </c>
    </row>
    <row r="895" spans="1:3" x14ac:dyDescent="0.2">
      <c r="A895" s="2">
        <v>45497</v>
      </c>
      <c r="B895" s="1" t="s">
        <v>7</v>
      </c>
      <c r="C895" s="1">
        <v>180.83</v>
      </c>
    </row>
    <row r="896" spans="1:3" x14ac:dyDescent="0.2">
      <c r="A896" s="2">
        <v>45498</v>
      </c>
      <c r="B896" s="1" t="s">
        <v>7</v>
      </c>
      <c r="C896" s="1">
        <v>179.85</v>
      </c>
    </row>
    <row r="897" spans="1:3" x14ac:dyDescent="0.2">
      <c r="A897" s="2">
        <v>45499</v>
      </c>
      <c r="B897" s="1" t="s">
        <v>7</v>
      </c>
      <c r="C897" s="1">
        <v>182.5</v>
      </c>
    </row>
    <row r="898" spans="1:3" x14ac:dyDescent="0.2">
      <c r="A898" s="2">
        <v>45502</v>
      </c>
      <c r="B898" s="1" t="s">
        <v>7</v>
      </c>
      <c r="C898" s="1">
        <v>183.2</v>
      </c>
    </row>
    <row r="899" spans="1:3" x14ac:dyDescent="0.2">
      <c r="A899" s="2">
        <v>45503</v>
      </c>
      <c r="B899" s="1" t="s">
        <v>7</v>
      </c>
      <c r="C899" s="1">
        <v>181.71</v>
      </c>
    </row>
    <row r="900" spans="1:3" x14ac:dyDescent="0.2">
      <c r="A900" s="2">
        <v>45504</v>
      </c>
      <c r="B900" s="1" t="s">
        <v>7</v>
      </c>
      <c r="C900" s="1">
        <v>186.98</v>
      </c>
    </row>
    <row r="901" spans="1:3" x14ac:dyDescent="0.2">
      <c r="A901" s="2">
        <v>45505</v>
      </c>
      <c r="B901" s="1" t="s">
        <v>7</v>
      </c>
      <c r="C901" s="1">
        <v>184.07</v>
      </c>
    </row>
    <row r="902" spans="1:3" x14ac:dyDescent="0.2">
      <c r="A902" s="2">
        <v>45506</v>
      </c>
      <c r="B902" s="1" t="s">
        <v>7</v>
      </c>
      <c r="C902" s="1">
        <v>167.9</v>
      </c>
    </row>
    <row r="903" spans="1:3" x14ac:dyDescent="0.2">
      <c r="A903" s="2">
        <v>45509</v>
      </c>
      <c r="B903" s="1" t="s">
        <v>7</v>
      </c>
      <c r="C903" s="1">
        <v>161.02000000000001</v>
      </c>
    </row>
    <row r="904" spans="1:3" x14ac:dyDescent="0.2">
      <c r="A904" s="2">
        <v>45510</v>
      </c>
      <c r="B904" s="1" t="s">
        <v>7</v>
      </c>
      <c r="C904" s="1">
        <v>161.93</v>
      </c>
    </row>
    <row r="905" spans="1:3" x14ac:dyDescent="0.2">
      <c r="A905" s="2">
        <v>45511</v>
      </c>
      <c r="B905" s="1" t="s">
        <v>7</v>
      </c>
      <c r="C905" s="1">
        <v>162.77000000000001</v>
      </c>
    </row>
    <row r="906" spans="1:3" x14ac:dyDescent="0.2">
      <c r="A906" s="2">
        <v>45512</v>
      </c>
      <c r="B906" s="1" t="s">
        <v>7</v>
      </c>
      <c r="C906" s="1">
        <v>165.8</v>
      </c>
    </row>
    <row r="907" spans="1:3" x14ac:dyDescent="0.2">
      <c r="A907" s="2">
        <v>45513</v>
      </c>
      <c r="B907" s="1" t="s">
        <v>7</v>
      </c>
      <c r="C907" s="1">
        <v>166.94</v>
      </c>
    </row>
    <row r="908" spans="1:3" x14ac:dyDescent="0.2">
      <c r="A908" s="2">
        <v>45516</v>
      </c>
      <c r="B908" s="1" t="s">
        <v>7</v>
      </c>
      <c r="C908" s="1">
        <v>166.8</v>
      </c>
    </row>
    <row r="909" spans="1:3" x14ac:dyDescent="0.2">
      <c r="A909" s="2">
        <v>45517</v>
      </c>
      <c r="B909" s="1" t="s">
        <v>7</v>
      </c>
      <c r="C909" s="1">
        <v>170.23</v>
      </c>
    </row>
    <row r="910" spans="1:3" x14ac:dyDescent="0.2">
      <c r="A910" s="2">
        <v>45518</v>
      </c>
      <c r="B910" s="1" t="s">
        <v>7</v>
      </c>
      <c r="C910" s="1">
        <v>170.1</v>
      </c>
    </row>
    <row r="911" spans="1:3" x14ac:dyDescent="0.2">
      <c r="A911" s="2">
        <v>45519</v>
      </c>
      <c r="B911" s="1" t="s">
        <v>7</v>
      </c>
      <c r="C911" s="1">
        <v>177.59</v>
      </c>
    </row>
    <row r="912" spans="1:3" x14ac:dyDescent="0.2">
      <c r="A912" s="2">
        <v>45520</v>
      </c>
      <c r="B912" s="1" t="s">
        <v>7</v>
      </c>
      <c r="C912" s="1">
        <v>177.06</v>
      </c>
    </row>
    <row r="913" spans="1:3" x14ac:dyDescent="0.2">
      <c r="A913" s="2">
        <v>45523</v>
      </c>
      <c r="B913" s="1" t="s">
        <v>7</v>
      </c>
      <c r="C913" s="1">
        <v>178.22</v>
      </c>
    </row>
    <row r="914" spans="1:3" x14ac:dyDescent="0.2">
      <c r="A914" s="2">
        <v>45524</v>
      </c>
      <c r="B914" s="1" t="s">
        <v>7</v>
      </c>
      <c r="C914" s="1">
        <v>178.88</v>
      </c>
    </row>
    <row r="915" spans="1:3" x14ac:dyDescent="0.2">
      <c r="A915" s="2">
        <v>45525</v>
      </c>
      <c r="B915" s="1" t="s">
        <v>7</v>
      </c>
      <c r="C915" s="1">
        <v>180.11</v>
      </c>
    </row>
    <row r="916" spans="1:3" x14ac:dyDescent="0.2">
      <c r="A916" s="2">
        <v>45526</v>
      </c>
      <c r="B916" s="1" t="s">
        <v>7</v>
      </c>
      <c r="C916" s="1">
        <v>176.13</v>
      </c>
    </row>
    <row r="917" spans="1:3" x14ac:dyDescent="0.2">
      <c r="A917" s="2">
        <v>45527</v>
      </c>
      <c r="B917" s="1" t="s">
        <v>7</v>
      </c>
      <c r="C917" s="1">
        <v>177.04</v>
      </c>
    </row>
    <row r="918" spans="1:3" x14ac:dyDescent="0.2">
      <c r="A918" s="2">
        <v>45530</v>
      </c>
      <c r="B918" s="1" t="s">
        <v>7</v>
      </c>
      <c r="C918" s="1">
        <v>175.5</v>
      </c>
    </row>
    <row r="919" spans="1:3" x14ac:dyDescent="0.2">
      <c r="A919" s="2">
        <v>45531</v>
      </c>
      <c r="B919" s="1" t="s">
        <v>7</v>
      </c>
      <c r="C919" s="1">
        <v>173.12</v>
      </c>
    </row>
    <row r="920" spans="1:3" x14ac:dyDescent="0.2">
      <c r="A920" s="2">
        <v>45532</v>
      </c>
      <c r="B920" s="1" t="s">
        <v>7</v>
      </c>
      <c r="C920" s="1">
        <v>170.8</v>
      </c>
    </row>
    <row r="921" spans="1:3" x14ac:dyDescent="0.2">
      <c r="A921" s="2">
        <v>45533</v>
      </c>
      <c r="B921" s="1" t="s">
        <v>7</v>
      </c>
      <c r="C921" s="1">
        <v>172.12</v>
      </c>
    </row>
    <row r="922" spans="1:3" x14ac:dyDescent="0.2">
      <c r="A922" s="2">
        <v>45534</v>
      </c>
      <c r="B922" s="1" t="s">
        <v>7</v>
      </c>
      <c r="C922" s="1">
        <v>178.5</v>
      </c>
    </row>
    <row r="923" spans="1:3" x14ac:dyDescent="0.2">
      <c r="A923" s="2">
        <v>45538</v>
      </c>
      <c r="B923" s="1" t="s">
        <v>7</v>
      </c>
      <c r="C923" s="1">
        <v>176.25</v>
      </c>
    </row>
    <row r="924" spans="1:3" x14ac:dyDescent="0.2">
      <c r="A924" s="2">
        <v>45539</v>
      </c>
      <c r="B924" s="1" t="s">
        <v>7</v>
      </c>
      <c r="C924" s="1">
        <v>173.33</v>
      </c>
    </row>
    <row r="925" spans="1:3" x14ac:dyDescent="0.2">
      <c r="A925" s="2">
        <v>45540</v>
      </c>
      <c r="B925" s="1" t="s">
        <v>7</v>
      </c>
      <c r="C925" s="1">
        <v>177.89</v>
      </c>
    </row>
    <row r="926" spans="1:3" x14ac:dyDescent="0.2">
      <c r="A926" s="2">
        <v>45541</v>
      </c>
      <c r="B926" s="1" t="s">
        <v>7</v>
      </c>
      <c r="C926" s="1">
        <v>171.39</v>
      </c>
    </row>
    <row r="927" spans="1:3" x14ac:dyDescent="0.2">
      <c r="A927" s="2">
        <v>45544</v>
      </c>
      <c r="B927" s="1" t="s">
        <v>7</v>
      </c>
      <c r="C927" s="1">
        <v>175.4</v>
      </c>
    </row>
    <row r="928" spans="1:3" x14ac:dyDescent="0.2">
      <c r="A928" s="2">
        <v>45545</v>
      </c>
      <c r="B928" s="1" t="s">
        <v>7</v>
      </c>
      <c r="C928" s="1">
        <v>179.55</v>
      </c>
    </row>
    <row r="929" spans="1:3" x14ac:dyDescent="0.2">
      <c r="A929" s="2">
        <v>45546</v>
      </c>
      <c r="B929" s="1" t="s">
        <v>7</v>
      </c>
      <c r="C929" s="1">
        <v>184.52</v>
      </c>
    </row>
    <row r="930" spans="1:3" x14ac:dyDescent="0.2">
      <c r="A930" s="2">
        <v>45547</v>
      </c>
      <c r="B930" s="1" t="s">
        <v>7</v>
      </c>
      <c r="C930" s="1">
        <v>187</v>
      </c>
    </row>
    <row r="931" spans="1:3" x14ac:dyDescent="0.2">
      <c r="A931" s="2">
        <v>45548</v>
      </c>
      <c r="B931" s="1" t="s">
        <v>7</v>
      </c>
      <c r="C931" s="1">
        <v>186.49</v>
      </c>
    </row>
    <row r="932" spans="1:3" x14ac:dyDescent="0.2">
      <c r="A932" s="2">
        <v>45551</v>
      </c>
      <c r="B932" s="1" t="s">
        <v>7</v>
      </c>
      <c r="C932" s="1">
        <v>184.89</v>
      </c>
    </row>
    <row r="933" spans="1:3" x14ac:dyDescent="0.2">
      <c r="A933" s="2">
        <v>45552</v>
      </c>
      <c r="B933" s="1" t="s">
        <v>7</v>
      </c>
      <c r="C933" s="1">
        <v>186.88</v>
      </c>
    </row>
    <row r="934" spans="1:3" x14ac:dyDescent="0.2">
      <c r="A934" s="2">
        <v>45553</v>
      </c>
      <c r="B934" s="1" t="s">
        <v>7</v>
      </c>
      <c r="C934" s="1">
        <v>186.43</v>
      </c>
    </row>
    <row r="935" spans="1:3" x14ac:dyDescent="0.2">
      <c r="A935" s="2">
        <v>45554</v>
      </c>
      <c r="B935" s="1" t="s">
        <v>7</v>
      </c>
      <c r="C935" s="1">
        <v>189.87</v>
      </c>
    </row>
    <row r="936" spans="1:3" x14ac:dyDescent="0.2">
      <c r="A936" s="2">
        <v>45555</v>
      </c>
      <c r="B936" s="1" t="s">
        <v>7</v>
      </c>
      <c r="C936" s="1">
        <v>191.6</v>
      </c>
    </row>
    <row r="937" spans="1:3" x14ac:dyDescent="0.2">
      <c r="A937" s="2">
        <v>45558</v>
      </c>
      <c r="B937" s="1" t="s">
        <v>7</v>
      </c>
      <c r="C937" s="1">
        <v>193.88</v>
      </c>
    </row>
    <row r="938" spans="1:3" x14ac:dyDescent="0.2">
      <c r="A938" s="2">
        <v>45559</v>
      </c>
      <c r="B938" s="1" t="s">
        <v>7</v>
      </c>
      <c r="C938" s="1">
        <v>193.96</v>
      </c>
    </row>
    <row r="939" spans="1:3" x14ac:dyDescent="0.2">
      <c r="A939" s="2">
        <v>45560</v>
      </c>
      <c r="B939" s="1" t="s">
        <v>7</v>
      </c>
      <c r="C939" s="1">
        <v>192.53</v>
      </c>
    </row>
    <row r="940" spans="1:3" x14ac:dyDescent="0.2">
      <c r="A940" s="2">
        <v>45561</v>
      </c>
      <c r="B940" s="1" t="s">
        <v>7</v>
      </c>
      <c r="C940" s="1">
        <v>191.16</v>
      </c>
    </row>
    <row r="941" spans="1:3" x14ac:dyDescent="0.2">
      <c r="A941" s="2">
        <v>45562</v>
      </c>
      <c r="B941" s="1" t="s">
        <v>7</v>
      </c>
      <c r="C941" s="1">
        <v>187.97</v>
      </c>
    </row>
    <row r="942" spans="1:3" x14ac:dyDescent="0.2">
      <c r="A942" s="2">
        <v>45565</v>
      </c>
      <c r="B942" s="1" t="s">
        <v>7</v>
      </c>
      <c r="C942" s="1">
        <v>186.33</v>
      </c>
    </row>
    <row r="943" spans="1:3" x14ac:dyDescent="0.2">
      <c r="A943" s="2">
        <v>45566</v>
      </c>
      <c r="B943" s="1" t="s">
        <v>7</v>
      </c>
      <c r="C943" s="1">
        <v>185.13</v>
      </c>
    </row>
    <row r="944" spans="1:3" x14ac:dyDescent="0.2">
      <c r="A944" s="2">
        <v>45567</v>
      </c>
      <c r="B944" s="1" t="s">
        <v>7</v>
      </c>
      <c r="C944" s="1">
        <v>184.76</v>
      </c>
    </row>
    <row r="945" spans="1:3" x14ac:dyDescent="0.2">
      <c r="A945" s="2">
        <v>45568</v>
      </c>
      <c r="B945" s="1" t="s">
        <v>7</v>
      </c>
      <c r="C945" s="1">
        <v>181.96</v>
      </c>
    </row>
    <row r="946" spans="1:3" x14ac:dyDescent="0.2">
      <c r="A946" s="2">
        <v>45569</v>
      </c>
      <c r="B946" s="1" t="s">
        <v>7</v>
      </c>
      <c r="C946" s="1">
        <v>186.51</v>
      </c>
    </row>
    <row r="947" spans="1:3" x14ac:dyDescent="0.2">
      <c r="A947" s="2">
        <v>45572</v>
      </c>
      <c r="B947" s="1" t="s">
        <v>7</v>
      </c>
      <c r="C947" s="1">
        <v>180.8</v>
      </c>
    </row>
    <row r="948" spans="1:3" x14ac:dyDescent="0.2">
      <c r="A948" s="2">
        <v>45573</v>
      </c>
      <c r="B948" s="1" t="s">
        <v>7</v>
      </c>
      <c r="C948" s="1">
        <v>182.72</v>
      </c>
    </row>
    <row r="949" spans="1:3" x14ac:dyDescent="0.2">
      <c r="A949" s="2">
        <v>45574</v>
      </c>
      <c r="B949" s="1" t="s">
        <v>7</v>
      </c>
      <c r="C949" s="1">
        <v>185.17</v>
      </c>
    </row>
    <row r="950" spans="1:3" x14ac:dyDescent="0.2">
      <c r="A950" s="2">
        <v>45575</v>
      </c>
      <c r="B950" s="1" t="s">
        <v>7</v>
      </c>
      <c r="C950" s="1">
        <v>186.65</v>
      </c>
    </row>
    <row r="951" spans="1:3" x14ac:dyDescent="0.2">
      <c r="A951" s="2">
        <v>45576</v>
      </c>
      <c r="B951" s="1" t="s">
        <v>7</v>
      </c>
      <c r="C951" s="1">
        <v>188.82</v>
      </c>
    </row>
    <row r="952" spans="1:3" x14ac:dyDescent="0.2">
      <c r="A952" s="2">
        <v>45579</v>
      </c>
      <c r="B952" s="1" t="s">
        <v>7</v>
      </c>
      <c r="C952" s="1">
        <v>187.54</v>
      </c>
    </row>
    <row r="953" spans="1:3" x14ac:dyDescent="0.2">
      <c r="A953" s="2">
        <v>45580</v>
      </c>
      <c r="B953" s="1" t="s">
        <v>7</v>
      </c>
      <c r="C953" s="1">
        <v>187.69</v>
      </c>
    </row>
    <row r="954" spans="1:3" x14ac:dyDescent="0.2">
      <c r="A954" s="2">
        <v>45581</v>
      </c>
      <c r="B954" s="1" t="s">
        <v>7</v>
      </c>
      <c r="C954" s="1">
        <v>186.89</v>
      </c>
    </row>
    <row r="955" spans="1:3" x14ac:dyDescent="0.2">
      <c r="A955" s="2">
        <v>45582</v>
      </c>
      <c r="B955" s="1" t="s">
        <v>7</v>
      </c>
      <c r="C955" s="1">
        <v>187.53</v>
      </c>
    </row>
    <row r="956" spans="1:3" x14ac:dyDescent="0.2">
      <c r="A956" s="2">
        <v>45583</v>
      </c>
      <c r="B956" s="1" t="s">
        <v>7</v>
      </c>
      <c r="C956" s="1">
        <v>188.99</v>
      </c>
    </row>
    <row r="957" spans="1:3" x14ac:dyDescent="0.2">
      <c r="A957" s="2">
        <v>45586</v>
      </c>
      <c r="B957" s="1" t="s">
        <v>7</v>
      </c>
      <c r="C957" s="1">
        <v>189.07</v>
      </c>
    </row>
    <row r="958" spans="1:3" x14ac:dyDescent="0.2">
      <c r="A958" s="2">
        <v>45587</v>
      </c>
      <c r="B958" s="1" t="s">
        <v>7</v>
      </c>
      <c r="C958" s="1">
        <v>189.7</v>
      </c>
    </row>
    <row r="959" spans="1:3" x14ac:dyDescent="0.2">
      <c r="A959" s="2">
        <v>45588</v>
      </c>
      <c r="B959" s="1" t="s">
        <v>7</v>
      </c>
      <c r="C959" s="1">
        <v>184.71</v>
      </c>
    </row>
    <row r="960" spans="1:3" x14ac:dyDescent="0.2">
      <c r="A960" s="2">
        <v>45589</v>
      </c>
      <c r="B960" s="1" t="s">
        <v>7</v>
      </c>
      <c r="C960" s="1">
        <v>186.38</v>
      </c>
    </row>
    <row r="961" spans="1:3" x14ac:dyDescent="0.2">
      <c r="A961" s="2">
        <v>45590</v>
      </c>
      <c r="B961" s="1" t="s">
        <v>7</v>
      </c>
      <c r="C961" s="1">
        <v>187.83</v>
      </c>
    </row>
    <row r="962" spans="1:3" x14ac:dyDescent="0.2">
      <c r="A962" s="2">
        <v>45593</v>
      </c>
      <c r="B962" s="1" t="s">
        <v>7</v>
      </c>
      <c r="C962" s="1">
        <v>188.39</v>
      </c>
    </row>
    <row r="963" spans="1:3" x14ac:dyDescent="0.2">
      <c r="A963" s="2">
        <v>45594</v>
      </c>
      <c r="B963" s="1" t="s">
        <v>7</v>
      </c>
      <c r="C963" s="1">
        <v>190.83</v>
      </c>
    </row>
    <row r="964" spans="1:3" x14ac:dyDescent="0.2">
      <c r="A964" s="2">
        <v>45595</v>
      </c>
      <c r="B964" s="1" t="s">
        <v>7</v>
      </c>
      <c r="C964" s="1">
        <v>192.73</v>
      </c>
    </row>
    <row r="965" spans="1:3" x14ac:dyDescent="0.2">
      <c r="A965" s="2">
        <v>45596</v>
      </c>
      <c r="B965" s="1" t="s">
        <v>7</v>
      </c>
      <c r="C965" s="1">
        <v>186.4</v>
      </c>
    </row>
    <row r="966" spans="1:3" x14ac:dyDescent="0.2">
      <c r="A966" s="2">
        <v>45597</v>
      </c>
      <c r="B966" s="1" t="s">
        <v>7</v>
      </c>
      <c r="C966" s="1">
        <v>197.93</v>
      </c>
    </row>
    <row r="967" spans="1:3" x14ac:dyDescent="0.2">
      <c r="A967" s="2">
        <v>45600</v>
      </c>
      <c r="B967" s="1" t="s">
        <v>7</v>
      </c>
      <c r="C967" s="1">
        <v>195.78</v>
      </c>
    </row>
    <row r="968" spans="1:3" x14ac:dyDescent="0.2">
      <c r="A968" s="2">
        <v>45601</v>
      </c>
      <c r="B968" s="1" t="s">
        <v>7</v>
      </c>
      <c r="C968" s="1">
        <v>199.5</v>
      </c>
    </row>
    <row r="969" spans="1:3" x14ac:dyDescent="0.2">
      <c r="A969" s="2">
        <v>45602</v>
      </c>
      <c r="B969" s="1" t="s">
        <v>7</v>
      </c>
      <c r="C969" s="1">
        <v>207.09</v>
      </c>
    </row>
    <row r="970" spans="1:3" x14ac:dyDescent="0.2">
      <c r="A970" s="2">
        <v>45603</v>
      </c>
      <c r="B970" s="1" t="s">
        <v>7</v>
      </c>
      <c r="C970" s="1">
        <v>210.05</v>
      </c>
    </row>
    <row r="971" spans="1:3" x14ac:dyDescent="0.2">
      <c r="A971" s="2">
        <v>45604</v>
      </c>
      <c r="B971" s="1" t="s">
        <v>7</v>
      </c>
      <c r="C971" s="1">
        <v>208.18</v>
      </c>
    </row>
    <row r="972" spans="1:3" x14ac:dyDescent="0.2">
      <c r="A972" s="2">
        <v>45607</v>
      </c>
      <c r="B972" s="1" t="s">
        <v>7</v>
      </c>
      <c r="C972" s="1">
        <v>206.84</v>
      </c>
    </row>
    <row r="973" spans="1:3" x14ac:dyDescent="0.2">
      <c r="A973" s="2">
        <v>45608</v>
      </c>
      <c r="B973" s="1" t="s">
        <v>7</v>
      </c>
      <c r="C973" s="1">
        <v>208.91</v>
      </c>
    </row>
    <row r="974" spans="1:3" x14ac:dyDescent="0.2">
      <c r="A974" s="2">
        <v>45609</v>
      </c>
      <c r="B974" s="1" t="s">
        <v>7</v>
      </c>
      <c r="C974" s="1">
        <v>214.1</v>
      </c>
    </row>
    <row r="975" spans="1:3" x14ac:dyDescent="0.2">
      <c r="A975" s="2">
        <v>45610</v>
      </c>
      <c r="B975" s="1" t="s">
        <v>7</v>
      </c>
      <c r="C975" s="1">
        <v>211.48</v>
      </c>
    </row>
    <row r="976" spans="1:3" x14ac:dyDescent="0.2">
      <c r="A976" s="2">
        <v>45611</v>
      </c>
      <c r="B976" s="1" t="s">
        <v>7</v>
      </c>
      <c r="C976" s="1">
        <v>202.61</v>
      </c>
    </row>
    <row r="977" spans="1:3" x14ac:dyDescent="0.2">
      <c r="A977" s="2">
        <v>45614</v>
      </c>
      <c r="B977" s="1" t="s">
        <v>7</v>
      </c>
      <c r="C977" s="1">
        <v>201.7</v>
      </c>
    </row>
    <row r="978" spans="1:3" x14ac:dyDescent="0.2">
      <c r="A978" s="2">
        <v>45615</v>
      </c>
      <c r="B978" s="1" t="s">
        <v>7</v>
      </c>
      <c r="C978" s="1">
        <v>204.61</v>
      </c>
    </row>
    <row r="979" spans="1:3" x14ac:dyDescent="0.2">
      <c r="A979" s="2">
        <v>45616</v>
      </c>
      <c r="B979" s="1" t="s">
        <v>7</v>
      </c>
      <c r="C979" s="1">
        <v>202.88</v>
      </c>
    </row>
    <row r="980" spans="1:3" x14ac:dyDescent="0.2">
      <c r="A980" s="2">
        <v>45617</v>
      </c>
      <c r="B980" s="1" t="s">
        <v>7</v>
      </c>
      <c r="C980" s="1">
        <v>198.38</v>
      </c>
    </row>
    <row r="981" spans="1:3" x14ac:dyDescent="0.2">
      <c r="A981" s="2">
        <v>45618</v>
      </c>
      <c r="B981" s="1" t="s">
        <v>7</v>
      </c>
      <c r="C981" s="1">
        <v>197.12</v>
      </c>
    </row>
    <row r="982" spans="1:3" x14ac:dyDescent="0.2">
      <c r="A982" s="2">
        <v>45621</v>
      </c>
      <c r="B982" s="1" t="s">
        <v>7</v>
      </c>
      <c r="C982" s="1">
        <v>201.45</v>
      </c>
    </row>
    <row r="983" spans="1:3" x14ac:dyDescent="0.2">
      <c r="A983" s="2">
        <v>45622</v>
      </c>
      <c r="B983" s="1" t="s">
        <v>7</v>
      </c>
      <c r="C983" s="1">
        <v>207.86</v>
      </c>
    </row>
    <row r="984" spans="1:3" x14ac:dyDescent="0.2">
      <c r="A984" s="2">
        <v>45623</v>
      </c>
      <c r="B984" s="1" t="s">
        <v>7</v>
      </c>
      <c r="C984" s="1">
        <v>205.74</v>
      </c>
    </row>
    <row r="985" spans="1:3" x14ac:dyDescent="0.2">
      <c r="A985" s="2">
        <v>45625</v>
      </c>
      <c r="B985" s="1" t="s">
        <v>7</v>
      </c>
      <c r="C985" s="1">
        <v>207.89</v>
      </c>
    </row>
    <row r="986" spans="1:3" x14ac:dyDescent="0.2">
      <c r="A986" s="2">
        <v>45628</v>
      </c>
      <c r="B986" s="1" t="s">
        <v>7</v>
      </c>
      <c r="C986" s="1">
        <v>210.71</v>
      </c>
    </row>
    <row r="987" spans="1:3" x14ac:dyDescent="0.2">
      <c r="A987" s="2">
        <v>45629</v>
      </c>
      <c r="B987" s="1" t="s">
        <v>7</v>
      </c>
      <c r="C987" s="1">
        <v>213.44</v>
      </c>
    </row>
    <row r="988" spans="1:3" x14ac:dyDescent="0.2">
      <c r="A988" s="2">
        <v>45630</v>
      </c>
      <c r="B988" s="1" t="s">
        <v>7</v>
      </c>
      <c r="C988" s="1">
        <v>218.16</v>
      </c>
    </row>
    <row r="989" spans="1:3" x14ac:dyDescent="0.2">
      <c r="A989" s="2">
        <v>45631</v>
      </c>
      <c r="B989" s="1" t="s">
        <v>7</v>
      </c>
      <c r="C989" s="1">
        <v>220.55</v>
      </c>
    </row>
    <row r="990" spans="1:3" x14ac:dyDescent="0.2">
      <c r="A990" s="2">
        <v>45632</v>
      </c>
      <c r="B990" s="1" t="s">
        <v>7</v>
      </c>
      <c r="C990" s="1">
        <v>227.03</v>
      </c>
    </row>
    <row r="991" spans="1:3" x14ac:dyDescent="0.2">
      <c r="A991" s="2">
        <v>45635</v>
      </c>
      <c r="B991" s="1" t="s">
        <v>7</v>
      </c>
      <c r="C991" s="1">
        <v>226.09</v>
      </c>
    </row>
    <row r="992" spans="1:3" x14ac:dyDescent="0.2">
      <c r="A992" s="2">
        <v>45636</v>
      </c>
      <c r="B992" s="1" t="s">
        <v>7</v>
      </c>
      <c r="C992" s="1">
        <v>225.04</v>
      </c>
    </row>
    <row r="993" spans="1:3" x14ac:dyDescent="0.2">
      <c r="A993" s="2">
        <v>45637</v>
      </c>
      <c r="B993" s="1" t="s">
        <v>7</v>
      </c>
      <c r="C993" s="1">
        <v>230.26</v>
      </c>
    </row>
    <row r="994" spans="1:3" x14ac:dyDescent="0.2">
      <c r="A994" s="2">
        <v>45638</v>
      </c>
      <c r="B994" s="1" t="s">
        <v>7</v>
      </c>
      <c r="C994" s="1">
        <v>228.97</v>
      </c>
    </row>
    <row r="995" spans="1:3" x14ac:dyDescent="0.2">
      <c r="A995" s="2">
        <v>45639</v>
      </c>
      <c r="B995" s="1" t="s">
        <v>7</v>
      </c>
      <c r="C995" s="1">
        <v>227.46</v>
      </c>
    </row>
    <row r="996" spans="1:3" x14ac:dyDescent="0.2">
      <c r="A996" s="2">
        <v>45642</v>
      </c>
      <c r="B996" s="1" t="s">
        <v>7</v>
      </c>
      <c r="C996" s="1">
        <v>232.93</v>
      </c>
    </row>
    <row r="997" spans="1:3" x14ac:dyDescent="0.2">
      <c r="A997" s="2">
        <v>45643</v>
      </c>
      <c r="B997" s="1" t="s">
        <v>7</v>
      </c>
      <c r="C997" s="1">
        <v>231.15</v>
      </c>
    </row>
    <row r="998" spans="1:3" x14ac:dyDescent="0.2">
      <c r="A998" s="2">
        <v>45644</v>
      </c>
      <c r="B998" s="1" t="s">
        <v>7</v>
      </c>
      <c r="C998" s="1">
        <v>220.52</v>
      </c>
    </row>
    <row r="999" spans="1:3" x14ac:dyDescent="0.2">
      <c r="A999" s="2">
        <v>45645</v>
      </c>
      <c r="B999" s="1" t="s">
        <v>7</v>
      </c>
      <c r="C999" s="1">
        <v>223.29</v>
      </c>
    </row>
    <row r="1000" spans="1:3" x14ac:dyDescent="0.2">
      <c r="A1000" s="2">
        <v>45646</v>
      </c>
      <c r="B1000" s="1" t="s">
        <v>7</v>
      </c>
      <c r="C1000" s="1">
        <v>224.92</v>
      </c>
    </row>
    <row r="1001" spans="1:3" x14ac:dyDescent="0.2">
      <c r="A1001" s="2">
        <v>45649</v>
      </c>
      <c r="B1001" s="1" t="s">
        <v>7</v>
      </c>
      <c r="C1001" s="1">
        <v>225.06</v>
      </c>
    </row>
    <row r="1002" spans="1:3" x14ac:dyDescent="0.2">
      <c r="A1002" s="2">
        <v>45650</v>
      </c>
      <c r="B1002" s="1" t="s">
        <v>7</v>
      </c>
      <c r="C1002" s="1">
        <v>229.05</v>
      </c>
    </row>
    <row r="1003" spans="1:3" x14ac:dyDescent="0.2">
      <c r="A1003" s="2">
        <v>45652</v>
      </c>
      <c r="B1003" s="1" t="s">
        <v>7</v>
      </c>
      <c r="C1003" s="1">
        <v>227.05</v>
      </c>
    </row>
    <row r="1004" spans="1:3" x14ac:dyDescent="0.2">
      <c r="A1004" s="2">
        <v>45653</v>
      </c>
      <c r="B1004" s="1" t="s">
        <v>7</v>
      </c>
      <c r="C1004" s="1">
        <v>223.75</v>
      </c>
    </row>
    <row r="1005" spans="1:3" x14ac:dyDescent="0.2">
      <c r="A1005" s="2">
        <v>45656</v>
      </c>
      <c r="B1005" s="1" t="s">
        <v>7</v>
      </c>
      <c r="C1005" s="1">
        <v>221.3</v>
      </c>
    </row>
    <row r="1006" spans="1:3" x14ac:dyDescent="0.2">
      <c r="A1006" s="2">
        <v>45657</v>
      </c>
      <c r="B1006" s="1" t="s">
        <v>7</v>
      </c>
      <c r="C1006" s="1">
        <v>219.39</v>
      </c>
    </row>
    <row r="1007" spans="1:3" x14ac:dyDescent="0.2">
      <c r="A1007" s="2">
        <v>45659</v>
      </c>
      <c r="B1007" s="1" t="s">
        <v>7</v>
      </c>
      <c r="C1007" s="1">
        <v>220.22</v>
      </c>
    </row>
    <row r="1008" spans="1:3" x14ac:dyDescent="0.2">
      <c r="A1008" s="2">
        <v>45660</v>
      </c>
      <c r="B1008" s="1" t="s">
        <v>7</v>
      </c>
      <c r="C1008" s="1">
        <v>224.19</v>
      </c>
    </row>
    <row r="1009" spans="1:3" x14ac:dyDescent="0.2">
      <c r="A1009" s="2">
        <v>45663</v>
      </c>
      <c r="B1009" s="1" t="s">
        <v>7</v>
      </c>
      <c r="C1009" s="1">
        <v>227.61</v>
      </c>
    </row>
    <row r="1010" spans="1:3" x14ac:dyDescent="0.2">
      <c r="A1010" s="2">
        <v>45664</v>
      </c>
      <c r="B1010" s="1" t="s">
        <v>7</v>
      </c>
      <c r="C1010" s="1">
        <v>222.11</v>
      </c>
    </row>
    <row r="1011" spans="1:3" x14ac:dyDescent="0.2">
      <c r="A1011" s="2">
        <v>45665</v>
      </c>
      <c r="B1011" s="1" t="s">
        <v>7</v>
      </c>
      <c r="C1011" s="1">
        <v>222.13</v>
      </c>
    </row>
    <row r="1012" spans="1:3" x14ac:dyDescent="0.2">
      <c r="A1012" s="2">
        <v>45667</v>
      </c>
      <c r="B1012" s="1" t="s">
        <v>7</v>
      </c>
      <c r="C1012" s="1">
        <v>218.94</v>
      </c>
    </row>
    <row r="1013" spans="1:3" x14ac:dyDescent="0.2">
      <c r="A1013" s="2">
        <v>45670</v>
      </c>
      <c r="B1013" s="1" t="s">
        <v>7</v>
      </c>
      <c r="C1013" s="1">
        <v>218.46</v>
      </c>
    </row>
    <row r="1014" spans="1:3" x14ac:dyDescent="0.2">
      <c r="A1014" s="2">
        <v>45671</v>
      </c>
      <c r="B1014" s="1" t="s">
        <v>7</v>
      </c>
      <c r="C1014" s="1">
        <v>217.76</v>
      </c>
    </row>
    <row r="1015" spans="1:3" x14ac:dyDescent="0.2">
      <c r="A1015" s="2">
        <v>45672</v>
      </c>
      <c r="B1015" s="1" t="s">
        <v>7</v>
      </c>
      <c r="C1015" s="1">
        <v>223.35</v>
      </c>
    </row>
    <row r="1016" spans="1:3" x14ac:dyDescent="0.2">
      <c r="A1016" s="2">
        <v>45673</v>
      </c>
      <c r="B1016" s="1" t="s">
        <v>7</v>
      </c>
      <c r="C1016" s="1">
        <v>220.66</v>
      </c>
    </row>
    <row r="1017" spans="1:3" x14ac:dyDescent="0.2">
      <c r="A1017" s="2">
        <v>45674</v>
      </c>
      <c r="B1017" s="1" t="s">
        <v>7</v>
      </c>
      <c r="C1017" s="1">
        <v>225.94</v>
      </c>
    </row>
    <row r="1018" spans="1:3" x14ac:dyDescent="0.2">
      <c r="A1018" s="2">
        <v>45678</v>
      </c>
      <c r="B1018" s="1" t="s">
        <v>7</v>
      </c>
      <c r="C1018" s="1">
        <v>230.71</v>
      </c>
    </row>
    <row r="1019" spans="1:3" x14ac:dyDescent="0.2">
      <c r="A1019" s="2">
        <v>45679</v>
      </c>
      <c r="B1019" s="1" t="s">
        <v>7</v>
      </c>
      <c r="C1019" s="1">
        <v>235.01</v>
      </c>
    </row>
    <row r="1020" spans="1:3" x14ac:dyDescent="0.2">
      <c r="A1020" s="2">
        <v>45680</v>
      </c>
      <c r="B1020" s="1" t="s">
        <v>7</v>
      </c>
      <c r="C1020" s="1">
        <v>235.42</v>
      </c>
    </row>
    <row r="1021" spans="1:3" x14ac:dyDescent="0.2">
      <c r="A1021" s="2">
        <v>45681</v>
      </c>
      <c r="B1021" s="1" t="s">
        <v>7</v>
      </c>
      <c r="C1021" s="1">
        <v>234.85</v>
      </c>
    </row>
    <row r="1022" spans="1:3" x14ac:dyDescent="0.2">
      <c r="A1022" s="2">
        <v>45684</v>
      </c>
      <c r="B1022" s="1" t="s">
        <v>7</v>
      </c>
      <c r="C1022" s="1">
        <v>235.42</v>
      </c>
    </row>
    <row r="1023" spans="1:3" x14ac:dyDescent="0.2">
      <c r="A1023" s="2">
        <v>45685</v>
      </c>
      <c r="B1023" s="1" t="s">
        <v>7</v>
      </c>
      <c r="C1023" s="1">
        <v>238.15</v>
      </c>
    </row>
    <row r="1024" spans="1:3" x14ac:dyDescent="0.2">
      <c r="A1024" s="2">
        <v>45686</v>
      </c>
      <c r="B1024" s="1" t="s">
        <v>7</v>
      </c>
      <c r="C1024" s="1">
        <v>237.07</v>
      </c>
    </row>
    <row r="1025" spans="1:3" x14ac:dyDescent="0.2">
      <c r="A1025" s="2">
        <v>45687</v>
      </c>
      <c r="B1025" s="1" t="s">
        <v>7</v>
      </c>
      <c r="C1025" s="1">
        <v>234.64</v>
      </c>
    </row>
    <row r="1026" spans="1:3" x14ac:dyDescent="0.2">
      <c r="A1026" s="2">
        <v>45688</v>
      </c>
      <c r="B1026" s="1" t="s">
        <v>7</v>
      </c>
      <c r="C1026" s="1">
        <v>237.68</v>
      </c>
    </row>
    <row r="1027" spans="1:3" x14ac:dyDescent="0.2">
      <c r="A1027" s="2">
        <v>45691</v>
      </c>
      <c r="B1027" s="1" t="s">
        <v>7</v>
      </c>
      <c r="C1027" s="1">
        <v>237.42</v>
      </c>
    </row>
    <row r="1028" spans="1:3" x14ac:dyDescent="0.2">
      <c r="A1028" s="2">
        <v>45692</v>
      </c>
      <c r="B1028" s="1" t="s">
        <v>7</v>
      </c>
      <c r="C1028" s="1">
        <v>242.06</v>
      </c>
    </row>
    <row r="1029" spans="1:3" x14ac:dyDescent="0.2">
      <c r="A1029" s="2">
        <v>45693</v>
      </c>
      <c r="B1029" s="1" t="s">
        <v>7</v>
      </c>
      <c r="C1029" s="1">
        <v>236.17</v>
      </c>
    </row>
    <row r="1030" spans="1:3" x14ac:dyDescent="0.2">
      <c r="A1030" s="2">
        <v>45694</v>
      </c>
      <c r="B1030" s="1" t="s">
        <v>7</v>
      </c>
      <c r="C1030" s="1">
        <v>238.83</v>
      </c>
    </row>
    <row r="1031" spans="1:3" x14ac:dyDescent="0.2">
      <c r="A1031" s="2">
        <v>45695</v>
      </c>
      <c r="B1031" s="1" t="s">
        <v>7</v>
      </c>
      <c r="C1031" s="1">
        <v>229.15</v>
      </c>
    </row>
    <row r="1032" spans="1:3" x14ac:dyDescent="0.2">
      <c r="A1032" s="2">
        <v>45698</v>
      </c>
      <c r="B1032" s="1" t="s">
        <v>7</v>
      </c>
      <c r="C1032" s="1">
        <v>233.14</v>
      </c>
    </row>
    <row r="1033" spans="1:3" x14ac:dyDescent="0.2">
      <c r="A1033" s="2">
        <v>45699</v>
      </c>
      <c r="B1033" s="1" t="s">
        <v>7</v>
      </c>
      <c r="C1033" s="1">
        <v>232.76</v>
      </c>
    </row>
    <row r="1034" spans="1:3" x14ac:dyDescent="0.2">
      <c r="A1034" s="2">
        <v>45700</v>
      </c>
      <c r="B1034" s="1" t="s">
        <v>7</v>
      </c>
      <c r="C1034" s="1">
        <v>228.93</v>
      </c>
    </row>
    <row r="1035" spans="1:3" x14ac:dyDescent="0.2">
      <c r="A1035" s="2">
        <v>45701</v>
      </c>
      <c r="B1035" s="1" t="s">
        <v>7</v>
      </c>
      <c r="C1035" s="1">
        <v>230.37</v>
      </c>
    </row>
    <row r="1036" spans="1:3" x14ac:dyDescent="0.2">
      <c r="A1036" s="2">
        <v>45702</v>
      </c>
      <c r="B1036" s="1" t="s">
        <v>7</v>
      </c>
      <c r="C1036" s="1">
        <v>228.68</v>
      </c>
    </row>
    <row r="1037" spans="1:3" x14ac:dyDescent="0.2">
      <c r="A1037" s="2">
        <v>45706</v>
      </c>
      <c r="B1037" s="1" t="s">
        <v>7</v>
      </c>
      <c r="C1037" s="1">
        <v>226.65</v>
      </c>
    </row>
    <row r="1038" spans="1:3" x14ac:dyDescent="0.2">
      <c r="A1038" s="2">
        <v>45707</v>
      </c>
      <c r="B1038" s="1" t="s">
        <v>7</v>
      </c>
      <c r="C1038" s="1">
        <v>226.63</v>
      </c>
    </row>
    <row r="1039" spans="1:3" x14ac:dyDescent="0.2">
      <c r="A1039" s="2">
        <v>45708</v>
      </c>
      <c r="B1039" s="1" t="s">
        <v>7</v>
      </c>
      <c r="C1039" s="1">
        <v>222.88</v>
      </c>
    </row>
    <row r="1040" spans="1:3" x14ac:dyDescent="0.2">
      <c r="A1040" s="2">
        <v>45709</v>
      </c>
      <c r="B1040" s="1" t="s">
        <v>7</v>
      </c>
      <c r="C1040" s="1">
        <v>216.58</v>
      </c>
    </row>
    <row r="1041" spans="1:3" x14ac:dyDescent="0.2">
      <c r="A1041" s="2">
        <v>45712</v>
      </c>
      <c r="B1041" s="1" t="s">
        <v>7</v>
      </c>
      <c r="C1041" s="1">
        <v>212.71</v>
      </c>
    </row>
    <row r="1042" spans="1:3" x14ac:dyDescent="0.2">
      <c r="A1042" s="2">
        <v>45713</v>
      </c>
      <c r="B1042" s="1" t="s">
        <v>7</v>
      </c>
      <c r="C1042" s="1">
        <v>212.8</v>
      </c>
    </row>
    <row r="1043" spans="1:3" x14ac:dyDescent="0.2">
      <c r="A1043" s="2">
        <v>45714</v>
      </c>
      <c r="B1043" s="1" t="s">
        <v>7</v>
      </c>
      <c r="C1043" s="1">
        <v>214.35</v>
      </c>
    </row>
    <row r="1044" spans="1:3" x14ac:dyDescent="0.2">
      <c r="A1044" s="2">
        <v>45715</v>
      </c>
      <c r="B1044" s="1" t="s">
        <v>7</v>
      </c>
      <c r="C1044" s="1">
        <v>208.74</v>
      </c>
    </row>
    <row r="1045" spans="1:3" x14ac:dyDescent="0.2">
      <c r="A1045" s="2">
        <v>45716</v>
      </c>
      <c r="B1045" s="1" t="s">
        <v>7</v>
      </c>
      <c r="C1045" s="1">
        <v>212.28</v>
      </c>
    </row>
    <row r="1046" spans="1:3" x14ac:dyDescent="0.2">
      <c r="A1046" s="2">
        <v>45719</v>
      </c>
      <c r="B1046" s="1" t="s">
        <v>7</v>
      </c>
      <c r="C1046" s="1">
        <v>205.02</v>
      </c>
    </row>
    <row r="1047" spans="1:3" x14ac:dyDescent="0.2">
      <c r="A1047" s="2">
        <v>45720</v>
      </c>
      <c r="B1047" s="1" t="s">
        <v>7</v>
      </c>
      <c r="C1047" s="1">
        <v>203.8</v>
      </c>
    </row>
    <row r="1048" spans="1:3" x14ac:dyDescent="0.2">
      <c r="A1048" s="2">
        <v>45721</v>
      </c>
      <c r="B1048" s="1" t="s">
        <v>7</v>
      </c>
      <c r="C1048" s="1">
        <v>208.36</v>
      </c>
    </row>
    <row r="1049" spans="1:3" x14ac:dyDescent="0.2">
      <c r="A1049" s="2">
        <v>45722</v>
      </c>
      <c r="B1049" s="1" t="s">
        <v>7</v>
      </c>
      <c r="C1049" s="1">
        <v>200.7</v>
      </c>
    </row>
    <row r="1050" spans="1:3" x14ac:dyDescent="0.2">
      <c r="A1050" s="2">
        <v>45723</v>
      </c>
      <c r="B1050" s="1" t="s">
        <v>7</v>
      </c>
      <c r="C1050" s="1">
        <v>199.25</v>
      </c>
    </row>
    <row r="1051" spans="1:3" x14ac:dyDescent="0.2">
      <c r="A1051" s="2">
        <v>45726</v>
      </c>
      <c r="B1051" s="1" t="s">
        <v>7</v>
      </c>
      <c r="C1051" s="1">
        <v>194.54</v>
      </c>
    </row>
    <row r="1052" spans="1:3" x14ac:dyDescent="0.2">
      <c r="A1052" s="2">
        <v>45727</v>
      </c>
      <c r="B1052" s="1" t="s">
        <v>7</v>
      </c>
      <c r="C1052" s="1">
        <v>196.59</v>
      </c>
    </row>
    <row r="1053" spans="1:3" x14ac:dyDescent="0.2">
      <c r="A1053" s="2">
        <v>45728</v>
      </c>
      <c r="B1053" s="1" t="s">
        <v>7</v>
      </c>
      <c r="C1053" s="1">
        <v>198.89</v>
      </c>
    </row>
    <row r="1054" spans="1:3" x14ac:dyDescent="0.2">
      <c r="A1054" s="2">
        <v>45729</v>
      </c>
      <c r="B1054" s="1" t="s">
        <v>7</v>
      </c>
      <c r="C1054" s="1">
        <v>193.89</v>
      </c>
    </row>
    <row r="1055" spans="1:3" x14ac:dyDescent="0.2">
      <c r="A1055" s="2">
        <v>45730</v>
      </c>
      <c r="B1055" s="1" t="s">
        <v>7</v>
      </c>
      <c r="C1055" s="1">
        <v>197.95</v>
      </c>
    </row>
    <row r="1056" spans="1:3" x14ac:dyDescent="0.2">
      <c r="A1056" s="2">
        <v>45733</v>
      </c>
      <c r="B1056" s="1" t="s">
        <v>7</v>
      </c>
      <c r="C1056" s="1">
        <v>195.74</v>
      </c>
    </row>
    <row r="1057" spans="1:3" x14ac:dyDescent="0.2">
      <c r="A1057" s="2">
        <v>45734</v>
      </c>
      <c r="B1057" s="1" t="s">
        <v>7</v>
      </c>
      <c r="C1057" s="1">
        <v>192.82</v>
      </c>
    </row>
    <row r="1058" spans="1:3" x14ac:dyDescent="0.2">
      <c r="A1058" s="2">
        <v>45735</v>
      </c>
      <c r="B1058" s="1" t="s">
        <v>7</v>
      </c>
      <c r="C1058" s="1">
        <v>195.54</v>
      </c>
    </row>
    <row r="1059" spans="1:3" x14ac:dyDescent="0.2">
      <c r="A1059" s="2">
        <v>45736</v>
      </c>
      <c r="B1059" s="1" t="s">
        <v>7</v>
      </c>
      <c r="C1059" s="1">
        <v>194.95</v>
      </c>
    </row>
    <row r="1060" spans="1:3" x14ac:dyDescent="0.2">
      <c r="A1060" s="2">
        <v>45737</v>
      </c>
      <c r="B1060" s="1" t="s">
        <v>7</v>
      </c>
      <c r="C1060" s="1">
        <v>196.21</v>
      </c>
    </row>
    <row r="1061" spans="1:3" x14ac:dyDescent="0.2">
      <c r="A1061" s="2">
        <v>45740</v>
      </c>
      <c r="B1061" s="1" t="s">
        <v>7</v>
      </c>
      <c r="C1061" s="1">
        <v>203.26</v>
      </c>
    </row>
    <row r="1062" spans="1:3" x14ac:dyDescent="0.2">
      <c r="A1062" s="2">
        <v>45741</v>
      </c>
      <c r="B1062" s="1" t="s">
        <v>7</v>
      </c>
      <c r="C1062" s="1">
        <v>205.71</v>
      </c>
    </row>
    <row r="1063" spans="1:3" x14ac:dyDescent="0.2">
      <c r="A1063" s="2">
        <v>45742</v>
      </c>
      <c r="B1063" s="1" t="s">
        <v>7</v>
      </c>
      <c r="C1063" s="1">
        <v>201.13</v>
      </c>
    </row>
    <row r="1064" spans="1:3" x14ac:dyDescent="0.2">
      <c r="A1064" s="2">
        <v>45743</v>
      </c>
      <c r="B1064" s="1" t="s">
        <v>7</v>
      </c>
      <c r="C1064" s="1">
        <v>201.36</v>
      </c>
    </row>
    <row r="1065" spans="1:3" x14ac:dyDescent="0.2">
      <c r="A1065" s="2">
        <v>45744</v>
      </c>
      <c r="B1065" s="1" t="s">
        <v>7</v>
      </c>
      <c r="C1065" s="1">
        <v>192.72</v>
      </c>
    </row>
    <row r="1066" spans="1:3" x14ac:dyDescent="0.2">
      <c r="A1066" s="2">
        <v>45747</v>
      </c>
      <c r="B1066" s="1" t="s">
        <v>7</v>
      </c>
      <c r="C1066" s="1">
        <v>190.26</v>
      </c>
    </row>
    <row r="1067" spans="1:3" x14ac:dyDescent="0.2">
      <c r="A1067" s="2">
        <v>45748</v>
      </c>
      <c r="B1067" s="1" t="s">
        <v>7</v>
      </c>
      <c r="C1067" s="1">
        <v>192.17</v>
      </c>
    </row>
    <row r="1068" spans="1:3" x14ac:dyDescent="0.2">
      <c r="A1068" s="2">
        <v>45749</v>
      </c>
      <c r="B1068" s="1" t="s">
        <v>7</v>
      </c>
      <c r="C1068" s="1">
        <v>196.01</v>
      </c>
    </row>
    <row r="1069" spans="1:3" x14ac:dyDescent="0.2">
      <c r="A1069" s="2">
        <v>45750</v>
      </c>
      <c r="B1069" s="1" t="s">
        <v>7</v>
      </c>
      <c r="C1069" s="1">
        <v>178.41</v>
      </c>
    </row>
    <row r="1070" spans="1:3" x14ac:dyDescent="0.2">
      <c r="A1070" s="2">
        <v>45751</v>
      </c>
      <c r="B1070" s="1" t="s">
        <v>7</v>
      </c>
      <c r="C1070" s="1">
        <v>171</v>
      </c>
    </row>
    <row r="1071" spans="1:3" x14ac:dyDescent="0.2">
      <c r="A1071" s="2">
        <v>45754</v>
      </c>
      <c r="B1071" s="1" t="s">
        <v>7</v>
      </c>
      <c r="C1071" s="1">
        <v>175.26</v>
      </c>
    </row>
    <row r="1072" spans="1:3" x14ac:dyDescent="0.2">
      <c r="A1072" s="2">
        <v>45755</v>
      </c>
      <c r="B1072" s="1" t="s">
        <v>7</v>
      </c>
      <c r="C1072" s="1">
        <v>170.66</v>
      </c>
    </row>
    <row r="1073" spans="1:3" x14ac:dyDescent="0.2">
      <c r="A1073" s="2">
        <v>45756</v>
      </c>
      <c r="B1073" s="1" t="s">
        <v>7</v>
      </c>
      <c r="C1073" s="1">
        <v>191.1</v>
      </c>
    </row>
    <row r="1074" spans="1:3" x14ac:dyDescent="0.2">
      <c r="A1074" s="2">
        <v>45757</v>
      </c>
      <c r="B1074" s="1" t="s">
        <v>7</v>
      </c>
      <c r="C1074" s="1">
        <v>181.22</v>
      </c>
    </row>
    <row r="1075" spans="1:3" x14ac:dyDescent="0.2">
      <c r="A1075" s="2">
        <v>45758</v>
      </c>
      <c r="B1075" s="1" t="s">
        <v>7</v>
      </c>
      <c r="C1075" s="1">
        <v>184.87</v>
      </c>
    </row>
    <row r="1076" spans="1:3" x14ac:dyDescent="0.2">
      <c r="A1076" s="2">
        <v>45761</v>
      </c>
      <c r="B1076" s="1" t="s">
        <v>7</v>
      </c>
      <c r="C1076" s="1">
        <v>182.12</v>
      </c>
    </row>
    <row r="1077" spans="1:3" x14ac:dyDescent="0.2">
      <c r="A1077" s="2">
        <v>45762</v>
      </c>
      <c r="B1077" s="1" t="s">
        <v>7</v>
      </c>
      <c r="C1077" s="1">
        <v>179.59</v>
      </c>
    </row>
    <row r="1078" spans="1:3" x14ac:dyDescent="0.2">
      <c r="A1078" s="2">
        <v>45763</v>
      </c>
      <c r="B1078" s="1" t="s">
        <v>7</v>
      </c>
      <c r="C1078" s="1">
        <v>174.33</v>
      </c>
    </row>
    <row r="1079" spans="1:3" x14ac:dyDescent="0.2">
      <c r="A1079" s="2">
        <v>45764</v>
      </c>
      <c r="B1079" s="1" t="s">
        <v>7</v>
      </c>
      <c r="C1079" s="1">
        <v>172.61</v>
      </c>
    </row>
    <row r="1080" spans="1:3" x14ac:dyDescent="0.2">
      <c r="A1080" s="2">
        <v>45768</v>
      </c>
      <c r="B1080" s="1" t="s">
        <v>7</v>
      </c>
      <c r="C1080" s="1">
        <v>167.32</v>
      </c>
    </row>
    <row r="1081" spans="1:3" x14ac:dyDescent="0.2">
      <c r="A1081" s="2">
        <v>45769</v>
      </c>
      <c r="B1081" s="1" t="s">
        <v>7</v>
      </c>
      <c r="C1081" s="1">
        <v>173.18</v>
      </c>
    </row>
    <row r="1082" spans="1:3" x14ac:dyDescent="0.2">
      <c r="A1082" s="2">
        <v>45770</v>
      </c>
      <c r="B1082" s="1" t="s">
        <v>7</v>
      </c>
      <c r="C1082" s="1">
        <v>180.6</v>
      </c>
    </row>
    <row r="1083" spans="1:3" x14ac:dyDescent="0.2">
      <c r="A1083" s="2">
        <v>45771</v>
      </c>
      <c r="B1083" s="1" t="s">
        <v>7</v>
      </c>
      <c r="C1083" s="1">
        <v>186.54</v>
      </c>
    </row>
    <row r="1084" spans="1:3" x14ac:dyDescent="0.2">
      <c r="A1084" s="2">
        <v>45772</v>
      </c>
      <c r="B1084" s="1" t="s">
        <v>7</v>
      </c>
      <c r="C1084" s="1">
        <v>188.99</v>
      </c>
    </row>
    <row r="1085" spans="1:3" x14ac:dyDescent="0.2">
      <c r="A1085" s="2">
        <v>45775</v>
      </c>
      <c r="B1085" s="1" t="s">
        <v>7</v>
      </c>
      <c r="C1085" s="1">
        <v>187.7</v>
      </c>
    </row>
    <row r="1086" spans="1:3" x14ac:dyDescent="0.2">
      <c r="A1086" s="2">
        <v>45776</v>
      </c>
      <c r="B1086" s="1" t="s">
        <v>7</v>
      </c>
      <c r="C1086" s="1">
        <v>187.39</v>
      </c>
    </row>
    <row r="1087" spans="1:3" x14ac:dyDescent="0.2">
      <c r="A1087" s="2">
        <v>45777</v>
      </c>
      <c r="B1087" s="1" t="s">
        <v>7</v>
      </c>
      <c r="C1087" s="1">
        <v>184.42</v>
      </c>
    </row>
    <row r="1088" spans="1:3" x14ac:dyDescent="0.2">
      <c r="A1088" s="2">
        <v>45778</v>
      </c>
      <c r="B1088" s="1" t="s">
        <v>7</v>
      </c>
      <c r="C1088" s="1">
        <v>190.2</v>
      </c>
    </row>
    <row r="1089" spans="1:3" x14ac:dyDescent="0.2">
      <c r="A1089" s="2">
        <v>45779</v>
      </c>
      <c r="B1089" s="1" t="s">
        <v>7</v>
      </c>
      <c r="C1089" s="1">
        <v>189.98</v>
      </c>
    </row>
    <row r="1090" spans="1:3" x14ac:dyDescent="0.2">
      <c r="A1090" s="2">
        <v>45782</v>
      </c>
      <c r="B1090" s="1" t="s">
        <v>7</v>
      </c>
      <c r="C1090" s="1">
        <v>186.35</v>
      </c>
    </row>
    <row r="1091" spans="1:3" x14ac:dyDescent="0.2">
      <c r="A1091" s="2">
        <v>45783</v>
      </c>
      <c r="B1091" s="1" t="s">
        <v>7</v>
      </c>
      <c r="C1091" s="1">
        <v>185.01</v>
      </c>
    </row>
    <row r="1092" spans="1:3" x14ac:dyDescent="0.2">
      <c r="A1092" s="2">
        <v>45784</v>
      </c>
      <c r="B1092" s="1" t="s">
        <v>7</v>
      </c>
      <c r="C1092" s="1">
        <v>188.71</v>
      </c>
    </row>
    <row r="1093" spans="1:3" x14ac:dyDescent="0.2">
      <c r="A1093" s="2">
        <v>45785</v>
      </c>
      <c r="B1093" s="1" t="s">
        <v>7</v>
      </c>
      <c r="C1093" s="1">
        <v>192.08</v>
      </c>
    </row>
    <row r="1094" spans="1:3" x14ac:dyDescent="0.2">
      <c r="A1094" s="2">
        <v>45786</v>
      </c>
      <c r="B1094" s="1" t="s">
        <v>7</v>
      </c>
      <c r="C1094" s="1">
        <v>193.06</v>
      </c>
    </row>
    <row r="1095" spans="1:3" x14ac:dyDescent="0.2">
      <c r="A1095" s="2">
        <v>45789</v>
      </c>
      <c r="B1095" s="1" t="s">
        <v>7</v>
      </c>
      <c r="C1095" s="1">
        <v>208.64</v>
      </c>
    </row>
    <row r="1096" spans="1:3" x14ac:dyDescent="0.2">
      <c r="A1096" s="2">
        <v>45790</v>
      </c>
      <c r="B1096" s="1" t="s">
        <v>7</v>
      </c>
      <c r="C1096" s="1">
        <v>211.37</v>
      </c>
    </row>
    <row r="1097" spans="1:3" x14ac:dyDescent="0.2">
      <c r="A1097" s="2">
        <v>45791</v>
      </c>
      <c r="B1097" s="1" t="s">
        <v>7</v>
      </c>
      <c r="C1097" s="1">
        <v>210.25</v>
      </c>
    </row>
    <row r="1098" spans="1:3" x14ac:dyDescent="0.2">
      <c r="A1098" s="2">
        <v>45792</v>
      </c>
      <c r="B1098" s="1" t="s">
        <v>7</v>
      </c>
      <c r="C1098" s="1">
        <v>205.17</v>
      </c>
    </row>
    <row r="1099" spans="1:3" x14ac:dyDescent="0.2">
      <c r="A1099" s="2">
        <v>45793</v>
      </c>
      <c r="B1099" s="1" t="s">
        <v>7</v>
      </c>
      <c r="C1099" s="1">
        <v>205.59</v>
      </c>
    </row>
    <row r="1100" spans="1:3" x14ac:dyDescent="0.2">
      <c r="A1100" s="2">
        <v>45796</v>
      </c>
      <c r="B1100" s="1" t="s">
        <v>7</v>
      </c>
      <c r="C1100" s="1">
        <v>206.16</v>
      </c>
    </row>
    <row r="1101" spans="1:3" x14ac:dyDescent="0.2">
      <c r="A1101" s="2">
        <v>45797</v>
      </c>
      <c r="B1101" s="1" t="s">
        <v>7</v>
      </c>
      <c r="C1101" s="1">
        <v>204.07</v>
      </c>
    </row>
    <row r="1102" spans="1:3" x14ac:dyDescent="0.2">
      <c r="A1102" s="2">
        <v>45798</v>
      </c>
      <c r="B1102" s="1" t="s">
        <v>7</v>
      </c>
      <c r="C1102" s="1">
        <v>201.12</v>
      </c>
    </row>
    <row r="1103" spans="1:3" x14ac:dyDescent="0.2">
      <c r="A1103" s="2">
        <v>45799</v>
      </c>
      <c r="B1103" s="1" t="s">
        <v>7</v>
      </c>
      <c r="C1103" s="1">
        <v>203.1</v>
      </c>
    </row>
    <row r="1104" spans="1:3" x14ac:dyDescent="0.2">
      <c r="A1104" s="2">
        <v>45800</v>
      </c>
      <c r="B1104" s="1" t="s">
        <v>7</v>
      </c>
      <c r="C1104" s="1">
        <v>200.99</v>
      </c>
    </row>
    <row r="1105" spans="1:3" x14ac:dyDescent="0.2">
      <c r="A1105" s="2">
        <v>45804</v>
      </c>
      <c r="B1105" s="1" t="s">
        <v>7</v>
      </c>
      <c r="C1105" s="1">
        <v>206.02</v>
      </c>
    </row>
    <row r="1106" spans="1:3" x14ac:dyDescent="0.2">
      <c r="A1106" s="2">
        <v>45805</v>
      </c>
      <c r="B1106" s="1" t="s">
        <v>7</v>
      </c>
      <c r="C1106" s="1">
        <v>204.72</v>
      </c>
    </row>
    <row r="1107" spans="1:3" x14ac:dyDescent="0.2">
      <c r="A1107" s="2">
        <v>45806</v>
      </c>
      <c r="B1107" s="1" t="s">
        <v>7</v>
      </c>
      <c r="C1107" s="1">
        <v>205.7</v>
      </c>
    </row>
    <row r="1108" spans="1:3" x14ac:dyDescent="0.2">
      <c r="A1108" s="2">
        <v>45807</v>
      </c>
      <c r="B1108" s="1" t="s">
        <v>7</v>
      </c>
      <c r="C1108" s="1">
        <v>205.01</v>
      </c>
    </row>
    <row r="1109" spans="1:3" x14ac:dyDescent="0.2">
      <c r="A1109" s="2">
        <v>45810</v>
      </c>
      <c r="B1109" s="1" t="s">
        <v>7</v>
      </c>
      <c r="C1109" s="1">
        <v>206.65</v>
      </c>
    </row>
    <row r="1110" spans="1:3" x14ac:dyDescent="0.2">
      <c r="A1110" s="2">
        <v>45811</v>
      </c>
      <c r="B1110" s="1" t="s">
        <v>7</v>
      </c>
      <c r="C1110" s="1">
        <v>205.71</v>
      </c>
    </row>
    <row r="1111" spans="1:3" x14ac:dyDescent="0.2">
      <c r="A1111" s="2">
        <v>45812</v>
      </c>
      <c r="B1111" s="1" t="s">
        <v>7</v>
      </c>
      <c r="C1111" s="1">
        <v>207.23</v>
      </c>
    </row>
    <row r="1112" spans="1:3" x14ac:dyDescent="0.2">
      <c r="A1112" s="2">
        <v>45813</v>
      </c>
      <c r="B1112" s="1" t="s">
        <v>7</v>
      </c>
      <c r="C1112" s="1">
        <v>207.91</v>
      </c>
    </row>
    <row r="1113" spans="1:3" x14ac:dyDescent="0.2">
      <c r="A1113" s="2">
        <v>45814</v>
      </c>
      <c r="B1113" s="1" t="s">
        <v>7</v>
      </c>
      <c r="C1113" s="1">
        <v>213.57</v>
      </c>
    </row>
    <row r="1114" spans="1:3" x14ac:dyDescent="0.2">
      <c r="A1114" s="2">
        <v>45817</v>
      </c>
      <c r="B1114" s="1" t="s">
        <v>7</v>
      </c>
      <c r="C1114" s="1">
        <v>216.98</v>
      </c>
    </row>
    <row r="1115" spans="1:3" x14ac:dyDescent="0.2">
      <c r="A1115" s="2">
        <v>45818</v>
      </c>
      <c r="B1115" s="1" t="s">
        <v>7</v>
      </c>
      <c r="C1115" s="1">
        <v>217.61</v>
      </c>
    </row>
    <row r="1116" spans="1:3" x14ac:dyDescent="0.2">
      <c r="A1116" s="2">
        <v>45819</v>
      </c>
      <c r="B1116" s="1" t="s">
        <v>7</v>
      </c>
      <c r="C1116" s="1">
        <v>213.2</v>
      </c>
    </row>
    <row r="1117" spans="1:3" x14ac:dyDescent="0.2">
      <c r="A1117" s="2">
        <v>45820</v>
      </c>
      <c r="B1117" s="1" t="s">
        <v>7</v>
      </c>
      <c r="C1117" s="1">
        <v>213.24</v>
      </c>
    </row>
    <row r="1118" spans="1:3" x14ac:dyDescent="0.2">
      <c r="A1118" s="2">
        <v>45821</v>
      </c>
      <c r="B1118" s="1" t="s">
        <v>7</v>
      </c>
      <c r="C1118" s="1">
        <v>212.1</v>
      </c>
    </row>
    <row r="1119" spans="1:3" x14ac:dyDescent="0.2">
      <c r="A1119" s="2">
        <v>45824</v>
      </c>
      <c r="B1119" s="1" t="s">
        <v>7</v>
      </c>
      <c r="C1119" s="1">
        <v>216.1</v>
      </c>
    </row>
    <row r="1120" spans="1:3" x14ac:dyDescent="0.2">
      <c r="A1120" s="2">
        <v>45825</v>
      </c>
      <c r="B1120" s="1" t="s">
        <v>7</v>
      </c>
      <c r="C1120" s="1">
        <v>214.82</v>
      </c>
    </row>
    <row r="1121" spans="1:3" x14ac:dyDescent="0.2">
      <c r="A1121" s="2">
        <v>45826</v>
      </c>
      <c r="B1121" s="1" t="s">
        <v>7</v>
      </c>
      <c r="C1121" s="1">
        <v>212.52</v>
      </c>
    </row>
    <row r="1122" spans="1:3" x14ac:dyDescent="0.2">
      <c r="A1122" s="2">
        <v>45828</v>
      </c>
      <c r="B1122" s="1" t="s">
        <v>7</v>
      </c>
      <c r="C1122" s="1">
        <v>209.69</v>
      </c>
    </row>
    <row r="1123" spans="1:3" x14ac:dyDescent="0.2">
      <c r="A1123" s="2">
        <v>45831</v>
      </c>
      <c r="B1123" s="1" t="s">
        <v>7</v>
      </c>
      <c r="C1123" s="1">
        <v>208.47</v>
      </c>
    </row>
    <row r="1124" spans="1:3" x14ac:dyDescent="0.2">
      <c r="A1124" s="2">
        <v>45832</v>
      </c>
      <c r="B1124" s="1" t="s">
        <v>7</v>
      </c>
      <c r="C1124" s="1">
        <v>212.77</v>
      </c>
    </row>
    <row r="1125" spans="1:3" x14ac:dyDescent="0.2">
      <c r="A1125" s="2">
        <v>45833</v>
      </c>
      <c r="B1125" s="1" t="s">
        <v>7</v>
      </c>
      <c r="C1125" s="1">
        <v>211.99</v>
      </c>
    </row>
    <row r="1126" spans="1:3" x14ac:dyDescent="0.2">
      <c r="A1126" s="2">
        <v>45834</v>
      </c>
      <c r="B1126" s="1" t="s">
        <v>7</v>
      </c>
      <c r="C1126" s="1">
        <v>217.12</v>
      </c>
    </row>
    <row r="1127" spans="1:3" x14ac:dyDescent="0.2">
      <c r="A1127" s="2">
        <v>45835</v>
      </c>
      <c r="B1127" s="1" t="s">
        <v>7</v>
      </c>
      <c r="C1127" s="1">
        <v>223.3</v>
      </c>
    </row>
    <row r="1128" spans="1:3" x14ac:dyDescent="0.2">
      <c r="A1128" s="2">
        <v>45838</v>
      </c>
      <c r="B1128" s="1" t="s">
        <v>7</v>
      </c>
      <c r="C1128" s="1">
        <v>219.39</v>
      </c>
    </row>
    <row r="1129" spans="1:3" x14ac:dyDescent="0.2">
      <c r="A1129" s="2">
        <v>45839</v>
      </c>
      <c r="B1129" s="1" t="s">
        <v>7</v>
      </c>
      <c r="C1129" s="1">
        <v>220.46</v>
      </c>
    </row>
    <row r="1130" spans="1:3" x14ac:dyDescent="0.2">
      <c r="A1130" s="2">
        <v>45840</v>
      </c>
      <c r="B1130" s="1" t="s">
        <v>7</v>
      </c>
      <c r="C1130" s="1">
        <v>219.92</v>
      </c>
    </row>
    <row r="1131" spans="1:3" x14ac:dyDescent="0.2">
      <c r="A1131" s="2">
        <v>45841</v>
      </c>
      <c r="B1131" s="1" t="s">
        <v>7</v>
      </c>
      <c r="C1131" s="1">
        <v>223.41</v>
      </c>
    </row>
    <row r="1132" spans="1:3" x14ac:dyDescent="0.2">
      <c r="A1132" s="2">
        <v>45845</v>
      </c>
      <c r="B1132" s="1" t="s">
        <v>7</v>
      </c>
      <c r="C1132" s="1">
        <v>223.47</v>
      </c>
    </row>
    <row r="1133" spans="1:3" x14ac:dyDescent="0.2">
      <c r="A1133" s="2">
        <v>45846</v>
      </c>
      <c r="B1133" s="1" t="s">
        <v>7</v>
      </c>
      <c r="C1133" s="1">
        <v>219.36</v>
      </c>
    </row>
    <row r="1134" spans="1:3" x14ac:dyDescent="0.2">
      <c r="A1134" s="2">
        <v>45847</v>
      </c>
      <c r="B1134" s="1" t="s">
        <v>7</v>
      </c>
      <c r="C1134" s="1">
        <v>222.54</v>
      </c>
    </row>
    <row r="1135" spans="1:3" x14ac:dyDescent="0.2">
      <c r="A1135" s="2">
        <v>45848</v>
      </c>
      <c r="B1135" s="1" t="s">
        <v>7</v>
      </c>
      <c r="C1135" s="1">
        <v>222.26</v>
      </c>
    </row>
    <row r="1136" spans="1:3" x14ac:dyDescent="0.2">
      <c r="A1136" s="2">
        <v>45849</v>
      </c>
      <c r="B1136" s="1" t="s">
        <v>7</v>
      </c>
      <c r="C1136" s="1">
        <v>225.02</v>
      </c>
    </row>
    <row r="1137" spans="1:3" x14ac:dyDescent="0.2">
      <c r="A1137" s="2">
        <v>45852</v>
      </c>
      <c r="B1137" s="1" t="s">
        <v>7</v>
      </c>
      <c r="C1137" s="1">
        <v>225.69</v>
      </c>
    </row>
    <row r="1138" spans="1:3" x14ac:dyDescent="0.2">
      <c r="A1138" s="2">
        <v>45853</v>
      </c>
      <c r="B1138" s="1" t="s">
        <v>7</v>
      </c>
      <c r="C1138" s="1">
        <v>226.35</v>
      </c>
    </row>
    <row r="1139" spans="1:3" x14ac:dyDescent="0.2">
      <c r="A1139" s="2">
        <v>45854</v>
      </c>
      <c r="B1139" s="1" t="s">
        <v>7</v>
      </c>
      <c r="C1139" s="1">
        <v>223.19</v>
      </c>
    </row>
    <row r="1140" spans="1:3" x14ac:dyDescent="0.2">
      <c r="A1140" s="2">
        <v>45855</v>
      </c>
      <c r="B1140" s="1" t="s">
        <v>7</v>
      </c>
      <c r="C1140" s="1">
        <v>223.88</v>
      </c>
    </row>
    <row r="1141" spans="1:3" x14ac:dyDescent="0.2">
      <c r="A1141" s="2">
        <v>45856</v>
      </c>
      <c r="B1141" s="1" t="s">
        <v>7</v>
      </c>
      <c r="C1141" s="1">
        <v>226.13</v>
      </c>
    </row>
    <row r="1142" spans="1:3" x14ac:dyDescent="0.2">
      <c r="A1142" s="2">
        <v>45859</v>
      </c>
      <c r="B1142" s="1" t="s">
        <v>7</v>
      </c>
      <c r="C1142" s="1">
        <v>229.3</v>
      </c>
    </row>
    <row r="1143" spans="1:3" x14ac:dyDescent="0.2">
      <c r="A1143" s="2">
        <v>45860</v>
      </c>
      <c r="B1143" s="1" t="s">
        <v>7</v>
      </c>
      <c r="C1143" s="1">
        <v>227.47</v>
      </c>
    </row>
    <row r="1144" spans="1:3" x14ac:dyDescent="0.2">
      <c r="A1144" s="2">
        <v>45861</v>
      </c>
      <c r="B1144" s="1" t="s">
        <v>7</v>
      </c>
      <c r="C1144" s="1">
        <v>228.29</v>
      </c>
    </row>
    <row r="1145" spans="1:3" x14ac:dyDescent="0.2">
      <c r="A1145" s="2">
        <v>45862</v>
      </c>
      <c r="B1145" s="1" t="s">
        <v>7</v>
      </c>
      <c r="C1145" s="1">
        <v>232.23</v>
      </c>
    </row>
    <row r="1146" spans="1:3" x14ac:dyDescent="0.2">
      <c r="A1146" s="2">
        <v>45863</v>
      </c>
      <c r="B1146" s="1" t="s">
        <v>7</v>
      </c>
      <c r="C1146" s="1">
        <v>231.44</v>
      </c>
    </row>
    <row r="1147" spans="1:3" x14ac:dyDescent="0.2">
      <c r="A1147" s="2">
        <v>45866</v>
      </c>
      <c r="B1147" s="1" t="s">
        <v>7</v>
      </c>
      <c r="C1147" s="1">
        <v>232.79</v>
      </c>
    </row>
    <row r="1148" spans="1:3" x14ac:dyDescent="0.2">
      <c r="A1148" s="2">
        <v>45867</v>
      </c>
      <c r="B1148" s="1" t="s">
        <v>7</v>
      </c>
      <c r="C1148" s="1">
        <v>231.01</v>
      </c>
    </row>
    <row r="1149" spans="1:3" x14ac:dyDescent="0.2">
      <c r="A1149" s="2">
        <v>45868</v>
      </c>
      <c r="B1149" s="1" t="s">
        <v>7</v>
      </c>
      <c r="C1149" s="1">
        <v>230.19</v>
      </c>
    </row>
    <row r="1150" spans="1:3" x14ac:dyDescent="0.2">
      <c r="A1150" s="2">
        <v>45869</v>
      </c>
      <c r="B1150" s="1" t="s">
        <v>7</v>
      </c>
      <c r="C1150" s="1">
        <v>234.11</v>
      </c>
    </row>
    <row r="1151" spans="1:3" x14ac:dyDescent="0.2">
      <c r="A1151" s="2">
        <v>45870</v>
      </c>
      <c r="B1151" s="1" t="s">
        <v>7</v>
      </c>
      <c r="C1151" s="1">
        <v>214.75</v>
      </c>
    </row>
    <row r="1152" spans="1:3" x14ac:dyDescent="0.2">
      <c r="A1152" s="2">
        <v>45873</v>
      </c>
      <c r="B1152" s="1" t="s">
        <v>7</v>
      </c>
      <c r="C1152" s="1">
        <v>211.65</v>
      </c>
    </row>
    <row r="1153" spans="1:3" x14ac:dyDescent="0.2">
      <c r="A1153" s="2">
        <v>45874</v>
      </c>
      <c r="B1153" s="1" t="s">
        <v>7</v>
      </c>
      <c r="C1153" s="1">
        <v>213.75</v>
      </c>
    </row>
    <row r="1154" spans="1:3" x14ac:dyDescent="0.2">
      <c r="A1154" s="2">
        <v>45875</v>
      </c>
      <c r="B1154" s="1" t="s">
        <v>7</v>
      </c>
      <c r="C1154" s="1">
        <v>222.31</v>
      </c>
    </row>
    <row r="1155" spans="1:3" x14ac:dyDescent="0.2">
      <c r="A1155" s="2">
        <v>45876</v>
      </c>
      <c r="B1155" s="1" t="s">
        <v>7</v>
      </c>
      <c r="C1155" s="1">
        <v>223.13</v>
      </c>
    </row>
    <row r="1156" spans="1:3" x14ac:dyDescent="0.2">
      <c r="A1156" s="2">
        <v>45877</v>
      </c>
      <c r="B1156" s="1" t="s">
        <v>7</v>
      </c>
      <c r="C1156" s="1">
        <v>222.69</v>
      </c>
    </row>
    <row r="1157" spans="1:3" x14ac:dyDescent="0.2">
      <c r="A1157" s="2">
        <v>45880</v>
      </c>
      <c r="B1157" s="1" t="s">
        <v>7</v>
      </c>
      <c r="C1157" s="1">
        <v>221.3</v>
      </c>
    </row>
    <row r="1158" spans="1:3" x14ac:dyDescent="0.2">
      <c r="A1158" s="2">
        <v>45881</v>
      </c>
      <c r="B1158" s="1" t="s">
        <v>7</v>
      </c>
      <c r="C1158" s="1">
        <v>221.47</v>
      </c>
    </row>
    <row r="1159" spans="1:3" x14ac:dyDescent="0.2">
      <c r="A1159" s="2">
        <v>45882</v>
      </c>
      <c r="B1159" s="1" t="s">
        <v>7</v>
      </c>
      <c r="C1159" s="1">
        <v>224.56</v>
      </c>
    </row>
    <row r="1160" spans="1:3" x14ac:dyDescent="0.2">
      <c r="A1160" s="2">
        <v>45883</v>
      </c>
      <c r="B1160" s="1" t="s">
        <v>7</v>
      </c>
      <c r="C1160" s="1">
        <v>230.98</v>
      </c>
    </row>
    <row r="1161" spans="1:3" x14ac:dyDescent="0.2">
      <c r="A1161" s="2">
        <v>45884</v>
      </c>
      <c r="B1161" s="1" t="s">
        <v>7</v>
      </c>
      <c r="C1161" s="1">
        <v>231.03</v>
      </c>
    </row>
    <row r="1162" spans="1:3" x14ac:dyDescent="0.2">
      <c r="A1162" s="2">
        <v>45887</v>
      </c>
      <c r="B1162" s="1" t="s">
        <v>7</v>
      </c>
      <c r="C1162" s="1">
        <v>231.49</v>
      </c>
    </row>
    <row r="1163" spans="1:3" x14ac:dyDescent="0.2">
      <c r="A1163" s="2">
        <v>45888</v>
      </c>
      <c r="B1163" s="1" t="s">
        <v>7</v>
      </c>
      <c r="C1163" s="1">
        <v>228.01</v>
      </c>
    </row>
    <row r="1164" spans="1:3" x14ac:dyDescent="0.2">
      <c r="A1164" s="2">
        <v>45889</v>
      </c>
      <c r="B1164" s="1" t="s">
        <v>7</v>
      </c>
      <c r="C1164" s="1">
        <v>223.81</v>
      </c>
    </row>
    <row r="1165" spans="1:3" x14ac:dyDescent="0.2">
      <c r="A1165" s="2">
        <v>45890</v>
      </c>
      <c r="B1165" s="1" t="s">
        <v>7</v>
      </c>
      <c r="C1165" s="1">
        <v>221.95</v>
      </c>
    </row>
    <row r="1166" spans="1:3" x14ac:dyDescent="0.2">
      <c r="A1166" s="2">
        <v>45891</v>
      </c>
      <c r="B1166" s="1" t="s">
        <v>7</v>
      </c>
      <c r="C1166" s="1">
        <v>228.84</v>
      </c>
    </row>
    <row r="1167" spans="1:3" x14ac:dyDescent="0.2">
      <c r="A1167" s="2">
        <v>45894</v>
      </c>
      <c r="B1167" s="1" t="s">
        <v>7</v>
      </c>
      <c r="C1167" s="1">
        <v>227.94</v>
      </c>
    </row>
    <row r="1168" spans="1:3" x14ac:dyDescent="0.2">
      <c r="A1168" s="2">
        <v>45895</v>
      </c>
      <c r="B1168" s="1" t="s">
        <v>7</v>
      </c>
      <c r="C1168" s="1">
        <v>228.71</v>
      </c>
    </row>
    <row r="1169" spans="1:3" x14ac:dyDescent="0.2">
      <c r="A1169" s="2">
        <v>45896</v>
      </c>
      <c r="B1169" s="1" t="s">
        <v>7</v>
      </c>
      <c r="C1169" s="1">
        <v>229.12</v>
      </c>
    </row>
    <row r="1170" spans="1:3" x14ac:dyDescent="0.2">
      <c r="A1170" s="2">
        <v>45897</v>
      </c>
      <c r="B1170" s="1" t="s">
        <v>7</v>
      </c>
      <c r="C1170" s="1">
        <v>231.6</v>
      </c>
    </row>
    <row r="1171" spans="1:3" x14ac:dyDescent="0.2">
      <c r="A1171" s="2">
        <v>45898</v>
      </c>
      <c r="B1171" s="1" t="s">
        <v>7</v>
      </c>
      <c r="C1171" s="1">
        <v>229</v>
      </c>
    </row>
    <row r="1172" spans="1:3" x14ac:dyDescent="0.2">
      <c r="A1172" s="2">
        <v>45902</v>
      </c>
      <c r="B1172" s="1" t="s">
        <v>7</v>
      </c>
      <c r="C1172" s="1">
        <v>225.34</v>
      </c>
    </row>
    <row r="1173" spans="1:3" x14ac:dyDescent="0.2">
      <c r="A1173" s="2">
        <v>45903</v>
      </c>
      <c r="B1173" s="1" t="s">
        <v>7</v>
      </c>
      <c r="C1173" s="1">
        <v>225.99</v>
      </c>
    </row>
    <row r="1174" spans="1:3" x14ac:dyDescent="0.2">
      <c r="A1174" s="2">
        <v>45904</v>
      </c>
      <c r="B1174" s="1" t="s">
        <v>7</v>
      </c>
      <c r="C1174" s="1">
        <v>235.68</v>
      </c>
    </row>
    <row r="1175" spans="1:3" x14ac:dyDescent="0.2">
      <c r="A1175" s="2">
        <v>45905</v>
      </c>
      <c r="B1175" s="1" t="s">
        <v>7</v>
      </c>
      <c r="C1175" s="1">
        <v>232.33</v>
      </c>
    </row>
    <row r="1176" spans="1:3" x14ac:dyDescent="0.2">
      <c r="A1176" s="2">
        <v>45908</v>
      </c>
      <c r="B1176" s="1" t="s">
        <v>7</v>
      </c>
      <c r="C1176" s="1">
        <v>235.84</v>
      </c>
    </row>
    <row r="1177" spans="1:3" x14ac:dyDescent="0.2">
      <c r="A1177" s="2">
        <v>45909</v>
      </c>
      <c r="B1177" s="1" t="s">
        <v>7</v>
      </c>
      <c r="C1177" s="1">
        <v>238.24</v>
      </c>
    </row>
    <row r="1178" spans="1:3" x14ac:dyDescent="0.2">
      <c r="A1178" s="2">
        <v>45910</v>
      </c>
      <c r="B1178" s="1" t="s">
        <v>7</v>
      </c>
      <c r="C1178" s="1">
        <v>230.33</v>
      </c>
    </row>
    <row r="1179" spans="1:3" x14ac:dyDescent="0.2">
      <c r="A1179" s="2">
        <v>45911</v>
      </c>
      <c r="B1179" s="1" t="s">
        <v>7</v>
      </c>
      <c r="C1179" s="1">
        <v>229.95</v>
      </c>
    </row>
    <row r="1180" spans="1:3" x14ac:dyDescent="0.2">
      <c r="A1180" s="2">
        <v>45912</v>
      </c>
      <c r="B1180" s="1" t="s">
        <v>7</v>
      </c>
      <c r="C1180" s="1">
        <v>228.15</v>
      </c>
    </row>
    <row r="1181" spans="1:3" x14ac:dyDescent="0.2">
      <c r="A1181" s="2">
        <v>45915</v>
      </c>
      <c r="B1181" s="1" t="s">
        <v>7</v>
      </c>
      <c r="C1181" s="1">
        <v>231.43</v>
      </c>
    </row>
    <row r="1182" spans="1:3" x14ac:dyDescent="0.2">
      <c r="A1182" s="2">
        <v>45916</v>
      </c>
      <c r="B1182" s="1" t="s">
        <v>7</v>
      </c>
      <c r="C1182" s="1">
        <v>234.05</v>
      </c>
    </row>
    <row r="1183" spans="1:3" x14ac:dyDescent="0.2">
      <c r="A1183" s="2">
        <v>45917</v>
      </c>
      <c r="B1183" s="1" t="s">
        <v>7</v>
      </c>
      <c r="C1183" s="1">
        <v>231.62</v>
      </c>
    </row>
    <row r="1184" spans="1:3" x14ac:dyDescent="0.2">
      <c r="A1184" s="2">
        <v>45918</v>
      </c>
      <c r="B1184" s="1" t="s">
        <v>7</v>
      </c>
      <c r="C1184" s="1">
        <v>231.23</v>
      </c>
    </row>
    <row r="1185" spans="1:3" x14ac:dyDescent="0.2">
      <c r="A1185" s="2">
        <v>45919</v>
      </c>
      <c r="B1185" s="1" t="s">
        <v>7</v>
      </c>
      <c r="C1185" s="1">
        <v>231.48</v>
      </c>
    </row>
    <row r="1186" spans="1:3" x14ac:dyDescent="0.2">
      <c r="A1186" s="2">
        <v>45922</v>
      </c>
      <c r="B1186" s="1" t="s">
        <v>7</v>
      </c>
      <c r="C1186" s="1">
        <v>227.63</v>
      </c>
    </row>
    <row r="1187" spans="1:3" x14ac:dyDescent="0.2">
      <c r="A1187" s="2">
        <v>45923</v>
      </c>
      <c r="B1187" s="1" t="s">
        <v>7</v>
      </c>
      <c r="C1187" s="1">
        <v>220.71</v>
      </c>
    </row>
    <row r="1188" spans="1:3" x14ac:dyDescent="0.2">
      <c r="A1188" s="2">
        <v>45924</v>
      </c>
      <c r="B1188" s="1" t="s">
        <v>7</v>
      </c>
      <c r="C1188" s="1">
        <v>220.21</v>
      </c>
    </row>
    <row r="1189" spans="1:3" x14ac:dyDescent="0.2">
      <c r="A1189" s="2">
        <v>45925</v>
      </c>
      <c r="B1189" s="1" t="s">
        <v>7</v>
      </c>
      <c r="C1189" s="1">
        <v>218.15</v>
      </c>
    </row>
    <row r="1190" spans="1:3" x14ac:dyDescent="0.2">
      <c r="A1190" s="2">
        <v>45926</v>
      </c>
      <c r="B1190" s="1" t="s">
        <v>7</v>
      </c>
      <c r="C1190" s="1">
        <v>219.78</v>
      </c>
    </row>
    <row r="1191" spans="1:3" x14ac:dyDescent="0.2">
      <c r="A1191" s="2">
        <v>45929</v>
      </c>
      <c r="B1191" s="1" t="s">
        <v>7</v>
      </c>
      <c r="C1191" s="1">
        <v>222.17</v>
      </c>
    </row>
    <row r="1192" spans="1:3" x14ac:dyDescent="0.2">
      <c r="A1192" s="2">
        <v>45930</v>
      </c>
      <c r="B1192" s="1" t="s">
        <v>7</v>
      </c>
      <c r="C1192" s="1">
        <v>219.57</v>
      </c>
    </row>
    <row r="1193" spans="1:3" x14ac:dyDescent="0.2">
      <c r="A1193" s="2">
        <v>45931</v>
      </c>
      <c r="B1193" s="1" t="s">
        <v>7</v>
      </c>
      <c r="C1193" s="1">
        <v>220.63</v>
      </c>
    </row>
    <row r="1194" spans="1:3" x14ac:dyDescent="0.2">
      <c r="A1194" s="2">
        <v>45932</v>
      </c>
      <c r="B1194" s="1" t="s">
        <v>7</v>
      </c>
      <c r="C1194" s="1">
        <v>222.41</v>
      </c>
    </row>
    <row r="1195" spans="1:3" x14ac:dyDescent="0.2">
      <c r="A1195" s="2">
        <v>45933</v>
      </c>
      <c r="B1195" s="1" t="s">
        <v>7</v>
      </c>
      <c r="C1195" s="1">
        <v>219.51</v>
      </c>
    </row>
    <row r="1196" spans="1:3" x14ac:dyDescent="0.2">
      <c r="A1196" s="2">
        <v>45936</v>
      </c>
      <c r="B1196" s="1" t="s">
        <v>7</v>
      </c>
      <c r="C1196" s="1">
        <v>220.9</v>
      </c>
    </row>
    <row r="1197" spans="1:3" x14ac:dyDescent="0.2">
      <c r="A1197" s="2">
        <v>45937</v>
      </c>
      <c r="B1197" s="1" t="s">
        <v>7</v>
      </c>
      <c r="C1197" s="1">
        <v>221.78</v>
      </c>
    </row>
    <row r="1198" spans="1:3" x14ac:dyDescent="0.2">
      <c r="A1198" s="2">
        <v>45938</v>
      </c>
      <c r="B1198" s="1" t="s">
        <v>7</v>
      </c>
      <c r="C1198" s="1">
        <v>225.22</v>
      </c>
    </row>
    <row r="1199" spans="1:3" x14ac:dyDescent="0.2">
      <c r="A1199" s="2">
        <v>45939</v>
      </c>
      <c r="B1199" s="1" t="s">
        <v>7</v>
      </c>
      <c r="C1199" s="1">
        <v>227.74</v>
      </c>
    </row>
    <row r="1200" spans="1:3" x14ac:dyDescent="0.2">
      <c r="A1200" s="2">
        <v>45940</v>
      </c>
      <c r="B1200" s="1" t="s">
        <v>7</v>
      </c>
      <c r="C1200" s="1">
        <v>216.37</v>
      </c>
    </row>
    <row r="1201" spans="1:3" x14ac:dyDescent="0.2">
      <c r="A1201" s="2">
        <v>45943</v>
      </c>
      <c r="B1201" s="1" t="s">
        <v>7</v>
      </c>
      <c r="C1201" s="1">
        <v>220.07</v>
      </c>
    </row>
    <row r="1202" spans="1:3" x14ac:dyDescent="0.2">
      <c r="A1202" s="2">
        <v>45944</v>
      </c>
      <c r="B1202" s="1" t="s">
        <v>7</v>
      </c>
      <c r="C1202" s="1">
        <v>216.39</v>
      </c>
    </row>
    <row r="1203" spans="1:3" x14ac:dyDescent="0.2">
      <c r="A1203" s="2">
        <v>45945</v>
      </c>
      <c r="B1203" s="1" t="s">
        <v>7</v>
      </c>
      <c r="C1203" s="1">
        <v>215.57</v>
      </c>
    </row>
    <row r="1204" spans="1:3" x14ac:dyDescent="0.2">
      <c r="A1204" s="2">
        <v>45946</v>
      </c>
      <c r="B1204" s="1" t="s">
        <v>7</v>
      </c>
      <c r="C1204" s="1">
        <v>214.47</v>
      </c>
    </row>
    <row r="1205" spans="1:3" x14ac:dyDescent="0.2">
      <c r="A1205" s="2">
        <v>45947</v>
      </c>
      <c r="B1205" s="1" t="s">
        <v>7</v>
      </c>
      <c r="C1205" s="1">
        <v>213.04</v>
      </c>
    </row>
    <row r="1206" spans="1:3" x14ac:dyDescent="0.2">
      <c r="A1206" s="2">
        <v>45950</v>
      </c>
      <c r="B1206" s="1" t="s">
        <v>7</v>
      </c>
      <c r="C1206" s="1">
        <v>216.48</v>
      </c>
    </row>
    <row r="1207" spans="1:3" x14ac:dyDescent="0.2">
      <c r="A1207" s="2">
        <v>45951</v>
      </c>
      <c r="B1207" s="1" t="s">
        <v>7</v>
      </c>
      <c r="C1207" s="1">
        <v>222.03</v>
      </c>
    </row>
    <row r="1208" spans="1:3" x14ac:dyDescent="0.2">
      <c r="A1208" s="2">
        <v>45952</v>
      </c>
      <c r="B1208" s="1" t="s">
        <v>7</v>
      </c>
      <c r="C1208" s="1">
        <v>217.95</v>
      </c>
    </row>
    <row r="1209" spans="1:3" x14ac:dyDescent="0.2">
      <c r="A1209" s="2">
        <v>45953</v>
      </c>
      <c r="B1209" s="1" t="s">
        <v>7</v>
      </c>
      <c r="C1209" s="1">
        <v>221.09</v>
      </c>
    </row>
    <row r="1210" spans="1:3" x14ac:dyDescent="0.2">
      <c r="A1210" s="2">
        <v>45954</v>
      </c>
      <c r="B1210" s="1" t="s">
        <v>7</v>
      </c>
      <c r="C1210" s="1">
        <v>224.21</v>
      </c>
    </row>
    <row r="1211" spans="1:3" x14ac:dyDescent="0.2">
      <c r="A1211" s="2">
        <v>45957</v>
      </c>
      <c r="B1211" s="1" t="s">
        <v>7</v>
      </c>
      <c r="C1211" s="1">
        <v>226.97</v>
      </c>
    </row>
    <row r="1212" spans="1:3" x14ac:dyDescent="0.2">
      <c r="A1212" s="2">
        <v>45958</v>
      </c>
      <c r="B1212" s="1" t="s">
        <v>7</v>
      </c>
      <c r="C1212" s="1">
        <v>229.25</v>
      </c>
    </row>
    <row r="1213" spans="1:3" x14ac:dyDescent="0.2">
      <c r="A1213" s="2">
        <v>45959</v>
      </c>
      <c r="B1213" s="1" t="s">
        <v>7</v>
      </c>
      <c r="C1213" s="1">
        <v>230.3</v>
      </c>
    </row>
    <row r="1214" spans="1:3" x14ac:dyDescent="0.2">
      <c r="A1214" s="2">
        <v>45960</v>
      </c>
      <c r="B1214" s="1" t="s">
        <v>7</v>
      </c>
      <c r="C1214" s="1">
        <v>222.86</v>
      </c>
    </row>
    <row r="1215" spans="1:3" x14ac:dyDescent="0.2">
      <c r="A1215" s="2">
        <v>45961</v>
      </c>
      <c r="B1215" s="1" t="s">
        <v>7</v>
      </c>
      <c r="C1215" s="1">
        <v>244.22</v>
      </c>
    </row>
    <row r="1216" spans="1:3" x14ac:dyDescent="0.2">
      <c r="A1216" s="2">
        <v>45964</v>
      </c>
      <c r="B1216" s="1" t="s">
        <v>7</v>
      </c>
      <c r="C1216" s="1">
        <v>254</v>
      </c>
    </row>
    <row r="1217" spans="1:3" x14ac:dyDescent="0.2">
      <c r="A1217" s="2">
        <v>45965</v>
      </c>
      <c r="B1217" s="1" t="s">
        <v>7</v>
      </c>
      <c r="C1217" s="1">
        <v>249.32</v>
      </c>
    </row>
    <row r="1218" spans="1:3" x14ac:dyDescent="0.2">
      <c r="A1218" s="2">
        <v>45966</v>
      </c>
      <c r="B1218" s="1" t="s">
        <v>7</v>
      </c>
      <c r="C1218" s="1">
        <v>250.2</v>
      </c>
    </row>
    <row r="1219" spans="1:3" x14ac:dyDescent="0.2">
      <c r="A1219" s="2">
        <v>45967</v>
      </c>
      <c r="B1219" s="1" t="s">
        <v>7</v>
      </c>
      <c r="C1219" s="1">
        <v>243.04</v>
      </c>
    </row>
    <row r="1220" spans="1:3" x14ac:dyDescent="0.2">
      <c r="A1220" s="2">
        <v>45968</v>
      </c>
      <c r="B1220" s="1" t="s">
        <v>7</v>
      </c>
      <c r="C1220" s="1">
        <v>244.41</v>
      </c>
    </row>
    <row r="1221" spans="1:3" x14ac:dyDescent="0.2">
      <c r="A1221" s="2">
        <v>45971</v>
      </c>
      <c r="B1221" s="1" t="s">
        <v>7</v>
      </c>
      <c r="C1221" s="1">
        <v>248.4</v>
      </c>
    </row>
    <row r="1222" spans="1:3" x14ac:dyDescent="0.2">
      <c r="A1222" s="2">
        <v>45972</v>
      </c>
      <c r="B1222" s="1" t="s">
        <v>7</v>
      </c>
      <c r="C1222" s="1">
        <v>249.1</v>
      </c>
    </row>
    <row r="1223" spans="1:3" x14ac:dyDescent="0.2">
      <c r="A1223" s="2">
        <v>45973</v>
      </c>
      <c r="B1223" s="1" t="s">
        <v>7</v>
      </c>
      <c r="C1223" s="1">
        <v>244.2</v>
      </c>
    </row>
    <row r="1224" spans="1:3" x14ac:dyDescent="0.2">
      <c r="A1224" s="2">
        <v>45974</v>
      </c>
      <c r="B1224" s="1" t="s">
        <v>7</v>
      </c>
      <c r="C1224" s="1">
        <v>237.58</v>
      </c>
    </row>
    <row r="1225" spans="1:3" x14ac:dyDescent="0.2">
      <c r="A1225" s="2">
        <v>45975</v>
      </c>
      <c r="B1225" s="1" t="s">
        <v>7</v>
      </c>
      <c r="C1225" s="1">
        <v>234.69</v>
      </c>
    </row>
    <row r="1226" spans="1:3" x14ac:dyDescent="0.2">
      <c r="A1226" s="2">
        <v>45978</v>
      </c>
      <c r="B1226" s="1" t="s">
        <v>7</v>
      </c>
      <c r="C1226" s="1">
        <v>232.87</v>
      </c>
    </row>
    <row r="1227" spans="1:3" x14ac:dyDescent="0.2">
      <c r="A1227" s="2">
        <v>45979</v>
      </c>
      <c r="B1227" s="1" t="s">
        <v>7</v>
      </c>
      <c r="C1227" s="1">
        <v>222.55</v>
      </c>
    </row>
    <row r="1228" spans="1:3" x14ac:dyDescent="0.2">
      <c r="A1228" s="2">
        <v>45980</v>
      </c>
      <c r="B1228" s="1" t="s">
        <v>7</v>
      </c>
      <c r="C1228" s="1">
        <v>222.69</v>
      </c>
    </row>
    <row r="1229" spans="1:3" x14ac:dyDescent="0.2">
      <c r="A1229" s="2">
        <v>45981</v>
      </c>
      <c r="B1229" s="1" t="s">
        <v>7</v>
      </c>
      <c r="C1229" s="1">
        <v>217.14</v>
      </c>
    </row>
    <row r="1230" spans="1:3" x14ac:dyDescent="0.2">
      <c r="A1230" s="2">
        <v>45982</v>
      </c>
      <c r="B1230" s="1" t="s">
        <v>7</v>
      </c>
      <c r="C1230" s="1">
        <v>220.69</v>
      </c>
    </row>
    <row r="1231" spans="1:3" x14ac:dyDescent="0.2">
      <c r="A1231" s="2">
        <v>45985</v>
      </c>
      <c r="B1231" s="1" t="s">
        <v>7</v>
      </c>
      <c r="C1231" s="1">
        <v>226.28</v>
      </c>
    </row>
    <row r="1232" spans="1:3" x14ac:dyDescent="0.2">
      <c r="A1232" s="2">
        <v>45986</v>
      </c>
      <c r="B1232" s="1" t="s">
        <v>7</v>
      </c>
      <c r="C1232" s="1">
        <v>229.67</v>
      </c>
    </row>
    <row r="1233" spans="1:3" x14ac:dyDescent="0.2">
      <c r="A1233" s="2">
        <v>45987</v>
      </c>
      <c r="B1233" s="1" t="s">
        <v>7</v>
      </c>
      <c r="C1233" s="1">
        <v>229.16</v>
      </c>
    </row>
    <row r="1234" spans="1:3" x14ac:dyDescent="0.2">
      <c r="A1234" s="2">
        <v>45989</v>
      </c>
      <c r="B1234" s="1" t="s">
        <v>7</v>
      </c>
      <c r="C1234" s="1">
        <v>233.22</v>
      </c>
    </row>
    <row r="1235" spans="1:3" x14ac:dyDescent="0.2">
      <c r="A1235" s="2">
        <v>45992</v>
      </c>
      <c r="B1235" s="1" t="s">
        <v>7</v>
      </c>
      <c r="C1235" s="1">
        <v>233.88</v>
      </c>
    </row>
    <row r="1236" spans="1:3" x14ac:dyDescent="0.2">
      <c r="A1236" s="2">
        <v>45993</v>
      </c>
      <c r="B1236" s="1" t="s">
        <v>7</v>
      </c>
      <c r="C1236" s="1">
        <v>234.42</v>
      </c>
    </row>
    <row r="1237" spans="1:3" x14ac:dyDescent="0.2">
      <c r="A1237" s="2">
        <v>45994</v>
      </c>
      <c r="B1237" s="1" t="s">
        <v>7</v>
      </c>
      <c r="C1237" s="1">
        <v>232.38</v>
      </c>
    </row>
    <row r="1238" spans="1:3" x14ac:dyDescent="0.2">
      <c r="A1238" s="2">
        <v>45995</v>
      </c>
      <c r="B1238" s="1" t="s">
        <v>7</v>
      </c>
      <c r="C1238" s="1">
        <v>229.11</v>
      </c>
    </row>
    <row r="1239" spans="1:3" x14ac:dyDescent="0.2">
      <c r="A1239" s="2">
        <v>45996</v>
      </c>
      <c r="B1239" s="1" t="s">
        <v>7</v>
      </c>
      <c r="C1239" s="1">
        <v>229.53</v>
      </c>
    </row>
    <row r="1240" spans="1:3" x14ac:dyDescent="0.2">
      <c r="A1240" s="2">
        <v>45999</v>
      </c>
      <c r="B1240" s="1" t="s">
        <v>7</v>
      </c>
      <c r="C1240" s="1">
        <v>226.89</v>
      </c>
    </row>
    <row r="1241" spans="1:3" x14ac:dyDescent="0.2">
      <c r="A1241" s="2">
        <v>46000</v>
      </c>
      <c r="B1241" s="1" t="s">
        <v>7</v>
      </c>
      <c r="C1241" s="1">
        <v>227.92</v>
      </c>
    </row>
    <row r="1242" spans="1:3" x14ac:dyDescent="0.2">
      <c r="A1242" s="2">
        <v>46001</v>
      </c>
      <c r="B1242" s="1" t="s">
        <v>7</v>
      </c>
      <c r="C1242" s="1">
        <v>231.78</v>
      </c>
    </row>
    <row r="1243" spans="1:3" x14ac:dyDescent="0.2">
      <c r="A1243" s="2">
        <v>46002</v>
      </c>
      <c r="B1243" s="1" t="s">
        <v>7</v>
      </c>
      <c r="C1243" s="1">
        <v>230.28</v>
      </c>
    </row>
    <row r="1244" spans="1:3" x14ac:dyDescent="0.2">
      <c r="A1244" s="2">
        <v>46003</v>
      </c>
      <c r="B1244" s="1" t="s">
        <v>7</v>
      </c>
      <c r="C1244" s="1">
        <v>226.19</v>
      </c>
    </row>
    <row r="1245" spans="1:3" x14ac:dyDescent="0.2">
      <c r="A1245" s="2">
        <v>46006</v>
      </c>
      <c r="B1245" s="1" t="s">
        <v>7</v>
      </c>
      <c r="C1245" s="1">
        <v>222.54</v>
      </c>
    </row>
    <row r="1246" spans="1:3" x14ac:dyDescent="0.2">
      <c r="A1246" s="2">
        <v>46007</v>
      </c>
      <c r="B1246" s="1" t="s">
        <v>7</v>
      </c>
      <c r="C1246" s="1">
        <v>222.56</v>
      </c>
    </row>
    <row r="1247" spans="1:3" x14ac:dyDescent="0.2">
      <c r="A1247" s="2">
        <v>46008</v>
      </c>
      <c r="B1247" s="1" t="s">
        <v>7</v>
      </c>
      <c r="C1247" s="1">
        <v>221.27</v>
      </c>
    </row>
    <row r="1248" spans="1:3" x14ac:dyDescent="0.2">
      <c r="A1248" s="2">
        <v>46009</v>
      </c>
      <c r="B1248" s="1" t="s">
        <v>7</v>
      </c>
      <c r="C1248" s="1">
        <v>226.76</v>
      </c>
    </row>
    <row r="1249" spans="1:3" x14ac:dyDescent="0.2">
      <c r="A1249" s="2">
        <v>46010</v>
      </c>
      <c r="B1249" s="1" t="s">
        <v>7</v>
      </c>
      <c r="C1249" s="1">
        <v>227.35</v>
      </c>
    </row>
    <row r="1250" spans="1:3" x14ac:dyDescent="0.2">
      <c r="A1250" s="2">
        <v>46013</v>
      </c>
      <c r="B1250" s="1" t="s">
        <v>7</v>
      </c>
      <c r="C1250" s="1">
        <v>228.43</v>
      </c>
    </row>
    <row r="1251" spans="1:3" x14ac:dyDescent="0.2">
      <c r="A1251" s="2">
        <v>46014</v>
      </c>
      <c r="B1251" s="1" t="s">
        <v>7</v>
      </c>
      <c r="C1251" s="1">
        <v>232.14</v>
      </c>
    </row>
    <row r="1252" spans="1:3" x14ac:dyDescent="0.2">
      <c r="A1252" s="2">
        <v>46015</v>
      </c>
      <c r="B1252" s="1" t="s">
        <v>7</v>
      </c>
      <c r="C1252" s="1">
        <v>232.38</v>
      </c>
    </row>
    <row r="1253" spans="1:3" x14ac:dyDescent="0.2">
      <c r="A1253" s="2">
        <v>46017</v>
      </c>
      <c r="B1253" s="1" t="s">
        <v>7</v>
      </c>
      <c r="C1253" s="1">
        <v>232.52</v>
      </c>
    </row>
    <row r="1254" spans="1:3" x14ac:dyDescent="0.2">
      <c r="A1254" s="2">
        <v>46020</v>
      </c>
      <c r="B1254" s="1" t="s">
        <v>7</v>
      </c>
      <c r="C1254" s="1">
        <v>232.07</v>
      </c>
    </row>
    <row r="1255" spans="1:3" x14ac:dyDescent="0.2">
      <c r="A1255" s="2">
        <v>46021</v>
      </c>
      <c r="B1255" s="1" t="s">
        <v>7</v>
      </c>
      <c r="C1255" s="1">
        <v>232.53</v>
      </c>
    </row>
    <row r="1256" spans="1:3" x14ac:dyDescent="0.2">
      <c r="A1256" s="2">
        <v>46022</v>
      </c>
      <c r="B1256" s="1" t="s">
        <v>7</v>
      </c>
      <c r="C1256" s="1">
        <v>230.82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F5A3-AF00-46B0-8F9F-F0EA00632C55}">
  <sheetPr codeName="Sheet6"/>
  <dimension ref="A1:C2649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8</v>
      </c>
      <c r="C2" s="1">
        <v>243.25700000000001</v>
      </c>
    </row>
    <row r="3" spans="1:3" x14ac:dyDescent="0.2">
      <c r="A3" s="2">
        <v>44201</v>
      </c>
      <c r="B3" s="1" t="s">
        <v>8</v>
      </c>
      <c r="C3" s="1">
        <v>245.03700000000001</v>
      </c>
    </row>
    <row r="4" spans="1:3" x14ac:dyDescent="0.2">
      <c r="A4" s="2">
        <v>44202</v>
      </c>
      <c r="B4" s="1" t="s">
        <v>8</v>
      </c>
      <c r="C4" s="1">
        <v>251.99299999999999</v>
      </c>
    </row>
    <row r="5" spans="1:3" x14ac:dyDescent="0.2">
      <c r="A5" s="2">
        <v>44203</v>
      </c>
      <c r="B5" s="1" t="s">
        <v>8</v>
      </c>
      <c r="C5" s="1">
        <v>272.01299999999998</v>
      </c>
    </row>
    <row r="6" spans="1:3" x14ac:dyDescent="0.2">
      <c r="A6" s="2">
        <v>44204</v>
      </c>
      <c r="B6" s="1" t="s">
        <v>8</v>
      </c>
      <c r="C6" s="1">
        <v>293.33999999999997</v>
      </c>
    </row>
    <row r="7" spans="1:3" x14ac:dyDescent="0.2">
      <c r="A7" s="2">
        <v>44207</v>
      </c>
      <c r="B7" s="1" t="s">
        <v>8</v>
      </c>
      <c r="C7" s="1">
        <v>270.39699999999999</v>
      </c>
    </row>
    <row r="8" spans="1:3" x14ac:dyDescent="0.2">
      <c r="A8" s="2">
        <v>44208</v>
      </c>
      <c r="B8" s="1" t="s">
        <v>8</v>
      </c>
      <c r="C8" s="1">
        <v>283.14699999999999</v>
      </c>
    </row>
    <row r="9" spans="1:3" x14ac:dyDescent="0.2">
      <c r="A9" s="2">
        <v>44209</v>
      </c>
      <c r="B9" s="1" t="s">
        <v>8</v>
      </c>
      <c r="C9" s="1">
        <v>284.803</v>
      </c>
    </row>
    <row r="10" spans="1:3" x14ac:dyDescent="0.2">
      <c r="A10" s="2">
        <v>44210</v>
      </c>
      <c r="B10" s="1" t="s">
        <v>8</v>
      </c>
      <c r="C10" s="1">
        <v>281.66699999999997</v>
      </c>
    </row>
    <row r="11" spans="1:3" x14ac:dyDescent="0.2">
      <c r="A11" s="2">
        <v>44211</v>
      </c>
      <c r="B11" s="1" t="s">
        <v>8</v>
      </c>
      <c r="C11" s="1">
        <v>275.387</v>
      </c>
    </row>
    <row r="12" spans="1:3" x14ac:dyDescent="0.2">
      <c r="A12" s="2">
        <v>44215</v>
      </c>
      <c r="B12" s="1" t="s">
        <v>8</v>
      </c>
      <c r="C12" s="1">
        <v>281.517</v>
      </c>
    </row>
    <row r="13" spans="1:3" x14ac:dyDescent="0.2">
      <c r="A13" s="2">
        <v>44216</v>
      </c>
      <c r="B13" s="1" t="s">
        <v>8</v>
      </c>
      <c r="C13" s="1">
        <v>283.483</v>
      </c>
    </row>
    <row r="14" spans="1:3" x14ac:dyDescent="0.2">
      <c r="A14" s="2">
        <v>44217</v>
      </c>
      <c r="B14" s="1" t="s">
        <v>8</v>
      </c>
      <c r="C14" s="1">
        <v>281.66300000000001</v>
      </c>
    </row>
    <row r="15" spans="1:3" x14ac:dyDescent="0.2">
      <c r="A15" s="2">
        <v>44218</v>
      </c>
      <c r="B15" s="1" t="s">
        <v>8</v>
      </c>
      <c r="C15" s="1">
        <v>282.21300000000002</v>
      </c>
    </row>
    <row r="16" spans="1:3" x14ac:dyDescent="0.2">
      <c r="A16" s="2">
        <v>44221</v>
      </c>
      <c r="B16" s="1" t="s">
        <v>8</v>
      </c>
      <c r="C16" s="1">
        <v>293.60000000000002</v>
      </c>
    </row>
    <row r="17" spans="1:3" x14ac:dyDescent="0.2">
      <c r="A17" s="2">
        <v>44222</v>
      </c>
      <c r="B17" s="1" t="s">
        <v>8</v>
      </c>
      <c r="C17" s="1">
        <v>294.363</v>
      </c>
    </row>
    <row r="18" spans="1:3" x14ac:dyDescent="0.2">
      <c r="A18" s="2">
        <v>44223</v>
      </c>
      <c r="B18" s="1" t="s">
        <v>8</v>
      </c>
      <c r="C18" s="1">
        <v>288.053</v>
      </c>
    </row>
    <row r="19" spans="1:3" x14ac:dyDescent="0.2">
      <c r="A19" s="2">
        <v>44224</v>
      </c>
      <c r="B19" s="1" t="s">
        <v>8</v>
      </c>
      <c r="C19" s="1">
        <v>278.47699999999998</v>
      </c>
    </row>
    <row r="20" spans="1:3" x14ac:dyDescent="0.2">
      <c r="A20" s="2">
        <v>44225</v>
      </c>
      <c r="B20" s="1" t="s">
        <v>8</v>
      </c>
      <c r="C20" s="1">
        <v>264.51</v>
      </c>
    </row>
    <row r="21" spans="1:3" x14ac:dyDescent="0.2">
      <c r="A21" s="2">
        <v>44228</v>
      </c>
      <c r="B21" s="1" t="s">
        <v>8</v>
      </c>
      <c r="C21" s="1">
        <v>279.93700000000001</v>
      </c>
    </row>
    <row r="22" spans="1:3" x14ac:dyDescent="0.2">
      <c r="A22" s="2">
        <v>44229</v>
      </c>
      <c r="B22" s="1" t="s">
        <v>8</v>
      </c>
      <c r="C22" s="1">
        <v>290.93</v>
      </c>
    </row>
    <row r="23" spans="1:3" x14ac:dyDescent="0.2">
      <c r="A23" s="2">
        <v>44230</v>
      </c>
      <c r="B23" s="1" t="s">
        <v>8</v>
      </c>
      <c r="C23" s="1">
        <v>284.89699999999999</v>
      </c>
    </row>
    <row r="24" spans="1:3" x14ac:dyDescent="0.2">
      <c r="A24" s="2">
        <v>44231</v>
      </c>
      <c r="B24" s="1" t="s">
        <v>8</v>
      </c>
      <c r="C24" s="1">
        <v>283.33</v>
      </c>
    </row>
    <row r="25" spans="1:3" x14ac:dyDescent="0.2">
      <c r="A25" s="2">
        <v>44232</v>
      </c>
      <c r="B25" s="1" t="s">
        <v>8</v>
      </c>
      <c r="C25" s="1">
        <v>284.077</v>
      </c>
    </row>
    <row r="26" spans="1:3" x14ac:dyDescent="0.2">
      <c r="A26" s="2">
        <v>44235</v>
      </c>
      <c r="B26" s="1" t="s">
        <v>8</v>
      </c>
      <c r="C26" s="1">
        <v>287.80700000000002</v>
      </c>
    </row>
    <row r="27" spans="1:3" x14ac:dyDescent="0.2">
      <c r="A27" s="2">
        <v>44236</v>
      </c>
      <c r="B27" s="1" t="s">
        <v>8</v>
      </c>
      <c r="C27" s="1">
        <v>283.15300000000002</v>
      </c>
    </row>
    <row r="28" spans="1:3" x14ac:dyDescent="0.2">
      <c r="A28" s="2">
        <v>44237</v>
      </c>
      <c r="B28" s="1" t="s">
        <v>8</v>
      </c>
      <c r="C28" s="1">
        <v>268.27300000000002</v>
      </c>
    </row>
    <row r="29" spans="1:3" x14ac:dyDescent="0.2">
      <c r="A29" s="2">
        <v>44238</v>
      </c>
      <c r="B29" s="1" t="s">
        <v>8</v>
      </c>
      <c r="C29" s="1">
        <v>270.553</v>
      </c>
    </row>
    <row r="30" spans="1:3" x14ac:dyDescent="0.2">
      <c r="A30" s="2">
        <v>44239</v>
      </c>
      <c r="B30" s="1" t="s">
        <v>8</v>
      </c>
      <c r="C30" s="1">
        <v>272.04000000000002</v>
      </c>
    </row>
    <row r="31" spans="1:3" x14ac:dyDescent="0.2">
      <c r="A31" s="2">
        <v>44243</v>
      </c>
      <c r="B31" s="1" t="s">
        <v>8</v>
      </c>
      <c r="C31" s="1">
        <v>265.40699999999998</v>
      </c>
    </row>
    <row r="32" spans="1:3" x14ac:dyDescent="0.2">
      <c r="A32" s="2">
        <v>44244</v>
      </c>
      <c r="B32" s="1" t="s">
        <v>8</v>
      </c>
      <c r="C32" s="1">
        <v>266.05</v>
      </c>
    </row>
    <row r="33" spans="1:3" x14ac:dyDescent="0.2">
      <c r="A33" s="2">
        <v>44245</v>
      </c>
      <c r="B33" s="1" t="s">
        <v>8</v>
      </c>
      <c r="C33" s="1">
        <v>262.45999999999998</v>
      </c>
    </row>
    <row r="34" spans="1:3" x14ac:dyDescent="0.2">
      <c r="A34" s="2">
        <v>44246</v>
      </c>
      <c r="B34" s="1" t="s">
        <v>8</v>
      </c>
      <c r="C34" s="1">
        <v>260.43299999999999</v>
      </c>
    </row>
    <row r="35" spans="1:3" x14ac:dyDescent="0.2">
      <c r="A35" s="2">
        <v>44249</v>
      </c>
      <c r="B35" s="1" t="s">
        <v>8</v>
      </c>
      <c r="C35" s="1">
        <v>238.167</v>
      </c>
    </row>
    <row r="36" spans="1:3" x14ac:dyDescent="0.2">
      <c r="A36" s="2">
        <v>44250</v>
      </c>
      <c r="B36" s="1" t="s">
        <v>8</v>
      </c>
      <c r="C36" s="1">
        <v>232.947</v>
      </c>
    </row>
    <row r="37" spans="1:3" x14ac:dyDescent="0.2">
      <c r="A37" s="2">
        <v>44251</v>
      </c>
      <c r="B37" s="1" t="s">
        <v>8</v>
      </c>
      <c r="C37" s="1">
        <v>247.34</v>
      </c>
    </row>
    <row r="38" spans="1:3" x14ac:dyDescent="0.2">
      <c r="A38" s="2">
        <v>44252</v>
      </c>
      <c r="B38" s="1" t="s">
        <v>8</v>
      </c>
      <c r="C38" s="1">
        <v>227.40700000000001</v>
      </c>
    </row>
    <row r="39" spans="1:3" x14ac:dyDescent="0.2">
      <c r="A39" s="2">
        <v>44253</v>
      </c>
      <c r="B39" s="1" t="s">
        <v>8</v>
      </c>
      <c r="C39" s="1">
        <v>225.167</v>
      </c>
    </row>
    <row r="40" spans="1:3" x14ac:dyDescent="0.2">
      <c r="A40" s="2">
        <v>44256</v>
      </c>
      <c r="B40" s="1" t="s">
        <v>8</v>
      </c>
      <c r="C40" s="1">
        <v>239.477</v>
      </c>
    </row>
    <row r="41" spans="1:3" x14ac:dyDescent="0.2">
      <c r="A41" s="2">
        <v>44257</v>
      </c>
      <c r="B41" s="1" t="s">
        <v>8</v>
      </c>
      <c r="C41" s="1">
        <v>228.81299999999999</v>
      </c>
    </row>
    <row r="42" spans="1:3" x14ac:dyDescent="0.2">
      <c r="A42" s="2">
        <v>44258</v>
      </c>
      <c r="B42" s="1" t="s">
        <v>8</v>
      </c>
      <c r="C42" s="1">
        <v>217.733</v>
      </c>
    </row>
    <row r="43" spans="1:3" x14ac:dyDescent="0.2">
      <c r="A43" s="2">
        <v>44259</v>
      </c>
      <c r="B43" s="1" t="s">
        <v>8</v>
      </c>
      <c r="C43" s="1">
        <v>207.14699999999999</v>
      </c>
    </row>
    <row r="44" spans="1:3" x14ac:dyDescent="0.2">
      <c r="A44" s="2">
        <v>44260</v>
      </c>
      <c r="B44" s="1" t="s">
        <v>8</v>
      </c>
      <c r="C44" s="1">
        <v>199.31700000000001</v>
      </c>
    </row>
    <row r="45" spans="1:3" x14ac:dyDescent="0.2">
      <c r="A45" s="2">
        <v>44263</v>
      </c>
      <c r="B45" s="1" t="s">
        <v>8</v>
      </c>
      <c r="C45" s="1">
        <v>187.667</v>
      </c>
    </row>
    <row r="46" spans="1:3" x14ac:dyDescent="0.2">
      <c r="A46" s="2">
        <v>44264</v>
      </c>
      <c r="B46" s="1" t="s">
        <v>8</v>
      </c>
      <c r="C46" s="1">
        <v>224.52699999999999</v>
      </c>
    </row>
    <row r="47" spans="1:3" x14ac:dyDescent="0.2">
      <c r="A47" s="2">
        <v>44265</v>
      </c>
      <c r="B47" s="1" t="s">
        <v>8</v>
      </c>
      <c r="C47" s="1">
        <v>222.68700000000001</v>
      </c>
    </row>
    <row r="48" spans="1:3" x14ac:dyDescent="0.2">
      <c r="A48" s="2">
        <v>44266</v>
      </c>
      <c r="B48" s="1" t="s">
        <v>8</v>
      </c>
      <c r="C48" s="1">
        <v>233.2</v>
      </c>
    </row>
    <row r="49" spans="1:3" x14ac:dyDescent="0.2">
      <c r="A49" s="2">
        <v>44267</v>
      </c>
      <c r="B49" s="1" t="s">
        <v>8</v>
      </c>
      <c r="C49" s="1">
        <v>231.24299999999999</v>
      </c>
    </row>
    <row r="50" spans="1:3" x14ac:dyDescent="0.2">
      <c r="A50" s="2">
        <v>44270</v>
      </c>
      <c r="B50" s="1" t="s">
        <v>8</v>
      </c>
      <c r="C50" s="1">
        <v>235.98</v>
      </c>
    </row>
    <row r="51" spans="1:3" x14ac:dyDescent="0.2">
      <c r="A51" s="2">
        <v>44271</v>
      </c>
      <c r="B51" s="1" t="s">
        <v>8</v>
      </c>
      <c r="C51" s="1">
        <v>225.62700000000001</v>
      </c>
    </row>
    <row r="52" spans="1:3" x14ac:dyDescent="0.2">
      <c r="A52" s="2">
        <v>44272</v>
      </c>
      <c r="B52" s="1" t="s">
        <v>8</v>
      </c>
      <c r="C52" s="1">
        <v>233.93700000000001</v>
      </c>
    </row>
    <row r="53" spans="1:3" x14ac:dyDescent="0.2">
      <c r="A53" s="2">
        <v>44273</v>
      </c>
      <c r="B53" s="1" t="s">
        <v>8</v>
      </c>
      <c r="C53" s="1">
        <v>217.72</v>
      </c>
    </row>
    <row r="54" spans="1:3" x14ac:dyDescent="0.2">
      <c r="A54" s="2">
        <v>44274</v>
      </c>
      <c r="B54" s="1" t="s">
        <v>8</v>
      </c>
      <c r="C54" s="1">
        <v>218.29</v>
      </c>
    </row>
    <row r="55" spans="1:3" x14ac:dyDescent="0.2">
      <c r="A55" s="2">
        <v>44277</v>
      </c>
      <c r="B55" s="1" t="s">
        <v>8</v>
      </c>
      <c r="C55" s="1">
        <v>223.333</v>
      </c>
    </row>
    <row r="56" spans="1:3" x14ac:dyDescent="0.2">
      <c r="A56" s="2">
        <v>44278</v>
      </c>
      <c r="B56" s="1" t="s">
        <v>8</v>
      </c>
      <c r="C56" s="1">
        <v>220.72</v>
      </c>
    </row>
    <row r="57" spans="1:3" x14ac:dyDescent="0.2">
      <c r="A57" s="2">
        <v>44279</v>
      </c>
      <c r="B57" s="1" t="s">
        <v>8</v>
      </c>
      <c r="C57" s="1">
        <v>210.09</v>
      </c>
    </row>
    <row r="58" spans="1:3" x14ac:dyDescent="0.2">
      <c r="A58" s="2">
        <v>44280</v>
      </c>
      <c r="B58" s="1" t="s">
        <v>8</v>
      </c>
      <c r="C58" s="1">
        <v>213.46299999999999</v>
      </c>
    </row>
    <row r="59" spans="1:3" x14ac:dyDescent="0.2">
      <c r="A59" s="2">
        <v>44281</v>
      </c>
      <c r="B59" s="1" t="s">
        <v>8</v>
      </c>
      <c r="C59" s="1">
        <v>206.23699999999999</v>
      </c>
    </row>
    <row r="60" spans="1:3" x14ac:dyDescent="0.2">
      <c r="A60" s="2">
        <v>44284</v>
      </c>
      <c r="B60" s="1" t="s">
        <v>8</v>
      </c>
      <c r="C60" s="1">
        <v>203.76300000000001</v>
      </c>
    </row>
    <row r="61" spans="1:3" x14ac:dyDescent="0.2">
      <c r="A61" s="2">
        <v>44285</v>
      </c>
      <c r="B61" s="1" t="s">
        <v>8</v>
      </c>
      <c r="C61" s="1">
        <v>211.87299999999999</v>
      </c>
    </row>
    <row r="62" spans="1:3" x14ac:dyDescent="0.2">
      <c r="A62" s="2">
        <v>44286</v>
      </c>
      <c r="B62" s="1" t="s">
        <v>8</v>
      </c>
      <c r="C62" s="1">
        <v>222.643</v>
      </c>
    </row>
    <row r="63" spans="1:3" x14ac:dyDescent="0.2">
      <c r="A63" s="2">
        <v>44287</v>
      </c>
      <c r="B63" s="1" t="s">
        <v>8</v>
      </c>
      <c r="C63" s="1">
        <v>220.583</v>
      </c>
    </row>
    <row r="64" spans="1:3" x14ac:dyDescent="0.2">
      <c r="A64" s="2">
        <v>44291</v>
      </c>
      <c r="B64" s="1" t="s">
        <v>8</v>
      </c>
      <c r="C64" s="1">
        <v>230.35</v>
      </c>
    </row>
    <row r="65" spans="1:3" x14ac:dyDescent="0.2">
      <c r="A65" s="2">
        <v>44292</v>
      </c>
      <c r="B65" s="1" t="s">
        <v>8</v>
      </c>
      <c r="C65" s="1">
        <v>230.54</v>
      </c>
    </row>
    <row r="66" spans="1:3" x14ac:dyDescent="0.2">
      <c r="A66" s="2">
        <v>44293</v>
      </c>
      <c r="B66" s="1" t="s">
        <v>8</v>
      </c>
      <c r="C66" s="1">
        <v>223.65700000000001</v>
      </c>
    </row>
    <row r="67" spans="1:3" x14ac:dyDescent="0.2">
      <c r="A67" s="2">
        <v>44294</v>
      </c>
      <c r="B67" s="1" t="s">
        <v>8</v>
      </c>
      <c r="C67" s="1">
        <v>227.93299999999999</v>
      </c>
    </row>
    <row r="68" spans="1:3" x14ac:dyDescent="0.2">
      <c r="A68" s="2">
        <v>44295</v>
      </c>
      <c r="B68" s="1" t="s">
        <v>8</v>
      </c>
      <c r="C68" s="1">
        <v>225.673</v>
      </c>
    </row>
    <row r="69" spans="1:3" x14ac:dyDescent="0.2">
      <c r="A69" s="2">
        <v>44298</v>
      </c>
      <c r="B69" s="1" t="s">
        <v>8</v>
      </c>
      <c r="C69" s="1">
        <v>233.99299999999999</v>
      </c>
    </row>
    <row r="70" spans="1:3" x14ac:dyDescent="0.2">
      <c r="A70" s="2">
        <v>44299</v>
      </c>
      <c r="B70" s="1" t="s">
        <v>8</v>
      </c>
      <c r="C70" s="1">
        <v>254.107</v>
      </c>
    </row>
    <row r="71" spans="1:3" x14ac:dyDescent="0.2">
      <c r="A71" s="2">
        <v>44300</v>
      </c>
      <c r="B71" s="1" t="s">
        <v>8</v>
      </c>
      <c r="C71" s="1">
        <v>244.077</v>
      </c>
    </row>
    <row r="72" spans="1:3" x14ac:dyDescent="0.2">
      <c r="A72" s="2">
        <v>44301</v>
      </c>
      <c r="B72" s="1" t="s">
        <v>8</v>
      </c>
      <c r="C72" s="1">
        <v>246.28299999999999</v>
      </c>
    </row>
    <row r="73" spans="1:3" x14ac:dyDescent="0.2">
      <c r="A73" s="2">
        <v>44302</v>
      </c>
      <c r="B73" s="1" t="s">
        <v>8</v>
      </c>
      <c r="C73" s="1">
        <v>246.59299999999999</v>
      </c>
    </row>
    <row r="74" spans="1:3" x14ac:dyDescent="0.2">
      <c r="A74" s="2">
        <v>44305</v>
      </c>
      <c r="B74" s="1" t="s">
        <v>8</v>
      </c>
      <c r="C74" s="1">
        <v>238.21</v>
      </c>
    </row>
    <row r="75" spans="1:3" x14ac:dyDescent="0.2">
      <c r="A75" s="2">
        <v>44306</v>
      </c>
      <c r="B75" s="1" t="s">
        <v>8</v>
      </c>
      <c r="C75" s="1">
        <v>239.66300000000001</v>
      </c>
    </row>
    <row r="76" spans="1:3" x14ac:dyDescent="0.2">
      <c r="A76" s="2">
        <v>44307</v>
      </c>
      <c r="B76" s="1" t="s">
        <v>8</v>
      </c>
      <c r="C76" s="1">
        <v>248.04</v>
      </c>
    </row>
    <row r="77" spans="1:3" x14ac:dyDescent="0.2">
      <c r="A77" s="2">
        <v>44308</v>
      </c>
      <c r="B77" s="1" t="s">
        <v>8</v>
      </c>
      <c r="C77" s="1">
        <v>239.89699999999999</v>
      </c>
    </row>
    <row r="78" spans="1:3" x14ac:dyDescent="0.2">
      <c r="A78" s="2">
        <v>44309</v>
      </c>
      <c r="B78" s="1" t="s">
        <v>8</v>
      </c>
      <c r="C78" s="1">
        <v>243.13300000000001</v>
      </c>
    </row>
    <row r="79" spans="1:3" x14ac:dyDescent="0.2">
      <c r="A79" s="2">
        <v>44312</v>
      </c>
      <c r="B79" s="1" t="s">
        <v>8</v>
      </c>
      <c r="C79" s="1">
        <v>246.06700000000001</v>
      </c>
    </row>
    <row r="80" spans="1:3" x14ac:dyDescent="0.2">
      <c r="A80" s="2">
        <v>44313</v>
      </c>
      <c r="B80" s="1" t="s">
        <v>8</v>
      </c>
      <c r="C80" s="1">
        <v>234.91300000000001</v>
      </c>
    </row>
    <row r="81" spans="1:3" x14ac:dyDescent="0.2">
      <c r="A81" s="2">
        <v>44314</v>
      </c>
      <c r="B81" s="1" t="s">
        <v>8</v>
      </c>
      <c r="C81" s="1">
        <v>231.46700000000001</v>
      </c>
    </row>
    <row r="82" spans="1:3" x14ac:dyDescent="0.2">
      <c r="A82" s="2">
        <v>44315</v>
      </c>
      <c r="B82" s="1" t="s">
        <v>8</v>
      </c>
      <c r="C82" s="1">
        <v>225.667</v>
      </c>
    </row>
    <row r="83" spans="1:3" x14ac:dyDescent="0.2">
      <c r="A83" s="2">
        <v>44316</v>
      </c>
      <c r="B83" s="1" t="s">
        <v>8</v>
      </c>
      <c r="C83" s="1">
        <v>236.48</v>
      </c>
    </row>
    <row r="84" spans="1:3" x14ac:dyDescent="0.2">
      <c r="A84" s="2">
        <v>44319</v>
      </c>
      <c r="B84" s="1" t="s">
        <v>8</v>
      </c>
      <c r="C84" s="1">
        <v>228.3</v>
      </c>
    </row>
    <row r="85" spans="1:3" x14ac:dyDescent="0.2">
      <c r="A85" s="2">
        <v>44320</v>
      </c>
      <c r="B85" s="1" t="s">
        <v>8</v>
      </c>
      <c r="C85" s="1">
        <v>224.53299999999999</v>
      </c>
    </row>
    <row r="86" spans="1:3" x14ac:dyDescent="0.2">
      <c r="A86" s="2">
        <v>44321</v>
      </c>
      <c r="B86" s="1" t="s">
        <v>8</v>
      </c>
      <c r="C86" s="1">
        <v>223.64699999999999</v>
      </c>
    </row>
    <row r="87" spans="1:3" x14ac:dyDescent="0.2">
      <c r="A87" s="2">
        <v>44322</v>
      </c>
      <c r="B87" s="1" t="s">
        <v>8</v>
      </c>
      <c r="C87" s="1">
        <v>221.18</v>
      </c>
    </row>
    <row r="88" spans="1:3" x14ac:dyDescent="0.2">
      <c r="A88" s="2">
        <v>44323</v>
      </c>
      <c r="B88" s="1" t="s">
        <v>8</v>
      </c>
      <c r="C88" s="1">
        <v>224.12299999999999</v>
      </c>
    </row>
    <row r="89" spans="1:3" x14ac:dyDescent="0.2">
      <c r="A89" s="2">
        <v>44326</v>
      </c>
      <c r="B89" s="1" t="s">
        <v>8</v>
      </c>
      <c r="C89" s="1">
        <v>209.68</v>
      </c>
    </row>
    <row r="90" spans="1:3" x14ac:dyDescent="0.2">
      <c r="A90" s="2">
        <v>44327</v>
      </c>
      <c r="B90" s="1" t="s">
        <v>8</v>
      </c>
      <c r="C90" s="1">
        <v>205.733</v>
      </c>
    </row>
    <row r="91" spans="1:3" x14ac:dyDescent="0.2">
      <c r="A91" s="2">
        <v>44328</v>
      </c>
      <c r="B91" s="1" t="s">
        <v>8</v>
      </c>
      <c r="C91" s="1">
        <v>196.63</v>
      </c>
    </row>
    <row r="92" spans="1:3" x14ac:dyDescent="0.2">
      <c r="A92" s="2">
        <v>44329</v>
      </c>
      <c r="B92" s="1" t="s">
        <v>8</v>
      </c>
      <c r="C92" s="1">
        <v>190.56299999999999</v>
      </c>
    </row>
    <row r="93" spans="1:3" x14ac:dyDescent="0.2">
      <c r="A93" s="2">
        <v>44330</v>
      </c>
      <c r="B93" s="1" t="s">
        <v>8</v>
      </c>
      <c r="C93" s="1">
        <v>196.58</v>
      </c>
    </row>
    <row r="94" spans="1:3" x14ac:dyDescent="0.2">
      <c r="A94" s="2">
        <v>44333</v>
      </c>
      <c r="B94" s="1" t="s">
        <v>8</v>
      </c>
      <c r="C94" s="1">
        <v>192.27699999999999</v>
      </c>
    </row>
    <row r="95" spans="1:3" x14ac:dyDescent="0.2">
      <c r="A95" s="2">
        <v>44334</v>
      </c>
      <c r="B95" s="1" t="s">
        <v>8</v>
      </c>
      <c r="C95" s="1">
        <v>192.62299999999999</v>
      </c>
    </row>
    <row r="96" spans="1:3" x14ac:dyDescent="0.2">
      <c r="A96" s="2">
        <v>44335</v>
      </c>
      <c r="B96" s="1" t="s">
        <v>8</v>
      </c>
      <c r="C96" s="1">
        <v>187.82</v>
      </c>
    </row>
    <row r="97" spans="1:3" x14ac:dyDescent="0.2">
      <c r="A97" s="2">
        <v>44336</v>
      </c>
      <c r="B97" s="1" t="s">
        <v>8</v>
      </c>
      <c r="C97" s="1">
        <v>195.59299999999999</v>
      </c>
    </row>
    <row r="98" spans="1:3" x14ac:dyDescent="0.2">
      <c r="A98" s="2">
        <v>44337</v>
      </c>
      <c r="B98" s="1" t="s">
        <v>8</v>
      </c>
      <c r="C98" s="1">
        <v>193.62700000000001</v>
      </c>
    </row>
    <row r="99" spans="1:3" x14ac:dyDescent="0.2">
      <c r="A99" s="2">
        <v>44340</v>
      </c>
      <c r="B99" s="1" t="s">
        <v>8</v>
      </c>
      <c r="C99" s="1">
        <v>202.14699999999999</v>
      </c>
    </row>
    <row r="100" spans="1:3" x14ac:dyDescent="0.2">
      <c r="A100" s="2">
        <v>44341</v>
      </c>
      <c r="B100" s="1" t="s">
        <v>8</v>
      </c>
      <c r="C100" s="1">
        <v>201.56299999999999</v>
      </c>
    </row>
    <row r="101" spans="1:3" x14ac:dyDescent="0.2">
      <c r="A101" s="2">
        <v>44342</v>
      </c>
      <c r="B101" s="1" t="s">
        <v>8</v>
      </c>
      <c r="C101" s="1">
        <v>206.37700000000001</v>
      </c>
    </row>
    <row r="102" spans="1:3" x14ac:dyDescent="0.2">
      <c r="A102" s="2">
        <v>44343</v>
      </c>
      <c r="B102" s="1" t="s">
        <v>8</v>
      </c>
      <c r="C102" s="1">
        <v>210.28299999999999</v>
      </c>
    </row>
    <row r="103" spans="1:3" x14ac:dyDescent="0.2">
      <c r="A103" s="2">
        <v>44344</v>
      </c>
      <c r="B103" s="1" t="s">
        <v>8</v>
      </c>
      <c r="C103" s="1">
        <v>208.40700000000001</v>
      </c>
    </row>
    <row r="104" spans="1:3" x14ac:dyDescent="0.2">
      <c r="A104" s="2">
        <v>44348</v>
      </c>
      <c r="B104" s="1" t="s">
        <v>8</v>
      </c>
      <c r="C104" s="1">
        <v>207.96700000000001</v>
      </c>
    </row>
    <row r="105" spans="1:3" x14ac:dyDescent="0.2">
      <c r="A105" s="2">
        <v>44349</v>
      </c>
      <c r="B105" s="1" t="s">
        <v>8</v>
      </c>
      <c r="C105" s="1">
        <v>201.70699999999999</v>
      </c>
    </row>
    <row r="106" spans="1:3" x14ac:dyDescent="0.2">
      <c r="A106" s="2">
        <v>44350</v>
      </c>
      <c r="B106" s="1" t="s">
        <v>8</v>
      </c>
      <c r="C106" s="1">
        <v>190.947</v>
      </c>
    </row>
    <row r="107" spans="1:3" x14ac:dyDescent="0.2">
      <c r="A107" s="2">
        <v>44351</v>
      </c>
      <c r="B107" s="1" t="s">
        <v>8</v>
      </c>
      <c r="C107" s="1">
        <v>199.68299999999999</v>
      </c>
    </row>
    <row r="108" spans="1:3" x14ac:dyDescent="0.2">
      <c r="A108" s="2">
        <v>44354</v>
      </c>
      <c r="B108" s="1" t="s">
        <v>8</v>
      </c>
      <c r="C108" s="1">
        <v>201.71</v>
      </c>
    </row>
    <row r="109" spans="1:3" x14ac:dyDescent="0.2">
      <c r="A109" s="2">
        <v>44355</v>
      </c>
      <c r="B109" s="1" t="s">
        <v>8</v>
      </c>
      <c r="C109" s="1">
        <v>201.197</v>
      </c>
    </row>
    <row r="110" spans="1:3" x14ac:dyDescent="0.2">
      <c r="A110" s="2">
        <v>44356</v>
      </c>
      <c r="B110" s="1" t="s">
        <v>8</v>
      </c>
      <c r="C110" s="1">
        <v>199.59299999999999</v>
      </c>
    </row>
    <row r="111" spans="1:3" x14ac:dyDescent="0.2">
      <c r="A111" s="2">
        <v>44357</v>
      </c>
      <c r="B111" s="1" t="s">
        <v>8</v>
      </c>
      <c r="C111" s="1">
        <v>203.37299999999999</v>
      </c>
    </row>
    <row r="112" spans="1:3" x14ac:dyDescent="0.2">
      <c r="A112" s="2">
        <v>44358</v>
      </c>
      <c r="B112" s="1" t="s">
        <v>8</v>
      </c>
      <c r="C112" s="1">
        <v>203.297</v>
      </c>
    </row>
    <row r="113" spans="1:3" x14ac:dyDescent="0.2">
      <c r="A113" s="2">
        <v>44361</v>
      </c>
      <c r="B113" s="1" t="s">
        <v>8</v>
      </c>
      <c r="C113" s="1">
        <v>205.89699999999999</v>
      </c>
    </row>
    <row r="114" spans="1:3" x14ac:dyDescent="0.2">
      <c r="A114" s="2">
        <v>44362</v>
      </c>
      <c r="B114" s="1" t="s">
        <v>8</v>
      </c>
      <c r="C114" s="1">
        <v>199.78700000000001</v>
      </c>
    </row>
    <row r="115" spans="1:3" x14ac:dyDescent="0.2">
      <c r="A115" s="2">
        <v>44363</v>
      </c>
      <c r="B115" s="1" t="s">
        <v>8</v>
      </c>
      <c r="C115" s="1">
        <v>201.62299999999999</v>
      </c>
    </row>
    <row r="116" spans="1:3" x14ac:dyDescent="0.2">
      <c r="A116" s="2">
        <v>44364</v>
      </c>
      <c r="B116" s="1" t="s">
        <v>8</v>
      </c>
      <c r="C116" s="1">
        <v>205.53299999999999</v>
      </c>
    </row>
    <row r="117" spans="1:3" x14ac:dyDescent="0.2">
      <c r="A117" s="2">
        <v>44365</v>
      </c>
      <c r="B117" s="1" t="s">
        <v>8</v>
      </c>
      <c r="C117" s="1">
        <v>207.77</v>
      </c>
    </row>
    <row r="118" spans="1:3" x14ac:dyDescent="0.2">
      <c r="A118" s="2">
        <v>44368</v>
      </c>
      <c r="B118" s="1" t="s">
        <v>8</v>
      </c>
      <c r="C118" s="1">
        <v>206.94300000000001</v>
      </c>
    </row>
    <row r="119" spans="1:3" x14ac:dyDescent="0.2">
      <c r="A119" s="2">
        <v>44369</v>
      </c>
      <c r="B119" s="1" t="s">
        <v>8</v>
      </c>
      <c r="C119" s="1">
        <v>207.90299999999999</v>
      </c>
    </row>
    <row r="120" spans="1:3" x14ac:dyDescent="0.2">
      <c r="A120" s="2">
        <v>44370</v>
      </c>
      <c r="B120" s="1" t="s">
        <v>8</v>
      </c>
      <c r="C120" s="1">
        <v>218.857</v>
      </c>
    </row>
    <row r="121" spans="1:3" x14ac:dyDescent="0.2">
      <c r="A121" s="2">
        <v>44371</v>
      </c>
      <c r="B121" s="1" t="s">
        <v>8</v>
      </c>
      <c r="C121" s="1">
        <v>226.607</v>
      </c>
    </row>
    <row r="122" spans="1:3" x14ac:dyDescent="0.2">
      <c r="A122" s="2">
        <v>44372</v>
      </c>
      <c r="B122" s="1" t="s">
        <v>8</v>
      </c>
      <c r="C122" s="1">
        <v>223.95699999999999</v>
      </c>
    </row>
    <row r="123" spans="1:3" x14ac:dyDescent="0.2">
      <c r="A123" s="2">
        <v>44375</v>
      </c>
      <c r="B123" s="1" t="s">
        <v>8</v>
      </c>
      <c r="C123" s="1">
        <v>229.57300000000001</v>
      </c>
    </row>
    <row r="124" spans="1:3" x14ac:dyDescent="0.2">
      <c r="A124" s="2">
        <v>44376</v>
      </c>
      <c r="B124" s="1" t="s">
        <v>8</v>
      </c>
      <c r="C124" s="1">
        <v>226.92</v>
      </c>
    </row>
    <row r="125" spans="1:3" x14ac:dyDescent="0.2">
      <c r="A125" s="2">
        <v>44377</v>
      </c>
      <c r="B125" s="1" t="s">
        <v>8</v>
      </c>
      <c r="C125" s="1">
        <v>226.56700000000001</v>
      </c>
    </row>
    <row r="126" spans="1:3" x14ac:dyDescent="0.2">
      <c r="A126" s="2">
        <v>44378</v>
      </c>
      <c r="B126" s="1" t="s">
        <v>8</v>
      </c>
      <c r="C126" s="1">
        <v>225.97300000000001</v>
      </c>
    </row>
    <row r="127" spans="1:3" x14ac:dyDescent="0.2">
      <c r="A127" s="2">
        <v>44379</v>
      </c>
      <c r="B127" s="1" t="s">
        <v>8</v>
      </c>
      <c r="C127" s="1">
        <v>226.3</v>
      </c>
    </row>
    <row r="128" spans="1:3" x14ac:dyDescent="0.2">
      <c r="A128" s="2">
        <v>44383</v>
      </c>
      <c r="B128" s="1" t="s">
        <v>8</v>
      </c>
      <c r="C128" s="1">
        <v>219.86</v>
      </c>
    </row>
    <row r="129" spans="1:3" x14ac:dyDescent="0.2">
      <c r="A129" s="2">
        <v>44384</v>
      </c>
      <c r="B129" s="1" t="s">
        <v>8</v>
      </c>
      <c r="C129" s="1">
        <v>214.88300000000001</v>
      </c>
    </row>
    <row r="130" spans="1:3" x14ac:dyDescent="0.2">
      <c r="A130" s="2">
        <v>44385</v>
      </c>
      <c r="B130" s="1" t="s">
        <v>8</v>
      </c>
      <c r="C130" s="1">
        <v>217.60300000000001</v>
      </c>
    </row>
    <row r="131" spans="1:3" x14ac:dyDescent="0.2">
      <c r="A131" s="2">
        <v>44386</v>
      </c>
      <c r="B131" s="1" t="s">
        <v>8</v>
      </c>
      <c r="C131" s="1">
        <v>218.983</v>
      </c>
    </row>
    <row r="132" spans="1:3" x14ac:dyDescent="0.2">
      <c r="A132" s="2">
        <v>44389</v>
      </c>
      <c r="B132" s="1" t="s">
        <v>8</v>
      </c>
      <c r="C132" s="1">
        <v>228.56700000000001</v>
      </c>
    </row>
    <row r="133" spans="1:3" x14ac:dyDescent="0.2">
      <c r="A133" s="2">
        <v>44390</v>
      </c>
      <c r="B133" s="1" t="s">
        <v>8</v>
      </c>
      <c r="C133" s="1">
        <v>222.84700000000001</v>
      </c>
    </row>
    <row r="134" spans="1:3" x14ac:dyDescent="0.2">
      <c r="A134" s="2">
        <v>44391</v>
      </c>
      <c r="B134" s="1" t="s">
        <v>8</v>
      </c>
      <c r="C134" s="1">
        <v>217.79300000000001</v>
      </c>
    </row>
    <row r="135" spans="1:3" x14ac:dyDescent="0.2">
      <c r="A135" s="2">
        <v>44392</v>
      </c>
      <c r="B135" s="1" t="s">
        <v>8</v>
      </c>
      <c r="C135" s="1">
        <v>216.86699999999999</v>
      </c>
    </row>
    <row r="136" spans="1:3" x14ac:dyDescent="0.2">
      <c r="A136" s="2">
        <v>44393</v>
      </c>
      <c r="B136" s="1" t="s">
        <v>8</v>
      </c>
      <c r="C136" s="1">
        <v>214.74</v>
      </c>
    </row>
    <row r="137" spans="1:3" x14ac:dyDescent="0.2">
      <c r="A137" s="2">
        <v>44396</v>
      </c>
      <c r="B137" s="1" t="s">
        <v>8</v>
      </c>
      <c r="C137" s="1">
        <v>215.40700000000001</v>
      </c>
    </row>
    <row r="138" spans="1:3" x14ac:dyDescent="0.2">
      <c r="A138" s="2">
        <v>44397</v>
      </c>
      <c r="B138" s="1" t="s">
        <v>8</v>
      </c>
      <c r="C138" s="1">
        <v>220.167</v>
      </c>
    </row>
    <row r="139" spans="1:3" x14ac:dyDescent="0.2">
      <c r="A139" s="2">
        <v>44398</v>
      </c>
      <c r="B139" s="1" t="s">
        <v>8</v>
      </c>
      <c r="C139" s="1">
        <v>218.43</v>
      </c>
    </row>
    <row r="140" spans="1:3" x14ac:dyDescent="0.2">
      <c r="A140" s="2">
        <v>44399</v>
      </c>
      <c r="B140" s="1" t="s">
        <v>8</v>
      </c>
      <c r="C140" s="1">
        <v>216.42</v>
      </c>
    </row>
    <row r="141" spans="1:3" x14ac:dyDescent="0.2">
      <c r="A141" s="2">
        <v>44400</v>
      </c>
      <c r="B141" s="1" t="s">
        <v>8</v>
      </c>
      <c r="C141" s="1">
        <v>214.46</v>
      </c>
    </row>
    <row r="142" spans="1:3" x14ac:dyDescent="0.2">
      <c r="A142" s="2">
        <v>44403</v>
      </c>
      <c r="B142" s="1" t="s">
        <v>8</v>
      </c>
      <c r="C142" s="1">
        <v>219.20699999999999</v>
      </c>
    </row>
    <row r="143" spans="1:3" x14ac:dyDescent="0.2">
      <c r="A143" s="2">
        <v>44404</v>
      </c>
      <c r="B143" s="1" t="s">
        <v>8</v>
      </c>
      <c r="C143" s="1">
        <v>214.92699999999999</v>
      </c>
    </row>
    <row r="144" spans="1:3" x14ac:dyDescent="0.2">
      <c r="A144" s="2">
        <v>44405</v>
      </c>
      <c r="B144" s="1" t="s">
        <v>8</v>
      </c>
      <c r="C144" s="1">
        <v>215.66</v>
      </c>
    </row>
    <row r="145" spans="1:3" x14ac:dyDescent="0.2">
      <c r="A145" s="2">
        <v>44406</v>
      </c>
      <c r="B145" s="1" t="s">
        <v>8</v>
      </c>
      <c r="C145" s="1">
        <v>225.78299999999999</v>
      </c>
    </row>
    <row r="146" spans="1:3" x14ac:dyDescent="0.2">
      <c r="A146" s="2">
        <v>44407</v>
      </c>
      <c r="B146" s="1" t="s">
        <v>8</v>
      </c>
      <c r="C146" s="1">
        <v>229.06700000000001</v>
      </c>
    </row>
    <row r="147" spans="1:3" x14ac:dyDescent="0.2">
      <c r="A147" s="2">
        <v>44410</v>
      </c>
      <c r="B147" s="1" t="s">
        <v>8</v>
      </c>
      <c r="C147" s="1">
        <v>236.55699999999999</v>
      </c>
    </row>
    <row r="148" spans="1:3" x14ac:dyDescent="0.2">
      <c r="A148" s="2">
        <v>44411</v>
      </c>
      <c r="B148" s="1" t="s">
        <v>8</v>
      </c>
      <c r="C148" s="1">
        <v>236.58</v>
      </c>
    </row>
    <row r="149" spans="1:3" x14ac:dyDescent="0.2">
      <c r="A149" s="2">
        <v>44412</v>
      </c>
      <c r="B149" s="1" t="s">
        <v>8</v>
      </c>
      <c r="C149" s="1">
        <v>236.97300000000001</v>
      </c>
    </row>
    <row r="150" spans="1:3" x14ac:dyDescent="0.2">
      <c r="A150" s="2">
        <v>44413</v>
      </c>
      <c r="B150" s="1" t="s">
        <v>8</v>
      </c>
      <c r="C150" s="1">
        <v>238.21</v>
      </c>
    </row>
    <row r="151" spans="1:3" x14ac:dyDescent="0.2">
      <c r="A151" s="2">
        <v>44414</v>
      </c>
      <c r="B151" s="1" t="s">
        <v>8</v>
      </c>
      <c r="C151" s="1">
        <v>233.03299999999999</v>
      </c>
    </row>
    <row r="152" spans="1:3" x14ac:dyDescent="0.2">
      <c r="A152" s="2">
        <v>44417</v>
      </c>
      <c r="B152" s="1" t="s">
        <v>8</v>
      </c>
      <c r="C152" s="1">
        <v>237.92</v>
      </c>
    </row>
    <row r="153" spans="1:3" x14ac:dyDescent="0.2">
      <c r="A153" s="2">
        <v>44418</v>
      </c>
      <c r="B153" s="1" t="s">
        <v>8</v>
      </c>
      <c r="C153" s="1">
        <v>236.66300000000001</v>
      </c>
    </row>
    <row r="154" spans="1:3" x14ac:dyDescent="0.2">
      <c r="A154" s="2">
        <v>44419</v>
      </c>
      <c r="B154" s="1" t="s">
        <v>8</v>
      </c>
      <c r="C154" s="1">
        <v>235.94</v>
      </c>
    </row>
    <row r="155" spans="1:3" x14ac:dyDescent="0.2">
      <c r="A155" s="2">
        <v>44420</v>
      </c>
      <c r="B155" s="1" t="s">
        <v>8</v>
      </c>
      <c r="C155" s="1">
        <v>240.75</v>
      </c>
    </row>
    <row r="156" spans="1:3" x14ac:dyDescent="0.2">
      <c r="A156" s="2">
        <v>44421</v>
      </c>
      <c r="B156" s="1" t="s">
        <v>8</v>
      </c>
      <c r="C156" s="1">
        <v>239.05699999999999</v>
      </c>
    </row>
    <row r="157" spans="1:3" x14ac:dyDescent="0.2">
      <c r="A157" s="2">
        <v>44424</v>
      </c>
      <c r="B157" s="1" t="s">
        <v>8</v>
      </c>
      <c r="C157" s="1">
        <v>228.72300000000001</v>
      </c>
    </row>
    <row r="158" spans="1:3" x14ac:dyDescent="0.2">
      <c r="A158" s="2">
        <v>44425</v>
      </c>
      <c r="B158" s="1" t="s">
        <v>8</v>
      </c>
      <c r="C158" s="1">
        <v>221.90299999999999</v>
      </c>
    </row>
    <row r="159" spans="1:3" x14ac:dyDescent="0.2">
      <c r="A159" s="2">
        <v>44426</v>
      </c>
      <c r="B159" s="1" t="s">
        <v>8</v>
      </c>
      <c r="C159" s="1">
        <v>229.66300000000001</v>
      </c>
    </row>
    <row r="160" spans="1:3" x14ac:dyDescent="0.2">
      <c r="A160" s="2">
        <v>44427</v>
      </c>
      <c r="B160" s="1" t="s">
        <v>8</v>
      </c>
      <c r="C160" s="1">
        <v>224.49</v>
      </c>
    </row>
    <row r="161" spans="1:3" x14ac:dyDescent="0.2">
      <c r="A161" s="2">
        <v>44428</v>
      </c>
      <c r="B161" s="1" t="s">
        <v>8</v>
      </c>
      <c r="C161" s="1">
        <v>226.75299999999999</v>
      </c>
    </row>
    <row r="162" spans="1:3" x14ac:dyDescent="0.2">
      <c r="A162" s="2">
        <v>44431</v>
      </c>
      <c r="B162" s="1" t="s">
        <v>8</v>
      </c>
      <c r="C162" s="1">
        <v>235.43299999999999</v>
      </c>
    </row>
    <row r="163" spans="1:3" x14ac:dyDescent="0.2">
      <c r="A163" s="2">
        <v>44432</v>
      </c>
      <c r="B163" s="1" t="s">
        <v>8</v>
      </c>
      <c r="C163" s="1">
        <v>236.16300000000001</v>
      </c>
    </row>
    <row r="164" spans="1:3" x14ac:dyDescent="0.2">
      <c r="A164" s="2">
        <v>44433</v>
      </c>
      <c r="B164" s="1" t="s">
        <v>8</v>
      </c>
      <c r="C164" s="1">
        <v>237.06700000000001</v>
      </c>
    </row>
    <row r="165" spans="1:3" x14ac:dyDescent="0.2">
      <c r="A165" s="2">
        <v>44434</v>
      </c>
      <c r="B165" s="1" t="s">
        <v>8</v>
      </c>
      <c r="C165" s="1">
        <v>233.72</v>
      </c>
    </row>
    <row r="166" spans="1:3" x14ac:dyDescent="0.2">
      <c r="A166" s="2">
        <v>44435</v>
      </c>
      <c r="B166" s="1" t="s">
        <v>8</v>
      </c>
      <c r="C166" s="1">
        <v>237.30699999999999</v>
      </c>
    </row>
    <row r="167" spans="1:3" x14ac:dyDescent="0.2">
      <c r="A167" s="2">
        <v>44438</v>
      </c>
      <c r="B167" s="1" t="s">
        <v>8</v>
      </c>
      <c r="C167" s="1">
        <v>243.637</v>
      </c>
    </row>
    <row r="168" spans="1:3" x14ac:dyDescent="0.2">
      <c r="A168" s="2">
        <v>44439</v>
      </c>
      <c r="B168" s="1" t="s">
        <v>8</v>
      </c>
      <c r="C168" s="1">
        <v>245.24</v>
      </c>
    </row>
    <row r="169" spans="1:3" x14ac:dyDescent="0.2">
      <c r="A169" s="2">
        <v>44440</v>
      </c>
      <c r="B169" s="1" t="s">
        <v>8</v>
      </c>
      <c r="C169" s="1">
        <v>244.697</v>
      </c>
    </row>
    <row r="170" spans="1:3" x14ac:dyDescent="0.2">
      <c r="A170" s="2">
        <v>44441</v>
      </c>
      <c r="B170" s="1" t="s">
        <v>8</v>
      </c>
      <c r="C170" s="1">
        <v>244.13</v>
      </c>
    </row>
    <row r="171" spans="1:3" x14ac:dyDescent="0.2">
      <c r="A171" s="2">
        <v>44442</v>
      </c>
      <c r="B171" s="1" t="s">
        <v>8</v>
      </c>
      <c r="C171" s="1">
        <v>244.523</v>
      </c>
    </row>
    <row r="172" spans="1:3" x14ac:dyDescent="0.2">
      <c r="A172" s="2">
        <v>44446</v>
      </c>
      <c r="B172" s="1" t="s">
        <v>8</v>
      </c>
      <c r="C172" s="1">
        <v>250.97300000000001</v>
      </c>
    </row>
    <row r="173" spans="1:3" x14ac:dyDescent="0.2">
      <c r="A173" s="2">
        <v>44447</v>
      </c>
      <c r="B173" s="1" t="s">
        <v>8</v>
      </c>
      <c r="C173" s="1">
        <v>251.29</v>
      </c>
    </row>
    <row r="174" spans="1:3" x14ac:dyDescent="0.2">
      <c r="A174" s="2">
        <v>44448</v>
      </c>
      <c r="B174" s="1" t="s">
        <v>8</v>
      </c>
      <c r="C174" s="1">
        <v>251.62</v>
      </c>
    </row>
    <row r="175" spans="1:3" x14ac:dyDescent="0.2">
      <c r="A175" s="2">
        <v>44449</v>
      </c>
      <c r="B175" s="1" t="s">
        <v>8</v>
      </c>
      <c r="C175" s="1">
        <v>245.423</v>
      </c>
    </row>
    <row r="176" spans="1:3" x14ac:dyDescent="0.2">
      <c r="A176" s="2">
        <v>44452</v>
      </c>
      <c r="B176" s="1" t="s">
        <v>8</v>
      </c>
      <c r="C176" s="1">
        <v>247.667</v>
      </c>
    </row>
    <row r="177" spans="1:3" x14ac:dyDescent="0.2">
      <c r="A177" s="2">
        <v>44453</v>
      </c>
      <c r="B177" s="1" t="s">
        <v>8</v>
      </c>
      <c r="C177" s="1">
        <v>248.16300000000001</v>
      </c>
    </row>
    <row r="178" spans="1:3" x14ac:dyDescent="0.2">
      <c r="A178" s="2">
        <v>44454</v>
      </c>
      <c r="B178" s="1" t="s">
        <v>8</v>
      </c>
      <c r="C178" s="1">
        <v>251.94300000000001</v>
      </c>
    </row>
    <row r="179" spans="1:3" x14ac:dyDescent="0.2">
      <c r="A179" s="2">
        <v>44455</v>
      </c>
      <c r="B179" s="1" t="s">
        <v>8</v>
      </c>
      <c r="C179" s="1">
        <v>252.33</v>
      </c>
    </row>
    <row r="180" spans="1:3" x14ac:dyDescent="0.2">
      <c r="A180" s="2">
        <v>44456</v>
      </c>
      <c r="B180" s="1" t="s">
        <v>8</v>
      </c>
      <c r="C180" s="1">
        <v>253.16300000000001</v>
      </c>
    </row>
    <row r="181" spans="1:3" x14ac:dyDescent="0.2">
      <c r="A181" s="2">
        <v>44459</v>
      </c>
      <c r="B181" s="1" t="s">
        <v>8</v>
      </c>
      <c r="C181" s="1">
        <v>243.39</v>
      </c>
    </row>
    <row r="182" spans="1:3" x14ac:dyDescent="0.2">
      <c r="A182" s="2">
        <v>44460</v>
      </c>
      <c r="B182" s="1" t="s">
        <v>8</v>
      </c>
      <c r="C182" s="1">
        <v>246.46</v>
      </c>
    </row>
    <row r="183" spans="1:3" x14ac:dyDescent="0.2">
      <c r="A183" s="2">
        <v>44461</v>
      </c>
      <c r="B183" s="1" t="s">
        <v>8</v>
      </c>
      <c r="C183" s="1">
        <v>250.64699999999999</v>
      </c>
    </row>
    <row r="184" spans="1:3" x14ac:dyDescent="0.2">
      <c r="A184" s="2">
        <v>44462</v>
      </c>
      <c r="B184" s="1" t="s">
        <v>8</v>
      </c>
      <c r="C184" s="1">
        <v>251.21299999999999</v>
      </c>
    </row>
    <row r="185" spans="1:3" x14ac:dyDescent="0.2">
      <c r="A185" s="2">
        <v>44463</v>
      </c>
      <c r="B185" s="1" t="s">
        <v>8</v>
      </c>
      <c r="C185" s="1">
        <v>258.13</v>
      </c>
    </row>
    <row r="186" spans="1:3" x14ac:dyDescent="0.2">
      <c r="A186" s="2">
        <v>44466</v>
      </c>
      <c r="B186" s="1" t="s">
        <v>8</v>
      </c>
      <c r="C186" s="1">
        <v>263.78699999999998</v>
      </c>
    </row>
    <row r="187" spans="1:3" x14ac:dyDescent="0.2">
      <c r="A187" s="2">
        <v>44467</v>
      </c>
      <c r="B187" s="1" t="s">
        <v>8</v>
      </c>
      <c r="C187" s="1">
        <v>259.18700000000001</v>
      </c>
    </row>
    <row r="188" spans="1:3" x14ac:dyDescent="0.2">
      <c r="A188" s="2">
        <v>44468</v>
      </c>
      <c r="B188" s="1" t="s">
        <v>8</v>
      </c>
      <c r="C188" s="1">
        <v>260.43700000000001</v>
      </c>
    </row>
    <row r="189" spans="1:3" x14ac:dyDescent="0.2">
      <c r="A189" s="2">
        <v>44469</v>
      </c>
      <c r="B189" s="1" t="s">
        <v>8</v>
      </c>
      <c r="C189" s="1">
        <v>258.49299999999999</v>
      </c>
    </row>
    <row r="190" spans="1:3" x14ac:dyDescent="0.2">
      <c r="A190" s="2">
        <v>44470</v>
      </c>
      <c r="B190" s="1" t="s">
        <v>8</v>
      </c>
      <c r="C190" s="1">
        <v>258.40699999999998</v>
      </c>
    </row>
    <row r="191" spans="1:3" x14ac:dyDescent="0.2">
      <c r="A191" s="2">
        <v>44473</v>
      </c>
      <c r="B191" s="1" t="s">
        <v>8</v>
      </c>
      <c r="C191" s="1">
        <v>260.51</v>
      </c>
    </row>
    <row r="192" spans="1:3" x14ac:dyDescent="0.2">
      <c r="A192" s="2">
        <v>44474</v>
      </c>
      <c r="B192" s="1" t="s">
        <v>8</v>
      </c>
      <c r="C192" s="1">
        <v>260.197</v>
      </c>
    </row>
    <row r="193" spans="1:3" x14ac:dyDescent="0.2">
      <c r="A193" s="2">
        <v>44475</v>
      </c>
      <c r="B193" s="1" t="s">
        <v>8</v>
      </c>
      <c r="C193" s="1">
        <v>260.91699999999997</v>
      </c>
    </row>
    <row r="194" spans="1:3" x14ac:dyDescent="0.2">
      <c r="A194" s="2">
        <v>44476</v>
      </c>
      <c r="B194" s="1" t="s">
        <v>8</v>
      </c>
      <c r="C194" s="1">
        <v>264.53699999999998</v>
      </c>
    </row>
    <row r="195" spans="1:3" x14ac:dyDescent="0.2">
      <c r="A195" s="2">
        <v>44477</v>
      </c>
      <c r="B195" s="1" t="s">
        <v>8</v>
      </c>
      <c r="C195" s="1">
        <v>261.83</v>
      </c>
    </row>
    <row r="196" spans="1:3" x14ac:dyDescent="0.2">
      <c r="A196" s="2">
        <v>44480</v>
      </c>
      <c r="B196" s="1" t="s">
        <v>8</v>
      </c>
      <c r="C196" s="1">
        <v>263.98</v>
      </c>
    </row>
    <row r="197" spans="1:3" x14ac:dyDescent="0.2">
      <c r="A197" s="2">
        <v>44481</v>
      </c>
      <c r="B197" s="1" t="s">
        <v>8</v>
      </c>
      <c r="C197" s="1">
        <v>268.57299999999998</v>
      </c>
    </row>
    <row r="198" spans="1:3" x14ac:dyDescent="0.2">
      <c r="A198" s="2">
        <v>44482</v>
      </c>
      <c r="B198" s="1" t="s">
        <v>8</v>
      </c>
      <c r="C198" s="1">
        <v>270.36</v>
      </c>
    </row>
    <row r="199" spans="1:3" x14ac:dyDescent="0.2">
      <c r="A199" s="2">
        <v>44483</v>
      </c>
      <c r="B199" s="1" t="s">
        <v>8</v>
      </c>
      <c r="C199" s="1">
        <v>272.77300000000002</v>
      </c>
    </row>
    <row r="200" spans="1:3" x14ac:dyDescent="0.2">
      <c r="A200" s="2">
        <v>44484</v>
      </c>
      <c r="B200" s="1" t="s">
        <v>8</v>
      </c>
      <c r="C200" s="1">
        <v>281.01</v>
      </c>
    </row>
    <row r="201" spans="1:3" x14ac:dyDescent="0.2">
      <c r="A201" s="2">
        <v>44487</v>
      </c>
      <c r="B201" s="1" t="s">
        <v>8</v>
      </c>
      <c r="C201" s="1">
        <v>290.03699999999998</v>
      </c>
    </row>
    <row r="202" spans="1:3" x14ac:dyDescent="0.2">
      <c r="A202" s="2">
        <v>44488</v>
      </c>
      <c r="B202" s="1" t="s">
        <v>8</v>
      </c>
      <c r="C202" s="1">
        <v>288.08999999999997</v>
      </c>
    </row>
    <row r="203" spans="1:3" x14ac:dyDescent="0.2">
      <c r="A203" s="2">
        <v>44489</v>
      </c>
      <c r="B203" s="1" t="s">
        <v>8</v>
      </c>
      <c r="C203" s="1">
        <v>288.60000000000002</v>
      </c>
    </row>
    <row r="204" spans="1:3" x14ac:dyDescent="0.2">
      <c r="A204" s="2">
        <v>44490</v>
      </c>
      <c r="B204" s="1" t="s">
        <v>8</v>
      </c>
      <c r="C204" s="1">
        <v>298</v>
      </c>
    </row>
    <row r="205" spans="1:3" x14ac:dyDescent="0.2">
      <c r="A205" s="2">
        <v>44491</v>
      </c>
      <c r="B205" s="1" t="s">
        <v>8</v>
      </c>
      <c r="C205" s="1">
        <v>303.22699999999998</v>
      </c>
    </row>
    <row r="206" spans="1:3" x14ac:dyDescent="0.2">
      <c r="A206" s="2">
        <v>44494</v>
      </c>
      <c r="B206" s="1" t="s">
        <v>8</v>
      </c>
      <c r="C206" s="1">
        <v>341.62</v>
      </c>
    </row>
    <row r="207" spans="1:3" x14ac:dyDescent="0.2">
      <c r="A207" s="2">
        <v>44495</v>
      </c>
      <c r="B207" s="1" t="s">
        <v>8</v>
      </c>
      <c r="C207" s="1">
        <v>339.47699999999998</v>
      </c>
    </row>
    <row r="208" spans="1:3" x14ac:dyDescent="0.2">
      <c r="A208" s="2">
        <v>44496</v>
      </c>
      <c r="B208" s="1" t="s">
        <v>8</v>
      </c>
      <c r="C208" s="1">
        <v>345.95299999999997</v>
      </c>
    </row>
    <row r="209" spans="1:3" x14ac:dyDescent="0.2">
      <c r="A209" s="2">
        <v>44497</v>
      </c>
      <c r="B209" s="1" t="s">
        <v>8</v>
      </c>
      <c r="C209" s="1">
        <v>359.01299999999998</v>
      </c>
    </row>
    <row r="210" spans="1:3" x14ac:dyDescent="0.2">
      <c r="A210" s="2">
        <v>44498</v>
      </c>
      <c r="B210" s="1" t="s">
        <v>8</v>
      </c>
      <c r="C210" s="1">
        <v>371.33300000000003</v>
      </c>
    </row>
    <row r="211" spans="1:3" x14ac:dyDescent="0.2">
      <c r="A211" s="2">
        <v>44501</v>
      </c>
      <c r="B211" s="1" t="s">
        <v>8</v>
      </c>
      <c r="C211" s="1">
        <v>402.863</v>
      </c>
    </row>
    <row r="212" spans="1:3" x14ac:dyDescent="0.2">
      <c r="A212" s="2">
        <v>44502</v>
      </c>
      <c r="B212" s="1" t="s">
        <v>8</v>
      </c>
      <c r="C212" s="1">
        <v>390.66699999999997</v>
      </c>
    </row>
    <row r="213" spans="1:3" x14ac:dyDescent="0.2">
      <c r="A213" s="2">
        <v>44503</v>
      </c>
      <c r="B213" s="1" t="s">
        <v>8</v>
      </c>
      <c r="C213" s="1">
        <v>404.62</v>
      </c>
    </row>
    <row r="214" spans="1:3" x14ac:dyDescent="0.2">
      <c r="A214" s="2">
        <v>44504</v>
      </c>
      <c r="B214" s="1" t="s">
        <v>8</v>
      </c>
      <c r="C214" s="1">
        <v>409.97</v>
      </c>
    </row>
    <row r="215" spans="1:3" x14ac:dyDescent="0.2">
      <c r="A215" s="2">
        <v>44505</v>
      </c>
      <c r="B215" s="1" t="s">
        <v>8</v>
      </c>
      <c r="C215" s="1">
        <v>407.363</v>
      </c>
    </row>
    <row r="216" spans="1:3" x14ac:dyDescent="0.2">
      <c r="A216" s="2">
        <v>44508</v>
      </c>
      <c r="B216" s="1" t="s">
        <v>8</v>
      </c>
      <c r="C216" s="1">
        <v>387.64699999999999</v>
      </c>
    </row>
    <row r="217" spans="1:3" x14ac:dyDescent="0.2">
      <c r="A217" s="2">
        <v>44509</v>
      </c>
      <c r="B217" s="1" t="s">
        <v>8</v>
      </c>
      <c r="C217" s="1">
        <v>341.16699999999997</v>
      </c>
    </row>
    <row r="218" spans="1:3" x14ac:dyDescent="0.2">
      <c r="A218" s="2">
        <v>44510</v>
      </c>
      <c r="B218" s="1" t="s">
        <v>8</v>
      </c>
      <c r="C218" s="1">
        <v>355.983</v>
      </c>
    </row>
    <row r="219" spans="1:3" x14ac:dyDescent="0.2">
      <c r="A219" s="2">
        <v>44511</v>
      </c>
      <c r="B219" s="1" t="s">
        <v>8</v>
      </c>
      <c r="C219" s="1">
        <v>354.50299999999999</v>
      </c>
    </row>
    <row r="220" spans="1:3" x14ac:dyDescent="0.2">
      <c r="A220" s="2">
        <v>44512</v>
      </c>
      <c r="B220" s="1" t="s">
        <v>8</v>
      </c>
      <c r="C220" s="1">
        <v>344.47300000000001</v>
      </c>
    </row>
    <row r="221" spans="1:3" x14ac:dyDescent="0.2">
      <c r="A221" s="2">
        <v>44515</v>
      </c>
      <c r="B221" s="1" t="s">
        <v>8</v>
      </c>
      <c r="C221" s="1">
        <v>337.79700000000003</v>
      </c>
    </row>
    <row r="222" spans="1:3" x14ac:dyDescent="0.2">
      <c r="A222" s="2">
        <v>44516</v>
      </c>
      <c r="B222" s="1" t="s">
        <v>8</v>
      </c>
      <c r="C222" s="1">
        <v>351.577</v>
      </c>
    </row>
    <row r="223" spans="1:3" x14ac:dyDescent="0.2">
      <c r="A223" s="2">
        <v>44517</v>
      </c>
      <c r="B223" s="1" t="s">
        <v>8</v>
      </c>
      <c r="C223" s="1">
        <v>363.00299999999999</v>
      </c>
    </row>
    <row r="224" spans="1:3" x14ac:dyDescent="0.2">
      <c r="A224" s="2">
        <v>44518</v>
      </c>
      <c r="B224" s="1" t="s">
        <v>8</v>
      </c>
      <c r="C224" s="1">
        <v>365.46</v>
      </c>
    </row>
    <row r="225" spans="1:3" x14ac:dyDescent="0.2">
      <c r="A225" s="2">
        <v>44519</v>
      </c>
      <c r="B225" s="1" t="s">
        <v>8</v>
      </c>
      <c r="C225" s="1">
        <v>379.02</v>
      </c>
    </row>
    <row r="226" spans="1:3" x14ac:dyDescent="0.2">
      <c r="A226" s="2">
        <v>44522</v>
      </c>
      <c r="B226" s="1" t="s">
        <v>8</v>
      </c>
      <c r="C226" s="1">
        <v>385.62299999999999</v>
      </c>
    </row>
    <row r="227" spans="1:3" x14ac:dyDescent="0.2">
      <c r="A227" s="2">
        <v>44523</v>
      </c>
      <c r="B227" s="1" t="s">
        <v>8</v>
      </c>
      <c r="C227" s="1">
        <v>369.67700000000002</v>
      </c>
    </row>
    <row r="228" spans="1:3" x14ac:dyDescent="0.2">
      <c r="A228" s="2">
        <v>44524</v>
      </c>
      <c r="B228" s="1" t="s">
        <v>8</v>
      </c>
      <c r="C228" s="1">
        <v>372</v>
      </c>
    </row>
    <row r="229" spans="1:3" x14ac:dyDescent="0.2">
      <c r="A229" s="2">
        <v>44526</v>
      </c>
      <c r="B229" s="1" t="s">
        <v>8</v>
      </c>
      <c r="C229" s="1">
        <v>360.64</v>
      </c>
    </row>
    <row r="230" spans="1:3" x14ac:dyDescent="0.2">
      <c r="A230" s="2">
        <v>44529</v>
      </c>
      <c r="B230" s="1" t="s">
        <v>8</v>
      </c>
      <c r="C230" s="1">
        <v>378.99700000000001</v>
      </c>
    </row>
    <row r="231" spans="1:3" x14ac:dyDescent="0.2">
      <c r="A231" s="2">
        <v>44530</v>
      </c>
      <c r="B231" s="1" t="s">
        <v>8</v>
      </c>
      <c r="C231" s="1">
        <v>381.58699999999999</v>
      </c>
    </row>
    <row r="232" spans="1:3" x14ac:dyDescent="0.2">
      <c r="A232" s="2">
        <v>44531</v>
      </c>
      <c r="B232" s="1" t="s">
        <v>8</v>
      </c>
      <c r="C232" s="1">
        <v>365</v>
      </c>
    </row>
    <row r="233" spans="1:3" x14ac:dyDescent="0.2">
      <c r="A233" s="2">
        <v>44532</v>
      </c>
      <c r="B233" s="1" t="s">
        <v>8</v>
      </c>
      <c r="C233" s="1">
        <v>361.53300000000002</v>
      </c>
    </row>
    <row r="234" spans="1:3" x14ac:dyDescent="0.2">
      <c r="A234" s="2">
        <v>44533</v>
      </c>
      <c r="B234" s="1" t="s">
        <v>8</v>
      </c>
      <c r="C234" s="1">
        <v>338.32299999999998</v>
      </c>
    </row>
    <row r="235" spans="1:3" x14ac:dyDescent="0.2">
      <c r="A235" s="2">
        <v>44536</v>
      </c>
      <c r="B235" s="1" t="s">
        <v>8</v>
      </c>
      <c r="C235" s="1">
        <v>336.33699999999999</v>
      </c>
    </row>
    <row r="236" spans="1:3" x14ac:dyDescent="0.2">
      <c r="A236" s="2">
        <v>44537</v>
      </c>
      <c r="B236" s="1" t="s">
        <v>8</v>
      </c>
      <c r="C236" s="1">
        <v>350.58300000000003</v>
      </c>
    </row>
    <row r="237" spans="1:3" x14ac:dyDescent="0.2">
      <c r="A237" s="2">
        <v>44538</v>
      </c>
      <c r="B237" s="1" t="s">
        <v>8</v>
      </c>
      <c r="C237" s="1">
        <v>356.32</v>
      </c>
    </row>
    <row r="238" spans="1:3" x14ac:dyDescent="0.2">
      <c r="A238" s="2">
        <v>44539</v>
      </c>
      <c r="B238" s="1" t="s">
        <v>8</v>
      </c>
      <c r="C238" s="1">
        <v>334.6</v>
      </c>
    </row>
    <row r="239" spans="1:3" x14ac:dyDescent="0.2">
      <c r="A239" s="2">
        <v>44540</v>
      </c>
      <c r="B239" s="1" t="s">
        <v>8</v>
      </c>
      <c r="C239" s="1">
        <v>339.01</v>
      </c>
    </row>
    <row r="240" spans="1:3" x14ac:dyDescent="0.2">
      <c r="A240" s="2">
        <v>44543</v>
      </c>
      <c r="B240" s="1" t="s">
        <v>8</v>
      </c>
      <c r="C240" s="1">
        <v>322.137</v>
      </c>
    </row>
    <row r="241" spans="1:3" x14ac:dyDescent="0.2">
      <c r="A241" s="2">
        <v>44544</v>
      </c>
      <c r="B241" s="1" t="s">
        <v>8</v>
      </c>
      <c r="C241" s="1">
        <v>319.50299999999999</v>
      </c>
    </row>
    <row r="242" spans="1:3" x14ac:dyDescent="0.2">
      <c r="A242" s="2">
        <v>44545</v>
      </c>
      <c r="B242" s="1" t="s">
        <v>8</v>
      </c>
      <c r="C242" s="1">
        <v>325.33</v>
      </c>
    </row>
    <row r="243" spans="1:3" x14ac:dyDescent="0.2">
      <c r="A243" s="2">
        <v>44546</v>
      </c>
      <c r="B243" s="1" t="s">
        <v>8</v>
      </c>
      <c r="C243" s="1">
        <v>308.97300000000001</v>
      </c>
    </row>
    <row r="244" spans="1:3" x14ac:dyDescent="0.2">
      <c r="A244" s="2">
        <v>44547</v>
      </c>
      <c r="B244" s="1" t="s">
        <v>8</v>
      </c>
      <c r="C244" s="1">
        <v>310.85700000000003</v>
      </c>
    </row>
    <row r="245" spans="1:3" x14ac:dyDescent="0.2">
      <c r="A245" s="2">
        <v>44550</v>
      </c>
      <c r="B245" s="1" t="s">
        <v>8</v>
      </c>
      <c r="C245" s="1">
        <v>299.98</v>
      </c>
    </row>
    <row r="246" spans="1:3" x14ac:dyDescent="0.2">
      <c r="A246" s="2">
        <v>44551</v>
      </c>
      <c r="B246" s="1" t="s">
        <v>8</v>
      </c>
      <c r="C246" s="1">
        <v>312.84300000000002</v>
      </c>
    </row>
    <row r="247" spans="1:3" x14ac:dyDescent="0.2">
      <c r="A247" s="2">
        <v>44552</v>
      </c>
      <c r="B247" s="1" t="s">
        <v>8</v>
      </c>
      <c r="C247" s="1">
        <v>336.29</v>
      </c>
    </row>
    <row r="248" spans="1:3" x14ac:dyDescent="0.2">
      <c r="A248" s="2">
        <v>44553</v>
      </c>
      <c r="B248" s="1" t="s">
        <v>8</v>
      </c>
      <c r="C248" s="1">
        <v>355.66699999999997</v>
      </c>
    </row>
    <row r="249" spans="1:3" x14ac:dyDescent="0.2">
      <c r="A249" s="2">
        <v>44557</v>
      </c>
      <c r="B249" s="1" t="s">
        <v>8</v>
      </c>
      <c r="C249" s="1">
        <v>364.64699999999999</v>
      </c>
    </row>
    <row r="250" spans="1:3" x14ac:dyDescent="0.2">
      <c r="A250" s="2">
        <v>44558</v>
      </c>
      <c r="B250" s="1" t="s">
        <v>8</v>
      </c>
      <c r="C250" s="1">
        <v>362.82299999999998</v>
      </c>
    </row>
    <row r="251" spans="1:3" x14ac:dyDescent="0.2">
      <c r="A251" s="2">
        <v>44559</v>
      </c>
      <c r="B251" s="1" t="s">
        <v>8</v>
      </c>
      <c r="C251" s="1">
        <v>362.06299999999999</v>
      </c>
    </row>
    <row r="252" spans="1:3" x14ac:dyDescent="0.2">
      <c r="A252" s="2">
        <v>44560</v>
      </c>
      <c r="B252" s="1" t="s">
        <v>8</v>
      </c>
      <c r="C252" s="1">
        <v>356.78</v>
      </c>
    </row>
    <row r="253" spans="1:3" x14ac:dyDescent="0.2">
      <c r="A253" s="2">
        <v>44561</v>
      </c>
      <c r="B253" s="1" t="s">
        <v>8</v>
      </c>
      <c r="C253" s="1">
        <v>352.26</v>
      </c>
    </row>
    <row r="254" spans="1:3" x14ac:dyDescent="0.2">
      <c r="A254" s="2">
        <v>44564</v>
      </c>
      <c r="B254" s="1" t="s">
        <v>8</v>
      </c>
      <c r="C254" s="1">
        <v>399.92700000000002</v>
      </c>
    </row>
    <row r="255" spans="1:3" x14ac:dyDescent="0.2">
      <c r="A255" s="2">
        <v>44565</v>
      </c>
      <c r="B255" s="1" t="s">
        <v>8</v>
      </c>
      <c r="C255" s="1">
        <v>383.197</v>
      </c>
    </row>
    <row r="256" spans="1:3" x14ac:dyDescent="0.2">
      <c r="A256" s="2">
        <v>44566</v>
      </c>
      <c r="B256" s="1" t="s">
        <v>8</v>
      </c>
      <c r="C256" s="1">
        <v>362.70699999999999</v>
      </c>
    </row>
    <row r="257" spans="1:3" x14ac:dyDescent="0.2">
      <c r="A257" s="2">
        <v>44567</v>
      </c>
      <c r="B257" s="1" t="s">
        <v>8</v>
      </c>
      <c r="C257" s="1">
        <v>354.9</v>
      </c>
    </row>
    <row r="258" spans="1:3" x14ac:dyDescent="0.2">
      <c r="A258" s="2">
        <v>44568</v>
      </c>
      <c r="B258" s="1" t="s">
        <v>8</v>
      </c>
      <c r="C258" s="1">
        <v>342.32</v>
      </c>
    </row>
    <row r="259" spans="1:3" x14ac:dyDescent="0.2">
      <c r="A259" s="2">
        <v>44571</v>
      </c>
      <c r="B259" s="1" t="s">
        <v>8</v>
      </c>
      <c r="C259" s="1">
        <v>352.70699999999999</v>
      </c>
    </row>
    <row r="260" spans="1:3" x14ac:dyDescent="0.2">
      <c r="A260" s="2">
        <v>44572</v>
      </c>
      <c r="B260" s="1" t="s">
        <v>8</v>
      </c>
      <c r="C260" s="1">
        <v>354.8</v>
      </c>
    </row>
    <row r="261" spans="1:3" x14ac:dyDescent="0.2">
      <c r="A261" s="2">
        <v>44573</v>
      </c>
      <c r="B261" s="1" t="s">
        <v>8</v>
      </c>
      <c r="C261" s="1">
        <v>368.74</v>
      </c>
    </row>
    <row r="262" spans="1:3" x14ac:dyDescent="0.2">
      <c r="A262" s="2">
        <v>44574</v>
      </c>
      <c r="B262" s="1" t="s">
        <v>8</v>
      </c>
      <c r="C262" s="1">
        <v>343.85300000000001</v>
      </c>
    </row>
    <row r="263" spans="1:3" x14ac:dyDescent="0.2">
      <c r="A263" s="2">
        <v>44575</v>
      </c>
      <c r="B263" s="1" t="s">
        <v>8</v>
      </c>
      <c r="C263" s="1">
        <v>349.87</v>
      </c>
    </row>
    <row r="264" spans="1:3" x14ac:dyDescent="0.2">
      <c r="A264" s="2">
        <v>44579</v>
      </c>
      <c r="B264" s="1" t="s">
        <v>8</v>
      </c>
      <c r="C264" s="1">
        <v>343.50299999999999</v>
      </c>
    </row>
    <row r="265" spans="1:3" x14ac:dyDescent="0.2">
      <c r="A265" s="2">
        <v>44580</v>
      </c>
      <c r="B265" s="1" t="s">
        <v>8</v>
      </c>
      <c r="C265" s="1">
        <v>331.88299999999998</v>
      </c>
    </row>
    <row r="266" spans="1:3" x14ac:dyDescent="0.2">
      <c r="A266" s="2">
        <v>44581</v>
      </c>
      <c r="B266" s="1" t="s">
        <v>8</v>
      </c>
      <c r="C266" s="1">
        <v>332.09</v>
      </c>
    </row>
    <row r="267" spans="1:3" x14ac:dyDescent="0.2">
      <c r="A267" s="2">
        <v>44582</v>
      </c>
      <c r="B267" s="1" t="s">
        <v>8</v>
      </c>
      <c r="C267" s="1">
        <v>314.63299999999998</v>
      </c>
    </row>
    <row r="268" spans="1:3" x14ac:dyDescent="0.2">
      <c r="A268" s="2">
        <v>44585</v>
      </c>
      <c r="B268" s="1" t="s">
        <v>8</v>
      </c>
      <c r="C268" s="1">
        <v>310</v>
      </c>
    </row>
    <row r="269" spans="1:3" x14ac:dyDescent="0.2">
      <c r="A269" s="2">
        <v>44586</v>
      </c>
      <c r="B269" s="1" t="s">
        <v>8</v>
      </c>
      <c r="C269" s="1">
        <v>306.13299999999998</v>
      </c>
    </row>
    <row r="270" spans="1:3" x14ac:dyDescent="0.2">
      <c r="A270" s="2">
        <v>44587</v>
      </c>
      <c r="B270" s="1" t="s">
        <v>8</v>
      </c>
      <c r="C270" s="1">
        <v>312.47000000000003</v>
      </c>
    </row>
    <row r="271" spans="1:3" x14ac:dyDescent="0.2">
      <c r="A271" s="2">
        <v>44588</v>
      </c>
      <c r="B271" s="1" t="s">
        <v>8</v>
      </c>
      <c r="C271" s="1">
        <v>276.36700000000002</v>
      </c>
    </row>
    <row r="272" spans="1:3" x14ac:dyDescent="0.2">
      <c r="A272" s="2">
        <v>44589</v>
      </c>
      <c r="B272" s="1" t="s">
        <v>8</v>
      </c>
      <c r="C272" s="1">
        <v>282.11700000000002</v>
      </c>
    </row>
    <row r="273" spans="1:3" x14ac:dyDescent="0.2">
      <c r="A273" s="2">
        <v>44592</v>
      </c>
      <c r="B273" s="1" t="s">
        <v>8</v>
      </c>
      <c r="C273" s="1">
        <v>312.24</v>
      </c>
    </row>
    <row r="274" spans="1:3" x14ac:dyDescent="0.2">
      <c r="A274" s="2">
        <v>44593</v>
      </c>
      <c r="B274" s="1" t="s">
        <v>8</v>
      </c>
      <c r="C274" s="1">
        <v>310.41699999999997</v>
      </c>
    </row>
    <row r="275" spans="1:3" x14ac:dyDescent="0.2">
      <c r="A275" s="2">
        <v>44594</v>
      </c>
      <c r="B275" s="1" t="s">
        <v>8</v>
      </c>
      <c r="C275" s="1">
        <v>301.887</v>
      </c>
    </row>
    <row r="276" spans="1:3" x14ac:dyDescent="0.2">
      <c r="A276" s="2">
        <v>44595</v>
      </c>
      <c r="B276" s="1" t="s">
        <v>8</v>
      </c>
      <c r="C276" s="1">
        <v>297.04700000000003</v>
      </c>
    </row>
    <row r="277" spans="1:3" x14ac:dyDescent="0.2">
      <c r="A277" s="2">
        <v>44596</v>
      </c>
      <c r="B277" s="1" t="s">
        <v>8</v>
      </c>
      <c r="C277" s="1">
        <v>307.77300000000002</v>
      </c>
    </row>
    <row r="278" spans="1:3" x14ac:dyDescent="0.2">
      <c r="A278" s="2">
        <v>44599</v>
      </c>
      <c r="B278" s="1" t="s">
        <v>8</v>
      </c>
      <c r="C278" s="1">
        <v>302.447</v>
      </c>
    </row>
    <row r="279" spans="1:3" x14ac:dyDescent="0.2">
      <c r="A279" s="2">
        <v>44600</v>
      </c>
      <c r="B279" s="1" t="s">
        <v>8</v>
      </c>
      <c r="C279" s="1">
        <v>307.33300000000003</v>
      </c>
    </row>
    <row r="280" spans="1:3" x14ac:dyDescent="0.2">
      <c r="A280" s="2">
        <v>44601</v>
      </c>
      <c r="B280" s="1" t="s">
        <v>8</v>
      </c>
      <c r="C280" s="1">
        <v>310.66699999999997</v>
      </c>
    </row>
    <row r="281" spans="1:3" x14ac:dyDescent="0.2">
      <c r="A281" s="2">
        <v>44602</v>
      </c>
      <c r="B281" s="1" t="s">
        <v>8</v>
      </c>
      <c r="C281" s="1">
        <v>301.517</v>
      </c>
    </row>
    <row r="282" spans="1:3" x14ac:dyDescent="0.2">
      <c r="A282" s="2">
        <v>44603</v>
      </c>
      <c r="B282" s="1" t="s">
        <v>8</v>
      </c>
      <c r="C282" s="1">
        <v>286.66699999999997</v>
      </c>
    </row>
    <row r="283" spans="1:3" x14ac:dyDescent="0.2">
      <c r="A283" s="2">
        <v>44606</v>
      </c>
      <c r="B283" s="1" t="s">
        <v>8</v>
      </c>
      <c r="C283" s="1">
        <v>291.92</v>
      </c>
    </row>
    <row r="284" spans="1:3" x14ac:dyDescent="0.2">
      <c r="A284" s="2">
        <v>44607</v>
      </c>
      <c r="B284" s="1" t="s">
        <v>8</v>
      </c>
      <c r="C284" s="1">
        <v>307.47699999999998</v>
      </c>
    </row>
    <row r="285" spans="1:3" x14ac:dyDescent="0.2">
      <c r="A285" s="2">
        <v>44608</v>
      </c>
      <c r="B285" s="1" t="s">
        <v>8</v>
      </c>
      <c r="C285" s="1">
        <v>307.79700000000003</v>
      </c>
    </row>
    <row r="286" spans="1:3" x14ac:dyDescent="0.2">
      <c r="A286" s="2">
        <v>44609</v>
      </c>
      <c r="B286" s="1" t="s">
        <v>8</v>
      </c>
      <c r="C286" s="1">
        <v>292.11700000000002</v>
      </c>
    </row>
    <row r="287" spans="1:3" x14ac:dyDescent="0.2">
      <c r="A287" s="2">
        <v>44610</v>
      </c>
      <c r="B287" s="1" t="s">
        <v>8</v>
      </c>
      <c r="C287" s="1">
        <v>285.66000000000003</v>
      </c>
    </row>
    <row r="288" spans="1:3" x14ac:dyDescent="0.2">
      <c r="A288" s="2">
        <v>44614</v>
      </c>
      <c r="B288" s="1" t="s">
        <v>8</v>
      </c>
      <c r="C288" s="1">
        <v>273.84300000000002</v>
      </c>
    </row>
    <row r="289" spans="1:3" x14ac:dyDescent="0.2">
      <c r="A289" s="2">
        <v>44615</v>
      </c>
      <c r="B289" s="1" t="s">
        <v>8</v>
      </c>
      <c r="C289" s="1">
        <v>254.68</v>
      </c>
    </row>
    <row r="290" spans="1:3" x14ac:dyDescent="0.2">
      <c r="A290" s="2">
        <v>44616</v>
      </c>
      <c r="B290" s="1" t="s">
        <v>8</v>
      </c>
      <c r="C290" s="1">
        <v>266.923</v>
      </c>
    </row>
    <row r="291" spans="1:3" x14ac:dyDescent="0.2">
      <c r="A291" s="2">
        <v>44617</v>
      </c>
      <c r="B291" s="1" t="s">
        <v>8</v>
      </c>
      <c r="C291" s="1">
        <v>269.95699999999999</v>
      </c>
    </row>
    <row r="292" spans="1:3" x14ac:dyDescent="0.2">
      <c r="A292" s="2">
        <v>44620</v>
      </c>
      <c r="B292" s="1" t="s">
        <v>8</v>
      </c>
      <c r="C292" s="1">
        <v>290.14299999999997</v>
      </c>
    </row>
    <row r="293" spans="1:3" x14ac:dyDescent="0.2">
      <c r="A293" s="2">
        <v>44621</v>
      </c>
      <c r="B293" s="1" t="s">
        <v>8</v>
      </c>
      <c r="C293" s="1">
        <v>288.12299999999999</v>
      </c>
    </row>
    <row r="294" spans="1:3" x14ac:dyDescent="0.2">
      <c r="A294" s="2">
        <v>44622</v>
      </c>
      <c r="B294" s="1" t="s">
        <v>8</v>
      </c>
      <c r="C294" s="1">
        <v>293.29700000000003</v>
      </c>
    </row>
    <row r="295" spans="1:3" x14ac:dyDescent="0.2">
      <c r="A295" s="2">
        <v>44623</v>
      </c>
      <c r="B295" s="1" t="s">
        <v>8</v>
      </c>
      <c r="C295" s="1">
        <v>279.76299999999998</v>
      </c>
    </row>
    <row r="296" spans="1:3" x14ac:dyDescent="0.2">
      <c r="A296" s="2">
        <v>44624</v>
      </c>
      <c r="B296" s="1" t="s">
        <v>8</v>
      </c>
      <c r="C296" s="1">
        <v>279.43</v>
      </c>
    </row>
    <row r="297" spans="1:3" x14ac:dyDescent="0.2">
      <c r="A297" s="2">
        <v>44627</v>
      </c>
      <c r="B297" s="1" t="s">
        <v>8</v>
      </c>
      <c r="C297" s="1">
        <v>268.19299999999998</v>
      </c>
    </row>
    <row r="298" spans="1:3" x14ac:dyDescent="0.2">
      <c r="A298" s="2">
        <v>44628</v>
      </c>
      <c r="B298" s="1" t="s">
        <v>8</v>
      </c>
      <c r="C298" s="1">
        <v>274.8</v>
      </c>
    </row>
    <row r="299" spans="1:3" x14ac:dyDescent="0.2">
      <c r="A299" s="2">
        <v>44629</v>
      </c>
      <c r="B299" s="1" t="s">
        <v>8</v>
      </c>
      <c r="C299" s="1">
        <v>286.32299999999998</v>
      </c>
    </row>
    <row r="300" spans="1:3" x14ac:dyDescent="0.2">
      <c r="A300" s="2">
        <v>44630</v>
      </c>
      <c r="B300" s="1" t="s">
        <v>8</v>
      </c>
      <c r="C300" s="1">
        <v>279.43299999999999</v>
      </c>
    </row>
    <row r="301" spans="1:3" x14ac:dyDescent="0.2">
      <c r="A301" s="2">
        <v>44631</v>
      </c>
      <c r="B301" s="1" t="s">
        <v>8</v>
      </c>
      <c r="C301" s="1">
        <v>265.11700000000002</v>
      </c>
    </row>
    <row r="302" spans="1:3" x14ac:dyDescent="0.2">
      <c r="A302" s="2">
        <v>44634</v>
      </c>
      <c r="B302" s="1" t="s">
        <v>8</v>
      </c>
      <c r="C302" s="1">
        <v>255.45699999999999</v>
      </c>
    </row>
    <row r="303" spans="1:3" x14ac:dyDescent="0.2">
      <c r="A303" s="2">
        <v>44635</v>
      </c>
      <c r="B303" s="1" t="s">
        <v>8</v>
      </c>
      <c r="C303" s="1">
        <v>267.29700000000003</v>
      </c>
    </row>
    <row r="304" spans="1:3" x14ac:dyDescent="0.2">
      <c r="A304" s="2">
        <v>44636</v>
      </c>
      <c r="B304" s="1" t="s">
        <v>8</v>
      </c>
      <c r="C304" s="1">
        <v>280.077</v>
      </c>
    </row>
    <row r="305" spans="1:3" x14ac:dyDescent="0.2">
      <c r="A305" s="2">
        <v>44637</v>
      </c>
      <c r="B305" s="1" t="s">
        <v>8</v>
      </c>
      <c r="C305" s="1">
        <v>290.53300000000002</v>
      </c>
    </row>
    <row r="306" spans="1:3" x14ac:dyDescent="0.2">
      <c r="A306" s="2">
        <v>44638</v>
      </c>
      <c r="B306" s="1" t="s">
        <v>8</v>
      </c>
      <c r="C306" s="1">
        <v>301.79700000000003</v>
      </c>
    </row>
    <row r="307" spans="1:3" x14ac:dyDescent="0.2">
      <c r="A307" s="2">
        <v>44641</v>
      </c>
      <c r="B307" s="1" t="s">
        <v>8</v>
      </c>
      <c r="C307" s="1">
        <v>307.053</v>
      </c>
    </row>
    <row r="308" spans="1:3" x14ac:dyDescent="0.2">
      <c r="A308" s="2">
        <v>44642</v>
      </c>
      <c r="B308" s="1" t="s">
        <v>8</v>
      </c>
      <c r="C308" s="1">
        <v>331.327</v>
      </c>
    </row>
    <row r="309" spans="1:3" x14ac:dyDescent="0.2">
      <c r="A309" s="2">
        <v>44643</v>
      </c>
      <c r="B309" s="1" t="s">
        <v>8</v>
      </c>
      <c r="C309" s="1">
        <v>333.03699999999998</v>
      </c>
    </row>
    <row r="310" spans="1:3" x14ac:dyDescent="0.2">
      <c r="A310" s="2">
        <v>44644</v>
      </c>
      <c r="B310" s="1" t="s">
        <v>8</v>
      </c>
      <c r="C310" s="1">
        <v>337.97300000000001</v>
      </c>
    </row>
    <row r="311" spans="1:3" x14ac:dyDescent="0.2">
      <c r="A311" s="2">
        <v>44645</v>
      </c>
      <c r="B311" s="1" t="s">
        <v>8</v>
      </c>
      <c r="C311" s="1">
        <v>336.88</v>
      </c>
    </row>
    <row r="312" spans="1:3" x14ac:dyDescent="0.2">
      <c r="A312" s="2">
        <v>44648</v>
      </c>
      <c r="B312" s="1" t="s">
        <v>8</v>
      </c>
      <c r="C312" s="1">
        <v>363.947</v>
      </c>
    </row>
    <row r="313" spans="1:3" x14ac:dyDescent="0.2">
      <c r="A313" s="2">
        <v>44649</v>
      </c>
      <c r="B313" s="1" t="s">
        <v>8</v>
      </c>
      <c r="C313" s="1">
        <v>366.52300000000002</v>
      </c>
    </row>
    <row r="314" spans="1:3" x14ac:dyDescent="0.2">
      <c r="A314" s="2">
        <v>44650</v>
      </c>
      <c r="B314" s="1" t="s">
        <v>8</v>
      </c>
      <c r="C314" s="1">
        <v>364.66300000000001</v>
      </c>
    </row>
    <row r="315" spans="1:3" x14ac:dyDescent="0.2">
      <c r="A315" s="2">
        <v>44651</v>
      </c>
      <c r="B315" s="1" t="s">
        <v>8</v>
      </c>
      <c r="C315" s="1">
        <v>359.2</v>
      </c>
    </row>
    <row r="316" spans="1:3" x14ac:dyDescent="0.2">
      <c r="A316" s="2">
        <v>44652</v>
      </c>
      <c r="B316" s="1" t="s">
        <v>8</v>
      </c>
      <c r="C316" s="1">
        <v>361.53</v>
      </c>
    </row>
    <row r="317" spans="1:3" x14ac:dyDescent="0.2">
      <c r="A317" s="2">
        <v>44655</v>
      </c>
      <c r="B317" s="1" t="s">
        <v>8</v>
      </c>
      <c r="C317" s="1">
        <v>381.81700000000001</v>
      </c>
    </row>
    <row r="318" spans="1:3" x14ac:dyDescent="0.2">
      <c r="A318" s="2">
        <v>44656</v>
      </c>
      <c r="B318" s="1" t="s">
        <v>8</v>
      </c>
      <c r="C318" s="1">
        <v>363.75299999999999</v>
      </c>
    </row>
    <row r="319" spans="1:3" x14ac:dyDescent="0.2">
      <c r="A319" s="2">
        <v>44657</v>
      </c>
      <c r="B319" s="1" t="s">
        <v>8</v>
      </c>
      <c r="C319" s="1">
        <v>348.58699999999999</v>
      </c>
    </row>
    <row r="320" spans="1:3" x14ac:dyDescent="0.2">
      <c r="A320" s="2">
        <v>44658</v>
      </c>
      <c r="B320" s="1" t="s">
        <v>8</v>
      </c>
      <c r="C320" s="1">
        <v>352.42</v>
      </c>
    </row>
    <row r="321" spans="1:3" x14ac:dyDescent="0.2">
      <c r="A321" s="2">
        <v>44659</v>
      </c>
      <c r="B321" s="1" t="s">
        <v>8</v>
      </c>
      <c r="C321" s="1">
        <v>341.83</v>
      </c>
    </row>
    <row r="322" spans="1:3" x14ac:dyDescent="0.2">
      <c r="A322" s="2">
        <v>44662</v>
      </c>
      <c r="B322" s="1" t="s">
        <v>8</v>
      </c>
      <c r="C322" s="1">
        <v>325.31</v>
      </c>
    </row>
    <row r="323" spans="1:3" x14ac:dyDescent="0.2">
      <c r="A323" s="2">
        <v>44663</v>
      </c>
      <c r="B323" s="1" t="s">
        <v>8</v>
      </c>
      <c r="C323" s="1">
        <v>328.983</v>
      </c>
    </row>
    <row r="324" spans="1:3" x14ac:dyDescent="0.2">
      <c r="A324" s="2">
        <v>44664</v>
      </c>
      <c r="B324" s="1" t="s">
        <v>8</v>
      </c>
      <c r="C324" s="1">
        <v>340.79</v>
      </c>
    </row>
    <row r="325" spans="1:3" x14ac:dyDescent="0.2">
      <c r="A325" s="2">
        <v>44665</v>
      </c>
      <c r="B325" s="1" t="s">
        <v>8</v>
      </c>
      <c r="C325" s="1">
        <v>328.33300000000003</v>
      </c>
    </row>
    <row r="326" spans="1:3" x14ac:dyDescent="0.2">
      <c r="A326" s="2">
        <v>44669</v>
      </c>
      <c r="B326" s="1" t="s">
        <v>8</v>
      </c>
      <c r="C326" s="1">
        <v>334.76299999999998</v>
      </c>
    </row>
    <row r="327" spans="1:3" x14ac:dyDescent="0.2">
      <c r="A327" s="2">
        <v>44670</v>
      </c>
      <c r="B327" s="1" t="s">
        <v>8</v>
      </c>
      <c r="C327" s="1">
        <v>342.71699999999998</v>
      </c>
    </row>
    <row r="328" spans="1:3" x14ac:dyDescent="0.2">
      <c r="A328" s="2">
        <v>44671</v>
      </c>
      <c r="B328" s="1" t="s">
        <v>8</v>
      </c>
      <c r="C328" s="1">
        <v>325.733</v>
      </c>
    </row>
    <row r="329" spans="1:3" x14ac:dyDescent="0.2">
      <c r="A329" s="2">
        <v>44672</v>
      </c>
      <c r="B329" s="1" t="s">
        <v>8</v>
      </c>
      <c r="C329" s="1">
        <v>336.26</v>
      </c>
    </row>
    <row r="330" spans="1:3" x14ac:dyDescent="0.2">
      <c r="A330" s="2">
        <v>44673</v>
      </c>
      <c r="B330" s="1" t="s">
        <v>8</v>
      </c>
      <c r="C330" s="1">
        <v>335.017</v>
      </c>
    </row>
    <row r="331" spans="1:3" x14ac:dyDescent="0.2">
      <c r="A331" s="2">
        <v>44676</v>
      </c>
      <c r="B331" s="1" t="s">
        <v>8</v>
      </c>
      <c r="C331" s="1">
        <v>332.673</v>
      </c>
    </row>
    <row r="332" spans="1:3" x14ac:dyDescent="0.2">
      <c r="A332" s="2">
        <v>44677</v>
      </c>
      <c r="B332" s="1" t="s">
        <v>8</v>
      </c>
      <c r="C332" s="1">
        <v>292.14</v>
      </c>
    </row>
    <row r="333" spans="1:3" x14ac:dyDescent="0.2">
      <c r="A333" s="2">
        <v>44678</v>
      </c>
      <c r="B333" s="1" t="s">
        <v>8</v>
      </c>
      <c r="C333" s="1">
        <v>293.83699999999999</v>
      </c>
    </row>
    <row r="334" spans="1:3" x14ac:dyDescent="0.2">
      <c r="A334" s="2">
        <v>44679</v>
      </c>
      <c r="B334" s="1" t="s">
        <v>8</v>
      </c>
      <c r="C334" s="1">
        <v>292.50299999999999</v>
      </c>
    </row>
    <row r="335" spans="1:3" x14ac:dyDescent="0.2">
      <c r="A335" s="2">
        <v>44680</v>
      </c>
      <c r="B335" s="1" t="s">
        <v>8</v>
      </c>
      <c r="C335" s="1">
        <v>290.25299999999999</v>
      </c>
    </row>
    <row r="336" spans="1:3" x14ac:dyDescent="0.2">
      <c r="A336" s="2">
        <v>44683</v>
      </c>
      <c r="B336" s="1" t="s">
        <v>8</v>
      </c>
      <c r="C336" s="1">
        <v>300.98</v>
      </c>
    </row>
    <row r="337" spans="1:3" x14ac:dyDescent="0.2">
      <c r="A337" s="2">
        <v>44684</v>
      </c>
      <c r="B337" s="1" t="s">
        <v>8</v>
      </c>
      <c r="C337" s="1">
        <v>303.08300000000003</v>
      </c>
    </row>
    <row r="338" spans="1:3" x14ac:dyDescent="0.2">
      <c r="A338" s="2">
        <v>44685</v>
      </c>
      <c r="B338" s="1" t="s">
        <v>8</v>
      </c>
      <c r="C338" s="1">
        <v>317.54000000000002</v>
      </c>
    </row>
    <row r="339" spans="1:3" x14ac:dyDescent="0.2">
      <c r="A339" s="2">
        <v>44686</v>
      </c>
      <c r="B339" s="1" t="s">
        <v>8</v>
      </c>
      <c r="C339" s="1">
        <v>291.09300000000002</v>
      </c>
    </row>
    <row r="340" spans="1:3" x14ac:dyDescent="0.2">
      <c r="A340" s="2">
        <v>44687</v>
      </c>
      <c r="B340" s="1" t="s">
        <v>8</v>
      </c>
      <c r="C340" s="1">
        <v>288.55</v>
      </c>
    </row>
    <row r="341" spans="1:3" x14ac:dyDescent="0.2">
      <c r="A341" s="2">
        <v>44690</v>
      </c>
      <c r="B341" s="1" t="s">
        <v>8</v>
      </c>
      <c r="C341" s="1">
        <v>262.37</v>
      </c>
    </row>
    <row r="342" spans="1:3" x14ac:dyDescent="0.2">
      <c r="A342" s="2">
        <v>44691</v>
      </c>
      <c r="B342" s="1" t="s">
        <v>8</v>
      </c>
      <c r="C342" s="1">
        <v>266.68</v>
      </c>
    </row>
    <row r="343" spans="1:3" x14ac:dyDescent="0.2">
      <c r="A343" s="2">
        <v>44692</v>
      </c>
      <c r="B343" s="1" t="s">
        <v>8</v>
      </c>
      <c r="C343" s="1">
        <v>244.667</v>
      </c>
    </row>
    <row r="344" spans="1:3" x14ac:dyDescent="0.2">
      <c r="A344" s="2">
        <v>44693</v>
      </c>
      <c r="B344" s="1" t="s">
        <v>8</v>
      </c>
      <c r="C344" s="1">
        <v>242.667</v>
      </c>
    </row>
    <row r="345" spans="1:3" x14ac:dyDescent="0.2">
      <c r="A345" s="2">
        <v>44694</v>
      </c>
      <c r="B345" s="1" t="s">
        <v>8</v>
      </c>
      <c r="C345" s="1">
        <v>256.52999999999997</v>
      </c>
    </row>
    <row r="346" spans="1:3" x14ac:dyDescent="0.2">
      <c r="A346" s="2">
        <v>44697</v>
      </c>
      <c r="B346" s="1" t="s">
        <v>8</v>
      </c>
      <c r="C346" s="1">
        <v>241.45699999999999</v>
      </c>
    </row>
    <row r="347" spans="1:3" x14ac:dyDescent="0.2">
      <c r="A347" s="2">
        <v>44698</v>
      </c>
      <c r="B347" s="1" t="s">
        <v>8</v>
      </c>
      <c r="C347" s="1">
        <v>253.87</v>
      </c>
    </row>
    <row r="348" spans="1:3" x14ac:dyDescent="0.2">
      <c r="A348" s="2">
        <v>44699</v>
      </c>
      <c r="B348" s="1" t="s">
        <v>8</v>
      </c>
      <c r="C348" s="1">
        <v>236.60300000000001</v>
      </c>
    </row>
    <row r="349" spans="1:3" x14ac:dyDescent="0.2">
      <c r="A349" s="2">
        <v>44700</v>
      </c>
      <c r="B349" s="1" t="s">
        <v>8</v>
      </c>
      <c r="C349" s="1">
        <v>236.47300000000001</v>
      </c>
    </row>
    <row r="350" spans="1:3" x14ac:dyDescent="0.2">
      <c r="A350" s="2">
        <v>44701</v>
      </c>
      <c r="B350" s="1" t="s">
        <v>8</v>
      </c>
      <c r="C350" s="1">
        <v>221.3</v>
      </c>
    </row>
    <row r="351" spans="1:3" x14ac:dyDescent="0.2">
      <c r="A351" s="2">
        <v>44704</v>
      </c>
      <c r="B351" s="1" t="s">
        <v>8</v>
      </c>
      <c r="C351" s="1">
        <v>224.96700000000001</v>
      </c>
    </row>
    <row r="352" spans="1:3" x14ac:dyDescent="0.2">
      <c r="A352" s="2">
        <v>44705</v>
      </c>
      <c r="B352" s="1" t="s">
        <v>8</v>
      </c>
      <c r="C352" s="1">
        <v>209.387</v>
      </c>
    </row>
    <row r="353" spans="1:3" x14ac:dyDescent="0.2">
      <c r="A353" s="2">
        <v>44706</v>
      </c>
      <c r="B353" s="1" t="s">
        <v>8</v>
      </c>
      <c r="C353" s="1">
        <v>219.6</v>
      </c>
    </row>
    <row r="354" spans="1:3" x14ac:dyDescent="0.2">
      <c r="A354" s="2">
        <v>44707</v>
      </c>
      <c r="B354" s="1" t="s">
        <v>8</v>
      </c>
      <c r="C354" s="1">
        <v>235.91</v>
      </c>
    </row>
    <row r="355" spans="1:3" x14ac:dyDescent="0.2">
      <c r="A355" s="2">
        <v>44708</v>
      </c>
      <c r="B355" s="1" t="s">
        <v>8</v>
      </c>
      <c r="C355" s="1">
        <v>253.21</v>
      </c>
    </row>
    <row r="356" spans="1:3" x14ac:dyDescent="0.2">
      <c r="A356" s="2">
        <v>44712</v>
      </c>
      <c r="B356" s="1" t="s">
        <v>8</v>
      </c>
      <c r="C356" s="1">
        <v>252.75299999999999</v>
      </c>
    </row>
    <row r="357" spans="1:3" x14ac:dyDescent="0.2">
      <c r="A357" s="2">
        <v>44713</v>
      </c>
      <c r="B357" s="1" t="s">
        <v>8</v>
      </c>
      <c r="C357" s="1">
        <v>246.79</v>
      </c>
    </row>
    <row r="358" spans="1:3" x14ac:dyDescent="0.2">
      <c r="A358" s="2">
        <v>44714</v>
      </c>
      <c r="B358" s="1" t="s">
        <v>8</v>
      </c>
      <c r="C358" s="1">
        <v>258.33300000000003</v>
      </c>
    </row>
    <row r="359" spans="1:3" x14ac:dyDescent="0.2">
      <c r="A359" s="2">
        <v>44715</v>
      </c>
      <c r="B359" s="1" t="s">
        <v>8</v>
      </c>
      <c r="C359" s="1">
        <v>234.517</v>
      </c>
    </row>
    <row r="360" spans="1:3" x14ac:dyDescent="0.2">
      <c r="A360" s="2">
        <v>44718</v>
      </c>
      <c r="B360" s="1" t="s">
        <v>8</v>
      </c>
      <c r="C360" s="1">
        <v>238.28</v>
      </c>
    </row>
    <row r="361" spans="1:3" x14ac:dyDescent="0.2">
      <c r="A361" s="2">
        <v>44719</v>
      </c>
      <c r="B361" s="1" t="s">
        <v>8</v>
      </c>
      <c r="C361" s="1">
        <v>238.887</v>
      </c>
    </row>
    <row r="362" spans="1:3" x14ac:dyDescent="0.2">
      <c r="A362" s="2">
        <v>44720</v>
      </c>
      <c r="B362" s="1" t="s">
        <v>8</v>
      </c>
      <c r="C362" s="1">
        <v>241.86699999999999</v>
      </c>
    </row>
    <row r="363" spans="1:3" x14ac:dyDescent="0.2">
      <c r="A363" s="2">
        <v>44721</v>
      </c>
      <c r="B363" s="1" t="s">
        <v>8</v>
      </c>
      <c r="C363" s="1">
        <v>239.70699999999999</v>
      </c>
    </row>
    <row r="364" spans="1:3" x14ac:dyDescent="0.2">
      <c r="A364" s="2">
        <v>44722</v>
      </c>
      <c r="B364" s="1" t="s">
        <v>8</v>
      </c>
      <c r="C364" s="1">
        <v>232.23</v>
      </c>
    </row>
    <row r="365" spans="1:3" x14ac:dyDescent="0.2">
      <c r="A365" s="2">
        <v>44725</v>
      </c>
      <c r="B365" s="1" t="s">
        <v>8</v>
      </c>
      <c r="C365" s="1">
        <v>215.73699999999999</v>
      </c>
    </row>
    <row r="366" spans="1:3" x14ac:dyDescent="0.2">
      <c r="A366" s="2">
        <v>44726</v>
      </c>
      <c r="B366" s="1" t="s">
        <v>8</v>
      </c>
      <c r="C366" s="1">
        <v>220.89</v>
      </c>
    </row>
    <row r="367" spans="1:3" x14ac:dyDescent="0.2">
      <c r="A367" s="2">
        <v>44727</v>
      </c>
      <c r="B367" s="1" t="s">
        <v>8</v>
      </c>
      <c r="C367" s="1">
        <v>233</v>
      </c>
    </row>
    <row r="368" spans="1:3" x14ac:dyDescent="0.2">
      <c r="A368" s="2">
        <v>44728</v>
      </c>
      <c r="B368" s="1" t="s">
        <v>8</v>
      </c>
      <c r="C368" s="1">
        <v>213.1</v>
      </c>
    </row>
    <row r="369" spans="1:3" x14ac:dyDescent="0.2">
      <c r="A369" s="2">
        <v>44729</v>
      </c>
      <c r="B369" s="1" t="s">
        <v>8</v>
      </c>
      <c r="C369" s="1">
        <v>216.76</v>
      </c>
    </row>
    <row r="370" spans="1:3" x14ac:dyDescent="0.2">
      <c r="A370" s="2">
        <v>44733</v>
      </c>
      <c r="B370" s="1" t="s">
        <v>8</v>
      </c>
      <c r="C370" s="1">
        <v>237.03700000000001</v>
      </c>
    </row>
    <row r="371" spans="1:3" x14ac:dyDescent="0.2">
      <c r="A371" s="2">
        <v>44734</v>
      </c>
      <c r="B371" s="1" t="s">
        <v>8</v>
      </c>
      <c r="C371" s="1">
        <v>236.08699999999999</v>
      </c>
    </row>
    <row r="372" spans="1:3" x14ac:dyDescent="0.2">
      <c r="A372" s="2">
        <v>44735</v>
      </c>
      <c r="B372" s="1" t="s">
        <v>8</v>
      </c>
      <c r="C372" s="1">
        <v>235.07</v>
      </c>
    </row>
    <row r="373" spans="1:3" x14ac:dyDescent="0.2">
      <c r="A373" s="2">
        <v>44736</v>
      </c>
      <c r="B373" s="1" t="s">
        <v>8</v>
      </c>
      <c r="C373" s="1">
        <v>245.70699999999999</v>
      </c>
    </row>
    <row r="374" spans="1:3" x14ac:dyDescent="0.2">
      <c r="A374" s="2">
        <v>44739</v>
      </c>
      <c r="B374" s="1" t="s">
        <v>8</v>
      </c>
      <c r="C374" s="1">
        <v>244.92</v>
      </c>
    </row>
    <row r="375" spans="1:3" x14ac:dyDescent="0.2">
      <c r="A375" s="2">
        <v>44740</v>
      </c>
      <c r="B375" s="1" t="s">
        <v>8</v>
      </c>
      <c r="C375" s="1">
        <v>232.66300000000001</v>
      </c>
    </row>
    <row r="376" spans="1:3" x14ac:dyDescent="0.2">
      <c r="A376" s="2">
        <v>44741</v>
      </c>
      <c r="B376" s="1" t="s">
        <v>8</v>
      </c>
      <c r="C376" s="1">
        <v>228.49</v>
      </c>
    </row>
    <row r="377" spans="1:3" x14ac:dyDescent="0.2">
      <c r="A377" s="2">
        <v>44742</v>
      </c>
      <c r="B377" s="1" t="s">
        <v>8</v>
      </c>
      <c r="C377" s="1">
        <v>224.47300000000001</v>
      </c>
    </row>
    <row r="378" spans="1:3" x14ac:dyDescent="0.2">
      <c r="A378" s="2">
        <v>44743</v>
      </c>
      <c r="B378" s="1" t="s">
        <v>8</v>
      </c>
      <c r="C378" s="1">
        <v>227.26300000000001</v>
      </c>
    </row>
    <row r="379" spans="1:3" x14ac:dyDescent="0.2">
      <c r="A379" s="2">
        <v>44747</v>
      </c>
      <c r="B379" s="1" t="s">
        <v>8</v>
      </c>
      <c r="C379" s="1">
        <v>233.06700000000001</v>
      </c>
    </row>
    <row r="380" spans="1:3" x14ac:dyDescent="0.2">
      <c r="A380" s="2">
        <v>44748</v>
      </c>
      <c r="B380" s="1" t="s">
        <v>8</v>
      </c>
      <c r="C380" s="1">
        <v>231.733</v>
      </c>
    </row>
    <row r="381" spans="1:3" x14ac:dyDescent="0.2">
      <c r="A381" s="2">
        <v>44749</v>
      </c>
      <c r="B381" s="1" t="s">
        <v>8</v>
      </c>
      <c r="C381" s="1">
        <v>244.54300000000001</v>
      </c>
    </row>
    <row r="382" spans="1:3" x14ac:dyDescent="0.2">
      <c r="A382" s="2">
        <v>44750</v>
      </c>
      <c r="B382" s="1" t="s">
        <v>8</v>
      </c>
      <c r="C382" s="1">
        <v>250.76300000000001</v>
      </c>
    </row>
    <row r="383" spans="1:3" x14ac:dyDescent="0.2">
      <c r="A383" s="2">
        <v>44753</v>
      </c>
      <c r="B383" s="1" t="s">
        <v>8</v>
      </c>
      <c r="C383" s="1">
        <v>234.34299999999999</v>
      </c>
    </row>
    <row r="384" spans="1:3" x14ac:dyDescent="0.2">
      <c r="A384" s="2">
        <v>44754</v>
      </c>
      <c r="B384" s="1" t="s">
        <v>8</v>
      </c>
      <c r="C384" s="1">
        <v>233.07</v>
      </c>
    </row>
    <row r="385" spans="1:3" x14ac:dyDescent="0.2">
      <c r="A385" s="2">
        <v>44755</v>
      </c>
      <c r="B385" s="1" t="s">
        <v>8</v>
      </c>
      <c r="C385" s="1">
        <v>237.04</v>
      </c>
    </row>
    <row r="386" spans="1:3" x14ac:dyDescent="0.2">
      <c r="A386" s="2">
        <v>44756</v>
      </c>
      <c r="B386" s="1" t="s">
        <v>8</v>
      </c>
      <c r="C386" s="1">
        <v>238.31299999999999</v>
      </c>
    </row>
    <row r="387" spans="1:3" x14ac:dyDescent="0.2">
      <c r="A387" s="2">
        <v>44757</v>
      </c>
      <c r="B387" s="1" t="s">
        <v>8</v>
      </c>
      <c r="C387" s="1">
        <v>240.06700000000001</v>
      </c>
    </row>
    <row r="388" spans="1:3" x14ac:dyDescent="0.2">
      <c r="A388" s="2">
        <v>44760</v>
      </c>
      <c r="B388" s="1" t="s">
        <v>8</v>
      </c>
      <c r="C388" s="1">
        <v>240.547</v>
      </c>
    </row>
    <row r="389" spans="1:3" x14ac:dyDescent="0.2">
      <c r="A389" s="2">
        <v>44761</v>
      </c>
      <c r="B389" s="1" t="s">
        <v>8</v>
      </c>
      <c r="C389" s="1">
        <v>245.53</v>
      </c>
    </row>
    <row r="390" spans="1:3" x14ac:dyDescent="0.2">
      <c r="A390" s="2">
        <v>44762</v>
      </c>
      <c r="B390" s="1" t="s">
        <v>8</v>
      </c>
      <c r="C390" s="1">
        <v>247.5</v>
      </c>
    </row>
    <row r="391" spans="1:3" x14ac:dyDescent="0.2">
      <c r="A391" s="2">
        <v>44763</v>
      </c>
      <c r="B391" s="1" t="s">
        <v>8</v>
      </c>
      <c r="C391" s="1">
        <v>271.70699999999999</v>
      </c>
    </row>
    <row r="392" spans="1:3" x14ac:dyDescent="0.2">
      <c r="A392" s="2">
        <v>44764</v>
      </c>
      <c r="B392" s="1" t="s">
        <v>8</v>
      </c>
      <c r="C392" s="1">
        <v>272.24299999999999</v>
      </c>
    </row>
    <row r="393" spans="1:3" x14ac:dyDescent="0.2">
      <c r="A393" s="2">
        <v>44767</v>
      </c>
      <c r="B393" s="1" t="s">
        <v>8</v>
      </c>
      <c r="C393" s="1">
        <v>268.43299999999999</v>
      </c>
    </row>
    <row r="394" spans="1:3" x14ac:dyDescent="0.2">
      <c r="A394" s="2">
        <v>44768</v>
      </c>
      <c r="B394" s="1" t="s">
        <v>8</v>
      </c>
      <c r="C394" s="1">
        <v>258.86</v>
      </c>
    </row>
    <row r="395" spans="1:3" x14ac:dyDescent="0.2">
      <c r="A395" s="2">
        <v>44769</v>
      </c>
      <c r="B395" s="1" t="s">
        <v>8</v>
      </c>
      <c r="C395" s="1">
        <v>274.82</v>
      </c>
    </row>
    <row r="396" spans="1:3" x14ac:dyDescent="0.2">
      <c r="A396" s="2">
        <v>44770</v>
      </c>
      <c r="B396" s="1" t="s">
        <v>8</v>
      </c>
      <c r="C396" s="1">
        <v>280.89999999999998</v>
      </c>
    </row>
    <row r="397" spans="1:3" x14ac:dyDescent="0.2">
      <c r="A397" s="2">
        <v>44771</v>
      </c>
      <c r="B397" s="1" t="s">
        <v>8</v>
      </c>
      <c r="C397" s="1">
        <v>297.14999999999998</v>
      </c>
    </row>
    <row r="398" spans="1:3" x14ac:dyDescent="0.2">
      <c r="A398" s="2">
        <v>44774</v>
      </c>
      <c r="B398" s="1" t="s">
        <v>8</v>
      </c>
      <c r="C398" s="1">
        <v>297.27699999999999</v>
      </c>
    </row>
    <row r="399" spans="1:3" x14ac:dyDescent="0.2">
      <c r="A399" s="2">
        <v>44775</v>
      </c>
      <c r="B399" s="1" t="s">
        <v>8</v>
      </c>
      <c r="C399" s="1">
        <v>300.58699999999999</v>
      </c>
    </row>
    <row r="400" spans="1:3" x14ac:dyDescent="0.2">
      <c r="A400" s="2">
        <v>44776</v>
      </c>
      <c r="B400" s="1" t="s">
        <v>8</v>
      </c>
      <c r="C400" s="1">
        <v>307.39699999999999</v>
      </c>
    </row>
    <row r="401" spans="1:3" x14ac:dyDescent="0.2">
      <c r="A401" s="2">
        <v>44777</v>
      </c>
      <c r="B401" s="1" t="s">
        <v>8</v>
      </c>
      <c r="C401" s="1">
        <v>308.63299999999998</v>
      </c>
    </row>
    <row r="402" spans="1:3" x14ac:dyDescent="0.2">
      <c r="A402" s="2">
        <v>44778</v>
      </c>
      <c r="B402" s="1" t="s">
        <v>8</v>
      </c>
      <c r="C402" s="1">
        <v>288.17</v>
      </c>
    </row>
    <row r="403" spans="1:3" x14ac:dyDescent="0.2">
      <c r="A403" s="2">
        <v>44781</v>
      </c>
      <c r="B403" s="1" t="s">
        <v>8</v>
      </c>
      <c r="C403" s="1">
        <v>290.423</v>
      </c>
    </row>
    <row r="404" spans="1:3" x14ac:dyDescent="0.2">
      <c r="A404" s="2">
        <v>44782</v>
      </c>
      <c r="B404" s="1" t="s">
        <v>8</v>
      </c>
      <c r="C404" s="1">
        <v>283.33300000000003</v>
      </c>
    </row>
    <row r="405" spans="1:3" x14ac:dyDescent="0.2">
      <c r="A405" s="2">
        <v>44783</v>
      </c>
      <c r="B405" s="1" t="s">
        <v>8</v>
      </c>
      <c r="C405" s="1">
        <v>294.35700000000003</v>
      </c>
    </row>
    <row r="406" spans="1:3" x14ac:dyDescent="0.2">
      <c r="A406" s="2">
        <v>44784</v>
      </c>
      <c r="B406" s="1" t="s">
        <v>8</v>
      </c>
      <c r="C406" s="1">
        <v>286.63</v>
      </c>
    </row>
    <row r="407" spans="1:3" x14ac:dyDescent="0.2">
      <c r="A407" s="2">
        <v>44785</v>
      </c>
      <c r="B407" s="1" t="s">
        <v>8</v>
      </c>
      <c r="C407" s="1">
        <v>300.02999999999997</v>
      </c>
    </row>
    <row r="408" spans="1:3" x14ac:dyDescent="0.2">
      <c r="A408" s="2">
        <v>44788</v>
      </c>
      <c r="B408" s="1" t="s">
        <v>8</v>
      </c>
      <c r="C408" s="1">
        <v>309.32</v>
      </c>
    </row>
    <row r="409" spans="1:3" x14ac:dyDescent="0.2">
      <c r="A409" s="2">
        <v>44789</v>
      </c>
      <c r="B409" s="1" t="s">
        <v>8</v>
      </c>
      <c r="C409" s="1">
        <v>306.56299999999999</v>
      </c>
    </row>
    <row r="410" spans="1:3" x14ac:dyDescent="0.2">
      <c r="A410" s="2">
        <v>44790</v>
      </c>
      <c r="B410" s="1" t="s">
        <v>8</v>
      </c>
      <c r="C410" s="1">
        <v>303.99700000000001</v>
      </c>
    </row>
    <row r="411" spans="1:3" x14ac:dyDescent="0.2">
      <c r="A411" s="2">
        <v>44791</v>
      </c>
      <c r="B411" s="1" t="s">
        <v>8</v>
      </c>
      <c r="C411" s="1">
        <v>302.87</v>
      </c>
    </row>
    <row r="412" spans="1:3" x14ac:dyDescent="0.2">
      <c r="A412" s="2">
        <v>44792</v>
      </c>
      <c r="B412" s="1" t="s">
        <v>8</v>
      </c>
      <c r="C412" s="1">
        <v>296.66699999999997</v>
      </c>
    </row>
    <row r="413" spans="1:3" x14ac:dyDescent="0.2">
      <c r="A413" s="2">
        <v>44795</v>
      </c>
      <c r="B413" s="1" t="s">
        <v>8</v>
      </c>
      <c r="C413" s="1">
        <v>289.91300000000001</v>
      </c>
    </row>
    <row r="414" spans="1:3" x14ac:dyDescent="0.2">
      <c r="A414" s="2">
        <v>44796</v>
      </c>
      <c r="B414" s="1" t="s">
        <v>8</v>
      </c>
      <c r="C414" s="1">
        <v>296.45299999999997</v>
      </c>
    </row>
    <row r="415" spans="1:3" x14ac:dyDescent="0.2">
      <c r="A415" s="2">
        <v>44797</v>
      </c>
      <c r="B415" s="1" t="s">
        <v>8</v>
      </c>
      <c r="C415" s="1">
        <v>297.09699999999998</v>
      </c>
    </row>
    <row r="416" spans="1:3" x14ac:dyDescent="0.2">
      <c r="A416" s="2">
        <v>44798</v>
      </c>
      <c r="B416" s="1" t="s">
        <v>8</v>
      </c>
      <c r="C416" s="1">
        <v>296.07</v>
      </c>
    </row>
    <row r="417" spans="1:3" x14ac:dyDescent="0.2">
      <c r="A417" s="2">
        <v>44799</v>
      </c>
      <c r="B417" s="1" t="s">
        <v>8</v>
      </c>
      <c r="C417" s="1">
        <v>288.08999999999997</v>
      </c>
    </row>
    <row r="418" spans="1:3" x14ac:dyDescent="0.2">
      <c r="A418" s="2">
        <v>44802</v>
      </c>
      <c r="B418" s="1" t="s">
        <v>8</v>
      </c>
      <c r="C418" s="1">
        <v>284.82</v>
      </c>
    </row>
    <row r="419" spans="1:3" x14ac:dyDescent="0.2">
      <c r="A419" s="2">
        <v>44803</v>
      </c>
      <c r="B419" s="1" t="s">
        <v>8</v>
      </c>
      <c r="C419" s="1">
        <v>277.7</v>
      </c>
    </row>
    <row r="420" spans="1:3" x14ac:dyDescent="0.2">
      <c r="A420" s="2">
        <v>44804</v>
      </c>
      <c r="B420" s="1" t="s">
        <v>8</v>
      </c>
      <c r="C420" s="1">
        <v>275.61</v>
      </c>
    </row>
    <row r="421" spans="1:3" x14ac:dyDescent="0.2">
      <c r="A421" s="2">
        <v>44805</v>
      </c>
      <c r="B421" s="1" t="s">
        <v>8</v>
      </c>
      <c r="C421" s="1">
        <v>277.16000000000003</v>
      </c>
    </row>
    <row r="422" spans="1:3" x14ac:dyDescent="0.2">
      <c r="A422" s="2">
        <v>44806</v>
      </c>
      <c r="B422" s="1" t="s">
        <v>8</v>
      </c>
      <c r="C422" s="1">
        <v>270.20999999999998</v>
      </c>
    </row>
    <row r="423" spans="1:3" x14ac:dyDescent="0.2">
      <c r="A423" s="2">
        <v>44810</v>
      </c>
      <c r="B423" s="1" t="s">
        <v>8</v>
      </c>
      <c r="C423" s="1">
        <v>274.42</v>
      </c>
    </row>
    <row r="424" spans="1:3" x14ac:dyDescent="0.2">
      <c r="A424" s="2">
        <v>44811</v>
      </c>
      <c r="B424" s="1" t="s">
        <v>8</v>
      </c>
      <c r="C424" s="1">
        <v>283.7</v>
      </c>
    </row>
    <row r="425" spans="1:3" x14ac:dyDescent="0.2">
      <c r="A425" s="2">
        <v>44812</v>
      </c>
      <c r="B425" s="1" t="s">
        <v>8</v>
      </c>
      <c r="C425" s="1">
        <v>289.26</v>
      </c>
    </row>
    <row r="426" spans="1:3" x14ac:dyDescent="0.2">
      <c r="A426" s="2">
        <v>44813</v>
      </c>
      <c r="B426" s="1" t="s">
        <v>8</v>
      </c>
      <c r="C426" s="1">
        <v>299.68</v>
      </c>
    </row>
    <row r="427" spans="1:3" x14ac:dyDescent="0.2">
      <c r="A427" s="2">
        <v>44816</v>
      </c>
      <c r="B427" s="1" t="s">
        <v>8</v>
      </c>
      <c r="C427" s="1">
        <v>304.42</v>
      </c>
    </row>
    <row r="428" spans="1:3" x14ac:dyDescent="0.2">
      <c r="A428" s="2">
        <v>44817</v>
      </c>
      <c r="B428" s="1" t="s">
        <v>8</v>
      </c>
      <c r="C428" s="1">
        <v>292.13</v>
      </c>
    </row>
    <row r="429" spans="1:3" x14ac:dyDescent="0.2">
      <c r="A429" s="2">
        <v>44818</v>
      </c>
      <c r="B429" s="1" t="s">
        <v>8</v>
      </c>
      <c r="C429" s="1">
        <v>302.61</v>
      </c>
    </row>
    <row r="430" spans="1:3" x14ac:dyDescent="0.2">
      <c r="A430" s="2">
        <v>44819</v>
      </c>
      <c r="B430" s="1" t="s">
        <v>8</v>
      </c>
      <c r="C430" s="1">
        <v>303.75</v>
      </c>
    </row>
    <row r="431" spans="1:3" x14ac:dyDescent="0.2">
      <c r="A431" s="2">
        <v>44820</v>
      </c>
      <c r="B431" s="1" t="s">
        <v>8</v>
      </c>
      <c r="C431" s="1">
        <v>303.35000000000002</v>
      </c>
    </row>
    <row r="432" spans="1:3" x14ac:dyDescent="0.2">
      <c r="A432" s="2">
        <v>44823</v>
      </c>
      <c r="B432" s="1" t="s">
        <v>8</v>
      </c>
      <c r="C432" s="1">
        <v>309.07</v>
      </c>
    </row>
    <row r="433" spans="1:3" x14ac:dyDescent="0.2">
      <c r="A433" s="2">
        <v>44824</v>
      </c>
      <c r="B433" s="1" t="s">
        <v>8</v>
      </c>
      <c r="C433" s="1">
        <v>308.73</v>
      </c>
    </row>
    <row r="434" spans="1:3" x14ac:dyDescent="0.2">
      <c r="A434" s="2">
        <v>44825</v>
      </c>
      <c r="B434" s="1" t="s">
        <v>8</v>
      </c>
      <c r="C434" s="1">
        <v>300.8</v>
      </c>
    </row>
    <row r="435" spans="1:3" x14ac:dyDescent="0.2">
      <c r="A435" s="2">
        <v>44826</v>
      </c>
      <c r="B435" s="1" t="s">
        <v>8</v>
      </c>
      <c r="C435" s="1">
        <v>288.58999999999997</v>
      </c>
    </row>
    <row r="436" spans="1:3" x14ac:dyDescent="0.2">
      <c r="A436" s="2">
        <v>44827</v>
      </c>
      <c r="B436" s="1" t="s">
        <v>8</v>
      </c>
      <c r="C436" s="1">
        <v>275.33</v>
      </c>
    </row>
    <row r="437" spans="1:3" x14ac:dyDescent="0.2">
      <c r="A437" s="2">
        <v>44830</v>
      </c>
      <c r="B437" s="1" t="s">
        <v>8</v>
      </c>
      <c r="C437" s="1">
        <v>276.01</v>
      </c>
    </row>
    <row r="438" spans="1:3" x14ac:dyDescent="0.2">
      <c r="A438" s="2">
        <v>44831</v>
      </c>
      <c r="B438" s="1" t="s">
        <v>8</v>
      </c>
      <c r="C438" s="1">
        <v>282.94</v>
      </c>
    </row>
    <row r="439" spans="1:3" x14ac:dyDescent="0.2">
      <c r="A439" s="2">
        <v>44832</v>
      </c>
      <c r="B439" s="1" t="s">
        <v>8</v>
      </c>
      <c r="C439" s="1">
        <v>287.81</v>
      </c>
    </row>
    <row r="440" spans="1:3" x14ac:dyDescent="0.2">
      <c r="A440" s="2">
        <v>44833</v>
      </c>
      <c r="B440" s="1" t="s">
        <v>8</v>
      </c>
      <c r="C440" s="1">
        <v>268.20999999999998</v>
      </c>
    </row>
    <row r="441" spans="1:3" x14ac:dyDescent="0.2">
      <c r="A441" s="2">
        <v>44834</v>
      </c>
      <c r="B441" s="1" t="s">
        <v>8</v>
      </c>
      <c r="C441" s="1">
        <v>265.25</v>
      </c>
    </row>
    <row r="442" spans="1:3" x14ac:dyDescent="0.2">
      <c r="A442" s="2">
        <v>44837</v>
      </c>
      <c r="B442" s="1" t="s">
        <v>8</v>
      </c>
      <c r="C442" s="1">
        <v>242.4</v>
      </c>
    </row>
    <row r="443" spans="1:3" x14ac:dyDescent="0.2">
      <c r="A443" s="2">
        <v>44838</v>
      </c>
      <c r="B443" s="1" t="s">
        <v>8</v>
      </c>
      <c r="C443" s="1">
        <v>249.44</v>
      </c>
    </row>
    <row r="444" spans="1:3" x14ac:dyDescent="0.2">
      <c r="A444" s="2">
        <v>44839</v>
      </c>
      <c r="B444" s="1" t="s">
        <v>8</v>
      </c>
      <c r="C444" s="1">
        <v>240.81</v>
      </c>
    </row>
    <row r="445" spans="1:3" x14ac:dyDescent="0.2">
      <c r="A445" s="2">
        <v>44840</v>
      </c>
      <c r="B445" s="1" t="s">
        <v>8</v>
      </c>
      <c r="C445" s="1">
        <v>238.13</v>
      </c>
    </row>
    <row r="446" spans="1:3" x14ac:dyDescent="0.2">
      <c r="A446" s="2">
        <v>44841</v>
      </c>
      <c r="B446" s="1" t="s">
        <v>8</v>
      </c>
      <c r="C446" s="1">
        <v>223.07</v>
      </c>
    </row>
    <row r="447" spans="1:3" x14ac:dyDescent="0.2">
      <c r="A447" s="2">
        <v>44844</v>
      </c>
      <c r="B447" s="1" t="s">
        <v>8</v>
      </c>
      <c r="C447" s="1">
        <v>222.96</v>
      </c>
    </row>
    <row r="448" spans="1:3" x14ac:dyDescent="0.2">
      <c r="A448" s="2">
        <v>44845</v>
      </c>
      <c r="B448" s="1" t="s">
        <v>8</v>
      </c>
      <c r="C448" s="1">
        <v>216.5</v>
      </c>
    </row>
    <row r="449" spans="1:3" x14ac:dyDescent="0.2">
      <c r="A449" s="2">
        <v>44846</v>
      </c>
      <c r="B449" s="1" t="s">
        <v>8</v>
      </c>
      <c r="C449" s="1">
        <v>217.24</v>
      </c>
    </row>
    <row r="450" spans="1:3" x14ac:dyDescent="0.2">
      <c r="A450" s="2">
        <v>44847</v>
      </c>
      <c r="B450" s="1" t="s">
        <v>8</v>
      </c>
      <c r="C450" s="1">
        <v>221.72</v>
      </c>
    </row>
    <row r="451" spans="1:3" x14ac:dyDescent="0.2">
      <c r="A451" s="2">
        <v>44848</v>
      </c>
      <c r="B451" s="1" t="s">
        <v>8</v>
      </c>
      <c r="C451" s="1">
        <v>204.99</v>
      </c>
    </row>
    <row r="452" spans="1:3" x14ac:dyDescent="0.2">
      <c r="A452" s="2">
        <v>44851</v>
      </c>
      <c r="B452" s="1" t="s">
        <v>8</v>
      </c>
      <c r="C452" s="1">
        <v>219.35</v>
      </c>
    </row>
    <row r="453" spans="1:3" x14ac:dyDescent="0.2">
      <c r="A453" s="2">
        <v>44852</v>
      </c>
      <c r="B453" s="1" t="s">
        <v>8</v>
      </c>
      <c r="C453" s="1">
        <v>220.19</v>
      </c>
    </row>
    <row r="454" spans="1:3" x14ac:dyDescent="0.2">
      <c r="A454" s="2">
        <v>44853</v>
      </c>
      <c r="B454" s="1" t="s">
        <v>8</v>
      </c>
      <c r="C454" s="1">
        <v>222.04</v>
      </c>
    </row>
    <row r="455" spans="1:3" x14ac:dyDescent="0.2">
      <c r="A455" s="2">
        <v>44854</v>
      </c>
      <c r="B455" s="1" t="s">
        <v>8</v>
      </c>
      <c r="C455" s="1">
        <v>207.28</v>
      </c>
    </row>
    <row r="456" spans="1:3" x14ac:dyDescent="0.2">
      <c r="A456" s="2">
        <v>44855</v>
      </c>
      <c r="B456" s="1" t="s">
        <v>8</v>
      </c>
      <c r="C456" s="1">
        <v>214.44</v>
      </c>
    </row>
    <row r="457" spans="1:3" x14ac:dyDescent="0.2">
      <c r="A457" s="2">
        <v>44858</v>
      </c>
      <c r="B457" s="1" t="s">
        <v>8</v>
      </c>
      <c r="C457" s="1">
        <v>211.25</v>
      </c>
    </row>
    <row r="458" spans="1:3" x14ac:dyDescent="0.2">
      <c r="A458" s="2">
        <v>44859</v>
      </c>
      <c r="B458" s="1" t="s">
        <v>8</v>
      </c>
      <c r="C458" s="1">
        <v>222.41499999999999</v>
      </c>
    </row>
    <row r="459" spans="1:3" x14ac:dyDescent="0.2">
      <c r="A459" s="2">
        <v>44860</v>
      </c>
      <c r="B459" s="1" t="s">
        <v>8</v>
      </c>
      <c r="C459" s="1">
        <v>224.64</v>
      </c>
    </row>
    <row r="460" spans="1:3" x14ac:dyDescent="0.2">
      <c r="A460" s="2">
        <v>44861</v>
      </c>
      <c r="B460" s="1" t="s">
        <v>8</v>
      </c>
      <c r="C460" s="1">
        <v>225.09</v>
      </c>
    </row>
    <row r="461" spans="1:3" x14ac:dyDescent="0.2">
      <c r="A461" s="2">
        <v>44862</v>
      </c>
      <c r="B461" s="1" t="s">
        <v>8</v>
      </c>
      <c r="C461" s="1">
        <v>228.52</v>
      </c>
    </row>
    <row r="462" spans="1:3" x14ac:dyDescent="0.2">
      <c r="A462" s="2">
        <v>44865</v>
      </c>
      <c r="B462" s="1" t="s">
        <v>8</v>
      </c>
      <c r="C462" s="1">
        <v>227.54</v>
      </c>
    </row>
    <row r="463" spans="1:3" x14ac:dyDescent="0.2">
      <c r="A463" s="2">
        <v>44866</v>
      </c>
      <c r="B463" s="1" t="s">
        <v>8</v>
      </c>
      <c r="C463" s="1">
        <v>227.82</v>
      </c>
    </row>
    <row r="464" spans="1:3" x14ac:dyDescent="0.2">
      <c r="A464" s="2">
        <v>44867</v>
      </c>
      <c r="B464" s="1" t="s">
        <v>8</v>
      </c>
      <c r="C464" s="1">
        <v>214.98</v>
      </c>
    </row>
    <row r="465" spans="1:3" x14ac:dyDescent="0.2">
      <c r="A465" s="2">
        <v>44868</v>
      </c>
      <c r="B465" s="1" t="s">
        <v>8</v>
      </c>
      <c r="C465" s="1">
        <v>215.31</v>
      </c>
    </row>
    <row r="466" spans="1:3" x14ac:dyDescent="0.2">
      <c r="A466" s="2">
        <v>44869</v>
      </c>
      <c r="B466" s="1" t="s">
        <v>8</v>
      </c>
      <c r="C466" s="1">
        <v>207.47</v>
      </c>
    </row>
    <row r="467" spans="1:3" x14ac:dyDescent="0.2">
      <c r="A467" s="2">
        <v>44872</v>
      </c>
      <c r="B467" s="1" t="s">
        <v>8</v>
      </c>
      <c r="C467" s="1">
        <v>197.08</v>
      </c>
    </row>
    <row r="468" spans="1:3" x14ac:dyDescent="0.2">
      <c r="A468" s="2">
        <v>44873</v>
      </c>
      <c r="B468" s="1" t="s">
        <v>8</v>
      </c>
      <c r="C468" s="1">
        <v>191.3</v>
      </c>
    </row>
    <row r="469" spans="1:3" x14ac:dyDescent="0.2">
      <c r="A469" s="2">
        <v>44874</v>
      </c>
      <c r="B469" s="1" t="s">
        <v>8</v>
      </c>
      <c r="C469" s="1">
        <v>177.59</v>
      </c>
    </row>
    <row r="470" spans="1:3" x14ac:dyDescent="0.2">
      <c r="A470" s="2">
        <v>44875</v>
      </c>
      <c r="B470" s="1" t="s">
        <v>8</v>
      </c>
      <c r="C470" s="1">
        <v>190.72</v>
      </c>
    </row>
    <row r="471" spans="1:3" x14ac:dyDescent="0.2">
      <c r="A471" s="2">
        <v>44876</v>
      </c>
      <c r="B471" s="1" t="s">
        <v>8</v>
      </c>
      <c r="C471" s="1">
        <v>195.97</v>
      </c>
    </row>
    <row r="472" spans="1:3" x14ac:dyDescent="0.2">
      <c r="A472" s="2">
        <v>44879</v>
      </c>
      <c r="B472" s="1" t="s">
        <v>8</v>
      </c>
      <c r="C472" s="1">
        <v>190.95</v>
      </c>
    </row>
    <row r="473" spans="1:3" x14ac:dyDescent="0.2">
      <c r="A473" s="2">
        <v>44880</v>
      </c>
      <c r="B473" s="1" t="s">
        <v>8</v>
      </c>
      <c r="C473" s="1">
        <v>194.42</v>
      </c>
    </row>
    <row r="474" spans="1:3" x14ac:dyDescent="0.2">
      <c r="A474" s="2">
        <v>44881</v>
      </c>
      <c r="B474" s="1" t="s">
        <v>8</v>
      </c>
      <c r="C474" s="1">
        <v>186.92</v>
      </c>
    </row>
    <row r="475" spans="1:3" x14ac:dyDescent="0.2">
      <c r="A475" s="2">
        <v>44882</v>
      </c>
      <c r="B475" s="1" t="s">
        <v>8</v>
      </c>
      <c r="C475" s="1">
        <v>183.17</v>
      </c>
    </row>
    <row r="476" spans="1:3" x14ac:dyDescent="0.2">
      <c r="A476" s="2">
        <v>44883</v>
      </c>
      <c r="B476" s="1" t="s">
        <v>8</v>
      </c>
      <c r="C476" s="1">
        <v>180.19</v>
      </c>
    </row>
    <row r="477" spans="1:3" x14ac:dyDescent="0.2">
      <c r="A477" s="2">
        <v>44886</v>
      </c>
      <c r="B477" s="1" t="s">
        <v>8</v>
      </c>
      <c r="C477" s="1">
        <v>167.87</v>
      </c>
    </row>
    <row r="478" spans="1:3" x14ac:dyDescent="0.2">
      <c r="A478" s="2">
        <v>44887</v>
      </c>
      <c r="B478" s="1" t="s">
        <v>8</v>
      </c>
      <c r="C478" s="1">
        <v>169.91</v>
      </c>
    </row>
    <row r="479" spans="1:3" x14ac:dyDescent="0.2">
      <c r="A479" s="2">
        <v>44888</v>
      </c>
      <c r="B479" s="1" t="s">
        <v>8</v>
      </c>
      <c r="C479" s="1">
        <v>183.2</v>
      </c>
    </row>
    <row r="480" spans="1:3" x14ac:dyDescent="0.2">
      <c r="A480" s="2">
        <v>44890</v>
      </c>
      <c r="B480" s="1" t="s">
        <v>8</v>
      </c>
      <c r="C480" s="1">
        <v>182.86</v>
      </c>
    </row>
    <row r="481" spans="1:3" x14ac:dyDescent="0.2">
      <c r="A481" s="2">
        <v>44893</v>
      </c>
      <c r="B481" s="1" t="s">
        <v>8</v>
      </c>
      <c r="C481" s="1">
        <v>182.92</v>
      </c>
    </row>
    <row r="482" spans="1:3" x14ac:dyDescent="0.2">
      <c r="A482" s="2">
        <v>44894</v>
      </c>
      <c r="B482" s="1" t="s">
        <v>8</v>
      </c>
      <c r="C482" s="1">
        <v>180.83</v>
      </c>
    </row>
    <row r="483" spans="1:3" x14ac:dyDescent="0.2">
      <c r="A483" s="2">
        <v>44895</v>
      </c>
      <c r="B483" s="1" t="s">
        <v>8</v>
      </c>
      <c r="C483" s="1">
        <v>194.7</v>
      </c>
    </row>
    <row r="484" spans="1:3" x14ac:dyDescent="0.2">
      <c r="A484" s="2">
        <v>44896</v>
      </c>
      <c r="B484" s="1" t="s">
        <v>8</v>
      </c>
      <c r="C484" s="1">
        <v>194.7</v>
      </c>
    </row>
    <row r="485" spans="1:3" x14ac:dyDescent="0.2">
      <c r="A485" s="2">
        <v>44897</v>
      </c>
      <c r="B485" s="1" t="s">
        <v>8</v>
      </c>
      <c r="C485" s="1">
        <v>194.86</v>
      </c>
    </row>
    <row r="486" spans="1:3" x14ac:dyDescent="0.2">
      <c r="A486" s="2">
        <v>44900</v>
      </c>
      <c r="B486" s="1" t="s">
        <v>8</v>
      </c>
      <c r="C486" s="1">
        <v>182.45</v>
      </c>
    </row>
    <row r="487" spans="1:3" x14ac:dyDescent="0.2">
      <c r="A487" s="2">
        <v>44901</v>
      </c>
      <c r="B487" s="1" t="s">
        <v>8</v>
      </c>
      <c r="C487" s="1">
        <v>179.82</v>
      </c>
    </row>
    <row r="488" spans="1:3" x14ac:dyDescent="0.2">
      <c r="A488" s="2">
        <v>44902</v>
      </c>
      <c r="B488" s="1" t="s">
        <v>8</v>
      </c>
      <c r="C488" s="1">
        <v>174.04</v>
      </c>
    </row>
    <row r="489" spans="1:3" x14ac:dyDescent="0.2">
      <c r="A489" s="2">
        <v>44903</v>
      </c>
      <c r="B489" s="1" t="s">
        <v>8</v>
      </c>
      <c r="C489" s="1">
        <v>173.44</v>
      </c>
    </row>
    <row r="490" spans="1:3" x14ac:dyDescent="0.2">
      <c r="A490" s="2">
        <v>44904</v>
      </c>
      <c r="B490" s="1" t="s">
        <v>8</v>
      </c>
      <c r="C490" s="1">
        <v>179.05</v>
      </c>
    </row>
    <row r="491" spans="1:3" x14ac:dyDescent="0.2">
      <c r="A491" s="2">
        <v>44907</v>
      </c>
      <c r="B491" s="1" t="s">
        <v>8</v>
      </c>
      <c r="C491" s="1">
        <v>167.82</v>
      </c>
    </row>
    <row r="492" spans="1:3" x14ac:dyDescent="0.2">
      <c r="A492" s="2">
        <v>44908</v>
      </c>
      <c r="B492" s="1" t="s">
        <v>8</v>
      </c>
      <c r="C492" s="1">
        <v>160.94999999999999</v>
      </c>
    </row>
    <row r="493" spans="1:3" x14ac:dyDescent="0.2">
      <c r="A493" s="2">
        <v>44909</v>
      </c>
      <c r="B493" s="1" t="s">
        <v>8</v>
      </c>
      <c r="C493" s="1">
        <v>156.80000000000001</v>
      </c>
    </row>
    <row r="494" spans="1:3" x14ac:dyDescent="0.2">
      <c r="A494" s="2">
        <v>44910</v>
      </c>
      <c r="B494" s="1" t="s">
        <v>8</v>
      </c>
      <c r="C494" s="1">
        <v>157.66999999999999</v>
      </c>
    </row>
    <row r="495" spans="1:3" x14ac:dyDescent="0.2">
      <c r="A495" s="2">
        <v>44911</v>
      </c>
      <c r="B495" s="1" t="s">
        <v>8</v>
      </c>
      <c r="C495" s="1">
        <v>150.22999999999999</v>
      </c>
    </row>
    <row r="496" spans="1:3" x14ac:dyDescent="0.2">
      <c r="A496" s="2">
        <v>44914</v>
      </c>
      <c r="B496" s="1" t="s">
        <v>8</v>
      </c>
      <c r="C496" s="1">
        <v>149.87</v>
      </c>
    </row>
    <row r="497" spans="1:3" x14ac:dyDescent="0.2">
      <c r="A497" s="2">
        <v>44915</v>
      </c>
      <c r="B497" s="1" t="s">
        <v>8</v>
      </c>
      <c r="C497" s="1">
        <v>137.80000000000001</v>
      </c>
    </row>
    <row r="498" spans="1:3" x14ac:dyDescent="0.2">
      <c r="A498" s="2">
        <v>44916</v>
      </c>
      <c r="B498" s="1" t="s">
        <v>8</v>
      </c>
      <c r="C498" s="1">
        <v>137.57</v>
      </c>
    </row>
    <row r="499" spans="1:3" x14ac:dyDescent="0.2">
      <c r="A499" s="2">
        <v>44917</v>
      </c>
      <c r="B499" s="1" t="s">
        <v>8</v>
      </c>
      <c r="C499" s="1">
        <v>125.35</v>
      </c>
    </row>
    <row r="500" spans="1:3" x14ac:dyDescent="0.2">
      <c r="A500" s="2">
        <v>44918</v>
      </c>
      <c r="B500" s="1" t="s">
        <v>8</v>
      </c>
      <c r="C500" s="1">
        <v>123.15</v>
      </c>
    </row>
    <row r="501" spans="1:3" x14ac:dyDescent="0.2">
      <c r="A501" s="2">
        <v>44922</v>
      </c>
      <c r="B501" s="1" t="s">
        <v>8</v>
      </c>
      <c r="C501" s="1">
        <v>109.1</v>
      </c>
    </row>
    <row r="502" spans="1:3" x14ac:dyDescent="0.2">
      <c r="A502" s="2">
        <v>44923</v>
      </c>
      <c r="B502" s="1" t="s">
        <v>8</v>
      </c>
      <c r="C502" s="1">
        <v>112.71</v>
      </c>
    </row>
    <row r="503" spans="1:3" x14ac:dyDescent="0.2">
      <c r="A503" s="2">
        <v>44924</v>
      </c>
      <c r="B503" s="1" t="s">
        <v>8</v>
      </c>
      <c r="C503" s="1">
        <v>121.82</v>
      </c>
    </row>
    <row r="504" spans="1:3" x14ac:dyDescent="0.2">
      <c r="A504" s="2">
        <v>44925</v>
      </c>
      <c r="B504" s="1" t="s">
        <v>8</v>
      </c>
      <c r="C504" s="1">
        <v>123.18</v>
      </c>
    </row>
    <row r="505" spans="1:3" x14ac:dyDescent="0.2">
      <c r="A505" s="2">
        <v>44929</v>
      </c>
      <c r="B505" s="1" t="s">
        <v>8</v>
      </c>
      <c r="C505" s="1">
        <v>108.1</v>
      </c>
    </row>
    <row r="506" spans="1:3" x14ac:dyDescent="0.2">
      <c r="A506" s="2">
        <v>44930</v>
      </c>
      <c r="B506" s="1" t="s">
        <v>8</v>
      </c>
      <c r="C506" s="1">
        <v>113.64</v>
      </c>
    </row>
    <row r="507" spans="1:3" x14ac:dyDescent="0.2">
      <c r="A507" s="2">
        <v>44931</v>
      </c>
      <c r="B507" s="1" t="s">
        <v>8</v>
      </c>
      <c r="C507" s="1">
        <v>110.34</v>
      </c>
    </row>
    <row r="508" spans="1:3" x14ac:dyDescent="0.2">
      <c r="A508" s="2">
        <v>44932</v>
      </c>
      <c r="B508" s="1" t="s">
        <v>8</v>
      </c>
      <c r="C508" s="1">
        <v>113.06</v>
      </c>
    </row>
    <row r="509" spans="1:3" x14ac:dyDescent="0.2">
      <c r="A509" s="2">
        <v>44935</v>
      </c>
      <c r="B509" s="1" t="s">
        <v>8</v>
      </c>
      <c r="C509" s="1">
        <v>119.77</v>
      </c>
    </row>
    <row r="510" spans="1:3" x14ac:dyDescent="0.2">
      <c r="A510" s="2">
        <v>44936</v>
      </c>
      <c r="B510" s="1" t="s">
        <v>8</v>
      </c>
      <c r="C510" s="1">
        <v>118.85</v>
      </c>
    </row>
    <row r="511" spans="1:3" x14ac:dyDescent="0.2">
      <c r="A511" s="2">
        <v>44937</v>
      </c>
      <c r="B511" s="1" t="s">
        <v>8</v>
      </c>
      <c r="C511" s="1">
        <v>123.22</v>
      </c>
    </row>
    <row r="512" spans="1:3" x14ac:dyDescent="0.2">
      <c r="A512" s="2">
        <v>44938</v>
      </c>
      <c r="B512" s="1" t="s">
        <v>8</v>
      </c>
      <c r="C512" s="1">
        <v>123.56</v>
      </c>
    </row>
    <row r="513" spans="1:3" x14ac:dyDescent="0.2">
      <c r="A513" s="2">
        <v>44939</v>
      </c>
      <c r="B513" s="1" t="s">
        <v>8</v>
      </c>
      <c r="C513" s="1">
        <v>122.4</v>
      </c>
    </row>
    <row r="514" spans="1:3" x14ac:dyDescent="0.2">
      <c r="A514" s="2">
        <v>44943</v>
      </c>
      <c r="B514" s="1" t="s">
        <v>8</v>
      </c>
      <c r="C514" s="1">
        <v>131.49</v>
      </c>
    </row>
    <row r="515" spans="1:3" x14ac:dyDescent="0.2">
      <c r="A515" s="2">
        <v>44944</v>
      </c>
      <c r="B515" s="1" t="s">
        <v>8</v>
      </c>
      <c r="C515" s="1">
        <v>128.78</v>
      </c>
    </row>
    <row r="516" spans="1:3" x14ac:dyDescent="0.2">
      <c r="A516" s="2">
        <v>44945</v>
      </c>
      <c r="B516" s="1" t="s">
        <v>8</v>
      </c>
      <c r="C516" s="1">
        <v>127.17</v>
      </c>
    </row>
    <row r="517" spans="1:3" x14ac:dyDescent="0.2">
      <c r="A517" s="2">
        <v>44946</v>
      </c>
      <c r="B517" s="1" t="s">
        <v>8</v>
      </c>
      <c r="C517" s="1">
        <v>133.41999999999999</v>
      </c>
    </row>
    <row r="518" spans="1:3" x14ac:dyDescent="0.2">
      <c r="A518" s="2">
        <v>44949</v>
      </c>
      <c r="B518" s="1" t="s">
        <v>8</v>
      </c>
      <c r="C518" s="1">
        <v>143.75</v>
      </c>
    </row>
    <row r="519" spans="1:3" x14ac:dyDescent="0.2">
      <c r="A519" s="2">
        <v>44950</v>
      </c>
      <c r="B519" s="1" t="s">
        <v>8</v>
      </c>
      <c r="C519" s="1">
        <v>143.88999999999999</v>
      </c>
    </row>
    <row r="520" spans="1:3" x14ac:dyDescent="0.2">
      <c r="A520" s="2">
        <v>44951</v>
      </c>
      <c r="B520" s="1" t="s">
        <v>8</v>
      </c>
      <c r="C520" s="1">
        <v>144.43</v>
      </c>
    </row>
    <row r="521" spans="1:3" x14ac:dyDescent="0.2">
      <c r="A521" s="2">
        <v>44952</v>
      </c>
      <c r="B521" s="1" t="s">
        <v>8</v>
      </c>
      <c r="C521" s="1">
        <v>160.27000000000001</v>
      </c>
    </row>
    <row r="522" spans="1:3" x14ac:dyDescent="0.2">
      <c r="A522" s="2">
        <v>44953</v>
      </c>
      <c r="B522" s="1" t="s">
        <v>8</v>
      </c>
      <c r="C522" s="1">
        <v>177.9</v>
      </c>
    </row>
    <row r="523" spans="1:3" x14ac:dyDescent="0.2">
      <c r="A523" s="2">
        <v>44956</v>
      </c>
      <c r="B523" s="1" t="s">
        <v>8</v>
      </c>
      <c r="C523" s="1">
        <v>166.66</v>
      </c>
    </row>
    <row r="524" spans="1:3" x14ac:dyDescent="0.2">
      <c r="A524" s="2">
        <v>44957</v>
      </c>
      <c r="B524" s="1" t="s">
        <v>8</v>
      </c>
      <c r="C524" s="1">
        <v>173.22</v>
      </c>
    </row>
    <row r="525" spans="1:3" x14ac:dyDescent="0.2">
      <c r="A525" s="2">
        <v>44958</v>
      </c>
      <c r="B525" s="1" t="s">
        <v>8</v>
      </c>
      <c r="C525" s="1">
        <v>181.41</v>
      </c>
    </row>
    <row r="526" spans="1:3" x14ac:dyDescent="0.2">
      <c r="A526" s="2">
        <v>44959</v>
      </c>
      <c r="B526" s="1" t="s">
        <v>8</v>
      </c>
      <c r="C526" s="1">
        <v>188.27</v>
      </c>
    </row>
    <row r="527" spans="1:3" x14ac:dyDescent="0.2">
      <c r="A527" s="2">
        <v>44960</v>
      </c>
      <c r="B527" s="1" t="s">
        <v>8</v>
      </c>
      <c r="C527" s="1">
        <v>189.98</v>
      </c>
    </row>
    <row r="528" spans="1:3" x14ac:dyDescent="0.2">
      <c r="A528" s="2">
        <v>44963</v>
      </c>
      <c r="B528" s="1" t="s">
        <v>8</v>
      </c>
      <c r="C528" s="1">
        <v>194.76</v>
      </c>
    </row>
    <row r="529" spans="1:3" x14ac:dyDescent="0.2">
      <c r="A529" s="2">
        <v>44964</v>
      </c>
      <c r="B529" s="1" t="s">
        <v>8</v>
      </c>
      <c r="C529" s="1">
        <v>196.81</v>
      </c>
    </row>
    <row r="530" spans="1:3" x14ac:dyDescent="0.2">
      <c r="A530" s="2">
        <v>44965</v>
      </c>
      <c r="B530" s="1" t="s">
        <v>8</v>
      </c>
      <c r="C530" s="1">
        <v>201.29</v>
      </c>
    </row>
    <row r="531" spans="1:3" x14ac:dyDescent="0.2">
      <c r="A531" s="2">
        <v>44966</v>
      </c>
      <c r="B531" s="1" t="s">
        <v>8</v>
      </c>
      <c r="C531" s="1">
        <v>207.32</v>
      </c>
    </row>
    <row r="532" spans="1:3" x14ac:dyDescent="0.2">
      <c r="A532" s="2">
        <v>44967</v>
      </c>
      <c r="B532" s="1" t="s">
        <v>8</v>
      </c>
      <c r="C532" s="1">
        <v>196.89</v>
      </c>
    </row>
    <row r="533" spans="1:3" x14ac:dyDescent="0.2">
      <c r="A533" s="2">
        <v>44970</v>
      </c>
      <c r="B533" s="1" t="s">
        <v>8</v>
      </c>
      <c r="C533" s="1">
        <v>194.64</v>
      </c>
    </row>
    <row r="534" spans="1:3" x14ac:dyDescent="0.2">
      <c r="A534" s="2">
        <v>44971</v>
      </c>
      <c r="B534" s="1" t="s">
        <v>8</v>
      </c>
      <c r="C534" s="1">
        <v>209.25</v>
      </c>
    </row>
    <row r="535" spans="1:3" x14ac:dyDescent="0.2">
      <c r="A535" s="2">
        <v>44972</v>
      </c>
      <c r="B535" s="1" t="s">
        <v>8</v>
      </c>
      <c r="C535" s="1">
        <v>214.24</v>
      </c>
    </row>
    <row r="536" spans="1:3" x14ac:dyDescent="0.2">
      <c r="A536" s="2">
        <v>44973</v>
      </c>
      <c r="B536" s="1" t="s">
        <v>8</v>
      </c>
      <c r="C536" s="1">
        <v>202.04</v>
      </c>
    </row>
    <row r="537" spans="1:3" x14ac:dyDescent="0.2">
      <c r="A537" s="2">
        <v>44974</v>
      </c>
      <c r="B537" s="1" t="s">
        <v>8</v>
      </c>
      <c r="C537" s="1">
        <v>208.31</v>
      </c>
    </row>
    <row r="538" spans="1:3" x14ac:dyDescent="0.2">
      <c r="A538" s="2">
        <v>44978</v>
      </c>
      <c r="B538" s="1" t="s">
        <v>8</v>
      </c>
      <c r="C538" s="1">
        <v>197.37</v>
      </c>
    </row>
    <row r="539" spans="1:3" x14ac:dyDescent="0.2">
      <c r="A539" s="2">
        <v>44979</v>
      </c>
      <c r="B539" s="1" t="s">
        <v>8</v>
      </c>
      <c r="C539" s="1">
        <v>200.86</v>
      </c>
    </row>
    <row r="540" spans="1:3" x14ac:dyDescent="0.2">
      <c r="A540" s="2">
        <v>44980</v>
      </c>
      <c r="B540" s="1" t="s">
        <v>8</v>
      </c>
      <c r="C540" s="1">
        <v>202.07</v>
      </c>
    </row>
    <row r="541" spans="1:3" x14ac:dyDescent="0.2">
      <c r="A541" s="2">
        <v>44981</v>
      </c>
      <c r="B541" s="1" t="s">
        <v>8</v>
      </c>
      <c r="C541" s="1">
        <v>196.88</v>
      </c>
    </row>
    <row r="542" spans="1:3" x14ac:dyDescent="0.2">
      <c r="A542" s="2">
        <v>44984</v>
      </c>
      <c r="B542" s="1" t="s">
        <v>8</v>
      </c>
      <c r="C542" s="1">
        <v>207.63</v>
      </c>
    </row>
    <row r="543" spans="1:3" x14ac:dyDescent="0.2">
      <c r="A543" s="2">
        <v>44985</v>
      </c>
      <c r="B543" s="1" t="s">
        <v>8</v>
      </c>
      <c r="C543" s="1">
        <v>205.71</v>
      </c>
    </row>
    <row r="544" spans="1:3" x14ac:dyDescent="0.2">
      <c r="A544" s="2">
        <v>44986</v>
      </c>
      <c r="B544" s="1" t="s">
        <v>8</v>
      </c>
      <c r="C544" s="1">
        <v>202.77</v>
      </c>
    </row>
    <row r="545" spans="1:3" x14ac:dyDescent="0.2">
      <c r="A545" s="2">
        <v>44987</v>
      </c>
      <c r="B545" s="1" t="s">
        <v>8</v>
      </c>
      <c r="C545" s="1">
        <v>190.9</v>
      </c>
    </row>
    <row r="546" spans="1:3" x14ac:dyDescent="0.2">
      <c r="A546" s="2">
        <v>44988</v>
      </c>
      <c r="B546" s="1" t="s">
        <v>8</v>
      </c>
      <c r="C546" s="1">
        <v>197.79</v>
      </c>
    </row>
    <row r="547" spans="1:3" x14ac:dyDescent="0.2">
      <c r="A547" s="2">
        <v>44991</v>
      </c>
      <c r="B547" s="1" t="s">
        <v>8</v>
      </c>
      <c r="C547" s="1">
        <v>193.81</v>
      </c>
    </row>
    <row r="548" spans="1:3" x14ac:dyDescent="0.2">
      <c r="A548" s="2">
        <v>44992</v>
      </c>
      <c r="B548" s="1" t="s">
        <v>8</v>
      </c>
      <c r="C548" s="1">
        <v>187.71</v>
      </c>
    </row>
    <row r="549" spans="1:3" x14ac:dyDescent="0.2">
      <c r="A549" s="2">
        <v>44993</v>
      </c>
      <c r="B549" s="1" t="s">
        <v>8</v>
      </c>
      <c r="C549" s="1">
        <v>182</v>
      </c>
    </row>
    <row r="550" spans="1:3" x14ac:dyDescent="0.2">
      <c r="A550" s="2">
        <v>44994</v>
      </c>
      <c r="B550" s="1" t="s">
        <v>8</v>
      </c>
      <c r="C550" s="1">
        <v>172.92</v>
      </c>
    </row>
    <row r="551" spans="1:3" x14ac:dyDescent="0.2">
      <c r="A551" s="2">
        <v>44995</v>
      </c>
      <c r="B551" s="1" t="s">
        <v>8</v>
      </c>
      <c r="C551" s="1">
        <v>173.44</v>
      </c>
    </row>
    <row r="552" spans="1:3" x14ac:dyDescent="0.2">
      <c r="A552" s="2">
        <v>44998</v>
      </c>
      <c r="B552" s="1" t="s">
        <v>8</v>
      </c>
      <c r="C552" s="1">
        <v>174.48</v>
      </c>
    </row>
    <row r="553" spans="1:3" x14ac:dyDescent="0.2">
      <c r="A553" s="2">
        <v>44999</v>
      </c>
      <c r="B553" s="1" t="s">
        <v>8</v>
      </c>
      <c r="C553" s="1">
        <v>183.26</v>
      </c>
    </row>
    <row r="554" spans="1:3" x14ac:dyDescent="0.2">
      <c r="A554" s="2">
        <v>45000</v>
      </c>
      <c r="B554" s="1" t="s">
        <v>8</v>
      </c>
      <c r="C554" s="1">
        <v>180.45</v>
      </c>
    </row>
    <row r="555" spans="1:3" x14ac:dyDescent="0.2">
      <c r="A555" s="2">
        <v>45001</v>
      </c>
      <c r="B555" s="1" t="s">
        <v>8</v>
      </c>
      <c r="C555" s="1">
        <v>184.13</v>
      </c>
    </row>
    <row r="556" spans="1:3" x14ac:dyDescent="0.2">
      <c r="A556" s="2">
        <v>45002</v>
      </c>
      <c r="B556" s="1" t="s">
        <v>8</v>
      </c>
      <c r="C556" s="1">
        <v>180.13</v>
      </c>
    </row>
    <row r="557" spans="1:3" x14ac:dyDescent="0.2">
      <c r="A557" s="2">
        <v>45005</v>
      </c>
      <c r="B557" s="1" t="s">
        <v>8</v>
      </c>
      <c r="C557" s="1">
        <v>183.25</v>
      </c>
    </row>
    <row r="558" spans="1:3" x14ac:dyDescent="0.2">
      <c r="A558" s="2">
        <v>45006</v>
      </c>
      <c r="B558" s="1" t="s">
        <v>8</v>
      </c>
      <c r="C558" s="1">
        <v>197.58</v>
      </c>
    </row>
    <row r="559" spans="1:3" x14ac:dyDescent="0.2">
      <c r="A559" s="2">
        <v>45007</v>
      </c>
      <c r="B559" s="1" t="s">
        <v>8</v>
      </c>
      <c r="C559" s="1">
        <v>191.15</v>
      </c>
    </row>
    <row r="560" spans="1:3" x14ac:dyDescent="0.2">
      <c r="A560" s="2">
        <v>45008</v>
      </c>
      <c r="B560" s="1" t="s">
        <v>8</v>
      </c>
      <c r="C560" s="1">
        <v>192.22</v>
      </c>
    </row>
    <row r="561" spans="1:3" x14ac:dyDescent="0.2">
      <c r="A561" s="2">
        <v>45009</v>
      </c>
      <c r="B561" s="1" t="s">
        <v>8</v>
      </c>
      <c r="C561" s="1">
        <v>190.41</v>
      </c>
    </row>
    <row r="562" spans="1:3" x14ac:dyDescent="0.2">
      <c r="A562" s="2">
        <v>45012</v>
      </c>
      <c r="B562" s="1" t="s">
        <v>8</v>
      </c>
      <c r="C562" s="1">
        <v>191.81</v>
      </c>
    </row>
    <row r="563" spans="1:3" x14ac:dyDescent="0.2">
      <c r="A563" s="2">
        <v>45013</v>
      </c>
      <c r="B563" s="1" t="s">
        <v>8</v>
      </c>
      <c r="C563" s="1">
        <v>189.19</v>
      </c>
    </row>
    <row r="564" spans="1:3" x14ac:dyDescent="0.2">
      <c r="A564" s="2">
        <v>45014</v>
      </c>
      <c r="B564" s="1" t="s">
        <v>8</v>
      </c>
      <c r="C564" s="1">
        <v>193.88</v>
      </c>
    </row>
    <row r="565" spans="1:3" x14ac:dyDescent="0.2">
      <c r="A565" s="2">
        <v>45015</v>
      </c>
      <c r="B565" s="1" t="s">
        <v>8</v>
      </c>
      <c r="C565" s="1">
        <v>195.28</v>
      </c>
    </row>
    <row r="566" spans="1:3" x14ac:dyDescent="0.2">
      <c r="A566" s="2">
        <v>45016</v>
      </c>
      <c r="B566" s="1" t="s">
        <v>8</v>
      </c>
      <c r="C566" s="1">
        <v>207.46</v>
      </c>
    </row>
    <row r="567" spans="1:3" x14ac:dyDescent="0.2">
      <c r="A567" s="2">
        <v>45019</v>
      </c>
      <c r="B567" s="1" t="s">
        <v>8</v>
      </c>
      <c r="C567" s="1">
        <v>194.77</v>
      </c>
    </row>
    <row r="568" spans="1:3" x14ac:dyDescent="0.2">
      <c r="A568" s="2">
        <v>45020</v>
      </c>
      <c r="B568" s="1" t="s">
        <v>8</v>
      </c>
      <c r="C568" s="1">
        <v>192.58</v>
      </c>
    </row>
    <row r="569" spans="1:3" x14ac:dyDescent="0.2">
      <c r="A569" s="2">
        <v>45021</v>
      </c>
      <c r="B569" s="1" t="s">
        <v>8</v>
      </c>
      <c r="C569" s="1">
        <v>185.52</v>
      </c>
    </row>
    <row r="570" spans="1:3" x14ac:dyDescent="0.2">
      <c r="A570" s="2">
        <v>45022</v>
      </c>
      <c r="B570" s="1" t="s">
        <v>8</v>
      </c>
      <c r="C570" s="1">
        <v>185.06</v>
      </c>
    </row>
    <row r="571" spans="1:3" x14ac:dyDescent="0.2">
      <c r="A571" s="2">
        <v>45026</v>
      </c>
      <c r="B571" s="1" t="s">
        <v>8</v>
      </c>
      <c r="C571" s="1">
        <v>184.51</v>
      </c>
    </row>
    <row r="572" spans="1:3" x14ac:dyDescent="0.2">
      <c r="A572" s="2">
        <v>45027</v>
      </c>
      <c r="B572" s="1" t="s">
        <v>8</v>
      </c>
      <c r="C572" s="1">
        <v>186.79</v>
      </c>
    </row>
    <row r="573" spans="1:3" x14ac:dyDescent="0.2">
      <c r="A573" s="2">
        <v>45028</v>
      </c>
      <c r="B573" s="1" t="s">
        <v>8</v>
      </c>
      <c r="C573" s="1">
        <v>180.54</v>
      </c>
    </row>
    <row r="574" spans="1:3" x14ac:dyDescent="0.2">
      <c r="A574" s="2">
        <v>45029</v>
      </c>
      <c r="B574" s="1" t="s">
        <v>8</v>
      </c>
      <c r="C574" s="1">
        <v>185.9</v>
      </c>
    </row>
    <row r="575" spans="1:3" x14ac:dyDescent="0.2">
      <c r="A575" s="2">
        <v>45030</v>
      </c>
      <c r="B575" s="1" t="s">
        <v>8</v>
      </c>
      <c r="C575" s="1">
        <v>185</v>
      </c>
    </row>
    <row r="576" spans="1:3" x14ac:dyDescent="0.2">
      <c r="A576" s="2">
        <v>45033</v>
      </c>
      <c r="B576" s="1" t="s">
        <v>8</v>
      </c>
      <c r="C576" s="1">
        <v>187.04</v>
      </c>
    </row>
    <row r="577" spans="1:3" x14ac:dyDescent="0.2">
      <c r="A577" s="2">
        <v>45034</v>
      </c>
      <c r="B577" s="1" t="s">
        <v>8</v>
      </c>
      <c r="C577" s="1">
        <v>184.31</v>
      </c>
    </row>
    <row r="578" spans="1:3" x14ac:dyDescent="0.2">
      <c r="A578" s="2">
        <v>45035</v>
      </c>
      <c r="B578" s="1" t="s">
        <v>8</v>
      </c>
      <c r="C578" s="1">
        <v>180.59</v>
      </c>
    </row>
    <row r="579" spans="1:3" x14ac:dyDescent="0.2">
      <c r="A579" s="2">
        <v>45036</v>
      </c>
      <c r="B579" s="1" t="s">
        <v>8</v>
      </c>
      <c r="C579" s="1">
        <v>162.99</v>
      </c>
    </row>
    <row r="580" spans="1:3" x14ac:dyDescent="0.2">
      <c r="A580" s="2">
        <v>45037</v>
      </c>
      <c r="B580" s="1" t="s">
        <v>8</v>
      </c>
      <c r="C580" s="1">
        <v>165.08</v>
      </c>
    </row>
    <row r="581" spans="1:3" x14ac:dyDescent="0.2">
      <c r="A581" s="2">
        <v>45040</v>
      </c>
      <c r="B581" s="1" t="s">
        <v>8</v>
      </c>
      <c r="C581" s="1">
        <v>162.55000000000001</v>
      </c>
    </row>
    <row r="582" spans="1:3" x14ac:dyDescent="0.2">
      <c r="A582" s="2">
        <v>45041</v>
      </c>
      <c r="B582" s="1" t="s">
        <v>8</v>
      </c>
      <c r="C582" s="1">
        <v>160.66999999999999</v>
      </c>
    </row>
    <row r="583" spans="1:3" x14ac:dyDescent="0.2">
      <c r="A583" s="2">
        <v>45042</v>
      </c>
      <c r="B583" s="1" t="s">
        <v>8</v>
      </c>
      <c r="C583" s="1">
        <v>153.75</v>
      </c>
    </row>
    <row r="584" spans="1:3" x14ac:dyDescent="0.2">
      <c r="A584" s="2">
        <v>45043</v>
      </c>
      <c r="B584" s="1" t="s">
        <v>8</v>
      </c>
      <c r="C584" s="1">
        <v>160.19</v>
      </c>
    </row>
    <row r="585" spans="1:3" x14ac:dyDescent="0.2">
      <c r="A585" s="2">
        <v>45044</v>
      </c>
      <c r="B585" s="1" t="s">
        <v>8</v>
      </c>
      <c r="C585" s="1">
        <v>164.31</v>
      </c>
    </row>
    <row r="586" spans="1:3" x14ac:dyDescent="0.2">
      <c r="A586" s="2">
        <v>45047</v>
      </c>
      <c r="B586" s="1" t="s">
        <v>8</v>
      </c>
      <c r="C586" s="1">
        <v>161.83000000000001</v>
      </c>
    </row>
    <row r="587" spans="1:3" x14ac:dyDescent="0.2">
      <c r="A587" s="2">
        <v>45048</v>
      </c>
      <c r="B587" s="1" t="s">
        <v>8</v>
      </c>
      <c r="C587" s="1">
        <v>160.31</v>
      </c>
    </row>
    <row r="588" spans="1:3" x14ac:dyDescent="0.2">
      <c r="A588" s="2">
        <v>45049</v>
      </c>
      <c r="B588" s="1" t="s">
        <v>8</v>
      </c>
      <c r="C588" s="1">
        <v>160.61000000000001</v>
      </c>
    </row>
    <row r="589" spans="1:3" x14ac:dyDescent="0.2">
      <c r="A589" s="2">
        <v>45050</v>
      </c>
      <c r="B589" s="1" t="s">
        <v>8</v>
      </c>
      <c r="C589" s="1">
        <v>161.19999999999999</v>
      </c>
    </row>
    <row r="590" spans="1:3" x14ac:dyDescent="0.2">
      <c r="A590" s="2">
        <v>45051</v>
      </c>
      <c r="B590" s="1" t="s">
        <v>8</v>
      </c>
      <c r="C590" s="1">
        <v>170.06</v>
      </c>
    </row>
    <row r="591" spans="1:3" x14ac:dyDescent="0.2">
      <c r="A591" s="2">
        <v>45054</v>
      </c>
      <c r="B591" s="1" t="s">
        <v>8</v>
      </c>
      <c r="C591" s="1">
        <v>171.79</v>
      </c>
    </row>
    <row r="592" spans="1:3" x14ac:dyDescent="0.2">
      <c r="A592" s="2">
        <v>45055</v>
      </c>
      <c r="B592" s="1" t="s">
        <v>8</v>
      </c>
      <c r="C592" s="1">
        <v>169.15</v>
      </c>
    </row>
    <row r="593" spans="1:3" x14ac:dyDescent="0.2">
      <c r="A593" s="2">
        <v>45056</v>
      </c>
      <c r="B593" s="1" t="s">
        <v>8</v>
      </c>
      <c r="C593" s="1">
        <v>168.54</v>
      </c>
    </row>
    <row r="594" spans="1:3" x14ac:dyDescent="0.2">
      <c r="A594" s="2">
        <v>45057</v>
      </c>
      <c r="B594" s="1" t="s">
        <v>8</v>
      </c>
      <c r="C594" s="1">
        <v>172.08</v>
      </c>
    </row>
    <row r="595" spans="1:3" x14ac:dyDescent="0.2">
      <c r="A595" s="2">
        <v>45058</v>
      </c>
      <c r="B595" s="1" t="s">
        <v>8</v>
      </c>
      <c r="C595" s="1">
        <v>167.98</v>
      </c>
    </row>
    <row r="596" spans="1:3" x14ac:dyDescent="0.2">
      <c r="A596" s="2">
        <v>45061</v>
      </c>
      <c r="B596" s="1" t="s">
        <v>8</v>
      </c>
      <c r="C596" s="1">
        <v>166.35</v>
      </c>
    </row>
    <row r="597" spans="1:3" x14ac:dyDescent="0.2">
      <c r="A597" s="2">
        <v>45062</v>
      </c>
      <c r="B597" s="1" t="s">
        <v>8</v>
      </c>
      <c r="C597" s="1">
        <v>166.52</v>
      </c>
    </row>
    <row r="598" spans="1:3" x14ac:dyDescent="0.2">
      <c r="A598" s="2">
        <v>45063</v>
      </c>
      <c r="B598" s="1" t="s">
        <v>8</v>
      </c>
      <c r="C598" s="1">
        <v>173.86</v>
      </c>
    </row>
    <row r="599" spans="1:3" x14ac:dyDescent="0.2">
      <c r="A599" s="2">
        <v>45064</v>
      </c>
      <c r="B599" s="1" t="s">
        <v>8</v>
      </c>
      <c r="C599" s="1">
        <v>176.89</v>
      </c>
    </row>
    <row r="600" spans="1:3" x14ac:dyDescent="0.2">
      <c r="A600" s="2">
        <v>45065</v>
      </c>
      <c r="B600" s="1" t="s">
        <v>8</v>
      </c>
      <c r="C600" s="1">
        <v>180.14</v>
      </c>
    </row>
    <row r="601" spans="1:3" x14ac:dyDescent="0.2">
      <c r="A601" s="2">
        <v>45068</v>
      </c>
      <c r="B601" s="1" t="s">
        <v>8</v>
      </c>
      <c r="C601" s="1">
        <v>188.87</v>
      </c>
    </row>
    <row r="602" spans="1:3" x14ac:dyDescent="0.2">
      <c r="A602" s="2">
        <v>45069</v>
      </c>
      <c r="B602" s="1" t="s">
        <v>8</v>
      </c>
      <c r="C602" s="1">
        <v>185.77</v>
      </c>
    </row>
    <row r="603" spans="1:3" x14ac:dyDescent="0.2">
      <c r="A603" s="2">
        <v>45070</v>
      </c>
      <c r="B603" s="1" t="s">
        <v>8</v>
      </c>
      <c r="C603" s="1">
        <v>182.9</v>
      </c>
    </row>
    <row r="604" spans="1:3" x14ac:dyDescent="0.2">
      <c r="A604" s="2">
        <v>45071</v>
      </c>
      <c r="B604" s="1" t="s">
        <v>8</v>
      </c>
      <c r="C604" s="1">
        <v>184.47</v>
      </c>
    </row>
    <row r="605" spans="1:3" x14ac:dyDescent="0.2">
      <c r="A605" s="2">
        <v>45072</v>
      </c>
      <c r="B605" s="1" t="s">
        <v>8</v>
      </c>
      <c r="C605" s="1">
        <v>193.17</v>
      </c>
    </row>
    <row r="606" spans="1:3" x14ac:dyDescent="0.2">
      <c r="A606" s="2">
        <v>45076</v>
      </c>
      <c r="B606" s="1" t="s">
        <v>8</v>
      </c>
      <c r="C606" s="1">
        <v>201.16</v>
      </c>
    </row>
    <row r="607" spans="1:3" x14ac:dyDescent="0.2">
      <c r="A607" s="2">
        <v>45077</v>
      </c>
      <c r="B607" s="1" t="s">
        <v>8</v>
      </c>
      <c r="C607" s="1">
        <v>203.93</v>
      </c>
    </row>
    <row r="608" spans="1:3" x14ac:dyDescent="0.2">
      <c r="A608" s="2">
        <v>45078</v>
      </c>
      <c r="B608" s="1" t="s">
        <v>8</v>
      </c>
      <c r="C608" s="1">
        <v>207.52</v>
      </c>
    </row>
    <row r="609" spans="1:3" x14ac:dyDescent="0.2">
      <c r="A609" s="2">
        <v>45079</v>
      </c>
      <c r="B609" s="1" t="s">
        <v>8</v>
      </c>
      <c r="C609" s="1">
        <v>213.97</v>
      </c>
    </row>
    <row r="610" spans="1:3" x14ac:dyDescent="0.2">
      <c r="A610" s="2">
        <v>45082</v>
      </c>
      <c r="B610" s="1" t="s">
        <v>8</v>
      </c>
      <c r="C610" s="1">
        <v>217.61</v>
      </c>
    </row>
    <row r="611" spans="1:3" x14ac:dyDescent="0.2">
      <c r="A611" s="2">
        <v>45083</v>
      </c>
      <c r="B611" s="1" t="s">
        <v>8</v>
      </c>
      <c r="C611" s="1">
        <v>221.31</v>
      </c>
    </row>
    <row r="612" spans="1:3" x14ac:dyDescent="0.2">
      <c r="A612" s="2">
        <v>45084</v>
      </c>
      <c r="B612" s="1" t="s">
        <v>8</v>
      </c>
      <c r="C612" s="1">
        <v>224.57</v>
      </c>
    </row>
    <row r="613" spans="1:3" x14ac:dyDescent="0.2">
      <c r="A613" s="2">
        <v>45085</v>
      </c>
      <c r="B613" s="1" t="s">
        <v>8</v>
      </c>
      <c r="C613" s="1">
        <v>234.86</v>
      </c>
    </row>
    <row r="614" spans="1:3" x14ac:dyDescent="0.2">
      <c r="A614" s="2">
        <v>45086</v>
      </c>
      <c r="B614" s="1" t="s">
        <v>8</v>
      </c>
      <c r="C614" s="1">
        <v>244.4</v>
      </c>
    </row>
    <row r="615" spans="1:3" x14ac:dyDescent="0.2">
      <c r="A615" s="2">
        <v>45089</v>
      </c>
      <c r="B615" s="1" t="s">
        <v>8</v>
      </c>
      <c r="C615" s="1">
        <v>249.83</v>
      </c>
    </row>
    <row r="616" spans="1:3" x14ac:dyDescent="0.2">
      <c r="A616" s="2">
        <v>45090</v>
      </c>
      <c r="B616" s="1" t="s">
        <v>8</v>
      </c>
      <c r="C616" s="1">
        <v>258.70999999999998</v>
      </c>
    </row>
    <row r="617" spans="1:3" x14ac:dyDescent="0.2">
      <c r="A617" s="2">
        <v>45091</v>
      </c>
      <c r="B617" s="1" t="s">
        <v>8</v>
      </c>
      <c r="C617" s="1">
        <v>256.79000000000002</v>
      </c>
    </row>
    <row r="618" spans="1:3" x14ac:dyDescent="0.2">
      <c r="A618" s="2">
        <v>45092</v>
      </c>
      <c r="B618" s="1" t="s">
        <v>8</v>
      </c>
      <c r="C618" s="1">
        <v>255.9</v>
      </c>
    </row>
    <row r="619" spans="1:3" x14ac:dyDescent="0.2">
      <c r="A619" s="2">
        <v>45093</v>
      </c>
      <c r="B619" s="1" t="s">
        <v>8</v>
      </c>
      <c r="C619" s="1">
        <v>260.54000000000002</v>
      </c>
    </row>
    <row r="620" spans="1:3" x14ac:dyDescent="0.2">
      <c r="A620" s="2">
        <v>45097</v>
      </c>
      <c r="B620" s="1" t="s">
        <v>8</v>
      </c>
      <c r="C620" s="1">
        <v>274.45</v>
      </c>
    </row>
    <row r="621" spans="1:3" x14ac:dyDescent="0.2">
      <c r="A621" s="2">
        <v>45098</v>
      </c>
      <c r="B621" s="1" t="s">
        <v>8</v>
      </c>
      <c r="C621" s="1">
        <v>259.45999999999998</v>
      </c>
    </row>
    <row r="622" spans="1:3" x14ac:dyDescent="0.2">
      <c r="A622" s="2">
        <v>45099</v>
      </c>
      <c r="B622" s="1" t="s">
        <v>8</v>
      </c>
      <c r="C622" s="1">
        <v>264.61</v>
      </c>
    </row>
    <row r="623" spans="1:3" x14ac:dyDescent="0.2">
      <c r="A623" s="2">
        <v>45100</v>
      </c>
      <c r="B623" s="1" t="s">
        <v>8</v>
      </c>
      <c r="C623" s="1">
        <v>256.60000000000002</v>
      </c>
    </row>
    <row r="624" spans="1:3" x14ac:dyDescent="0.2">
      <c r="A624" s="2">
        <v>45103</v>
      </c>
      <c r="B624" s="1" t="s">
        <v>8</v>
      </c>
      <c r="C624" s="1">
        <v>241.05</v>
      </c>
    </row>
    <row r="625" spans="1:3" x14ac:dyDescent="0.2">
      <c r="A625" s="2">
        <v>45104</v>
      </c>
      <c r="B625" s="1" t="s">
        <v>8</v>
      </c>
      <c r="C625" s="1">
        <v>250.21</v>
      </c>
    </row>
    <row r="626" spans="1:3" x14ac:dyDescent="0.2">
      <c r="A626" s="2">
        <v>45105</v>
      </c>
      <c r="B626" s="1" t="s">
        <v>8</v>
      </c>
      <c r="C626" s="1">
        <v>256.24</v>
      </c>
    </row>
    <row r="627" spans="1:3" x14ac:dyDescent="0.2">
      <c r="A627" s="2">
        <v>45106</v>
      </c>
      <c r="B627" s="1" t="s">
        <v>8</v>
      </c>
      <c r="C627" s="1">
        <v>257.5</v>
      </c>
    </row>
    <row r="628" spans="1:3" x14ac:dyDescent="0.2">
      <c r="A628" s="2">
        <v>45107</v>
      </c>
      <c r="B628" s="1" t="s">
        <v>8</v>
      </c>
      <c r="C628" s="1">
        <v>261.77</v>
      </c>
    </row>
    <row r="629" spans="1:3" x14ac:dyDescent="0.2">
      <c r="A629" s="2">
        <v>45110</v>
      </c>
      <c r="B629" s="1" t="s">
        <v>8</v>
      </c>
      <c r="C629" s="1">
        <v>279.82</v>
      </c>
    </row>
    <row r="630" spans="1:3" x14ac:dyDescent="0.2">
      <c r="A630" s="2">
        <v>45112</v>
      </c>
      <c r="B630" s="1" t="s">
        <v>8</v>
      </c>
      <c r="C630" s="1">
        <v>282.48</v>
      </c>
    </row>
    <row r="631" spans="1:3" x14ac:dyDescent="0.2">
      <c r="A631" s="2">
        <v>45113</v>
      </c>
      <c r="B631" s="1" t="s">
        <v>8</v>
      </c>
      <c r="C631" s="1">
        <v>276.54000000000002</v>
      </c>
    </row>
    <row r="632" spans="1:3" x14ac:dyDescent="0.2">
      <c r="A632" s="2">
        <v>45114</v>
      </c>
      <c r="B632" s="1" t="s">
        <v>8</v>
      </c>
      <c r="C632" s="1">
        <v>274.43</v>
      </c>
    </row>
    <row r="633" spans="1:3" x14ac:dyDescent="0.2">
      <c r="A633" s="2">
        <v>45117</v>
      </c>
      <c r="B633" s="1" t="s">
        <v>8</v>
      </c>
      <c r="C633" s="1">
        <v>269.61</v>
      </c>
    </row>
    <row r="634" spans="1:3" x14ac:dyDescent="0.2">
      <c r="A634" s="2">
        <v>45118</v>
      </c>
      <c r="B634" s="1" t="s">
        <v>8</v>
      </c>
      <c r="C634" s="1">
        <v>269.79000000000002</v>
      </c>
    </row>
    <row r="635" spans="1:3" x14ac:dyDescent="0.2">
      <c r="A635" s="2">
        <v>45119</v>
      </c>
      <c r="B635" s="1" t="s">
        <v>8</v>
      </c>
      <c r="C635" s="1">
        <v>271.99</v>
      </c>
    </row>
    <row r="636" spans="1:3" x14ac:dyDescent="0.2">
      <c r="A636" s="2">
        <v>45120</v>
      </c>
      <c r="B636" s="1" t="s">
        <v>8</v>
      </c>
      <c r="C636" s="1">
        <v>277.89999999999998</v>
      </c>
    </row>
    <row r="637" spans="1:3" x14ac:dyDescent="0.2">
      <c r="A637" s="2">
        <v>45121</v>
      </c>
      <c r="B637" s="1" t="s">
        <v>8</v>
      </c>
      <c r="C637" s="1">
        <v>281.38</v>
      </c>
    </row>
    <row r="638" spans="1:3" x14ac:dyDescent="0.2">
      <c r="A638" s="2">
        <v>45124</v>
      </c>
      <c r="B638" s="1" t="s">
        <v>8</v>
      </c>
      <c r="C638" s="1">
        <v>290.38</v>
      </c>
    </row>
    <row r="639" spans="1:3" x14ac:dyDescent="0.2">
      <c r="A639" s="2">
        <v>45125</v>
      </c>
      <c r="B639" s="1" t="s">
        <v>8</v>
      </c>
      <c r="C639" s="1">
        <v>293.33999999999997</v>
      </c>
    </row>
    <row r="640" spans="1:3" x14ac:dyDescent="0.2">
      <c r="A640" s="2">
        <v>45126</v>
      </c>
      <c r="B640" s="1" t="s">
        <v>8</v>
      </c>
      <c r="C640" s="1">
        <v>291.26</v>
      </c>
    </row>
    <row r="641" spans="1:3" x14ac:dyDescent="0.2">
      <c r="A641" s="2">
        <v>45127</v>
      </c>
      <c r="B641" s="1" t="s">
        <v>8</v>
      </c>
      <c r="C641" s="1">
        <v>262.89999999999998</v>
      </c>
    </row>
    <row r="642" spans="1:3" x14ac:dyDescent="0.2">
      <c r="A642" s="2">
        <v>45128</v>
      </c>
      <c r="B642" s="1" t="s">
        <v>8</v>
      </c>
      <c r="C642" s="1">
        <v>260.02</v>
      </c>
    </row>
    <row r="643" spans="1:3" x14ac:dyDescent="0.2">
      <c r="A643" s="2">
        <v>45131</v>
      </c>
      <c r="B643" s="1" t="s">
        <v>8</v>
      </c>
      <c r="C643" s="1">
        <v>269.06</v>
      </c>
    </row>
    <row r="644" spans="1:3" x14ac:dyDescent="0.2">
      <c r="A644" s="2">
        <v>45132</v>
      </c>
      <c r="B644" s="1" t="s">
        <v>8</v>
      </c>
      <c r="C644" s="1">
        <v>265.27999999999997</v>
      </c>
    </row>
    <row r="645" spans="1:3" x14ac:dyDescent="0.2">
      <c r="A645" s="2">
        <v>45133</v>
      </c>
      <c r="B645" s="1" t="s">
        <v>8</v>
      </c>
      <c r="C645" s="1">
        <v>264.35000000000002</v>
      </c>
    </row>
    <row r="646" spans="1:3" x14ac:dyDescent="0.2">
      <c r="A646" s="2">
        <v>45134</v>
      </c>
      <c r="B646" s="1" t="s">
        <v>8</v>
      </c>
      <c r="C646" s="1">
        <v>255.71</v>
      </c>
    </row>
    <row r="647" spans="1:3" x14ac:dyDescent="0.2">
      <c r="A647" s="2">
        <v>45135</v>
      </c>
      <c r="B647" s="1" t="s">
        <v>8</v>
      </c>
      <c r="C647" s="1">
        <v>266.44</v>
      </c>
    </row>
    <row r="648" spans="1:3" x14ac:dyDescent="0.2">
      <c r="A648" s="2">
        <v>45138</v>
      </c>
      <c r="B648" s="1" t="s">
        <v>8</v>
      </c>
      <c r="C648" s="1">
        <v>267.43</v>
      </c>
    </row>
    <row r="649" spans="1:3" x14ac:dyDescent="0.2">
      <c r="A649" s="2">
        <v>45139</v>
      </c>
      <c r="B649" s="1" t="s">
        <v>8</v>
      </c>
      <c r="C649" s="1">
        <v>261.07</v>
      </c>
    </row>
    <row r="650" spans="1:3" x14ac:dyDescent="0.2">
      <c r="A650" s="2">
        <v>45140</v>
      </c>
      <c r="B650" s="1" t="s">
        <v>8</v>
      </c>
      <c r="C650" s="1">
        <v>254.11</v>
      </c>
    </row>
    <row r="651" spans="1:3" x14ac:dyDescent="0.2">
      <c r="A651" s="2">
        <v>45141</v>
      </c>
      <c r="B651" s="1" t="s">
        <v>8</v>
      </c>
      <c r="C651" s="1">
        <v>259.32</v>
      </c>
    </row>
    <row r="652" spans="1:3" x14ac:dyDescent="0.2">
      <c r="A652" s="2">
        <v>45142</v>
      </c>
      <c r="B652" s="1" t="s">
        <v>8</v>
      </c>
      <c r="C652" s="1">
        <v>253.86</v>
      </c>
    </row>
    <row r="653" spans="1:3" x14ac:dyDescent="0.2">
      <c r="A653" s="2">
        <v>45145</v>
      </c>
      <c r="B653" s="1" t="s">
        <v>8</v>
      </c>
      <c r="C653" s="1">
        <v>251.45</v>
      </c>
    </row>
    <row r="654" spans="1:3" x14ac:dyDescent="0.2">
      <c r="A654" s="2">
        <v>45146</v>
      </c>
      <c r="B654" s="1" t="s">
        <v>8</v>
      </c>
      <c r="C654" s="1">
        <v>249.7</v>
      </c>
    </row>
    <row r="655" spans="1:3" x14ac:dyDescent="0.2">
      <c r="A655" s="2">
        <v>45147</v>
      </c>
      <c r="B655" s="1" t="s">
        <v>8</v>
      </c>
      <c r="C655" s="1">
        <v>242.19</v>
      </c>
    </row>
    <row r="656" spans="1:3" x14ac:dyDescent="0.2">
      <c r="A656" s="2">
        <v>45148</v>
      </c>
      <c r="B656" s="1" t="s">
        <v>8</v>
      </c>
      <c r="C656" s="1">
        <v>245.34</v>
      </c>
    </row>
    <row r="657" spans="1:3" x14ac:dyDescent="0.2">
      <c r="A657" s="2">
        <v>45149</v>
      </c>
      <c r="B657" s="1" t="s">
        <v>8</v>
      </c>
      <c r="C657" s="1">
        <v>242.65</v>
      </c>
    </row>
    <row r="658" spans="1:3" x14ac:dyDescent="0.2">
      <c r="A658" s="2">
        <v>45152</v>
      </c>
      <c r="B658" s="1" t="s">
        <v>8</v>
      </c>
      <c r="C658" s="1">
        <v>239.76</v>
      </c>
    </row>
    <row r="659" spans="1:3" x14ac:dyDescent="0.2">
      <c r="A659" s="2">
        <v>45153</v>
      </c>
      <c r="B659" s="1" t="s">
        <v>8</v>
      </c>
      <c r="C659" s="1">
        <v>232.96</v>
      </c>
    </row>
    <row r="660" spans="1:3" x14ac:dyDescent="0.2">
      <c r="A660" s="2">
        <v>45154</v>
      </c>
      <c r="B660" s="1" t="s">
        <v>8</v>
      </c>
      <c r="C660" s="1">
        <v>225.6</v>
      </c>
    </row>
    <row r="661" spans="1:3" x14ac:dyDescent="0.2">
      <c r="A661" s="2">
        <v>45155</v>
      </c>
      <c r="B661" s="1" t="s">
        <v>8</v>
      </c>
      <c r="C661" s="1">
        <v>219.22</v>
      </c>
    </row>
    <row r="662" spans="1:3" x14ac:dyDescent="0.2">
      <c r="A662" s="2">
        <v>45156</v>
      </c>
      <c r="B662" s="1" t="s">
        <v>8</v>
      </c>
      <c r="C662" s="1">
        <v>215.49</v>
      </c>
    </row>
    <row r="663" spans="1:3" x14ac:dyDescent="0.2">
      <c r="A663" s="2">
        <v>45159</v>
      </c>
      <c r="B663" s="1" t="s">
        <v>8</v>
      </c>
      <c r="C663" s="1">
        <v>231.28</v>
      </c>
    </row>
    <row r="664" spans="1:3" x14ac:dyDescent="0.2">
      <c r="A664" s="2">
        <v>45160</v>
      </c>
      <c r="B664" s="1" t="s">
        <v>8</v>
      </c>
      <c r="C664" s="1">
        <v>233.19</v>
      </c>
    </row>
    <row r="665" spans="1:3" x14ac:dyDescent="0.2">
      <c r="A665" s="2">
        <v>45161</v>
      </c>
      <c r="B665" s="1" t="s">
        <v>8</v>
      </c>
      <c r="C665" s="1">
        <v>236.86</v>
      </c>
    </row>
    <row r="666" spans="1:3" x14ac:dyDescent="0.2">
      <c r="A666" s="2">
        <v>45162</v>
      </c>
      <c r="B666" s="1" t="s">
        <v>8</v>
      </c>
      <c r="C666" s="1">
        <v>230.04</v>
      </c>
    </row>
    <row r="667" spans="1:3" x14ac:dyDescent="0.2">
      <c r="A667" s="2">
        <v>45163</v>
      </c>
      <c r="B667" s="1" t="s">
        <v>8</v>
      </c>
      <c r="C667" s="1">
        <v>238.59</v>
      </c>
    </row>
    <row r="668" spans="1:3" x14ac:dyDescent="0.2">
      <c r="A668" s="2">
        <v>45166</v>
      </c>
      <c r="B668" s="1" t="s">
        <v>8</v>
      </c>
      <c r="C668" s="1">
        <v>238.82</v>
      </c>
    </row>
    <row r="669" spans="1:3" x14ac:dyDescent="0.2">
      <c r="A669" s="2">
        <v>45167</v>
      </c>
      <c r="B669" s="1" t="s">
        <v>8</v>
      </c>
      <c r="C669" s="1">
        <v>257.18</v>
      </c>
    </row>
    <row r="670" spans="1:3" x14ac:dyDescent="0.2">
      <c r="A670" s="2">
        <v>45168</v>
      </c>
      <c r="B670" s="1" t="s">
        <v>8</v>
      </c>
      <c r="C670" s="1">
        <v>256.89999999999998</v>
      </c>
    </row>
    <row r="671" spans="1:3" x14ac:dyDescent="0.2">
      <c r="A671" s="2">
        <v>45169</v>
      </c>
      <c r="B671" s="1" t="s">
        <v>8</v>
      </c>
      <c r="C671" s="1">
        <v>258.08</v>
      </c>
    </row>
    <row r="672" spans="1:3" x14ac:dyDescent="0.2">
      <c r="A672" s="2">
        <v>45170</v>
      </c>
      <c r="B672" s="1" t="s">
        <v>8</v>
      </c>
      <c r="C672" s="1">
        <v>245.01</v>
      </c>
    </row>
    <row r="673" spans="1:3" x14ac:dyDescent="0.2">
      <c r="A673" s="2">
        <v>45174</v>
      </c>
      <c r="B673" s="1" t="s">
        <v>8</v>
      </c>
      <c r="C673" s="1">
        <v>256.49</v>
      </c>
    </row>
    <row r="674" spans="1:3" x14ac:dyDescent="0.2">
      <c r="A674" s="2">
        <v>45175</v>
      </c>
      <c r="B674" s="1" t="s">
        <v>8</v>
      </c>
      <c r="C674" s="1">
        <v>251.92</v>
      </c>
    </row>
    <row r="675" spans="1:3" x14ac:dyDescent="0.2">
      <c r="A675" s="2">
        <v>45176</v>
      </c>
      <c r="B675" s="1" t="s">
        <v>8</v>
      </c>
      <c r="C675" s="1">
        <v>251.49</v>
      </c>
    </row>
    <row r="676" spans="1:3" x14ac:dyDescent="0.2">
      <c r="A676" s="2">
        <v>45177</v>
      </c>
      <c r="B676" s="1" t="s">
        <v>8</v>
      </c>
      <c r="C676" s="1">
        <v>248.5</v>
      </c>
    </row>
    <row r="677" spans="1:3" x14ac:dyDescent="0.2">
      <c r="A677" s="2">
        <v>45180</v>
      </c>
      <c r="B677" s="1" t="s">
        <v>8</v>
      </c>
      <c r="C677" s="1">
        <v>273.58</v>
      </c>
    </row>
    <row r="678" spans="1:3" x14ac:dyDescent="0.2">
      <c r="A678" s="2">
        <v>45181</v>
      </c>
      <c r="B678" s="1" t="s">
        <v>8</v>
      </c>
      <c r="C678" s="1">
        <v>267.48</v>
      </c>
    </row>
    <row r="679" spans="1:3" x14ac:dyDescent="0.2">
      <c r="A679" s="2">
        <v>45182</v>
      </c>
      <c r="B679" s="1" t="s">
        <v>8</v>
      </c>
      <c r="C679" s="1">
        <v>271.3</v>
      </c>
    </row>
    <row r="680" spans="1:3" x14ac:dyDescent="0.2">
      <c r="A680" s="2">
        <v>45183</v>
      </c>
      <c r="B680" s="1" t="s">
        <v>8</v>
      </c>
      <c r="C680" s="1">
        <v>276.04000000000002</v>
      </c>
    </row>
    <row r="681" spans="1:3" x14ac:dyDescent="0.2">
      <c r="A681" s="2">
        <v>45184</v>
      </c>
      <c r="B681" s="1" t="s">
        <v>8</v>
      </c>
      <c r="C681" s="1">
        <v>274.39</v>
      </c>
    </row>
    <row r="682" spans="1:3" x14ac:dyDescent="0.2">
      <c r="A682" s="2">
        <v>45187</v>
      </c>
      <c r="B682" s="1" t="s">
        <v>8</v>
      </c>
      <c r="C682" s="1">
        <v>265.27999999999997</v>
      </c>
    </row>
    <row r="683" spans="1:3" x14ac:dyDescent="0.2">
      <c r="A683" s="2">
        <v>45188</v>
      </c>
      <c r="B683" s="1" t="s">
        <v>8</v>
      </c>
      <c r="C683" s="1">
        <v>266.5</v>
      </c>
    </row>
    <row r="684" spans="1:3" x14ac:dyDescent="0.2">
      <c r="A684" s="2">
        <v>45189</v>
      </c>
      <c r="B684" s="1" t="s">
        <v>8</v>
      </c>
      <c r="C684" s="1">
        <v>262.58999999999997</v>
      </c>
    </row>
    <row r="685" spans="1:3" x14ac:dyDescent="0.2">
      <c r="A685" s="2">
        <v>45190</v>
      </c>
      <c r="B685" s="1" t="s">
        <v>8</v>
      </c>
      <c r="C685" s="1">
        <v>255.7</v>
      </c>
    </row>
    <row r="686" spans="1:3" x14ac:dyDescent="0.2">
      <c r="A686" s="2">
        <v>45191</v>
      </c>
      <c r="B686" s="1" t="s">
        <v>8</v>
      </c>
      <c r="C686" s="1">
        <v>244.88</v>
      </c>
    </row>
    <row r="687" spans="1:3" x14ac:dyDescent="0.2">
      <c r="A687" s="2">
        <v>45194</v>
      </c>
      <c r="B687" s="1" t="s">
        <v>8</v>
      </c>
      <c r="C687" s="1">
        <v>246.99</v>
      </c>
    </row>
    <row r="688" spans="1:3" x14ac:dyDescent="0.2">
      <c r="A688" s="2">
        <v>45195</v>
      </c>
      <c r="B688" s="1" t="s">
        <v>8</v>
      </c>
      <c r="C688" s="1">
        <v>244.12</v>
      </c>
    </row>
    <row r="689" spans="1:3" x14ac:dyDescent="0.2">
      <c r="A689" s="2">
        <v>45196</v>
      </c>
      <c r="B689" s="1" t="s">
        <v>8</v>
      </c>
      <c r="C689" s="1">
        <v>240.5</v>
      </c>
    </row>
    <row r="690" spans="1:3" x14ac:dyDescent="0.2">
      <c r="A690" s="2">
        <v>45197</v>
      </c>
      <c r="B690" s="1" t="s">
        <v>8</v>
      </c>
      <c r="C690" s="1">
        <v>246.38</v>
      </c>
    </row>
    <row r="691" spans="1:3" x14ac:dyDescent="0.2">
      <c r="A691" s="2">
        <v>45198</v>
      </c>
      <c r="B691" s="1" t="s">
        <v>8</v>
      </c>
      <c r="C691" s="1">
        <v>250.22</v>
      </c>
    </row>
    <row r="692" spans="1:3" x14ac:dyDescent="0.2">
      <c r="A692" s="2">
        <v>45201</v>
      </c>
      <c r="B692" s="1" t="s">
        <v>8</v>
      </c>
      <c r="C692" s="1">
        <v>251.6</v>
      </c>
    </row>
    <row r="693" spans="1:3" x14ac:dyDescent="0.2">
      <c r="A693" s="2">
        <v>45202</v>
      </c>
      <c r="B693" s="1" t="s">
        <v>8</v>
      </c>
      <c r="C693" s="1">
        <v>246.53</v>
      </c>
    </row>
    <row r="694" spans="1:3" x14ac:dyDescent="0.2">
      <c r="A694" s="2">
        <v>45203</v>
      </c>
      <c r="B694" s="1" t="s">
        <v>8</v>
      </c>
      <c r="C694" s="1">
        <v>261.16000000000003</v>
      </c>
    </row>
    <row r="695" spans="1:3" x14ac:dyDescent="0.2">
      <c r="A695" s="2">
        <v>45204</v>
      </c>
      <c r="B695" s="1" t="s">
        <v>8</v>
      </c>
      <c r="C695" s="1">
        <v>260.05</v>
      </c>
    </row>
    <row r="696" spans="1:3" x14ac:dyDescent="0.2">
      <c r="A696" s="2">
        <v>45205</v>
      </c>
      <c r="B696" s="1" t="s">
        <v>8</v>
      </c>
      <c r="C696" s="1">
        <v>260.52999999999997</v>
      </c>
    </row>
    <row r="697" spans="1:3" x14ac:dyDescent="0.2">
      <c r="A697" s="2">
        <v>45208</v>
      </c>
      <c r="B697" s="1" t="s">
        <v>8</v>
      </c>
      <c r="C697" s="1">
        <v>259.67</v>
      </c>
    </row>
    <row r="698" spans="1:3" x14ac:dyDescent="0.2">
      <c r="A698" s="2">
        <v>45209</v>
      </c>
      <c r="B698" s="1" t="s">
        <v>8</v>
      </c>
      <c r="C698" s="1">
        <v>263.62</v>
      </c>
    </row>
    <row r="699" spans="1:3" x14ac:dyDescent="0.2">
      <c r="A699" s="2">
        <v>45210</v>
      </c>
      <c r="B699" s="1" t="s">
        <v>8</v>
      </c>
      <c r="C699" s="1">
        <v>262.99</v>
      </c>
    </row>
    <row r="700" spans="1:3" x14ac:dyDescent="0.2">
      <c r="A700" s="2">
        <v>45211</v>
      </c>
      <c r="B700" s="1" t="s">
        <v>8</v>
      </c>
      <c r="C700" s="1">
        <v>258.87</v>
      </c>
    </row>
    <row r="701" spans="1:3" x14ac:dyDescent="0.2">
      <c r="A701" s="2">
        <v>45212</v>
      </c>
      <c r="B701" s="1" t="s">
        <v>8</v>
      </c>
      <c r="C701" s="1">
        <v>251.12</v>
      </c>
    </row>
    <row r="702" spans="1:3" x14ac:dyDescent="0.2">
      <c r="A702" s="2">
        <v>45215</v>
      </c>
      <c r="B702" s="1" t="s">
        <v>8</v>
      </c>
      <c r="C702" s="1">
        <v>253.92</v>
      </c>
    </row>
    <row r="703" spans="1:3" x14ac:dyDescent="0.2">
      <c r="A703" s="2">
        <v>45216</v>
      </c>
      <c r="B703" s="1" t="s">
        <v>8</v>
      </c>
      <c r="C703" s="1">
        <v>254.85</v>
      </c>
    </row>
    <row r="704" spans="1:3" x14ac:dyDescent="0.2">
      <c r="A704" s="2">
        <v>45217</v>
      </c>
      <c r="B704" s="1" t="s">
        <v>8</v>
      </c>
      <c r="C704" s="1">
        <v>242.68</v>
      </c>
    </row>
    <row r="705" spans="1:3" x14ac:dyDescent="0.2">
      <c r="A705" s="2">
        <v>45218</v>
      </c>
      <c r="B705" s="1" t="s">
        <v>8</v>
      </c>
      <c r="C705" s="1">
        <v>220.11</v>
      </c>
    </row>
    <row r="706" spans="1:3" x14ac:dyDescent="0.2">
      <c r="A706" s="2">
        <v>45219</v>
      </c>
      <c r="B706" s="1" t="s">
        <v>8</v>
      </c>
      <c r="C706" s="1">
        <v>211.99</v>
      </c>
    </row>
    <row r="707" spans="1:3" x14ac:dyDescent="0.2">
      <c r="A707" s="2">
        <v>45222</v>
      </c>
      <c r="B707" s="1" t="s">
        <v>8</v>
      </c>
      <c r="C707" s="1">
        <v>212.08</v>
      </c>
    </row>
    <row r="708" spans="1:3" x14ac:dyDescent="0.2">
      <c r="A708" s="2">
        <v>45223</v>
      </c>
      <c r="B708" s="1" t="s">
        <v>8</v>
      </c>
      <c r="C708" s="1">
        <v>216.52</v>
      </c>
    </row>
    <row r="709" spans="1:3" x14ac:dyDescent="0.2">
      <c r="A709" s="2">
        <v>45224</v>
      </c>
      <c r="B709" s="1" t="s">
        <v>8</v>
      </c>
      <c r="C709" s="1">
        <v>212.42</v>
      </c>
    </row>
    <row r="710" spans="1:3" x14ac:dyDescent="0.2">
      <c r="A710" s="2">
        <v>45225</v>
      </c>
      <c r="B710" s="1" t="s">
        <v>8</v>
      </c>
      <c r="C710" s="1">
        <v>205.76</v>
      </c>
    </row>
    <row r="711" spans="1:3" x14ac:dyDescent="0.2">
      <c r="A711" s="2">
        <v>45226</v>
      </c>
      <c r="B711" s="1" t="s">
        <v>8</v>
      </c>
      <c r="C711" s="1">
        <v>207.3</v>
      </c>
    </row>
    <row r="712" spans="1:3" x14ac:dyDescent="0.2">
      <c r="A712" s="2">
        <v>45229</v>
      </c>
      <c r="B712" s="1" t="s">
        <v>8</v>
      </c>
      <c r="C712" s="1">
        <v>197.36</v>
      </c>
    </row>
    <row r="713" spans="1:3" x14ac:dyDescent="0.2">
      <c r="A713" s="2">
        <v>45230</v>
      </c>
      <c r="B713" s="1" t="s">
        <v>8</v>
      </c>
      <c r="C713" s="1">
        <v>200.84</v>
      </c>
    </row>
    <row r="714" spans="1:3" x14ac:dyDescent="0.2">
      <c r="A714" s="2">
        <v>45231</v>
      </c>
      <c r="B714" s="1" t="s">
        <v>8</v>
      </c>
      <c r="C714" s="1">
        <v>205.66</v>
      </c>
    </row>
    <row r="715" spans="1:3" x14ac:dyDescent="0.2">
      <c r="A715" s="2">
        <v>45232</v>
      </c>
      <c r="B715" s="1" t="s">
        <v>8</v>
      </c>
      <c r="C715" s="1">
        <v>218.51</v>
      </c>
    </row>
    <row r="716" spans="1:3" x14ac:dyDescent="0.2">
      <c r="A716" s="2">
        <v>45233</v>
      </c>
      <c r="B716" s="1" t="s">
        <v>8</v>
      </c>
      <c r="C716" s="1">
        <v>219.96</v>
      </c>
    </row>
    <row r="717" spans="1:3" x14ac:dyDescent="0.2">
      <c r="A717" s="2">
        <v>45236</v>
      </c>
      <c r="B717" s="1" t="s">
        <v>8</v>
      </c>
      <c r="C717" s="1">
        <v>219.27</v>
      </c>
    </row>
    <row r="718" spans="1:3" x14ac:dyDescent="0.2">
      <c r="A718" s="2">
        <v>45237</v>
      </c>
      <c r="B718" s="1" t="s">
        <v>8</v>
      </c>
      <c r="C718" s="1">
        <v>222.18</v>
      </c>
    </row>
    <row r="719" spans="1:3" x14ac:dyDescent="0.2">
      <c r="A719" s="2">
        <v>45238</v>
      </c>
      <c r="B719" s="1" t="s">
        <v>8</v>
      </c>
      <c r="C719" s="1">
        <v>222.11</v>
      </c>
    </row>
    <row r="720" spans="1:3" x14ac:dyDescent="0.2">
      <c r="A720" s="2">
        <v>45239</v>
      </c>
      <c r="B720" s="1" t="s">
        <v>8</v>
      </c>
      <c r="C720" s="1">
        <v>209.98</v>
      </c>
    </row>
    <row r="721" spans="1:3" x14ac:dyDescent="0.2">
      <c r="A721" s="2">
        <v>45240</v>
      </c>
      <c r="B721" s="1" t="s">
        <v>8</v>
      </c>
      <c r="C721" s="1">
        <v>214.65</v>
      </c>
    </row>
    <row r="722" spans="1:3" x14ac:dyDescent="0.2">
      <c r="A722" s="2">
        <v>45243</v>
      </c>
      <c r="B722" s="1" t="s">
        <v>8</v>
      </c>
      <c r="C722" s="1">
        <v>223.71</v>
      </c>
    </row>
    <row r="723" spans="1:3" x14ac:dyDescent="0.2">
      <c r="A723" s="2">
        <v>45244</v>
      </c>
      <c r="B723" s="1" t="s">
        <v>8</v>
      </c>
      <c r="C723" s="1">
        <v>237.41</v>
      </c>
    </row>
    <row r="724" spans="1:3" x14ac:dyDescent="0.2">
      <c r="A724" s="2">
        <v>45245</v>
      </c>
      <c r="B724" s="1" t="s">
        <v>8</v>
      </c>
      <c r="C724" s="1">
        <v>242.84</v>
      </c>
    </row>
    <row r="725" spans="1:3" x14ac:dyDescent="0.2">
      <c r="A725" s="2">
        <v>45246</v>
      </c>
      <c r="B725" s="1" t="s">
        <v>8</v>
      </c>
      <c r="C725" s="1">
        <v>233.59</v>
      </c>
    </row>
    <row r="726" spans="1:3" x14ac:dyDescent="0.2">
      <c r="A726" s="2">
        <v>45247</v>
      </c>
      <c r="B726" s="1" t="s">
        <v>8</v>
      </c>
      <c r="C726" s="1">
        <v>234.3</v>
      </c>
    </row>
    <row r="727" spans="1:3" x14ac:dyDescent="0.2">
      <c r="A727" s="2">
        <v>45250</v>
      </c>
      <c r="B727" s="1" t="s">
        <v>8</v>
      </c>
      <c r="C727" s="1">
        <v>235.6</v>
      </c>
    </row>
    <row r="728" spans="1:3" x14ac:dyDescent="0.2">
      <c r="A728" s="2">
        <v>45251</v>
      </c>
      <c r="B728" s="1" t="s">
        <v>8</v>
      </c>
      <c r="C728" s="1">
        <v>241.2</v>
      </c>
    </row>
    <row r="729" spans="1:3" x14ac:dyDescent="0.2">
      <c r="A729" s="2">
        <v>45252</v>
      </c>
      <c r="B729" s="1" t="s">
        <v>8</v>
      </c>
      <c r="C729" s="1">
        <v>234.21</v>
      </c>
    </row>
    <row r="730" spans="1:3" x14ac:dyDescent="0.2">
      <c r="A730" s="2">
        <v>45254</v>
      </c>
      <c r="B730" s="1" t="s">
        <v>8</v>
      </c>
      <c r="C730" s="1">
        <v>235.45</v>
      </c>
    </row>
    <row r="731" spans="1:3" x14ac:dyDescent="0.2">
      <c r="A731" s="2">
        <v>45257</v>
      </c>
      <c r="B731" s="1" t="s">
        <v>8</v>
      </c>
      <c r="C731" s="1">
        <v>236.08</v>
      </c>
    </row>
    <row r="732" spans="1:3" x14ac:dyDescent="0.2">
      <c r="A732" s="2">
        <v>45258</v>
      </c>
      <c r="B732" s="1" t="s">
        <v>8</v>
      </c>
      <c r="C732" s="1">
        <v>246.72</v>
      </c>
    </row>
    <row r="733" spans="1:3" x14ac:dyDescent="0.2">
      <c r="A733" s="2">
        <v>45259</v>
      </c>
      <c r="B733" s="1" t="s">
        <v>8</v>
      </c>
      <c r="C733" s="1">
        <v>244.14</v>
      </c>
    </row>
    <row r="734" spans="1:3" x14ac:dyDescent="0.2">
      <c r="A734" s="2">
        <v>45260</v>
      </c>
      <c r="B734" s="1" t="s">
        <v>8</v>
      </c>
      <c r="C734" s="1">
        <v>240.08</v>
      </c>
    </row>
    <row r="735" spans="1:3" x14ac:dyDescent="0.2">
      <c r="A735" s="2">
        <v>45261</v>
      </c>
      <c r="B735" s="1" t="s">
        <v>8</v>
      </c>
      <c r="C735" s="1">
        <v>238.83</v>
      </c>
    </row>
    <row r="736" spans="1:3" x14ac:dyDescent="0.2">
      <c r="A736" s="2">
        <v>45264</v>
      </c>
      <c r="B736" s="1" t="s">
        <v>8</v>
      </c>
      <c r="C736" s="1">
        <v>235.58</v>
      </c>
    </row>
    <row r="737" spans="1:3" x14ac:dyDescent="0.2">
      <c r="A737" s="2">
        <v>45265</v>
      </c>
      <c r="B737" s="1" t="s">
        <v>8</v>
      </c>
      <c r="C737" s="1">
        <v>238.72</v>
      </c>
    </row>
    <row r="738" spans="1:3" x14ac:dyDescent="0.2">
      <c r="A738" s="2">
        <v>45266</v>
      </c>
      <c r="B738" s="1" t="s">
        <v>8</v>
      </c>
      <c r="C738" s="1">
        <v>239.37</v>
      </c>
    </row>
    <row r="739" spans="1:3" x14ac:dyDescent="0.2">
      <c r="A739" s="2">
        <v>45267</v>
      </c>
      <c r="B739" s="1" t="s">
        <v>8</v>
      </c>
      <c r="C739" s="1">
        <v>242.64</v>
      </c>
    </row>
    <row r="740" spans="1:3" x14ac:dyDescent="0.2">
      <c r="A740" s="2">
        <v>45268</v>
      </c>
      <c r="B740" s="1" t="s">
        <v>8</v>
      </c>
      <c r="C740" s="1">
        <v>243.84</v>
      </c>
    </row>
    <row r="741" spans="1:3" x14ac:dyDescent="0.2">
      <c r="A741" s="2">
        <v>45271</v>
      </c>
      <c r="B741" s="1" t="s">
        <v>8</v>
      </c>
      <c r="C741" s="1">
        <v>239.74</v>
      </c>
    </row>
    <row r="742" spans="1:3" x14ac:dyDescent="0.2">
      <c r="A742" s="2">
        <v>45272</v>
      </c>
      <c r="B742" s="1" t="s">
        <v>8</v>
      </c>
      <c r="C742" s="1">
        <v>237.01</v>
      </c>
    </row>
    <row r="743" spans="1:3" x14ac:dyDescent="0.2">
      <c r="A743" s="2">
        <v>45273</v>
      </c>
      <c r="B743" s="1" t="s">
        <v>8</v>
      </c>
      <c r="C743" s="1">
        <v>239.29</v>
      </c>
    </row>
    <row r="744" spans="1:3" x14ac:dyDescent="0.2">
      <c r="A744" s="2">
        <v>45274</v>
      </c>
      <c r="B744" s="1" t="s">
        <v>8</v>
      </c>
      <c r="C744" s="1">
        <v>251.05</v>
      </c>
    </row>
    <row r="745" spans="1:3" x14ac:dyDescent="0.2">
      <c r="A745" s="2">
        <v>45275</v>
      </c>
      <c r="B745" s="1" t="s">
        <v>8</v>
      </c>
      <c r="C745" s="1">
        <v>253.5</v>
      </c>
    </row>
    <row r="746" spans="1:3" x14ac:dyDescent="0.2">
      <c r="A746" s="2">
        <v>45278</v>
      </c>
      <c r="B746" s="1" t="s">
        <v>8</v>
      </c>
      <c r="C746" s="1">
        <v>252.08</v>
      </c>
    </row>
    <row r="747" spans="1:3" x14ac:dyDescent="0.2">
      <c r="A747" s="2">
        <v>45279</v>
      </c>
      <c r="B747" s="1" t="s">
        <v>8</v>
      </c>
      <c r="C747" s="1">
        <v>257.22000000000003</v>
      </c>
    </row>
    <row r="748" spans="1:3" x14ac:dyDescent="0.2">
      <c r="A748" s="2">
        <v>45280</v>
      </c>
      <c r="B748" s="1" t="s">
        <v>8</v>
      </c>
      <c r="C748" s="1">
        <v>247.14</v>
      </c>
    </row>
    <row r="749" spans="1:3" x14ac:dyDescent="0.2">
      <c r="A749" s="2">
        <v>45281</v>
      </c>
      <c r="B749" s="1" t="s">
        <v>8</v>
      </c>
      <c r="C749" s="1">
        <v>254.5</v>
      </c>
    </row>
    <row r="750" spans="1:3" x14ac:dyDescent="0.2">
      <c r="A750" s="2">
        <v>45282</v>
      </c>
      <c r="B750" s="1" t="s">
        <v>8</v>
      </c>
      <c r="C750" s="1">
        <v>252.54</v>
      </c>
    </row>
    <row r="751" spans="1:3" x14ac:dyDescent="0.2">
      <c r="A751" s="2">
        <v>45286</v>
      </c>
      <c r="B751" s="1" t="s">
        <v>8</v>
      </c>
      <c r="C751" s="1">
        <v>256.61</v>
      </c>
    </row>
    <row r="752" spans="1:3" x14ac:dyDescent="0.2">
      <c r="A752" s="2">
        <v>45287</v>
      </c>
      <c r="B752" s="1" t="s">
        <v>8</v>
      </c>
      <c r="C752" s="1">
        <v>261.44</v>
      </c>
    </row>
    <row r="753" spans="1:3" x14ac:dyDescent="0.2">
      <c r="A753" s="2">
        <v>45288</v>
      </c>
      <c r="B753" s="1" t="s">
        <v>8</v>
      </c>
      <c r="C753" s="1">
        <v>253.18</v>
      </c>
    </row>
    <row r="754" spans="1:3" x14ac:dyDescent="0.2">
      <c r="A754" s="2">
        <v>45289</v>
      </c>
      <c r="B754" s="1" t="s">
        <v>8</v>
      </c>
      <c r="C754" s="1">
        <v>248.48</v>
      </c>
    </row>
    <row r="755" spans="1:3" x14ac:dyDescent="0.2">
      <c r="A755" s="2">
        <v>45293</v>
      </c>
      <c r="B755" s="1" t="s">
        <v>8</v>
      </c>
      <c r="C755" s="1">
        <v>248.42</v>
      </c>
    </row>
    <row r="756" spans="1:3" x14ac:dyDescent="0.2">
      <c r="A756" s="2">
        <v>45294</v>
      </c>
      <c r="B756" s="1" t="s">
        <v>8</v>
      </c>
      <c r="C756" s="1">
        <v>238.45</v>
      </c>
    </row>
    <row r="757" spans="1:3" x14ac:dyDescent="0.2">
      <c r="A757" s="2">
        <v>45295</v>
      </c>
      <c r="B757" s="1" t="s">
        <v>8</v>
      </c>
      <c r="C757" s="1">
        <v>237.93</v>
      </c>
    </row>
    <row r="758" spans="1:3" x14ac:dyDescent="0.2">
      <c r="A758" s="2">
        <v>45296</v>
      </c>
      <c r="B758" s="1" t="s">
        <v>8</v>
      </c>
      <c r="C758" s="1">
        <v>237.49</v>
      </c>
    </row>
    <row r="759" spans="1:3" x14ac:dyDescent="0.2">
      <c r="A759" s="2">
        <v>45299</v>
      </c>
      <c r="B759" s="1" t="s">
        <v>8</v>
      </c>
      <c r="C759" s="1">
        <v>240.45</v>
      </c>
    </row>
    <row r="760" spans="1:3" x14ac:dyDescent="0.2">
      <c r="A760" s="2">
        <v>45300</v>
      </c>
      <c r="B760" s="1" t="s">
        <v>8</v>
      </c>
      <c r="C760" s="1">
        <v>234.96</v>
      </c>
    </row>
    <row r="761" spans="1:3" x14ac:dyDescent="0.2">
      <c r="A761" s="2">
        <v>45301</v>
      </c>
      <c r="B761" s="1" t="s">
        <v>8</v>
      </c>
      <c r="C761" s="1">
        <v>233.94</v>
      </c>
    </row>
    <row r="762" spans="1:3" x14ac:dyDescent="0.2">
      <c r="A762" s="2">
        <v>45302</v>
      </c>
      <c r="B762" s="1" t="s">
        <v>8</v>
      </c>
      <c r="C762" s="1">
        <v>227.22</v>
      </c>
    </row>
    <row r="763" spans="1:3" x14ac:dyDescent="0.2">
      <c r="A763" s="2">
        <v>45303</v>
      </c>
      <c r="B763" s="1" t="s">
        <v>8</v>
      </c>
      <c r="C763" s="1">
        <v>218.89</v>
      </c>
    </row>
    <row r="764" spans="1:3" x14ac:dyDescent="0.2">
      <c r="A764" s="2">
        <v>45307</v>
      </c>
      <c r="B764" s="1" t="s">
        <v>8</v>
      </c>
      <c r="C764" s="1">
        <v>219.91</v>
      </c>
    </row>
    <row r="765" spans="1:3" x14ac:dyDescent="0.2">
      <c r="A765" s="2">
        <v>45308</v>
      </c>
      <c r="B765" s="1" t="s">
        <v>8</v>
      </c>
      <c r="C765" s="1">
        <v>215.55</v>
      </c>
    </row>
    <row r="766" spans="1:3" x14ac:dyDescent="0.2">
      <c r="A766" s="2">
        <v>45309</v>
      </c>
      <c r="B766" s="1" t="s">
        <v>8</v>
      </c>
      <c r="C766" s="1">
        <v>211.88</v>
      </c>
    </row>
    <row r="767" spans="1:3" x14ac:dyDescent="0.2">
      <c r="A767" s="2">
        <v>45310</v>
      </c>
      <c r="B767" s="1" t="s">
        <v>8</v>
      </c>
      <c r="C767" s="1">
        <v>212.19</v>
      </c>
    </row>
    <row r="768" spans="1:3" x14ac:dyDescent="0.2">
      <c r="A768" s="2">
        <v>45313</v>
      </c>
      <c r="B768" s="1" t="s">
        <v>8</v>
      </c>
      <c r="C768" s="1">
        <v>208.8</v>
      </c>
    </row>
    <row r="769" spans="1:3" x14ac:dyDescent="0.2">
      <c r="A769" s="2">
        <v>45314</v>
      </c>
      <c r="B769" s="1" t="s">
        <v>8</v>
      </c>
      <c r="C769" s="1">
        <v>209.14</v>
      </c>
    </row>
    <row r="770" spans="1:3" x14ac:dyDescent="0.2">
      <c r="A770" s="2">
        <v>45315</v>
      </c>
      <c r="B770" s="1" t="s">
        <v>8</v>
      </c>
      <c r="C770" s="1">
        <v>207.83</v>
      </c>
    </row>
    <row r="771" spans="1:3" x14ac:dyDescent="0.2">
      <c r="A771" s="2">
        <v>45316</v>
      </c>
      <c r="B771" s="1" t="s">
        <v>8</v>
      </c>
      <c r="C771" s="1">
        <v>182.63</v>
      </c>
    </row>
    <row r="772" spans="1:3" x14ac:dyDescent="0.2">
      <c r="A772" s="2">
        <v>45317</v>
      </c>
      <c r="B772" s="1" t="s">
        <v>8</v>
      </c>
      <c r="C772" s="1">
        <v>183.25</v>
      </c>
    </row>
    <row r="773" spans="1:3" x14ac:dyDescent="0.2">
      <c r="A773" s="2">
        <v>45320</v>
      </c>
      <c r="B773" s="1" t="s">
        <v>8</v>
      </c>
      <c r="C773" s="1">
        <v>190.93</v>
      </c>
    </row>
    <row r="774" spans="1:3" x14ac:dyDescent="0.2">
      <c r="A774" s="2">
        <v>45321</v>
      </c>
      <c r="B774" s="1" t="s">
        <v>8</v>
      </c>
      <c r="C774" s="1">
        <v>191.59</v>
      </c>
    </row>
    <row r="775" spans="1:3" x14ac:dyDescent="0.2">
      <c r="A775" s="2">
        <v>45322</v>
      </c>
      <c r="B775" s="1" t="s">
        <v>8</v>
      </c>
      <c r="C775" s="1">
        <v>187.29</v>
      </c>
    </row>
    <row r="776" spans="1:3" x14ac:dyDescent="0.2">
      <c r="A776" s="2">
        <v>45323</v>
      </c>
      <c r="B776" s="1" t="s">
        <v>8</v>
      </c>
      <c r="C776" s="1">
        <v>188.86</v>
      </c>
    </row>
    <row r="777" spans="1:3" x14ac:dyDescent="0.2">
      <c r="A777" s="2">
        <v>45324</v>
      </c>
      <c r="B777" s="1" t="s">
        <v>8</v>
      </c>
      <c r="C777" s="1">
        <v>187.91</v>
      </c>
    </row>
    <row r="778" spans="1:3" x14ac:dyDescent="0.2">
      <c r="A778" s="2">
        <v>45327</v>
      </c>
      <c r="B778" s="1" t="s">
        <v>8</v>
      </c>
      <c r="C778" s="1">
        <v>181.06</v>
      </c>
    </row>
    <row r="779" spans="1:3" x14ac:dyDescent="0.2">
      <c r="A779" s="2">
        <v>45328</v>
      </c>
      <c r="B779" s="1" t="s">
        <v>8</v>
      </c>
      <c r="C779" s="1">
        <v>185.1</v>
      </c>
    </row>
    <row r="780" spans="1:3" x14ac:dyDescent="0.2">
      <c r="A780" s="2">
        <v>45329</v>
      </c>
      <c r="B780" s="1" t="s">
        <v>8</v>
      </c>
      <c r="C780" s="1">
        <v>187.58</v>
      </c>
    </row>
    <row r="781" spans="1:3" x14ac:dyDescent="0.2">
      <c r="A781" s="2">
        <v>45330</v>
      </c>
      <c r="B781" s="1" t="s">
        <v>8</v>
      </c>
      <c r="C781" s="1">
        <v>189.56</v>
      </c>
    </row>
    <row r="782" spans="1:3" x14ac:dyDescent="0.2">
      <c r="A782" s="2">
        <v>45331</v>
      </c>
      <c r="B782" s="1" t="s">
        <v>8</v>
      </c>
      <c r="C782" s="1">
        <v>193.57</v>
      </c>
    </row>
    <row r="783" spans="1:3" x14ac:dyDescent="0.2">
      <c r="A783" s="2">
        <v>45334</v>
      </c>
      <c r="B783" s="1" t="s">
        <v>8</v>
      </c>
      <c r="C783" s="1">
        <v>188.13</v>
      </c>
    </row>
    <row r="784" spans="1:3" x14ac:dyDescent="0.2">
      <c r="A784" s="2">
        <v>45335</v>
      </c>
      <c r="B784" s="1" t="s">
        <v>8</v>
      </c>
      <c r="C784" s="1">
        <v>184.02</v>
      </c>
    </row>
    <row r="785" spans="1:3" x14ac:dyDescent="0.2">
      <c r="A785" s="2">
        <v>45336</v>
      </c>
      <c r="B785" s="1" t="s">
        <v>8</v>
      </c>
      <c r="C785" s="1">
        <v>188.71</v>
      </c>
    </row>
    <row r="786" spans="1:3" x14ac:dyDescent="0.2">
      <c r="A786" s="2">
        <v>45337</v>
      </c>
      <c r="B786" s="1" t="s">
        <v>8</v>
      </c>
      <c r="C786" s="1">
        <v>200.45</v>
      </c>
    </row>
    <row r="787" spans="1:3" x14ac:dyDescent="0.2">
      <c r="A787" s="2">
        <v>45338</v>
      </c>
      <c r="B787" s="1" t="s">
        <v>8</v>
      </c>
      <c r="C787" s="1">
        <v>199.95</v>
      </c>
    </row>
    <row r="788" spans="1:3" x14ac:dyDescent="0.2">
      <c r="A788" s="2">
        <v>45342</v>
      </c>
      <c r="B788" s="1" t="s">
        <v>8</v>
      </c>
      <c r="C788" s="1">
        <v>193.76</v>
      </c>
    </row>
    <row r="789" spans="1:3" x14ac:dyDescent="0.2">
      <c r="A789" s="2">
        <v>45343</v>
      </c>
      <c r="B789" s="1" t="s">
        <v>8</v>
      </c>
      <c r="C789" s="1">
        <v>194.77</v>
      </c>
    </row>
    <row r="790" spans="1:3" x14ac:dyDescent="0.2">
      <c r="A790" s="2">
        <v>45344</v>
      </c>
      <c r="B790" s="1" t="s">
        <v>8</v>
      </c>
      <c r="C790" s="1">
        <v>197.41</v>
      </c>
    </row>
    <row r="791" spans="1:3" x14ac:dyDescent="0.2">
      <c r="A791" s="2">
        <v>45345</v>
      </c>
      <c r="B791" s="1" t="s">
        <v>8</v>
      </c>
      <c r="C791" s="1">
        <v>191.97</v>
      </c>
    </row>
    <row r="792" spans="1:3" x14ac:dyDescent="0.2">
      <c r="A792" s="2">
        <v>45348</v>
      </c>
      <c r="B792" s="1" t="s">
        <v>8</v>
      </c>
      <c r="C792" s="1">
        <v>199.4</v>
      </c>
    </row>
    <row r="793" spans="1:3" x14ac:dyDescent="0.2">
      <c r="A793" s="2">
        <v>45349</v>
      </c>
      <c r="B793" s="1" t="s">
        <v>8</v>
      </c>
      <c r="C793" s="1">
        <v>199.73</v>
      </c>
    </row>
    <row r="794" spans="1:3" x14ac:dyDescent="0.2">
      <c r="A794" s="2">
        <v>45350</v>
      </c>
      <c r="B794" s="1" t="s">
        <v>8</v>
      </c>
      <c r="C794" s="1">
        <v>202.04</v>
      </c>
    </row>
    <row r="795" spans="1:3" x14ac:dyDescent="0.2">
      <c r="A795" s="2">
        <v>45351</v>
      </c>
      <c r="B795" s="1" t="s">
        <v>8</v>
      </c>
      <c r="C795" s="1">
        <v>201.88</v>
      </c>
    </row>
    <row r="796" spans="1:3" x14ac:dyDescent="0.2">
      <c r="A796" s="2">
        <v>45352</v>
      </c>
      <c r="B796" s="1" t="s">
        <v>8</v>
      </c>
      <c r="C796" s="1">
        <v>202.64</v>
      </c>
    </row>
    <row r="797" spans="1:3" x14ac:dyDescent="0.2">
      <c r="A797" s="2">
        <v>45355</v>
      </c>
      <c r="B797" s="1" t="s">
        <v>8</v>
      </c>
      <c r="C797" s="1">
        <v>188.14</v>
      </c>
    </row>
    <row r="798" spans="1:3" x14ac:dyDescent="0.2">
      <c r="A798" s="2">
        <v>45356</v>
      </c>
      <c r="B798" s="1" t="s">
        <v>8</v>
      </c>
      <c r="C798" s="1">
        <v>180.74</v>
      </c>
    </row>
    <row r="799" spans="1:3" x14ac:dyDescent="0.2">
      <c r="A799" s="2">
        <v>45357</v>
      </c>
      <c r="B799" s="1" t="s">
        <v>8</v>
      </c>
      <c r="C799" s="1">
        <v>176.54</v>
      </c>
    </row>
    <row r="800" spans="1:3" x14ac:dyDescent="0.2">
      <c r="A800" s="2">
        <v>45358</v>
      </c>
      <c r="B800" s="1" t="s">
        <v>8</v>
      </c>
      <c r="C800" s="1">
        <v>178.65</v>
      </c>
    </row>
    <row r="801" spans="1:3" x14ac:dyDescent="0.2">
      <c r="A801" s="2">
        <v>45359</v>
      </c>
      <c r="B801" s="1" t="s">
        <v>8</v>
      </c>
      <c r="C801" s="1">
        <v>175.34</v>
      </c>
    </row>
    <row r="802" spans="1:3" x14ac:dyDescent="0.2">
      <c r="A802" s="2">
        <v>45362</v>
      </c>
      <c r="B802" s="1" t="s">
        <v>8</v>
      </c>
      <c r="C802" s="1">
        <v>177.77</v>
      </c>
    </row>
    <row r="803" spans="1:3" x14ac:dyDescent="0.2">
      <c r="A803" s="2">
        <v>45363</v>
      </c>
      <c r="B803" s="1" t="s">
        <v>8</v>
      </c>
      <c r="C803" s="1">
        <v>177.54</v>
      </c>
    </row>
    <row r="804" spans="1:3" x14ac:dyDescent="0.2">
      <c r="A804" s="2">
        <v>45364</v>
      </c>
      <c r="B804" s="1" t="s">
        <v>8</v>
      </c>
      <c r="C804" s="1">
        <v>169.48</v>
      </c>
    </row>
    <row r="805" spans="1:3" x14ac:dyDescent="0.2">
      <c r="A805" s="2">
        <v>45365</v>
      </c>
      <c r="B805" s="1" t="s">
        <v>8</v>
      </c>
      <c r="C805" s="1">
        <v>162.5</v>
      </c>
    </row>
    <row r="806" spans="1:3" x14ac:dyDescent="0.2">
      <c r="A806" s="2">
        <v>45366</v>
      </c>
      <c r="B806" s="1" t="s">
        <v>8</v>
      </c>
      <c r="C806" s="1">
        <v>163.57</v>
      </c>
    </row>
    <row r="807" spans="1:3" x14ac:dyDescent="0.2">
      <c r="A807" s="2">
        <v>45369</v>
      </c>
      <c r="B807" s="1" t="s">
        <v>8</v>
      </c>
      <c r="C807" s="1">
        <v>173.8</v>
      </c>
    </row>
    <row r="808" spans="1:3" x14ac:dyDescent="0.2">
      <c r="A808" s="2">
        <v>45370</v>
      </c>
      <c r="B808" s="1" t="s">
        <v>8</v>
      </c>
      <c r="C808" s="1">
        <v>171.32</v>
      </c>
    </row>
    <row r="809" spans="1:3" x14ac:dyDescent="0.2">
      <c r="A809" s="2">
        <v>45371</v>
      </c>
      <c r="B809" s="1" t="s">
        <v>8</v>
      </c>
      <c r="C809" s="1">
        <v>175.66</v>
      </c>
    </row>
    <row r="810" spans="1:3" x14ac:dyDescent="0.2">
      <c r="A810" s="2">
        <v>45372</v>
      </c>
      <c r="B810" s="1" t="s">
        <v>8</v>
      </c>
      <c r="C810" s="1">
        <v>172.82</v>
      </c>
    </row>
    <row r="811" spans="1:3" x14ac:dyDescent="0.2">
      <c r="A811" s="2">
        <v>45373</v>
      </c>
      <c r="B811" s="1" t="s">
        <v>8</v>
      </c>
      <c r="C811" s="1">
        <v>170.83</v>
      </c>
    </row>
    <row r="812" spans="1:3" x14ac:dyDescent="0.2">
      <c r="A812" s="2">
        <v>45376</v>
      </c>
      <c r="B812" s="1" t="s">
        <v>8</v>
      </c>
      <c r="C812" s="1">
        <v>172.63</v>
      </c>
    </row>
    <row r="813" spans="1:3" x14ac:dyDescent="0.2">
      <c r="A813" s="2">
        <v>45377</v>
      </c>
      <c r="B813" s="1" t="s">
        <v>8</v>
      </c>
      <c r="C813" s="1">
        <v>177.67</v>
      </c>
    </row>
    <row r="814" spans="1:3" x14ac:dyDescent="0.2">
      <c r="A814" s="2">
        <v>45378</v>
      </c>
      <c r="B814" s="1" t="s">
        <v>8</v>
      </c>
      <c r="C814" s="1">
        <v>179.83</v>
      </c>
    </row>
    <row r="815" spans="1:3" x14ac:dyDescent="0.2">
      <c r="A815" s="2">
        <v>45379</v>
      </c>
      <c r="B815" s="1" t="s">
        <v>8</v>
      </c>
      <c r="C815" s="1">
        <v>175.79</v>
      </c>
    </row>
    <row r="816" spans="1:3" x14ac:dyDescent="0.2">
      <c r="A816" s="2">
        <v>45383</v>
      </c>
      <c r="B816" s="1" t="s">
        <v>8</v>
      </c>
      <c r="C816" s="1">
        <v>175.22</v>
      </c>
    </row>
    <row r="817" spans="1:3" x14ac:dyDescent="0.2">
      <c r="A817" s="2">
        <v>45384</v>
      </c>
      <c r="B817" s="1" t="s">
        <v>8</v>
      </c>
      <c r="C817" s="1">
        <v>166.63</v>
      </c>
    </row>
    <row r="818" spans="1:3" x14ac:dyDescent="0.2">
      <c r="A818" s="2">
        <v>45385</v>
      </c>
      <c r="B818" s="1" t="s">
        <v>8</v>
      </c>
      <c r="C818" s="1">
        <v>168.38</v>
      </c>
    </row>
    <row r="819" spans="1:3" x14ac:dyDescent="0.2">
      <c r="A819" s="2">
        <v>45386</v>
      </c>
      <c r="B819" s="1" t="s">
        <v>8</v>
      </c>
      <c r="C819" s="1">
        <v>171.11</v>
      </c>
    </row>
    <row r="820" spans="1:3" x14ac:dyDescent="0.2">
      <c r="A820" s="2">
        <v>45387</v>
      </c>
      <c r="B820" s="1" t="s">
        <v>8</v>
      </c>
      <c r="C820" s="1">
        <v>164.9</v>
      </c>
    </row>
    <row r="821" spans="1:3" x14ac:dyDescent="0.2">
      <c r="A821" s="2">
        <v>45390</v>
      </c>
      <c r="B821" s="1" t="s">
        <v>8</v>
      </c>
      <c r="C821" s="1">
        <v>172.98</v>
      </c>
    </row>
    <row r="822" spans="1:3" x14ac:dyDescent="0.2">
      <c r="A822" s="2">
        <v>45391</v>
      </c>
      <c r="B822" s="1" t="s">
        <v>8</v>
      </c>
      <c r="C822" s="1">
        <v>176.88</v>
      </c>
    </row>
    <row r="823" spans="1:3" x14ac:dyDescent="0.2">
      <c r="A823" s="2">
        <v>45392</v>
      </c>
      <c r="B823" s="1" t="s">
        <v>8</v>
      </c>
      <c r="C823" s="1">
        <v>171.76</v>
      </c>
    </row>
    <row r="824" spans="1:3" x14ac:dyDescent="0.2">
      <c r="A824" s="2">
        <v>45393</v>
      </c>
      <c r="B824" s="1" t="s">
        <v>8</v>
      </c>
      <c r="C824" s="1">
        <v>174.6</v>
      </c>
    </row>
    <row r="825" spans="1:3" x14ac:dyDescent="0.2">
      <c r="A825" s="2">
        <v>45394</v>
      </c>
      <c r="B825" s="1" t="s">
        <v>8</v>
      </c>
      <c r="C825" s="1">
        <v>171.05</v>
      </c>
    </row>
    <row r="826" spans="1:3" x14ac:dyDescent="0.2">
      <c r="A826" s="2">
        <v>45397</v>
      </c>
      <c r="B826" s="1" t="s">
        <v>8</v>
      </c>
      <c r="C826" s="1">
        <v>161.47999999999999</v>
      </c>
    </row>
    <row r="827" spans="1:3" x14ac:dyDescent="0.2">
      <c r="A827" s="2">
        <v>45398</v>
      </c>
      <c r="B827" s="1" t="s">
        <v>8</v>
      </c>
      <c r="C827" s="1">
        <v>157.11000000000001</v>
      </c>
    </row>
    <row r="828" spans="1:3" x14ac:dyDescent="0.2">
      <c r="A828" s="2">
        <v>45399</v>
      </c>
      <c r="B828" s="1" t="s">
        <v>8</v>
      </c>
      <c r="C828" s="1">
        <v>155.44999999999999</v>
      </c>
    </row>
    <row r="829" spans="1:3" x14ac:dyDescent="0.2">
      <c r="A829" s="2">
        <v>45400</v>
      </c>
      <c r="B829" s="1" t="s">
        <v>8</v>
      </c>
      <c r="C829" s="1">
        <v>149.93</v>
      </c>
    </row>
    <row r="830" spans="1:3" x14ac:dyDescent="0.2">
      <c r="A830" s="2">
        <v>45401</v>
      </c>
      <c r="B830" s="1" t="s">
        <v>8</v>
      </c>
      <c r="C830" s="1">
        <v>147.01009999999999</v>
      </c>
    </row>
    <row r="831" spans="1:3" x14ac:dyDescent="0.2">
      <c r="A831" s="2">
        <v>45404</v>
      </c>
      <c r="B831" s="1" t="s">
        <v>8</v>
      </c>
      <c r="C831" s="1">
        <v>142.05000000000001</v>
      </c>
    </row>
    <row r="832" spans="1:3" x14ac:dyDescent="0.2">
      <c r="A832" s="2">
        <v>45405</v>
      </c>
      <c r="B832" s="1" t="s">
        <v>8</v>
      </c>
      <c r="C832" s="1">
        <v>144.68</v>
      </c>
    </row>
    <row r="833" spans="1:3" x14ac:dyDescent="0.2">
      <c r="A833" s="2">
        <v>45406</v>
      </c>
      <c r="B833" s="1" t="s">
        <v>8</v>
      </c>
      <c r="C833" s="1">
        <v>162.13</v>
      </c>
    </row>
    <row r="834" spans="1:3" x14ac:dyDescent="0.2">
      <c r="A834" s="2">
        <v>45407</v>
      </c>
      <c r="B834" s="1" t="s">
        <v>8</v>
      </c>
      <c r="C834" s="1">
        <v>170.18</v>
      </c>
    </row>
    <row r="835" spans="1:3" x14ac:dyDescent="0.2">
      <c r="A835" s="2">
        <v>45408</v>
      </c>
      <c r="B835" s="1" t="s">
        <v>8</v>
      </c>
      <c r="C835" s="1">
        <v>168.29</v>
      </c>
    </row>
    <row r="836" spans="1:3" x14ac:dyDescent="0.2">
      <c r="A836" s="2">
        <v>45411</v>
      </c>
      <c r="B836" s="1" t="s">
        <v>8</v>
      </c>
      <c r="C836" s="1">
        <v>194.05</v>
      </c>
    </row>
    <row r="837" spans="1:3" x14ac:dyDescent="0.2">
      <c r="A837" s="2">
        <v>45412</v>
      </c>
      <c r="B837" s="1" t="s">
        <v>8</v>
      </c>
      <c r="C837" s="1">
        <v>183.28</v>
      </c>
    </row>
    <row r="838" spans="1:3" x14ac:dyDescent="0.2">
      <c r="A838" s="2">
        <v>45413</v>
      </c>
      <c r="B838" s="1" t="s">
        <v>8</v>
      </c>
      <c r="C838" s="1">
        <v>179.99</v>
      </c>
    </row>
    <row r="839" spans="1:3" x14ac:dyDescent="0.2">
      <c r="A839" s="2">
        <v>45414</v>
      </c>
      <c r="B839" s="1" t="s">
        <v>8</v>
      </c>
      <c r="C839" s="1">
        <v>180.01</v>
      </c>
    </row>
    <row r="840" spans="1:3" x14ac:dyDescent="0.2">
      <c r="A840" s="2">
        <v>45415</v>
      </c>
      <c r="B840" s="1" t="s">
        <v>8</v>
      </c>
      <c r="C840" s="1">
        <v>181.19</v>
      </c>
    </row>
    <row r="841" spans="1:3" x14ac:dyDescent="0.2">
      <c r="A841" s="2">
        <v>45418</v>
      </c>
      <c r="B841" s="1" t="s">
        <v>8</v>
      </c>
      <c r="C841" s="1">
        <v>184.76</v>
      </c>
    </row>
    <row r="842" spans="1:3" x14ac:dyDescent="0.2">
      <c r="A842" s="2">
        <v>45419</v>
      </c>
      <c r="B842" s="1" t="s">
        <v>8</v>
      </c>
      <c r="C842" s="1">
        <v>177.81</v>
      </c>
    </row>
    <row r="843" spans="1:3" x14ac:dyDescent="0.2">
      <c r="A843" s="2">
        <v>45420</v>
      </c>
      <c r="B843" s="1" t="s">
        <v>8</v>
      </c>
      <c r="C843" s="1">
        <v>174.72</v>
      </c>
    </row>
    <row r="844" spans="1:3" x14ac:dyDescent="0.2">
      <c r="A844" s="2">
        <v>45421</v>
      </c>
      <c r="B844" s="1" t="s">
        <v>8</v>
      </c>
      <c r="C844" s="1">
        <v>171.97</v>
      </c>
    </row>
    <row r="845" spans="1:3" x14ac:dyDescent="0.2">
      <c r="A845" s="2">
        <v>45422</v>
      </c>
      <c r="B845" s="1" t="s">
        <v>8</v>
      </c>
      <c r="C845" s="1">
        <v>168.47</v>
      </c>
    </row>
    <row r="846" spans="1:3" x14ac:dyDescent="0.2">
      <c r="A846" s="2">
        <v>45425</v>
      </c>
      <c r="B846" s="1" t="s">
        <v>8</v>
      </c>
      <c r="C846" s="1">
        <v>171.89</v>
      </c>
    </row>
    <row r="847" spans="1:3" x14ac:dyDescent="0.2">
      <c r="A847" s="2">
        <v>45426</v>
      </c>
      <c r="B847" s="1" t="s">
        <v>8</v>
      </c>
      <c r="C847" s="1">
        <v>177.55</v>
      </c>
    </row>
    <row r="848" spans="1:3" x14ac:dyDescent="0.2">
      <c r="A848" s="2">
        <v>45427</v>
      </c>
      <c r="B848" s="1" t="s">
        <v>8</v>
      </c>
      <c r="C848" s="1">
        <v>173.99</v>
      </c>
    </row>
    <row r="849" spans="1:3" x14ac:dyDescent="0.2">
      <c r="A849" s="2">
        <v>45428</v>
      </c>
      <c r="B849" s="1" t="s">
        <v>8</v>
      </c>
      <c r="C849" s="1">
        <v>174.84</v>
      </c>
    </row>
    <row r="850" spans="1:3" x14ac:dyDescent="0.2">
      <c r="A850" s="2">
        <v>45429</v>
      </c>
      <c r="B850" s="1" t="s">
        <v>8</v>
      </c>
      <c r="C850" s="1">
        <v>177.46</v>
      </c>
    </row>
    <row r="851" spans="1:3" x14ac:dyDescent="0.2">
      <c r="A851" s="2">
        <v>45432</v>
      </c>
      <c r="B851" s="1" t="s">
        <v>8</v>
      </c>
      <c r="C851" s="1">
        <v>174.95</v>
      </c>
    </row>
    <row r="852" spans="1:3" x14ac:dyDescent="0.2">
      <c r="A852" s="2">
        <v>45433</v>
      </c>
      <c r="B852" s="1" t="s">
        <v>8</v>
      </c>
      <c r="C852" s="1">
        <v>186.6</v>
      </c>
    </row>
    <row r="853" spans="1:3" x14ac:dyDescent="0.2">
      <c r="A853" s="2">
        <v>45434</v>
      </c>
      <c r="B853" s="1" t="s">
        <v>8</v>
      </c>
      <c r="C853" s="1">
        <v>180.11</v>
      </c>
    </row>
    <row r="854" spans="1:3" x14ac:dyDescent="0.2">
      <c r="A854" s="2">
        <v>45435</v>
      </c>
      <c r="B854" s="1" t="s">
        <v>8</v>
      </c>
      <c r="C854" s="1">
        <v>173.74</v>
      </c>
    </row>
    <row r="855" spans="1:3" x14ac:dyDescent="0.2">
      <c r="A855" s="2">
        <v>45436</v>
      </c>
      <c r="B855" s="1" t="s">
        <v>8</v>
      </c>
      <c r="C855" s="1">
        <v>179.24</v>
      </c>
    </row>
    <row r="856" spans="1:3" x14ac:dyDescent="0.2">
      <c r="A856" s="2">
        <v>45440</v>
      </c>
      <c r="B856" s="1" t="s">
        <v>8</v>
      </c>
      <c r="C856" s="1">
        <v>176.75</v>
      </c>
    </row>
    <row r="857" spans="1:3" x14ac:dyDescent="0.2">
      <c r="A857" s="2">
        <v>45441</v>
      </c>
      <c r="B857" s="1" t="s">
        <v>8</v>
      </c>
      <c r="C857" s="1">
        <v>176.19</v>
      </c>
    </row>
    <row r="858" spans="1:3" x14ac:dyDescent="0.2">
      <c r="A858" s="2">
        <v>45442</v>
      </c>
      <c r="B858" s="1" t="s">
        <v>8</v>
      </c>
      <c r="C858" s="1">
        <v>178.79</v>
      </c>
    </row>
    <row r="859" spans="1:3" x14ac:dyDescent="0.2">
      <c r="A859" s="2">
        <v>45443</v>
      </c>
      <c r="B859" s="1" t="s">
        <v>8</v>
      </c>
      <c r="C859" s="1">
        <v>178.08</v>
      </c>
    </row>
    <row r="860" spans="1:3" x14ac:dyDescent="0.2">
      <c r="A860" s="2">
        <v>45446</v>
      </c>
      <c r="B860" s="1" t="s">
        <v>8</v>
      </c>
      <c r="C860" s="1">
        <v>176.29</v>
      </c>
    </row>
    <row r="861" spans="1:3" x14ac:dyDescent="0.2">
      <c r="A861" s="2">
        <v>45447</v>
      </c>
      <c r="B861" s="1" t="s">
        <v>8</v>
      </c>
      <c r="C861" s="1">
        <v>174.77</v>
      </c>
    </row>
    <row r="862" spans="1:3" x14ac:dyDescent="0.2">
      <c r="A862" s="2">
        <v>45448</v>
      </c>
      <c r="B862" s="1" t="s">
        <v>8</v>
      </c>
      <c r="C862" s="1">
        <v>175</v>
      </c>
    </row>
    <row r="863" spans="1:3" x14ac:dyDescent="0.2">
      <c r="A863" s="2">
        <v>45449</v>
      </c>
      <c r="B863" s="1" t="s">
        <v>8</v>
      </c>
      <c r="C863" s="1">
        <v>177.94</v>
      </c>
    </row>
    <row r="864" spans="1:3" x14ac:dyDescent="0.2">
      <c r="A864" s="2">
        <v>45450</v>
      </c>
      <c r="B864" s="1" t="s">
        <v>8</v>
      </c>
      <c r="C864" s="1">
        <v>177.48</v>
      </c>
    </row>
    <row r="865" spans="1:3" x14ac:dyDescent="0.2">
      <c r="A865" s="2">
        <v>45453</v>
      </c>
      <c r="B865" s="1" t="s">
        <v>8</v>
      </c>
      <c r="C865" s="1">
        <v>173.79</v>
      </c>
    </row>
    <row r="866" spans="1:3" x14ac:dyDescent="0.2">
      <c r="A866" s="2">
        <v>45454</v>
      </c>
      <c r="B866" s="1" t="s">
        <v>8</v>
      </c>
      <c r="C866" s="1">
        <v>170.66</v>
      </c>
    </row>
    <row r="867" spans="1:3" x14ac:dyDescent="0.2">
      <c r="A867" s="2">
        <v>45455</v>
      </c>
      <c r="B867" s="1" t="s">
        <v>8</v>
      </c>
      <c r="C867" s="1">
        <v>177.29</v>
      </c>
    </row>
    <row r="868" spans="1:3" x14ac:dyDescent="0.2">
      <c r="A868" s="2">
        <v>45456</v>
      </c>
      <c r="B868" s="1" t="s">
        <v>8</v>
      </c>
      <c r="C868" s="1">
        <v>182.47</v>
      </c>
    </row>
    <row r="869" spans="1:3" x14ac:dyDescent="0.2">
      <c r="A869" s="2">
        <v>45457</v>
      </c>
      <c r="B869" s="1" t="s">
        <v>8</v>
      </c>
      <c r="C869" s="1">
        <v>178.01</v>
      </c>
    </row>
    <row r="870" spans="1:3" x14ac:dyDescent="0.2">
      <c r="A870" s="2">
        <v>45460</v>
      </c>
      <c r="B870" s="1" t="s">
        <v>8</v>
      </c>
      <c r="C870" s="1">
        <v>187.44</v>
      </c>
    </row>
    <row r="871" spans="1:3" x14ac:dyDescent="0.2">
      <c r="A871" s="2">
        <v>45461</v>
      </c>
      <c r="B871" s="1" t="s">
        <v>8</v>
      </c>
      <c r="C871" s="1">
        <v>184.86</v>
      </c>
    </row>
    <row r="872" spans="1:3" x14ac:dyDescent="0.2">
      <c r="A872" s="2">
        <v>45463</v>
      </c>
      <c r="B872" s="1" t="s">
        <v>8</v>
      </c>
      <c r="C872" s="1">
        <v>181.57</v>
      </c>
    </row>
    <row r="873" spans="1:3" x14ac:dyDescent="0.2">
      <c r="A873" s="2">
        <v>45464</v>
      </c>
      <c r="B873" s="1" t="s">
        <v>8</v>
      </c>
      <c r="C873" s="1">
        <v>183.01</v>
      </c>
    </row>
    <row r="874" spans="1:3" x14ac:dyDescent="0.2">
      <c r="A874" s="2">
        <v>45467</v>
      </c>
      <c r="B874" s="1" t="s">
        <v>8</v>
      </c>
      <c r="C874" s="1">
        <v>182.58</v>
      </c>
    </row>
    <row r="875" spans="1:3" x14ac:dyDescent="0.2">
      <c r="A875" s="2">
        <v>45468</v>
      </c>
      <c r="B875" s="1" t="s">
        <v>8</v>
      </c>
      <c r="C875" s="1">
        <v>187.35</v>
      </c>
    </row>
    <row r="876" spans="1:3" x14ac:dyDescent="0.2">
      <c r="A876" s="2">
        <v>45469</v>
      </c>
      <c r="B876" s="1" t="s">
        <v>8</v>
      </c>
      <c r="C876" s="1">
        <v>196.37</v>
      </c>
    </row>
    <row r="877" spans="1:3" x14ac:dyDescent="0.2">
      <c r="A877" s="2">
        <v>45470</v>
      </c>
      <c r="B877" s="1" t="s">
        <v>8</v>
      </c>
      <c r="C877" s="1">
        <v>197.42</v>
      </c>
    </row>
    <row r="878" spans="1:3" x14ac:dyDescent="0.2">
      <c r="A878" s="2">
        <v>45471</v>
      </c>
      <c r="B878" s="1" t="s">
        <v>8</v>
      </c>
      <c r="C878" s="1">
        <v>197.88</v>
      </c>
    </row>
    <row r="879" spans="1:3" x14ac:dyDescent="0.2">
      <c r="A879" s="2">
        <v>45474</v>
      </c>
      <c r="B879" s="1" t="s">
        <v>8</v>
      </c>
      <c r="C879" s="1">
        <v>209.86</v>
      </c>
    </row>
    <row r="880" spans="1:3" x14ac:dyDescent="0.2">
      <c r="A880" s="2">
        <v>45475</v>
      </c>
      <c r="B880" s="1" t="s">
        <v>8</v>
      </c>
      <c r="C880" s="1">
        <v>231.26</v>
      </c>
    </row>
    <row r="881" spans="1:3" x14ac:dyDescent="0.2">
      <c r="A881" s="2">
        <v>45476</v>
      </c>
      <c r="B881" s="1" t="s">
        <v>8</v>
      </c>
      <c r="C881" s="1">
        <v>246.39</v>
      </c>
    </row>
    <row r="882" spans="1:3" x14ac:dyDescent="0.2">
      <c r="A882" s="2">
        <v>45478</v>
      </c>
      <c r="B882" s="1" t="s">
        <v>8</v>
      </c>
      <c r="C882" s="1">
        <v>251.52</v>
      </c>
    </row>
    <row r="883" spans="1:3" x14ac:dyDescent="0.2">
      <c r="A883" s="2">
        <v>45481</v>
      </c>
      <c r="B883" s="1" t="s">
        <v>8</v>
      </c>
      <c r="C883" s="1">
        <v>252.94</v>
      </c>
    </row>
    <row r="884" spans="1:3" x14ac:dyDescent="0.2">
      <c r="A884" s="2">
        <v>45482</v>
      </c>
      <c r="B884" s="1" t="s">
        <v>8</v>
      </c>
      <c r="C884" s="1">
        <v>262.33</v>
      </c>
    </row>
    <row r="885" spans="1:3" x14ac:dyDescent="0.2">
      <c r="A885" s="2">
        <v>45483</v>
      </c>
      <c r="B885" s="1" t="s">
        <v>8</v>
      </c>
      <c r="C885" s="1">
        <v>263.26</v>
      </c>
    </row>
    <row r="886" spans="1:3" x14ac:dyDescent="0.2">
      <c r="A886" s="2">
        <v>45484</v>
      </c>
      <c r="B886" s="1" t="s">
        <v>8</v>
      </c>
      <c r="C886" s="1">
        <v>241.03</v>
      </c>
    </row>
    <row r="887" spans="1:3" x14ac:dyDescent="0.2">
      <c r="A887" s="2">
        <v>45485</v>
      </c>
      <c r="B887" s="1" t="s">
        <v>8</v>
      </c>
      <c r="C887" s="1">
        <v>248.23</v>
      </c>
    </row>
    <row r="888" spans="1:3" x14ac:dyDescent="0.2">
      <c r="A888" s="2">
        <v>45488</v>
      </c>
      <c r="B888" s="1" t="s">
        <v>8</v>
      </c>
      <c r="C888" s="1">
        <v>252.64</v>
      </c>
    </row>
    <row r="889" spans="1:3" x14ac:dyDescent="0.2">
      <c r="A889" s="2">
        <v>45489</v>
      </c>
      <c r="B889" s="1" t="s">
        <v>8</v>
      </c>
      <c r="C889" s="1">
        <v>256.56</v>
      </c>
    </row>
    <row r="890" spans="1:3" x14ac:dyDescent="0.2">
      <c r="A890" s="2">
        <v>45490</v>
      </c>
      <c r="B890" s="1" t="s">
        <v>8</v>
      </c>
      <c r="C890" s="1">
        <v>248.5</v>
      </c>
    </row>
    <row r="891" spans="1:3" x14ac:dyDescent="0.2">
      <c r="A891" s="2">
        <v>45491</v>
      </c>
      <c r="B891" s="1" t="s">
        <v>8</v>
      </c>
      <c r="C891" s="1">
        <v>249.23</v>
      </c>
    </row>
    <row r="892" spans="1:3" x14ac:dyDescent="0.2">
      <c r="A892" s="2">
        <v>45492</v>
      </c>
      <c r="B892" s="1" t="s">
        <v>8</v>
      </c>
      <c r="C892" s="1">
        <v>239.2</v>
      </c>
    </row>
    <row r="893" spans="1:3" x14ac:dyDescent="0.2">
      <c r="A893" s="2">
        <v>45495</v>
      </c>
      <c r="B893" s="1" t="s">
        <v>8</v>
      </c>
      <c r="C893" s="1">
        <v>251.51</v>
      </c>
    </row>
    <row r="894" spans="1:3" x14ac:dyDescent="0.2">
      <c r="A894" s="2">
        <v>45496</v>
      </c>
      <c r="B894" s="1" t="s">
        <v>8</v>
      </c>
      <c r="C894" s="1">
        <v>246.38</v>
      </c>
    </row>
    <row r="895" spans="1:3" x14ac:dyDescent="0.2">
      <c r="A895" s="2">
        <v>45497</v>
      </c>
      <c r="B895" s="1" t="s">
        <v>8</v>
      </c>
      <c r="C895" s="1">
        <v>215.99</v>
      </c>
    </row>
    <row r="896" spans="1:3" x14ac:dyDescent="0.2">
      <c r="A896" s="2">
        <v>45498</v>
      </c>
      <c r="B896" s="1" t="s">
        <v>8</v>
      </c>
      <c r="C896" s="1">
        <v>220.25</v>
      </c>
    </row>
    <row r="897" spans="1:3" x14ac:dyDescent="0.2">
      <c r="A897" s="2">
        <v>45499</v>
      </c>
      <c r="B897" s="1" t="s">
        <v>8</v>
      </c>
      <c r="C897" s="1">
        <v>219.8</v>
      </c>
    </row>
    <row r="898" spans="1:3" x14ac:dyDescent="0.2">
      <c r="A898" s="2">
        <v>45502</v>
      </c>
      <c r="B898" s="1" t="s">
        <v>8</v>
      </c>
      <c r="C898" s="1">
        <v>232.1</v>
      </c>
    </row>
    <row r="899" spans="1:3" x14ac:dyDescent="0.2">
      <c r="A899" s="2">
        <v>45503</v>
      </c>
      <c r="B899" s="1" t="s">
        <v>8</v>
      </c>
      <c r="C899" s="1">
        <v>222.62</v>
      </c>
    </row>
    <row r="900" spans="1:3" x14ac:dyDescent="0.2">
      <c r="A900" s="2">
        <v>45504</v>
      </c>
      <c r="B900" s="1" t="s">
        <v>8</v>
      </c>
      <c r="C900" s="1">
        <v>232.07</v>
      </c>
    </row>
    <row r="901" spans="1:3" x14ac:dyDescent="0.2">
      <c r="A901" s="2">
        <v>45505</v>
      </c>
      <c r="B901" s="1" t="s">
        <v>8</v>
      </c>
      <c r="C901" s="1">
        <v>216.86</v>
      </c>
    </row>
    <row r="902" spans="1:3" x14ac:dyDescent="0.2">
      <c r="A902" s="2">
        <v>45506</v>
      </c>
      <c r="B902" s="1" t="s">
        <v>8</v>
      </c>
      <c r="C902" s="1">
        <v>207.67</v>
      </c>
    </row>
    <row r="903" spans="1:3" x14ac:dyDescent="0.2">
      <c r="A903" s="2">
        <v>45509</v>
      </c>
      <c r="B903" s="1" t="s">
        <v>8</v>
      </c>
      <c r="C903" s="1">
        <v>198.88</v>
      </c>
    </row>
    <row r="904" spans="1:3" x14ac:dyDescent="0.2">
      <c r="A904" s="2">
        <v>45510</v>
      </c>
      <c r="B904" s="1" t="s">
        <v>8</v>
      </c>
      <c r="C904" s="1">
        <v>200.64</v>
      </c>
    </row>
    <row r="905" spans="1:3" x14ac:dyDescent="0.2">
      <c r="A905" s="2">
        <v>45511</v>
      </c>
      <c r="B905" s="1" t="s">
        <v>8</v>
      </c>
      <c r="C905" s="1">
        <v>191.76</v>
      </c>
    </row>
    <row r="906" spans="1:3" x14ac:dyDescent="0.2">
      <c r="A906" s="2">
        <v>45512</v>
      </c>
      <c r="B906" s="1" t="s">
        <v>8</v>
      </c>
      <c r="C906" s="1">
        <v>198.84</v>
      </c>
    </row>
    <row r="907" spans="1:3" x14ac:dyDescent="0.2">
      <c r="A907" s="2">
        <v>45513</v>
      </c>
      <c r="B907" s="1" t="s">
        <v>8</v>
      </c>
      <c r="C907" s="1">
        <v>200</v>
      </c>
    </row>
    <row r="908" spans="1:3" x14ac:dyDescent="0.2">
      <c r="A908" s="2">
        <v>45516</v>
      </c>
      <c r="B908" s="1" t="s">
        <v>8</v>
      </c>
      <c r="C908" s="1">
        <v>197.49</v>
      </c>
    </row>
    <row r="909" spans="1:3" x14ac:dyDescent="0.2">
      <c r="A909" s="2">
        <v>45517</v>
      </c>
      <c r="B909" s="1" t="s">
        <v>8</v>
      </c>
      <c r="C909" s="1">
        <v>207.83</v>
      </c>
    </row>
    <row r="910" spans="1:3" x14ac:dyDescent="0.2">
      <c r="A910" s="2">
        <v>45518</v>
      </c>
      <c r="B910" s="1" t="s">
        <v>8</v>
      </c>
      <c r="C910" s="1">
        <v>201.38</v>
      </c>
    </row>
    <row r="911" spans="1:3" x14ac:dyDescent="0.2">
      <c r="A911" s="2">
        <v>45519</v>
      </c>
      <c r="B911" s="1" t="s">
        <v>8</v>
      </c>
      <c r="C911" s="1">
        <v>214.14</v>
      </c>
    </row>
    <row r="912" spans="1:3" x14ac:dyDescent="0.2">
      <c r="A912" s="2">
        <v>45520</v>
      </c>
      <c r="B912" s="1" t="s">
        <v>8</v>
      </c>
      <c r="C912" s="1">
        <v>216.12</v>
      </c>
    </row>
    <row r="913" spans="1:3" x14ac:dyDescent="0.2">
      <c r="A913" s="2">
        <v>45523</v>
      </c>
      <c r="B913" s="1" t="s">
        <v>8</v>
      </c>
      <c r="C913" s="1">
        <v>222.72</v>
      </c>
    </row>
    <row r="914" spans="1:3" x14ac:dyDescent="0.2">
      <c r="A914" s="2">
        <v>45524</v>
      </c>
      <c r="B914" s="1" t="s">
        <v>8</v>
      </c>
      <c r="C914" s="1">
        <v>221.1</v>
      </c>
    </row>
    <row r="915" spans="1:3" x14ac:dyDescent="0.2">
      <c r="A915" s="2">
        <v>45525</v>
      </c>
      <c r="B915" s="1" t="s">
        <v>8</v>
      </c>
      <c r="C915" s="1">
        <v>223.27</v>
      </c>
    </row>
    <row r="916" spans="1:3" x14ac:dyDescent="0.2">
      <c r="A916" s="2">
        <v>45526</v>
      </c>
      <c r="B916" s="1" t="s">
        <v>8</v>
      </c>
      <c r="C916" s="1">
        <v>210.66</v>
      </c>
    </row>
    <row r="917" spans="1:3" x14ac:dyDescent="0.2">
      <c r="A917" s="2">
        <v>45527</v>
      </c>
      <c r="B917" s="1" t="s">
        <v>8</v>
      </c>
      <c r="C917" s="1">
        <v>220.32</v>
      </c>
    </row>
    <row r="918" spans="1:3" x14ac:dyDescent="0.2">
      <c r="A918" s="2">
        <v>45530</v>
      </c>
      <c r="B918" s="1" t="s">
        <v>8</v>
      </c>
      <c r="C918" s="1">
        <v>213.21</v>
      </c>
    </row>
    <row r="919" spans="1:3" x14ac:dyDescent="0.2">
      <c r="A919" s="2">
        <v>45531</v>
      </c>
      <c r="B919" s="1" t="s">
        <v>8</v>
      </c>
      <c r="C919" s="1">
        <v>209.21</v>
      </c>
    </row>
    <row r="920" spans="1:3" x14ac:dyDescent="0.2">
      <c r="A920" s="2">
        <v>45532</v>
      </c>
      <c r="B920" s="1" t="s">
        <v>8</v>
      </c>
      <c r="C920" s="1">
        <v>205.75</v>
      </c>
    </row>
    <row r="921" spans="1:3" x14ac:dyDescent="0.2">
      <c r="A921" s="2">
        <v>45533</v>
      </c>
      <c r="B921" s="1" t="s">
        <v>8</v>
      </c>
      <c r="C921" s="1">
        <v>206.28</v>
      </c>
    </row>
    <row r="922" spans="1:3" x14ac:dyDescent="0.2">
      <c r="A922" s="2">
        <v>45534</v>
      </c>
      <c r="B922" s="1" t="s">
        <v>8</v>
      </c>
      <c r="C922" s="1">
        <v>214.11</v>
      </c>
    </row>
    <row r="923" spans="1:3" x14ac:dyDescent="0.2">
      <c r="A923" s="2">
        <v>45538</v>
      </c>
      <c r="B923" s="1" t="s">
        <v>8</v>
      </c>
      <c r="C923" s="1">
        <v>210.6</v>
      </c>
    </row>
    <row r="924" spans="1:3" x14ac:dyDescent="0.2">
      <c r="A924" s="2">
        <v>45539</v>
      </c>
      <c r="B924" s="1" t="s">
        <v>8</v>
      </c>
      <c r="C924" s="1">
        <v>219.41</v>
      </c>
    </row>
    <row r="925" spans="1:3" x14ac:dyDescent="0.2">
      <c r="A925" s="2">
        <v>45540</v>
      </c>
      <c r="B925" s="1" t="s">
        <v>8</v>
      </c>
      <c r="C925" s="1">
        <v>230.17</v>
      </c>
    </row>
    <row r="926" spans="1:3" x14ac:dyDescent="0.2">
      <c r="A926" s="2">
        <v>45541</v>
      </c>
      <c r="B926" s="1" t="s">
        <v>8</v>
      </c>
      <c r="C926" s="1">
        <v>210.73</v>
      </c>
    </row>
    <row r="927" spans="1:3" x14ac:dyDescent="0.2">
      <c r="A927" s="2">
        <v>45544</v>
      </c>
      <c r="B927" s="1" t="s">
        <v>8</v>
      </c>
      <c r="C927" s="1">
        <v>216.27</v>
      </c>
    </row>
    <row r="928" spans="1:3" x14ac:dyDescent="0.2">
      <c r="A928" s="2">
        <v>45545</v>
      </c>
      <c r="B928" s="1" t="s">
        <v>8</v>
      </c>
      <c r="C928" s="1">
        <v>226.17</v>
      </c>
    </row>
    <row r="929" spans="1:3" x14ac:dyDescent="0.2">
      <c r="A929" s="2">
        <v>45546</v>
      </c>
      <c r="B929" s="1" t="s">
        <v>8</v>
      </c>
      <c r="C929" s="1">
        <v>228.13</v>
      </c>
    </row>
    <row r="930" spans="1:3" x14ac:dyDescent="0.2">
      <c r="A930" s="2">
        <v>45547</v>
      </c>
      <c r="B930" s="1" t="s">
        <v>8</v>
      </c>
      <c r="C930" s="1">
        <v>229.81</v>
      </c>
    </row>
    <row r="931" spans="1:3" x14ac:dyDescent="0.2">
      <c r="A931" s="2">
        <v>45548</v>
      </c>
      <c r="B931" s="1" t="s">
        <v>8</v>
      </c>
      <c r="C931" s="1">
        <v>230.29</v>
      </c>
    </row>
    <row r="932" spans="1:3" x14ac:dyDescent="0.2">
      <c r="A932" s="2">
        <v>45551</v>
      </c>
      <c r="B932" s="1" t="s">
        <v>8</v>
      </c>
      <c r="C932" s="1">
        <v>226.78</v>
      </c>
    </row>
    <row r="933" spans="1:3" x14ac:dyDescent="0.2">
      <c r="A933" s="2">
        <v>45552</v>
      </c>
      <c r="B933" s="1" t="s">
        <v>8</v>
      </c>
      <c r="C933" s="1">
        <v>227.87</v>
      </c>
    </row>
    <row r="934" spans="1:3" x14ac:dyDescent="0.2">
      <c r="A934" s="2">
        <v>45553</v>
      </c>
      <c r="B934" s="1" t="s">
        <v>8</v>
      </c>
      <c r="C934" s="1">
        <v>227.2</v>
      </c>
    </row>
    <row r="935" spans="1:3" x14ac:dyDescent="0.2">
      <c r="A935" s="2">
        <v>45554</v>
      </c>
      <c r="B935" s="1" t="s">
        <v>8</v>
      </c>
      <c r="C935" s="1">
        <v>243.92</v>
      </c>
    </row>
    <row r="936" spans="1:3" x14ac:dyDescent="0.2">
      <c r="A936" s="2">
        <v>45555</v>
      </c>
      <c r="B936" s="1" t="s">
        <v>8</v>
      </c>
      <c r="C936" s="1">
        <v>238.25</v>
      </c>
    </row>
    <row r="937" spans="1:3" x14ac:dyDescent="0.2">
      <c r="A937" s="2">
        <v>45558</v>
      </c>
      <c r="B937" s="1" t="s">
        <v>8</v>
      </c>
      <c r="C937" s="1">
        <v>250</v>
      </c>
    </row>
    <row r="938" spans="1:3" x14ac:dyDescent="0.2">
      <c r="A938" s="2">
        <v>45559</v>
      </c>
      <c r="B938" s="1" t="s">
        <v>8</v>
      </c>
      <c r="C938" s="1">
        <v>254.27</v>
      </c>
    </row>
    <row r="939" spans="1:3" x14ac:dyDescent="0.2">
      <c r="A939" s="2">
        <v>45560</v>
      </c>
      <c r="B939" s="1" t="s">
        <v>8</v>
      </c>
      <c r="C939" s="1">
        <v>257.02</v>
      </c>
    </row>
    <row r="940" spans="1:3" x14ac:dyDescent="0.2">
      <c r="A940" s="2">
        <v>45561</v>
      </c>
      <c r="B940" s="1" t="s">
        <v>8</v>
      </c>
      <c r="C940" s="1">
        <v>254.22</v>
      </c>
    </row>
    <row r="941" spans="1:3" x14ac:dyDescent="0.2">
      <c r="A941" s="2">
        <v>45562</v>
      </c>
      <c r="B941" s="1" t="s">
        <v>8</v>
      </c>
      <c r="C941" s="1">
        <v>260.45999999999998</v>
      </c>
    </row>
    <row r="942" spans="1:3" x14ac:dyDescent="0.2">
      <c r="A942" s="2">
        <v>45565</v>
      </c>
      <c r="B942" s="1" t="s">
        <v>8</v>
      </c>
      <c r="C942" s="1">
        <v>261.63</v>
      </c>
    </row>
    <row r="943" spans="1:3" x14ac:dyDescent="0.2">
      <c r="A943" s="2">
        <v>45566</v>
      </c>
      <c r="B943" s="1" t="s">
        <v>8</v>
      </c>
      <c r="C943" s="1">
        <v>258.02</v>
      </c>
    </row>
    <row r="944" spans="1:3" x14ac:dyDescent="0.2">
      <c r="A944" s="2">
        <v>45567</v>
      </c>
      <c r="B944" s="1" t="s">
        <v>8</v>
      </c>
      <c r="C944" s="1">
        <v>249.02</v>
      </c>
    </row>
    <row r="945" spans="1:3" x14ac:dyDescent="0.2">
      <c r="A945" s="2">
        <v>45568</v>
      </c>
      <c r="B945" s="1" t="s">
        <v>8</v>
      </c>
      <c r="C945" s="1">
        <v>240.66</v>
      </c>
    </row>
    <row r="946" spans="1:3" x14ac:dyDescent="0.2">
      <c r="A946" s="2">
        <v>45569</v>
      </c>
      <c r="B946" s="1" t="s">
        <v>8</v>
      </c>
      <c r="C946" s="1">
        <v>250.08</v>
      </c>
    </row>
    <row r="947" spans="1:3" x14ac:dyDescent="0.2">
      <c r="A947" s="2">
        <v>45572</v>
      </c>
      <c r="B947" s="1" t="s">
        <v>8</v>
      </c>
      <c r="C947" s="1">
        <v>240.83</v>
      </c>
    </row>
    <row r="948" spans="1:3" x14ac:dyDescent="0.2">
      <c r="A948" s="2">
        <v>45573</v>
      </c>
      <c r="B948" s="1" t="s">
        <v>8</v>
      </c>
      <c r="C948" s="1">
        <v>244.5</v>
      </c>
    </row>
    <row r="949" spans="1:3" x14ac:dyDescent="0.2">
      <c r="A949" s="2">
        <v>45574</v>
      </c>
      <c r="B949" s="1" t="s">
        <v>8</v>
      </c>
      <c r="C949" s="1">
        <v>241.05</v>
      </c>
    </row>
    <row r="950" spans="1:3" x14ac:dyDescent="0.2">
      <c r="A950" s="2">
        <v>45575</v>
      </c>
      <c r="B950" s="1" t="s">
        <v>8</v>
      </c>
      <c r="C950" s="1">
        <v>238.77</v>
      </c>
    </row>
    <row r="951" spans="1:3" x14ac:dyDescent="0.2">
      <c r="A951" s="2">
        <v>45576</v>
      </c>
      <c r="B951" s="1" t="s">
        <v>8</v>
      </c>
      <c r="C951" s="1">
        <v>217.8</v>
      </c>
    </row>
    <row r="952" spans="1:3" x14ac:dyDescent="0.2">
      <c r="A952" s="2">
        <v>45579</v>
      </c>
      <c r="B952" s="1" t="s">
        <v>8</v>
      </c>
      <c r="C952" s="1">
        <v>219.16</v>
      </c>
    </row>
    <row r="953" spans="1:3" x14ac:dyDescent="0.2">
      <c r="A953" s="2">
        <v>45580</v>
      </c>
      <c r="B953" s="1" t="s">
        <v>8</v>
      </c>
      <c r="C953" s="1">
        <v>219.57</v>
      </c>
    </row>
    <row r="954" spans="1:3" x14ac:dyDescent="0.2">
      <c r="A954" s="2">
        <v>45581</v>
      </c>
      <c r="B954" s="1" t="s">
        <v>8</v>
      </c>
      <c r="C954" s="1">
        <v>221.33</v>
      </c>
    </row>
    <row r="955" spans="1:3" x14ac:dyDescent="0.2">
      <c r="A955" s="2">
        <v>45582</v>
      </c>
      <c r="B955" s="1" t="s">
        <v>8</v>
      </c>
      <c r="C955" s="1">
        <v>220.89</v>
      </c>
    </row>
    <row r="956" spans="1:3" x14ac:dyDescent="0.2">
      <c r="A956" s="2">
        <v>45583</v>
      </c>
      <c r="B956" s="1" t="s">
        <v>8</v>
      </c>
      <c r="C956" s="1">
        <v>220.7</v>
      </c>
    </row>
    <row r="957" spans="1:3" x14ac:dyDescent="0.2">
      <c r="A957" s="2">
        <v>45586</v>
      </c>
      <c r="B957" s="1" t="s">
        <v>8</v>
      </c>
      <c r="C957" s="1">
        <v>218.85</v>
      </c>
    </row>
    <row r="958" spans="1:3" x14ac:dyDescent="0.2">
      <c r="A958" s="2">
        <v>45587</v>
      </c>
      <c r="B958" s="1" t="s">
        <v>8</v>
      </c>
      <c r="C958" s="1">
        <v>217.97</v>
      </c>
    </row>
    <row r="959" spans="1:3" x14ac:dyDescent="0.2">
      <c r="A959" s="2">
        <v>45588</v>
      </c>
      <c r="B959" s="1" t="s">
        <v>8</v>
      </c>
      <c r="C959" s="1">
        <v>213.65</v>
      </c>
    </row>
    <row r="960" spans="1:3" x14ac:dyDescent="0.2">
      <c r="A960" s="2">
        <v>45589</v>
      </c>
      <c r="B960" s="1" t="s">
        <v>8</v>
      </c>
      <c r="C960" s="1">
        <v>260.48</v>
      </c>
    </row>
    <row r="961" spans="1:3" x14ac:dyDescent="0.2">
      <c r="A961" s="2">
        <v>45590</v>
      </c>
      <c r="B961" s="1" t="s">
        <v>8</v>
      </c>
      <c r="C961" s="1">
        <v>269.19</v>
      </c>
    </row>
    <row r="962" spans="1:3" x14ac:dyDescent="0.2">
      <c r="A962" s="2">
        <v>45593</v>
      </c>
      <c r="B962" s="1" t="s">
        <v>8</v>
      </c>
      <c r="C962" s="1">
        <v>262.51</v>
      </c>
    </row>
    <row r="963" spans="1:3" x14ac:dyDescent="0.2">
      <c r="A963" s="2">
        <v>45594</v>
      </c>
      <c r="B963" s="1" t="s">
        <v>8</v>
      </c>
      <c r="C963" s="1">
        <v>259.52</v>
      </c>
    </row>
    <row r="964" spans="1:3" x14ac:dyDescent="0.2">
      <c r="A964" s="2">
        <v>45595</v>
      </c>
      <c r="B964" s="1" t="s">
        <v>8</v>
      </c>
      <c r="C964" s="1">
        <v>257.55</v>
      </c>
    </row>
    <row r="965" spans="1:3" x14ac:dyDescent="0.2">
      <c r="A965" s="2">
        <v>45596</v>
      </c>
      <c r="B965" s="1" t="s">
        <v>8</v>
      </c>
      <c r="C965" s="1">
        <v>249.85</v>
      </c>
    </row>
    <row r="966" spans="1:3" x14ac:dyDescent="0.2">
      <c r="A966" s="2">
        <v>45597</v>
      </c>
      <c r="B966" s="1" t="s">
        <v>8</v>
      </c>
      <c r="C966" s="1">
        <v>248.98</v>
      </c>
    </row>
    <row r="967" spans="1:3" x14ac:dyDescent="0.2">
      <c r="A967" s="2">
        <v>45600</v>
      </c>
      <c r="B967" s="1" t="s">
        <v>8</v>
      </c>
      <c r="C967" s="1">
        <v>242.84</v>
      </c>
    </row>
    <row r="968" spans="1:3" x14ac:dyDescent="0.2">
      <c r="A968" s="2">
        <v>45601</v>
      </c>
      <c r="B968" s="1" t="s">
        <v>8</v>
      </c>
      <c r="C968" s="1">
        <v>251.44</v>
      </c>
    </row>
    <row r="969" spans="1:3" x14ac:dyDescent="0.2">
      <c r="A969" s="2">
        <v>45602</v>
      </c>
      <c r="B969" s="1" t="s">
        <v>8</v>
      </c>
      <c r="C969" s="1">
        <v>288.52999999999997</v>
      </c>
    </row>
    <row r="970" spans="1:3" x14ac:dyDescent="0.2">
      <c r="A970" s="2">
        <v>45603</v>
      </c>
      <c r="B970" s="1" t="s">
        <v>8</v>
      </c>
      <c r="C970" s="1">
        <v>296.91000000000003</v>
      </c>
    </row>
    <row r="971" spans="1:3" x14ac:dyDescent="0.2">
      <c r="A971" s="2">
        <v>45604</v>
      </c>
      <c r="B971" s="1" t="s">
        <v>8</v>
      </c>
      <c r="C971" s="1">
        <v>321.22000000000003</v>
      </c>
    </row>
    <row r="972" spans="1:3" x14ac:dyDescent="0.2">
      <c r="A972" s="2">
        <v>45607</v>
      </c>
      <c r="B972" s="1" t="s">
        <v>8</v>
      </c>
      <c r="C972" s="1">
        <v>350</v>
      </c>
    </row>
    <row r="973" spans="1:3" x14ac:dyDescent="0.2">
      <c r="A973" s="2">
        <v>45608</v>
      </c>
      <c r="B973" s="1" t="s">
        <v>8</v>
      </c>
      <c r="C973" s="1">
        <v>328.49</v>
      </c>
    </row>
    <row r="974" spans="1:3" x14ac:dyDescent="0.2">
      <c r="A974" s="2">
        <v>45609</v>
      </c>
      <c r="B974" s="1" t="s">
        <v>8</v>
      </c>
      <c r="C974" s="1">
        <v>330.24</v>
      </c>
    </row>
    <row r="975" spans="1:3" x14ac:dyDescent="0.2">
      <c r="A975" s="2">
        <v>45610</v>
      </c>
      <c r="B975" s="1" t="s">
        <v>8</v>
      </c>
      <c r="C975" s="1">
        <v>311.18</v>
      </c>
    </row>
    <row r="976" spans="1:3" x14ac:dyDescent="0.2">
      <c r="A976" s="2">
        <v>45611</v>
      </c>
      <c r="B976" s="1" t="s">
        <v>8</v>
      </c>
      <c r="C976" s="1">
        <v>320.72000000000003</v>
      </c>
    </row>
    <row r="977" spans="1:3" x14ac:dyDescent="0.2">
      <c r="A977" s="2">
        <v>45614</v>
      </c>
      <c r="B977" s="1" t="s">
        <v>8</v>
      </c>
      <c r="C977" s="1">
        <v>338.74</v>
      </c>
    </row>
    <row r="978" spans="1:3" x14ac:dyDescent="0.2">
      <c r="A978" s="2">
        <v>45615</v>
      </c>
      <c r="B978" s="1" t="s">
        <v>8</v>
      </c>
      <c r="C978" s="1">
        <v>346</v>
      </c>
    </row>
    <row r="979" spans="1:3" x14ac:dyDescent="0.2">
      <c r="A979" s="2">
        <v>45616</v>
      </c>
      <c r="B979" s="1" t="s">
        <v>8</v>
      </c>
      <c r="C979" s="1">
        <v>342.03</v>
      </c>
    </row>
    <row r="980" spans="1:3" x14ac:dyDescent="0.2">
      <c r="A980" s="2">
        <v>45617</v>
      </c>
      <c r="B980" s="1" t="s">
        <v>8</v>
      </c>
      <c r="C980" s="1">
        <v>339.64</v>
      </c>
    </row>
    <row r="981" spans="1:3" x14ac:dyDescent="0.2">
      <c r="A981" s="2">
        <v>45618</v>
      </c>
      <c r="B981" s="1" t="s">
        <v>8</v>
      </c>
      <c r="C981" s="1">
        <v>352.56</v>
      </c>
    </row>
    <row r="982" spans="1:3" x14ac:dyDescent="0.2">
      <c r="A982" s="2">
        <v>45621</v>
      </c>
      <c r="B982" s="1" t="s">
        <v>8</v>
      </c>
      <c r="C982" s="1">
        <v>338.59</v>
      </c>
    </row>
    <row r="983" spans="1:3" x14ac:dyDescent="0.2">
      <c r="A983" s="2">
        <v>45622</v>
      </c>
      <c r="B983" s="1" t="s">
        <v>8</v>
      </c>
      <c r="C983" s="1">
        <v>338.23</v>
      </c>
    </row>
    <row r="984" spans="1:3" x14ac:dyDescent="0.2">
      <c r="A984" s="2">
        <v>45623</v>
      </c>
      <c r="B984" s="1" t="s">
        <v>8</v>
      </c>
      <c r="C984" s="1">
        <v>332.89</v>
      </c>
    </row>
    <row r="985" spans="1:3" x14ac:dyDescent="0.2">
      <c r="A985" s="2">
        <v>45625</v>
      </c>
      <c r="B985" s="1" t="s">
        <v>8</v>
      </c>
      <c r="C985" s="1">
        <v>345.16</v>
      </c>
    </row>
    <row r="986" spans="1:3" x14ac:dyDescent="0.2">
      <c r="A986" s="2">
        <v>45628</v>
      </c>
      <c r="B986" s="1" t="s">
        <v>8</v>
      </c>
      <c r="C986" s="1">
        <v>357.09</v>
      </c>
    </row>
    <row r="987" spans="1:3" x14ac:dyDescent="0.2">
      <c r="A987" s="2">
        <v>45629</v>
      </c>
      <c r="B987" s="1" t="s">
        <v>8</v>
      </c>
      <c r="C987" s="1">
        <v>351.42</v>
      </c>
    </row>
    <row r="988" spans="1:3" x14ac:dyDescent="0.2">
      <c r="A988" s="2">
        <v>45630</v>
      </c>
      <c r="B988" s="1" t="s">
        <v>8</v>
      </c>
      <c r="C988" s="1">
        <v>357.93</v>
      </c>
    </row>
    <row r="989" spans="1:3" x14ac:dyDescent="0.2">
      <c r="A989" s="2">
        <v>45631</v>
      </c>
      <c r="B989" s="1" t="s">
        <v>8</v>
      </c>
      <c r="C989" s="1">
        <v>369.49</v>
      </c>
    </row>
    <row r="990" spans="1:3" x14ac:dyDescent="0.2">
      <c r="A990" s="2">
        <v>45632</v>
      </c>
      <c r="B990" s="1" t="s">
        <v>8</v>
      </c>
      <c r="C990" s="1">
        <v>389.22</v>
      </c>
    </row>
    <row r="991" spans="1:3" x14ac:dyDescent="0.2">
      <c r="A991" s="2">
        <v>45635</v>
      </c>
      <c r="B991" s="1" t="s">
        <v>8</v>
      </c>
      <c r="C991" s="1">
        <v>389.79</v>
      </c>
    </row>
    <row r="992" spans="1:3" x14ac:dyDescent="0.2">
      <c r="A992" s="2">
        <v>45636</v>
      </c>
      <c r="B992" s="1" t="s">
        <v>8</v>
      </c>
      <c r="C992" s="1">
        <v>400.99</v>
      </c>
    </row>
    <row r="993" spans="1:3" x14ac:dyDescent="0.2">
      <c r="A993" s="2">
        <v>45637</v>
      </c>
      <c r="B993" s="1" t="s">
        <v>8</v>
      </c>
      <c r="C993" s="1">
        <v>424.77</v>
      </c>
    </row>
    <row r="994" spans="1:3" x14ac:dyDescent="0.2">
      <c r="A994" s="2">
        <v>45638</v>
      </c>
      <c r="B994" s="1" t="s">
        <v>8</v>
      </c>
      <c r="C994" s="1">
        <v>418.1</v>
      </c>
    </row>
    <row r="995" spans="1:3" x14ac:dyDescent="0.2">
      <c r="A995" s="2">
        <v>45639</v>
      </c>
      <c r="B995" s="1" t="s">
        <v>8</v>
      </c>
      <c r="C995" s="1">
        <v>436.23</v>
      </c>
    </row>
    <row r="996" spans="1:3" x14ac:dyDescent="0.2">
      <c r="A996" s="2">
        <v>45642</v>
      </c>
      <c r="B996" s="1" t="s">
        <v>8</v>
      </c>
      <c r="C996" s="1">
        <v>463.02</v>
      </c>
    </row>
    <row r="997" spans="1:3" x14ac:dyDescent="0.2">
      <c r="A997" s="2">
        <v>45643</v>
      </c>
      <c r="B997" s="1" t="s">
        <v>8</v>
      </c>
      <c r="C997" s="1">
        <v>479.86</v>
      </c>
    </row>
    <row r="998" spans="1:3" x14ac:dyDescent="0.2">
      <c r="A998" s="2">
        <v>45644</v>
      </c>
      <c r="B998" s="1" t="s">
        <v>8</v>
      </c>
      <c r="C998" s="1">
        <v>440.13</v>
      </c>
    </row>
    <row r="999" spans="1:3" x14ac:dyDescent="0.2">
      <c r="A999" s="2">
        <v>45645</v>
      </c>
      <c r="B999" s="1" t="s">
        <v>8</v>
      </c>
      <c r="C999" s="1">
        <v>436.17</v>
      </c>
    </row>
    <row r="1000" spans="1:3" x14ac:dyDescent="0.2">
      <c r="A1000" s="2">
        <v>45646</v>
      </c>
      <c r="B1000" s="1" t="s">
        <v>8</v>
      </c>
      <c r="C1000" s="1">
        <v>421.06</v>
      </c>
    </row>
    <row r="1001" spans="1:3" x14ac:dyDescent="0.2">
      <c r="A1001" s="2">
        <v>45649</v>
      </c>
      <c r="B1001" s="1" t="s">
        <v>8</v>
      </c>
      <c r="C1001" s="1">
        <v>430.6</v>
      </c>
    </row>
    <row r="1002" spans="1:3" x14ac:dyDescent="0.2">
      <c r="A1002" s="2">
        <v>45650</v>
      </c>
      <c r="B1002" s="1" t="s">
        <v>8</v>
      </c>
      <c r="C1002" s="1">
        <v>462.28</v>
      </c>
    </row>
    <row r="1003" spans="1:3" x14ac:dyDescent="0.2">
      <c r="A1003" s="2">
        <v>45652</v>
      </c>
      <c r="B1003" s="1" t="s">
        <v>8</v>
      </c>
      <c r="C1003" s="1">
        <v>454.13</v>
      </c>
    </row>
    <row r="1004" spans="1:3" x14ac:dyDescent="0.2">
      <c r="A1004" s="2">
        <v>45653</v>
      </c>
      <c r="B1004" s="1" t="s">
        <v>8</v>
      </c>
      <c r="C1004" s="1">
        <v>431.66</v>
      </c>
    </row>
    <row r="1005" spans="1:3" x14ac:dyDescent="0.2">
      <c r="A1005" s="2">
        <v>45656</v>
      </c>
      <c r="B1005" s="1" t="s">
        <v>8</v>
      </c>
      <c r="C1005" s="1">
        <v>417.41</v>
      </c>
    </row>
    <row r="1006" spans="1:3" x14ac:dyDescent="0.2">
      <c r="A1006" s="2">
        <v>45657</v>
      </c>
      <c r="B1006" s="1" t="s">
        <v>8</v>
      </c>
      <c r="C1006" s="1">
        <v>403.84</v>
      </c>
    </row>
    <row r="1007" spans="1:3" x14ac:dyDescent="0.2">
      <c r="A1007" s="2">
        <v>45659</v>
      </c>
      <c r="B1007" s="1" t="s">
        <v>8</v>
      </c>
      <c r="C1007" s="1">
        <v>379.28</v>
      </c>
    </row>
    <row r="1008" spans="1:3" x14ac:dyDescent="0.2">
      <c r="A1008" s="2">
        <v>45660</v>
      </c>
      <c r="B1008" s="1" t="s">
        <v>8</v>
      </c>
      <c r="C1008" s="1">
        <v>410.44</v>
      </c>
    </row>
    <row r="1009" spans="1:3" x14ac:dyDescent="0.2">
      <c r="A1009" s="2">
        <v>45663</v>
      </c>
      <c r="B1009" s="1" t="s">
        <v>8</v>
      </c>
      <c r="C1009" s="1">
        <v>411.05</v>
      </c>
    </row>
    <row r="1010" spans="1:3" x14ac:dyDescent="0.2">
      <c r="A1010" s="2">
        <v>45664</v>
      </c>
      <c r="B1010" s="1" t="s">
        <v>8</v>
      </c>
      <c r="C1010" s="1">
        <v>394.36</v>
      </c>
    </row>
    <row r="1011" spans="1:3" x14ac:dyDescent="0.2">
      <c r="A1011" s="2">
        <v>45665</v>
      </c>
      <c r="B1011" s="1" t="s">
        <v>8</v>
      </c>
      <c r="C1011" s="1">
        <v>394.94</v>
      </c>
    </row>
    <row r="1012" spans="1:3" x14ac:dyDescent="0.2">
      <c r="A1012" s="2">
        <v>45667</v>
      </c>
      <c r="B1012" s="1" t="s">
        <v>8</v>
      </c>
      <c r="C1012" s="1">
        <v>394.74</v>
      </c>
    </row>
    <row r="1013" spans="1:3" x14ac:dyDescent="0.2">
      <c r="A1013" s="2">
        <v>45670</v>
      </c>
      <c r="B1013" s="1" t="s">
        <v>8</v>
      </c>
      <c r="C1013" s="1">
        <v>403.31</v>
      </c>
    </row>
    <row r="1014" spans="1:3" x14ac:dyDescent="0.2">
      <c r="A1014" s="2">
        <v>45671</v>
      </c>
      <c r="B1014" s="1" t="s">
        <v>8</v>
      </c>
      <c r="C1014" s="1">
        <v>396.36</v>
      </c>
    </row>
    <row r="1015" spans="1:3" x14ac:dyDescent="0.2">
      <c r="A1015" s="2">
        <v>45672</v>
      </c>
      <c r="B1015" s="1" t="s">
        <v>8</v>
      </c>
      <c r="C1015" s="1">
        <v>428.22</v>
      </c>
    </row>
    <row r="1016" spans="1:3" x14ac:dyDescent="0.2">
      <c r="A1016" s="2">
        <v>45673</v>
      </c>
      <c r="B1016" s="1" t="s">
        <v>8</v>
      </c>
      <c r="C1016" s="1">
        <v>413.82</v>
      </c>
    </row>
    <row r="1017" spans="1:3" x14ac:dyDescent="0.2">
      <c r="A1017" s="2">
        <v>45674</v>
      </c>
      <c r="B1017" s="1" t="s">
        <v>8</v>
      </c>
      <c r="C1017" s="1">
        <v>426.5</v>
      </c>
    </row>
    <row r="1018" spans="1:3" x14ac:dyDescent="0.2">
      <c r="A1018" s="2">
        <v>45678</v>
      </c>
      <c r="B1018" s="1" t="s">
        <v>8</v>
      </c>
      <c r="C1018" s="1">
        <v>424.07</v>
      </c>
    </row>
    <row r="1019" spans="1:3" x14ac:dyDescent="0.2">
      <c r="A1019" s="2">
        <v>45679</v>
      </c>
      <c r="B1019" s="1" t="s">
        <v>8</v>
      </c>
      <c r="C1019" s="1">
        <v>415.11</v>
      </c>
    </row>
    <row r="1020" spans="1:3" x14ac:dyDescent="0.2">
      <c r="A1020" s="2">
        <v>45680</v>
      </c>
      <c r="B1020" s="1" t="s">
        <v>8</v>
      </c>
      <c r="C1020" s="1">
        <v>412.38</v>
      </c>
    </row>
    <row r="1021" spans="1:3" x14ac:dyDescent="0.2">
      <c r="A1021" s="2">
        <v>45681</v>
      </c>
      <c r="B1021" s="1" t="s">
        <v>8</v>
      </c>
      <c r="C1021" s="1">
        <v>406.58</v>
      </c>
    </row>
    <row r="1022" spans="1:3" x14ac:dyDescent="0.2">
      <c r="A1022" s="2">
        <v>45684</v>
      </c>
      <c r="B1022" s="1" t="s">
        <v>8</v>
      </c>
      <c r="C1022" s="1">
        <v>397.15</v>
      </c>
    </row>
    <row r="1023" spans="1:3" x14ac:dyDescent="0.2">
      <c r="A1023" s="2">
        <v>45685</v>
      </c>
      <c r="B1023" s="1" t="s">
        <v>8</v>
      </c>
      <c r="C1023" s="1">
        <v>398.09</v>
      </c>
    </row>
    <row r="1024" spans="1:3" x14ac:dyDescent="0.2">
      <c r="A1024" s="2">
        <v>45686</v>
      </c>
      <c r="B1024" s="1" t="s">
        <v>8</v>
      </c>
      <c r="C1024" s="1">
        <v>389.1</v>
      </c>
    </row>
    <row r="1025" spans="1:3" x14ac:dyDescent="0.2">
      <c r="A1025" s="2">
        <v>45687</v>
      </c>
      <c r="B1025" s="1" t="s">
        <v>8</v>
      </c>
      <c r="C1025" s="1">
        <v>400.28</v>
      </c>
    </row>
    <row r="1026" spans="1:3" x14ac:dyDescent="0.2">
      <c r="A1026" s="2">
        <v>45688</v>
      </c>
      <c r="B1026" s="1" t="s">
        <v>8</v>
      </c>
      <c r="C1026" s="1">
        <v>404.6</v>
      </c>
    </row>
    <row r="1027" spans="1:3" x14ac:dyDescent="0.2">
      <c r="A1027" s="2">
        <v>45691</v>
      </c>
      <c r="B1027" s="1" t="s">
        <v>8</v>
      </c>
      <c r="C1027" s="1">
        <v>383.68</v>
      </c>
    </row>
    <row r="1028" spans="1:3" x14ac:dyDescent="0.2">
      <c r="A1028" s="2">
        <v>45692</v>
      </c>
      <c r="B1028" s="1" t="s">
        <v>8</v>
      </c>
      <c r="C1028" s="1">
        <v>392.21</v>
      </c>
    </row>
    <row r="1029" spans="1:3" x14ac:dyDescent="0.2">
      <c r="A1029" s="2">
        <v>45693</v>
      </c>
      <c r="B1029" s="1" t="s">
        <v>8</v>
      </c>
      <c r="C1029" s="1">
        <v>378.17</v>
      </c>
    </row>
    <row r="1030" spans="1:3" x14ac:dyDescent="0.2">
      <c r="A1030" s="2">
        <v>45694</v>
      </c>
      <c r="B1030" s="1" t="s">
        <v>8</v>
      </c>
      <c r="C1030" s="1">
        <v>374.32</v>
      </c>
    </row>
    <row r="1031" spans="1:3" x14ac:dyDescent="0.2">
      <c r="A1031" s="2">
        <v>45695</v>
      </c>
      <c r="B1031" s="1" t="s">
        <v>8</v>
      </c>
      <c r="C1031" s="1">
        <v>361.62</v>
      </c>
    </row>
    <row r="1032" spans="1:3" x14ac:dyDescent="0.2">
      <c r="A1032" s="2">
        <v>45698</v>
      </c>
      <c r="B1032" s="1" t="s">
        <v>8</v>
      </c>
      <c r="C1032" s="1">
        <v>350.73</v>
      </c>
    </row>
    <row r="1033" spans="1:3" x14ac:dyDescent="0.2">
      <c r="A1033" s="2">
        <v>45699</v>
      </c>
      <c r="B1033" s="1" t="s">
        <v>8</v>
      </c>
      <c r="C1033" s="1">
        <v>328.5</v>
      </c>
    </row>
    <row r="1034" spans="1:3" x14ac:dyDescent="0.2">
      <c r="A1034" s="2">
        <v>45700</v>
      </c>
      <c r="B1034" s="1" t="s">
        <v>8</v>
      </c>
      <c r="C1034" s="1">
        <v>336.51</v>
      </c>
    </row>
    <row r="1035" spans="1:3" x14ac:dyDescent="0.2">
      <c r="A1035" s="2">
        <v>45701</v>
      </c>
      <c r="B1035" s="1" t="s">
        <v>8</v>
      </c>
      <c r="C1035" s="1">
        <v>355.94</v>
      </c>
    </row>
    <row r="1036" spans="1:3" x14ac:dyDescent="0.2">
      <c r="A1036" s="2">
        <v>45702</v>
      </c>
      <c r="B1036" s="1" t="s">
        <v>8</v>
      </c>
      <c r="C1036" s="1">
        <v>355.84</v>
      </c>
    </row>
    <row r="1037" spans="1:3" x14ac:dyDescent="0.2">
      <c r="A1037" s="2">
        <v>45706</v>
      </c>
      <c r="B1037" s="1" t="s">
        <v>8</v>
      </c>
      <c r="C1037" s="1">
        <v>354.11</v>
      </c>
    </row>
    <row r="1038" spans="1:3" x14ac:dyDescent="0.2">
      <c r="A1038" s="2">
        <v>45707</v>
      </c>
      <c r="B1038" s="1" t="s">
        <v>8</v>
      </c>
      <c r="C1038" s="1">
        <v>360.56</v>
      </c>
    </row>
    <row r="1039" spans="1:3" x14ac:dyDescent="0.2">
      <c r="A1039" s="2">
        <v>45708</v>
      </c>
      <c r="B1039" s="1" t="s">
        <v>8</v>
      </c>
      <c r="C1039" s="1">
        <v>354.4</v>
      </c>
    </row>
    <row r="1040" spans="1:3" x14ac:dyDescent="0.2">
      <c r="A1040" s="2">
        <v>45709</v>
      </c>
      <c r="B1040" s="1" t="s">
        <v>8</v>
      </c>
      <c r="C1040" s="1">
        <v>337.8</v>
      </c>
    </row>
    <row r="1041" spans="1:3" x14ac:dyDescent="0.2">
      <c r="A1041" s="2">
        <v>45712</v>
      </c>
      <c r="B1041" s="1" t="s">
        <v>8</v>
      </c>
      <c r="C1041" s="1">
        <v>330.4</v>
      </c>
    </row>
    <row r="1042" spans="1:3" x14ac:dyDescent="0.2">
      <c r="A1042" s="2">
        <v>45713</v>
      </c>
      <c r="B1042" s="1" t="s">
        <v>8</v>
      </c>
      <c r="C1042" s="1">
        <v>302.8</v>
      </c>
    </row>
    <row r="1043" spans="1:3" x14ac:dyDescent="0.2">
      <c r="A1043" s="2">
        <v>45714</v>
      </c>
      <c r="B1043" s="1" t="s">
        <v>8</v>
      </c>
      <c r="C1043" s="1">
        <v>290.8</v>
      </c>
    </row>
    <row r="1044" spans="1:3" x14ac:dyDescent="0.2">
      <c r="A1044" s="2">
        <v>45715</v>
      </c>
      <c r="B1044" s="1" t="s">
        <v>8</v>
      </c>
      <c r="C1044" s="1">
        <v>281.95</v>
      </c>
    </row>
    <row r="1045" spans="1:3" x14ac:dyDescent="0.2">
      <c r="A1045" s="2">
        <v>45716</v>
      </c>
      <c r="B1045" s="1" t="s">
        <v>8</v>
      </c>
      <c r="C1045" s="1">
        <v>292.98</v>
      </c>
    </row>
    <row r="1046" spans="1:3" x14ac:dyDescent="0.2">
      <c r="A1046" s="2">
        <v>45719</v>
      </c>
      <c r="B1046" s="1" t="s">
        <v>8</v>
      </c>
      <c r="C1046" s="1">
        <v>284.64999999999998</v>
      </c>
    </row>
    <row r="1047" spans="1:3" x14ac:dyDescent="0.2">
      <c r="A1047" s="2">
        <v>45720</v>
      </c>
      <c r="B1047" s="1" t="s">
        <v>8</v>
      </c>
      <c r="C1047" s="1">
        <v>272.04000000000002</v>
      </c>
    </row>
    <row r="1048" spans="1:3" x14ac:dyDescent="0.2">
      <c r="A1048" s="2">
        <v>45721</v>
      </c>
      <c r="B1048" s="1" t="s">
        <v>8</v>
      </c>
      <c r="C1048" s="1">
        <v>279.10000000000002</v>
      </c>
    </row>
    <row r="1049" spans="1:3" x14ac:dyDescent="0.2">
      <c r="A1049" s="2">
        <v>45722</v>
      </c>
      <c r="B1049" s="1" t="s">
        <v>8</v>
      </c>
      <c r="C1049" s="1">
        <v>263.45</v>
      </c>
    </row>
    <row r="1050" spans="1:3" x14ac:dyDescent="0.2">
      <c r="A1050" s="2">
        <v>45723</v>
      </c>
      <c r="B1050" s="1" t="s">
        <v>8</v>
      </c>
      <c r="C1050" s="1">
        <v>262.67</v>
      </c>
    </row>
    <row r="1051" spans="1:3" x14ac:dyDescent="0.2">
      <c r="A1051" s="2">
        <v>45726</v>
      </c>
      <c r="B1051" s="1" t="s">
        <v>8</v>
      </c>
      <c r="C1051" s="1">
        <v>222.15</v>
      </c>
    </row>
    <row r="1052" spans="1:3" x14ac:dyDescent="0.2">
      <c r="A1052" s="2">
        <v>45727</v>
      </c>
      <c r="B1052" s="1" t="s">
        <v>8</v>
      </c>
      <c r="C1052" s="1">
        <v>230.58</v>
      </c>
    </row>
    <row r="1053" spans="1:3" x14ac:dyDescent="0.2">
      <c r="A1053" s="2">
        <v>45728</v>
      </c>
      <c r="B1053" s="1" t="s">
        <v>8</v>
      </c>
      <c r="C1053" s="1">
        <v>248.09</v>
      </c>
    </row>
    <row r="1054" spans="1:3" x14ac:dyDescent="0.2">
      <c r="A1054" s="2">
        <v>45729</v>
      </c>
      <c r="B1054" s="1" t="s">
        <v>8</v>
      </c>
      <c r="C1054" s="1">
        <v>240.68</v>
      </c>
    </row>
    <row r="1055" spans="1:3" x14ac:dyDescent="0.2">
      <c r="A1055" s="2">
        <v>45730</v>
      </c>
      <c r="B1055" s="1" t="s">
        <v>8</v>
      </c>
      <c r="C1055" s="1">
        <v>249.98</v>
      </c>
    </row>
    <row r="1056" spans="1:3" x14ac:dyDescent="0.2">
      <c r="A1056" s="2">
        <v>45733</v>
      </c>
      <c r="B1056" s="1" t="s">
        <v>8</v>
      </c>
      <c r="C1056" s="1">
        <v>238.01</v>
      </c>
    </row>
    <row r="1057" spans="1:3" x14ac:dyDescent="0.2">
      <c r="A1057" s="2">
        <v>45734</v>
      </c>
      <c r="B1057" s="1" t="s">
        <v>8</v>
      </c>
      <c r="C1057" s="1">
        <v>225.31</v>
      </c>
    </row>
    <row r="1058" spans="1:3" x14ac:dyDescent="0.2">
      <c r="A1058" s="2">
        <v>45735</v>
      </c>
      <c r="B1058" s="1" t="s">
        <v>8</v>
      </c>
      <c r="C1058" s="1">
        <v>235.86</v>
      </c>
    </row>
    <row r="1059" spans="1:3" x14ac:dyDescent="0.2">
      <c r="A1059" s="2">
        <v>45736</v>
      </c>
      <c r="B1059" s="1" t="s">
        <v>8</v>
      </c>
      <c r="C1059" s="1">
        <v>236.26</v>
      </c>
    </row>
    <row r="1060" spans="1:3" x14ac:dyDescent="0.2">
      <c r="A1060" s="2">
        <v>45737</v>
      </c>
      <c r="B1060" s="1" t="s">
        <v>8</v>
      </c>
      <c r="C1060" s="1">
        <v>248.71</v>
      </c>
    </row>
    <row r="1061" spans="1:3" x14ac:dyDescent="0.2">
      <c r="A1061" s="2">
        <v>45740</v>
      </c>
      <c r="B1061" s="1" t="s">
        <v>8</v>
      </c>
      <c r="C1061" s="1">
        <v>278.39</v>
      </c>
    </row>
    <row r="1062" spans="1:3" x14ac:dyDescent="0.2">
      <c r="A1062" s="2">
        <v>45741</v>
      </c>
      <c r="B1062" s="1" t="s">
        <v>8</v>
      </c>
      <c r="C1062" s="1">
        <v>288.14</v>
      </c>
    </row>
    <row r="1063" spans="1:3" x14ac:dyDescent="0.2">
      <c r="A1063" s="2">
        <v>45742</v>
      </c>
      <c r="B1063" s="1" t="s">
        <v>8</v>
      </c>
      <c r="C1063" s="1">
        <v>272.06</v>
      </c>
    </row>
    <row r="1064" spans="1:3" x14ac:dyDescent="0.2">
      <c r="A1064" s="2">
        <v>45743</v>
      </c>
      <c r="B1064" s="1" t="s">
        <v>8</v>
      </c>
      <c r="C1064" s="1">
        <v>273.13</v>
      </c>
    </row>
    <row r="1065" spans="1:3" x14ac:dyDescent="0.2">
      <c r="A1065" s="2">
        <v>45744</v>
      </c>
      <c r="B1065" s="1" t="s">
        <v>8</v>
      </c>
      <c r="C1065" s="1">
        <v>263.55</v>
      </c>
    </row>
    <row r="1066" spans="1:3" x14ac:dyDescent="0.2">
      <c r="A1066" s="2">
        <v>45747</v>
      </c>
      <c r="B1066" s="1" t="s">
        <v>8</v>
      </c>
      <c r="C1066" s="1">
        <v>259.16000000000003</v>
      </c>
    </row>
    <row r="1067" spans="1:3" x14ac:dyDescent="0.2">
      <c r="A1067" s="2">
        <v>45748</v>
      </c>
      <c r="B1067" s="1" t="s">
        <v>8</v>
      </c>
      <c r="C1067" s="1">
        <v>268.45999999999998</v>
      </c>
    </row>
    <row r="1068" spans="1:3" x14ac:dyDescent="0.2">
      <c r="A1068" s="2">
        <v>45749</v>
      </c>
      <c r="B1068" s="1" t="s">
        <v>8</v>
      </c>
      <c r="C1068" s="1">
        <v>282.76</v>
      </c>
    </row>
    <row r="1069" spans="1:3" x14ac:dyDescent="0.2">
      <c r="A1069" s="2">
        <v>45750</v>
      </c>
      <c r="B1069" s="1" t="s">
        <v>8</v>
      </c>
      <c r="C1069" s="1">
        <v>267.27999999999997</v>
      </c>
    </row>
    <row r="1070" spans="1:3" x14ac:dyDescent="0.2">
      <c r="A1070" s="2">
        <v>45751</v>
      </c>
      <c r="B1070" s="1" t="s">
        <v>8</v>
      </c>
      <c r="C1070" s="1">
        <v>239.43</v>
      </c>
    </row>
    <row r="1071" spans="1:3" x14ac:dyDescent="0.2">
      <c r="A1071" s="2">
        <v>45754</v>
      </c>
      <c r="B1071" s="1" t="s">
        <v>8</v>
      </c>
      <c r="C1071" s="1">
        <v>233.29</v>
      </c>
    </row>
    <row r="1072" spans="1:3" x14ac:dyDescent="0.2">
      <c r="A1072" s="2">
        <v>45755</v>
      </c>
      <c r="B1072" s="1" t="s">
        <v>8</v>
      </c>
      <c r="C1072" s="1">
        <v>221.86</v>
      </c>
    </row>
    <row r="1073" spans="1:3" x14ac:dyDescent="0.2">
      <c r="A1073" s="2">
        <v>45756</v>
      </c>
      <c r="B1073" s="1" t="s">
        <v>8</v>
      </c>
      <c r="C1073" s="1">
        <v>272.2</v>
      </c>
    </row>
    <row r="1074" spans="1:3" x14ac:dyDescent="0.2">
      <c r="A1074" s="2">
        <v>45757</v>
      </c>
      <c r="B1074" s="1" t="s">
        <v>8</v>
      </c>
      <c r="C1074" s="1">
        <v>252.4</v>
      </c>
    </row>
    <row r="1075" spans="1:3" x14ac:dyDescent="0.2">
      <c r="A1075" s="2">
        <v>45758</v>
      </c>
      <c r="B1075" s="1" t="s">
        <v>8</v>
      </c>
      <c r="C1075" s="1">
        <v>252.31</v>
      </c>
    </row>
    <row r="1076" spans="1:3" x14ac:dyDescent="0.2">
      <c r="A1076" s="2">
        <v>45761</v>
      </c>
      <c r="B1076" s="1" t="s">
        <v>8</v>
      </c>
      <c r="C1076" s="1">
        <v>252.35</v>
      </c>
    </row>
    <row r="1077" spans="1:3" x14ac:dyDescent="0.2">
      <c r="A1077" s="2">
        <v>45762</v>
      </c>
      <c r="B1077" s="1" t="s">
        <v>8</v>
      </c>
      <c r="C1077" s="1">
        <v>254.11</v>
      </c>
    </row>
    <row r="1078" spans="1:3" x14ac:dyDescent="0.2">
      <c r="A1078" s="2">
        <v>45763</v>
      </c>
      <c r="B1078" s="1" t="s">
        <v>8</v>
      </c>
      <c r="C1078" s="1">
        <v>241.55</v>
      </c>
    </row>
    <row r="1079" spans="1:3" x14ac:dyDescent="0.2">
      <c r="A1079" s="2">
        <v>45764</v>
      </c>
      <c r="B1079" s="1" t="s">
        <v>8</v>
      </c>
      <c r="C1079" s="1">
        <v>241.37</v>
      </c>
    </row>
    <row r="1080" spans="1:3" x14ac:dyDescent="0.2">
      <c r="A1080" s="2">
        <v>45768</v>
      </c>
      <c r="B1080" s="1" t="s">
        <v>8</v>
      </c>
      <c r="C1080" s="1">
        <v>227.5</v>
      </c>
    </row>
    <row r="1081" spans="1:3" x14ac:dyDescent="0.2">
      <c r="A1081" s="2">
        <v>45769</v>
      </c>
      <c r="B1081" s="1" t="s">
        <v>8</v>
      </c>
      <c r="C1081" s="1">
        <v>237.97</v>
      </c>
    </row>
    <row r="1082" spans="1:3" x14ac:dyDescent="0.2">
      <c r="A1082" s="2">
        <v>45770</v>
      </c>
      <c r="B1082" s="1" t="s">
        <v>8</v>
      </c>
      <c r="C1082" s="1">
        <v>250.74</v>
      </c>
    </row>
    <row r="1083" spans="1:3" x14ac:dyDescent="0.2">
      <c r="A1083" s="2">
        <v>45771</v>
      </c>
      <c r="B1083" s="1" t="s">
        <v>8</v>
      </c>
      <c r="C1083" s="1">
        <v>259.51</v>
      </c>
    </row>
    <row r="1084" spans="1:3" x14ac:dyDescent="0.2">
      <c r="A1084" s="2">
        <v>45772</v>
      </c>
      <c r="B1084" s="1" t="s">
        <v>8</v>
      </c>
      <c r="C1084" s="1">
        <v>284.95</v>
      </c>
    </row>
    <row r="1085" spans="1:3" x14ac:dyDescent="0.2">
      <c r="A1085" s="2">
        <v>45775</v>
      </c>
      <c r="B1085" s="1" t="s">
        <v>8</v>
      </c>
      <c r="C1085" s="1">
        <v>285.88</v>
      </c>
    </row>
    <row r="1086" spans="1:3" x14ac:dyDescent="0.2">
      <c r="A1086" s="2">
        <v>45776</v>
      </c>
      <c r="B1086" s="1" t="s">
        <v>8</v>
      </c>
      <c r="C1086" s="1">
        <v>292.02999999999997</v>
      </c>
    </row>
    <row r="1087" spans="1:3" x14ac:dyDescent="0.2">
      <c r="A1087" s="2">
        <v>45777</v>
      </c>
      <c r="B1087" s="1" t="s">
        <v>8</v>
      </c>
      <c r="C1087" s="1">
        <v>282.16000000000003</v>
      </c>
    </row>
    <row r="1088" spans="1:3" x14ac:dyDescent="0.2">
      <c r="A1088" s="2">
        <v>45778</v>
      </c>
      <c r="B1088" s="1" t="s">
        <v>8</v>
      </c>
      <c r="C1088" s="1">
        <v>280.52</v>
      </c>
    </row>
    <row r="1089" spans="1:3" x14ac:dyDescent="0.2">
      <c r="A1089" s="2">
        <v>45779</v>
      </c>
      <c r="B1089" s="1" t="s">
        <v>8</v>
      </c>
      <c r="C1089" s="1">
        <v>287.20999999999998</v>
      </c>
    </row>
    <row r="1090" spans="1:3" x14ac:dyDescent="0.2">
      <c r="A1090" s="2">
        <v>45782</v>
      </c>
      <c r="B1090" s="1" t="s">
        <v>8</v>
      </c>
      <c r="C1090" s="1">
        <v>280.26</v>
      </c>
    </row>
    <row r="1091" spans="1:3" x14ac:dyDescent="0.2">
      <c r="A1091" s="2">
        <v>45783</v>
      </c>
      <c r="B1091" s="1" t="s">
        <v>8</v>
      </c>
      <c r="C1091" s="1">
        <v>275.35000000000002</v>
      </c>
    </row>
    <row r="1092" spans="1:3" x14ac:dyDescent="0.2">
      <c r="A1092" s="2">
        <v>45784</v>
      </c>
      <c r="B1092" s="1" t="s">
        <v>8</v>
      </c>
      <c r="C1092" s="1">
        <v>276.22000000000003</v>
      </c>
    </row>
    <row r="1093" spans="1:3" x14ac:dyDescent="0.2">
      <c r="A1093" s="2">
        <v>45785</v>
      </c>
      <c r="B1093" s="1" t="s">
        <v>8</v>
      </c>
      <c r="C1093" s="1">
        <v>284.82</v>
      </c>
    </row>
    <row r="1094" spans="1:3" x14ac:dyDescent="0.2">
      <c r="A1094" s="2">
        <v>45786</v>
      </c>
      <c r="B1094" s="1" t="s">
        <v>8</v>
      </c>
      <c r="C1094" s="1">
        <v>298.26</v>
      </c>
    </row>
    <row r="1095" spans="1:3" x14ac:dyDescent="0.2">
      <c r="A1095" s="2">
        <v>45789</v>
      </c>
      <c r="B1095" s="1" t="s">
        <v>8</v>
      </c>
      <c r="C1095" s="1">
        <v>318.38</v>
      </c>
    </row>
    <row r="1096" spans="1:3" x14ac:dyDescent="0.2">
      <c r="A1096" s="2">
        <v>45790</v>
      </c>
      <c r="B1096" s="1" t="s">
        <v>8</v>
      </c>
      <c r="C1096" s="1">
        <v>334.07</v>
      </c>
    </row>
    <row r="1097" spans="1:3" x14ac:dyDescent="0.2">
      <c r="A1097" s="2">
        <v>45791</v>
      </c>
      <c r="B1097" s="1" t="s">
        <v>8</v>
      </c>
      <c r="C1097" s="1">
        <v>347.68</v>
      </c>
    </row>
    <row r="1098" spans="1:3" x14ac:dyDescent="0.2">
      <c r="A1098" s="2">
        <v>45792</v>
      </c>
      <c r="B1098" s="1" t="s">
        <v>8</v>
      </c>
      <c r="C1098" s="1">
        <v>342.82</v>
      </c>
    </row>
    <row r="1099" spans="1:3" x14ac:dyDescent="0.2">
      <c r="A1099" s="2">
        <v>45793</v>
      </c>
      <c r="B1099" s="1" t="s">
        <v>8</v>
      </c>
      <c r="C1099" s="1">
        <v>349.98</v>
      </c>
    </row>
    <row r="1100" spans="1:3" x14ac:dyDescent="0.2">
      <c r="A1100" s="2">
        <v>45796</v>
      </c>
      <c r="B1100" s="1" t="s">
        <v>8</v>
      </c>
      <c r="C1100" s="1">
        <v>342.09</v>
      </c>
    </row>
    <row r="1101" spans="1:3" x14ac:dyDescent="0.2">
      <c r="A1101" s="2">
        <v>45797</v>
      </c>
      <c r="B1101" s="1" t="s">
        <v>8</v>
      </c>
      <c r="C1101" s="1">
        <v>343.82</v>
      </c>
    </row>
    <row r="1102" spans="1:3" x14ac:dyDescent="0.2">
      <c r="A1102" s="2">
        <v>45798</v>
      </c>
      <c r="B1102" s="1" t="s">
        <v>8</v>
      </c>
      <c r="C1102" s="1">
        <v>334.62</v>
      </c>
    </row>
    <row r="1103" spans="1:3" x14ac:dyDescent="0.2">
      <c r="A1103" s="2">
        <v>45799</v>
      </c>
      <c r="B1103" s="1" t="s">
        <v>8</v>
      </c>
      <c r="C1103" s="1">
        <v>341.04</v>
      </c>
    </row>
    <row r="1104" spans="1:3" x14ac:dyDescent="0.2">
      <c r="A1104" s="2">
        <v>45800</v>
      </c>
      <c r="B1104" s="1" t="s">
        <v>8</v>
      </c>
      <c r="C1104" s="1">
        <v>339.34</v>
      </c>
    </row>
    <row r="1105" spans="1:3" x14ac:dyDescent="0.2">
      <c r="A1105" s="2">
        <v>45804</v>
      </c>
      <c r="B1105" s="1" t="s">
        <v>8</v>
      </c>
      <c r="C1105" s="1">
        <v>362.89</v>
      </c>
    </row>
    <row r="1106" spans="1:3" x14ac:dyDescent="0.2">
      <c r="A1106" s="2">
        <v>45805</v>
      </c>
      <c r="B1106" s="1" t="s">
        <v>8</v>
      </c>
      <c r="C1106" s="1">
        <v>356.9</v>
      </c>
    </row>
    <row r="1107" spans="1:3" x14ac:dyDescent="0.2">
      <c r="A1107" s="2">
        <v>45806</v>
      </c>
      <c r="B1107" s="1" t="s">
        <v>8</v>
      </c>
      <c r="C1107" s="1">
        <v>358.43</v>
      </c>
    </row>
    <row r="1108" spans="1:3" x14ac:dyDescent="0.2">
      <c r="A1108" s="2">
        <v>45807</v>
      </c>
      <c r="B1108" s="1" t="s">
        <v>8</v>
      </c>
      <c r="C1108" s="1">
        <v>346.46</v>
      </c>
    </row>
    <row r="1109" spans="1:3" x14ac:dyDescent="0.2">
      <c r="A1109" s="2">
        <v>45810</v>
      </c>
      <c r="B1109" s="1" t="s">
        <v>8</v>
      </c>
      <c r="C1109" s="1">
        <v>342.69</v>
      </c>
    </row>
    <row r="1110" spans="1:3" x14ac:dyDescent="0.2">
      <c r="A1110" s="2">
        <v>45811</v>
      </c>
      <c r="B1110" s="1" t="s">
        <v>8</v>
      </c>
      <c r="C1110" s="1">
        <v>344.27</v>
      </c>
    </row>
    <row r="1111" spans="1:3" x14ac:dyDescent="0.2">
      <c r="A1111" s="2">
        <v>45812</v>
      </c>
      <c r="B1111" s="1" t="s">
        <v>8</v>
      </c>
      <c r="C1111" s="1">
        <v>332.05</v>
      </c>
    </row>
    <row r="1112" spans="1:3" x14ac:dyDescent="0.2">
      <c r="A1112" s="2">
        <v>45813</v>
      </c>
      <c r="B1112" s="1" t="s">
        <v>8</v>
      </c>
      <c r="C1112" s="1">
        <v>284.7</v>
      </c>
    </row>
    <row r="1113" spans="1:3" x14ac:dyDescent="0.2">
      <c r="A1113" s="2">
        <v>45814</v>
      </c>
      <c r="B1113" s="1" t="s">
        <v>8</v>
      </c>
      <c r="C1113" s="1">
        <v>295.14</v>
      </c>
    </row>
    <row r="1114" spans="1:3" x14ac:dyDescent="0.2">
      <c r="A1114" s="2">
        <v>45817</v>
      </c>
      <c r="B1114" s="1" t="s">
        <v>8</v>
      </c>
      <c r="C1114" s="1">
        <v>308.58</v>
      </c>
    </row>
    <row r="1115" spans="1:3" x14ac:dyDescent="0.2">
      <c r="A1115" s="2">
        <v>45818</v>
      </c>
      <c r="B1115" s="1" t="s">
        <v>8</v>
      </c>
      <c r="C1115" s="1">
        <v>326.08999999999997</v>
      </c>
    </row>
    <row r="1116" spans="1:3" x14ac:dyDescent="0.2">
      <c r="A1116" s="2">
        <v>45819</v>
      </c>
      <c r="B1116" s="1" t="s">
        <v>8</v>
      </c>
      <c r="C1116" s="1">
        <v>326.43</v>
      </c>
    </row>
    <row r="1117" spans="1:3" x14ac:dyDescent="0.2">
      <c r="A1117" s="2">
        <v>45820</v>
      </c>
      <c r="B1117" s="1" t="s">
        <v>8</v>
      </c>
      <c r="C1117" s="1">
        <v>319.11</v>
      </c>
    </row>
    <row r="1118" spans="1:3" x14ac:dyDescent="0.2">
      <c r="A1118" s="2">
        <v>45821</v>
      </c>
      <c r="B1118" s="1" t="s">
        <v>8</v>
      </c>
      <c r="C1118" s="1">
        <v>325.31</v>
      </c>
    </row>
    <row r="1119" spans="1:3" x14ac:dyDescent="0.2">
      <c r="A1119" s="2">
        <v>45824</v>
      </c>
      <c r="B1119" s="1" t="s">
        <v>8</v>
      </c>
      <c r="C1119" s="1">
        <v>329.13</v>
      </c>
    </row>
    <row r="1120" spans="1:3" x14ac:dyDescent="0.2">
      <c r="A1120" s="2">
        <v>45825</v>
      </c>
      <c r="B1120" s="1" t="s">
        <v>8</v>
      </c>
      <c r="C1120" s="1">
        <v>316.35000000000002</v>
      </c>
    </row>
    <row r="1121" spans="1:3" x14ac:dyDescent="0.2">
      <c r="A1121" s="2">
        <v>45826</v>
      </c>
      <c r="B1121" s="1" t="s">
        <v>8</v>
      </c>
      <c r="C1121" s="1">
        <v>322.05</v>
      </c>
    </row>
    <row r="1122" spans="1:3" x14ac:dyDescent="0.2">
      <c r="A1122" s="2">
        <v>45828</v>
      </c>
      <c r="B1122" s="1" t="s">
        <v>8</v>
      </c>
      <c r="C1122" s="1">
        <v>322.16000000000003</v>
      </c>
    </row>
    <row r="1123" spans="1:3" x14ac:dyDescent="0.2">
      <c r="A1123" s="2">
        <v>45831</v>
      </c>
      <c r="B1123" s="1" t="s">
        <v>8</v>
      </c>
      <c r="C1123" s="1">
        <v>348.68</v>
      </c>
    </row>
    <row r="1124" spans="1:3" x14ac:dyDescent="0.2">
      <c r="A1124" s="2">
        <v>45832</v>
      </c>
      <c r="B1124" s="1" t="s">
        <v>8</v>
      </c>
      <c r="C1124" s="1">
        <v>340.47</v>
      </c>
    </row>
    <row r="1125" spans="1:3" x14ac:dyDescent="0.2">
      <c r="A1125" s="2">
        <v>45833</v>
      </c>
      <c r="B1125" s="1" t="s">
        <v>8</v>
      </c>
      <c r="C1125" s="1">
        <v>327.55</v>
      </c>
    </row>
    <row r="1126" spans="1:3" x14ac:dyDescent="0.2">
      <c r="A1126" s="2">
        <v>45834</v>
      </c>
      <c r="B1126" s="1" t="s">
        <v>8</v>
      </c>
      <c r="C1126" s="1">
        <v>325.77999999999997</v>
      </c>
    </row>
    <row r="1127" spans="1:3" x14ac:dyDescent="0.2">
      <c r="A1127" s="2">
        <v>45835</v>
      </c>
      <c r="B1127" s="1" t="s">
        <v>8</v>
      </c>
      <c r="C1127" s="1">
        <v>323.63</v>
      </c>
    </row>
    <row r="1128" spans="1:3" x14ac:dyDescent="0.2">
      <c r="A1128" s="2">
        <v>45838</v>
      </c>
      <c r="B1128" s="1" t="s">
        <v>8</v>
      </c>
      <c r="C1128" s="1">
        <v>317.66000000000003</v>
      </c>
    </row>
    <row r="1129" spans="1:3" x14ac:dyDescent="0.2">
      <c r="A1129" s="2">
        <v>45839</v>
      </c>
      <c r="B1129" s="1" t="s">
        <v>8</v>
      </c>
      <c r="C1129" s="1">
        <v>300.70999999999998</v>
      </c>
    </row>
    <row r="1130" spans="1:3" x14ac:dyDescent="0.2">
      <c r="A1130" s="2">
        <v>45840</v>
      </c>
      <c r="B1130" s="1" t="s">
        <v>8</v>
      </c>
      <c r="C1130" s="1">
        <v>315.64999999999998</v>
      </c>
    </row>
    <row r="1131" spans="1:3" x14ac:dyDescent="0.2">
      <c r="A1131" s="2">
        <v>45841</v>
      </c>
      <c r="B1131" s="1" t="s">
        <v>8</v>
      </c>
      <c r="C1131" s="1">
        <v>315.35000000000002</v>
      </c>
    </row>
    <row r="1132" spans="1:3" x14ac:dyDescent="0.2">
      <c r="A1132" s="2">
        <v>45845</v>
      </c>
      <c r="B1132" s="1" t="s">
        <v>8</v>
      </c>
      <c r="C1132" s="1">
        <v>293.94</v>
      </c>
    </row>
    <row r="1133" spans="1:3" x14ac:dyDescent="0.2">
      <c r="A1133" s="2">
        <v>45846</v>
      </c>
      <c r="B1133" s="1" t="s">
        <v>8</v>
      </c>
      <c r="C1133" s="1">
        <v>297.81</v>
      </c>
    </row>
    <row r="1134" spans="1:3" x14ac:dyDescent="0.2">
      <c r="A1134" s="2">
        <v>45847</v>
      </c>
      <c r="B1134" s="1" t="s">
        <v>8</v>
      </c>
      <c r="C1134" s="1">
        <v>295.88</v>
      </c>
    </row>
    <row r="1135" spans="1:3" x14ac:dyDescent="0.2">
      <c r="A1135" s="2">
        <v>45848</v>
      </c>
      <c r="B1135" s="1" t="s">
        <v>8</v>
      </c>
      <c r="C1135" s="1">
        <v>309.87</v>
      </c>
    </row>
    <row r="1136" spans="1:3" x14ac:dyDescent="0.2">
      <c r="A1136" s="2">
        <v>45849</v>
      </c>
      <c r="B1136" s="1" t="s">
        <v>8</v>
      </c>
      <c r="C1136" s="1">
        <v>313.51</v>
      </c>
    </row>
    <row r="1137" spans="1:3" x14ac:dyDescent="0.2">
      <c r="A1137" s="2">
        <v>45852</v>
      </c>
      <c r="B1137" s="1" t="s">
        <v>8</v>
      </c>
      <c r="C1137" s="1">
        <v>316.89999999999998</v>
      </c>
    </row>
    <row r="1138" spans="1:3" x14ac:dyDescent="0.2">
      <c r="A1138" s="2">
        <v>45853</v>
      </c>
      <c r="B1138" s="1" t="s">
        <v>8</v>
      </c>
      <c r="C1138" s="1">
        <v>310.77999999999997</v>
      </c>
    </row>
    <row r="1139" spans="1:3" x14ac:dyDescent="0.2">
      <c r="A1139" s="2">
        <v>45854</v>
      </c>
      <c r="B1139" s="1" t="s">
        <v>8</v>
      </c>
      <c r="C1139" s="1">
        <v>321.67</v>
      </c>
    </row>
    <row r="1140" spans="1:3" x14ac:dyDescent="0.2">
      <c r="A1140" s="2">
        <v>45855</v>
      </c>
      <c r="B1140" s="1" t="s">
        <v>8</v>
      </c>
      <c r="C1140" s="1">
        <v>319.41000000000003</v>
      </c>
    </row>
    <row r="1141" spans="1:3" x14ac:dyDescent="0.2">
      <c r="A1141" s="2">
        <v>45856</v>
      </c>
      <c r="B1141" s="1" t="s">
        <v>8</v>
      </c>
      <c r="C1141" s="1">
        <v>329.65</v>
      </c>
    </row>
    <row r="1142" spans="1:3" x14ac:dyDescent="0.2">
      <c r="A1142" s="2">
        <v>45859</v>
      </c>
      <c r="B1142" s="1" t="s">
        <v>8</v>
      </c>
      <c r="C1142" s="1">
        <v>328.49</v>
      </c>
    </row>
    <row r="1143" spans="1:3" x14ac:dyDescent="0.2">
      <c r="A1143" s="2">
        <v>45860</v>
      </c>
      <c r="B1143" s="1" t="s">
        <v>8</v>
      </c>
      <c r="C1143" s="1">
        <v>332.11</v>
      </c>
    </row>
    <row r="1144" spans="1:3" x14ac:dyDescent="0.2">
      <c r="A1144" s="2">
        <v>45861</v>
      </c>
      <c r="B1144" s="1" t="s">
        <v>8</v>
      </c>
      <c r="C1144" s="1">
        <v>332.56</v>
      </c>
    </row>
    <row r="1145" spans="1:3" x14ac:dyDescent="0.2">
      <c r="A1145" s="2">
        <v>45862</v>
      </c>
      <c r="B1145" s="1" t="s">
        <v>8</v>
      </c>
      <c r="C1145" s="1">
        <v>305.3</v>
      </c>
    </row>
    <row r="1146" spans="1:3" x14ac:dyDescent="0.2">
      <c r="A1146" s="2">
        <v>45863</v>
      </c>
      <c r="B1146" s="1" t="s">
        <v>8</v>
      </c>
      <c r="C1146" s="1">
        <v>316.06</v>
      </c>
    </row>
    <row r="1147" spans="1:3" x14ac:dyDescent="0.2">
      <c r="A1147" s="2">
        <v>45866</v>
      </c>
      <c r="B1147" s="1" t="s">
        <v>8</v>
      </c>
      <c r="C1147" s="1">
        <v>325.58999999999997</v>
      </c>
    </row>
    <row r="1148" spans="1:3" x14ac:dyDescent="0.2">
      <c r="A1148" s="2">
        <v>45867</v>
      </c>
      <c r="B1148" s="1" t="s">
        <v>8</v>
      </c>
      <c r="C1148" s="1">
        <v>321.2</v>
      </c>
    </row>
    <row r="1149" spans="1:3" x14ac:dyDescent="0.2">
      <c r="A1149" s="2">
        <v>45868</v>
      </c>
      <c r="B1149" s="1" t="s">
        <v>8</v>
      </c>
      <c r="C1149" s="1">
        <v>319.04000000000002</v>
      </c>
    </row>
    <row r="1150" spans="1:3" x14ac:dyDescent="0.2">
      <c r="A1150" s="2">
        <v>45869</v>
      </c>
      <c r="B1150" s="1" t="s">
        <v>8</v>
      </c>
      <c r="C1150" s="1">
        <v>308.27</v>
      </c>
    </row>
    <row r="1151" spans="1:3" x14ac:dyDescent="0.2">
      <c r="A1151" s="2">
        <v>45870</v>
      </c>
      <c r="B1151" s="1" t="s">
        <v>8</v>
      </c>
      <c r="C1151" s="1">
        <v>302.63</v>
      </c>
    </row>
    <row r="1152" spans="1:3" x14ac:dyDescent="0.2">
      <c r="A1152" s="2">
        <v>45873</v>
      </c>
      <c r="B1152" s="1" t="s">
        <v>8</v>
      </c>
      <c r="C1152" s="1">
        <v>309.26</v>
      </c>
    </row>
    <row r="1153" spans="1:3" x14ac:dyDescent="0.2">
      <c r="A1153" s="2">
        <v>45874</v>
      </c>
      <c r="B1153" s="1" t="s">
        <v>8</v>
      </c>
      <c r="C1153" s="1">
        <v>308.72000000000003</v>
      </c>
    </row>
    <row r="1154" spans="1:3" x14ac:dyDescent="0.2">
      <c r="A1154" s="2">
        <v>45875</v>
      </c>
      <c r="B1154" s="1" t="s">
        <v>8</v>
      </c>
      <c r="C1154" s="1">
        <v>319.91000000000003</v>
      </c>
    </row>
    <row r="1155" spans="1:3" x14ac:dyDescent="0.2">
      <c r="A1155" s="2">
        <v>45876</v>
      </c>
      <c r="B1155" s="1" t="s">
        <v>8</v>
      </c>
      <c r="C1155" s="1">
        <v>322.27</v>
      </c>
    </row>
    <row r="1156" spans="1:3" x14ac:dyDescent="0.2">
      <c r="A1156" s="2">
        <v>45877</v>
      </c>
      <c r="B1156" s="1" t="s">
        <v>8</v>
      </c>
      <c r="C1156" s="1">
        <v>329.65</v>
      </c>
    </row>
    <row r="1157" spans="1:3" x14ac:dyDescent="0.2">
      <c r="A1157" s="2">
        <v>45880</v>
      </c>
      <c r="B1157" s="1" t="s">
        <v>8</v>
      </c>
      <c r="C1157" s="1">
        <v>339.03</v>
      </c>
    </row>
    <row r="1158" spans="1:3" x14ac:dyDescent="0.2">
      <c r="A1158" s="2">
        <v>45881</v>
      </c>
      <c r="B1158" s="1" t="s">
        <v>8</v>
      </c>
      <c r="C1158" s="1">
        <v>340.84</v>
      </c>
    </row>
    <row r="1159" spans="1:3" x14ac:dyDescent="0.2">
      <c r="A1159" s="2">
        <v>45882</v>
      </c>
      <c r="B1159" s="1" t="s">
        <v>8</v>
      </c>
      <c r="C1159" s="1">
        <v>339.38</v>
      </c>
    </row>
    <row r="1160" spans="1:3" x14ac:dyDescent="0.2">
      <c r="A1160" s="2">
        <v>45883</v>
      </c>
      <c r="B1160" s="1" t="s">
        <v>8</v>
      </c>
      <c r="C1160" s="1">
        <v>335.58</v>
      </c>
    </row>
    <row r="1161" spans="1:3" x14ac:dyDescent="0.2">
      <c r="A1161" s="2">
        <v>45884</v>
      </c>
      <c r="B1161" s="1" t="s">
        <v>8</v>
      </c>
      <c r="C1161" s="1">
        <v>330.56</v>
      </c>
    </row>
    <row r="1162" spans="1:3" x14ac:dyDescent="0.2">
      <c r="A1162" s="2">
        <v>45887</v>
      </c>
      <c r="B1162" s="1" t="s">
        <v>8</v>
      </c>
      <c r="C1162" s="1">
        <v>335.16</v>
      </c>
    </row>
    <row r="1163" spans="1:3" x14ac:dyDescent="0.2">
      <c r="A1163" s="2">
        <v>45888</v>
      </c>
      <c r="B1163" s="1" t="s">
        <v>8</v>
      </c>
      <c r="C1163" s="1">
        <v>329.31</v>
      </c>
    </row>
    <row r="1164" spans="1:3" x14ac:dyDescent="0.2">
      <c r="A1164" s="2">
        <v>45889</v>
      </c>
      <c r="B1164" s="1" t="s">
        <v>8</v>
      </c>
      <c r="C1164" s="1">
        <v>323.89999999999998</v>
      </c>
    </row>
    <row r="1165" spans="1:3" x14ac:dyDescent="0.2">
      <c r="A1165" s="2">
        <v>45890</v>
      </c>
      <c r="B1165" s="1" t="s">
        <v>8</v>
      </c>
      <c r="C1165" s="1">
        <v>320.11</v>
      </c>
    </row>
    <row r="1166" spans="1:3" x14ac:dyDescent="0.2">
      <c r="A1166" s="2">
        <v>45891</v>
      </c>
      <c r="B1166" s="1" t="s">
        <v>8</v>
      </c>
      <c r="C1166" s="1">
        <v>340.01</v>
      </c>
    </row>
    <row r="1167" spans="1:3" x14ac:dyDescent="0.2">
      <c r="A1167" s="2">
        <v>45894</v>
      </c>
      <c r="B1167" s="1" t="s">
        <v>8</v>
      </c>
      <c r="C1167" s="1">
        <v>346.6</v>
      </c>
    </row>
    <row r="1168" spans="1:3" x14ac:dyDescent="0.2">
      <c r="A1168" s="2">
        <v>45895</v>
      </c>
      <c r="B1168" s="1" t="s">
        <v>8</v>
      </c>
      <c r="C1168" s="1">
        <v>351.67</v>
      </c>
    </row>
    <row r="1169" spans="1:3" x14ac:dyDescent="0.2">
      <c r="A1169" s="2">
        <v>45896</v>
      </c>
      <c r="B1169" s="1" t="s">
        <v>8</v>
      </c>
      <c r="C1169" s="1">
        <v>349.6</v>
      </c>
    </row>
    <row r="1170" spans="1:3" x14ac:dyDescent="0.2">
      <c r="A1170" s="2">
        <v>45897</v>
      </c>
      <c r="B1170" s="1" t="s">
        <v>8</v>
      </c>
      <c r="C1170" s="1">
        <v>345.98</v>
      </c>
    </row>
    <row r="1171" spans="1:3" x14ac:dyDescent="0.2">
      <c r="A1171" s="2">
        <v>45898</v>
      </c>
      <c r="B1171" s="1" t="s">
        <v>8</v>
      </c>
      <c r="C1171" s="1">
        <v>333.87</v>
      </c>
    </row>
    <row r="1172" spans="1:3" x14ac:dyDescent="0.2">
      <c r="A1172" s="2">
        <v>45902</v>
      </c>
      <c r="B1172" s="1" t="s">
        <v>8</v>
      </c>
      <c r="C1172" s="1">
        <v>329.36</v>
      </c>
    </row>
    <row r="1173" spans="1:3" x14ac:dyDescent="0.2">
      <c r="A1173" s="2">
        <v>45903</v>
      </c>
      <c r="B1173" s="1" t="s">
        <v>8</v>
      </c>
      <c r="C1173" s="1">
        <v>334.09</v>
      </c>
    </row>
    <row r="1174" spans="1:3" x14ac:dyDescent="0.2">
      <c r="A1174" s="2">
        <v>45904</v>
      </c>
      <c r="B1174" s="1" t="s">
        <v>8</v>
      </c>
      <c r="C1174" s="1">
        <v>338.53</v>
      </c>
    </row>
    <row r="1175" spans="1:3" x14ac:dyDescent="0.2">
      <c r="A1175" s="2">
        <v>45905</v>
      </c>
      <c r="B1175" s="1" t="s">
        <v>8</v>
      </c>
      <c r="C1175" s="1">
        <v>350.84</v>
      </c>
    </row>
    <row r="1176" spans="1:3" x14ac:dyDescent="0.2">
      <c r="A1176" s="2">
        <v>45908</v>
      </c>
      <c r="B1176" s="1" t="s">
        <v>8</v>
      </c>
      <c r="C1176" s="1">
        <v>346.4</v>
      </c>
    </row>
    <row r="1177" spans="1:3" x14ac:dyDescent="0.2">
      <c r="A1177" s="2">
        <v>45909</v>
      </c>
      <c r="B1177" s="1" t="s">
        <v>8</v>
      </c>
      <c r="C1177" s="1">
        <v>346.97</v>
      </c>
    </row>
    <row r="1178" spans="1:3" x14ac:dyDescent="0.2">
      <c r="A1178" s="2">
        <v>45910</v>
      </c>
      <c r="B1178" s="1" t="s">
        <v>8</v>
      </c>
      <c r="C1178" s="1">
        <v>347.79</v>
      </c>
    </row>
    <row r="1179" spans="1:3" x14ac:dyDescent="0.2">
      <c r="A1179" s="2">
        <v>45911</v>
      </c>
      <c r="B1179" s="1" t="s">
        <v>8</v>
      </c>
      <c r="C1179" s="1">
        <v>368.81</v>
      </c>
    </row>
    <row r="1180" spans="1:3" x14ac:dyDescent="0.2">
      <c r="A1180" s="2">
        <v>45912</v>
      </c>
      <c r="B1180" s="1" t="s">
        <v>8</v>
      </c>
      <c r="C1180" s="1">
        <v>395.94</v>
      </c>
    </row>
    <row r="1181" spans="1:3" x14ac:dyDescent="0.2">
      <c r="A1181" s="2">
        <v>45915</v>
      </c>
      <c r="B1181" s="1" t="s">
        <v>8</v>
      </c>
      <c r="C1181" s="1">
        <v>410.04</v>
      </c>
    </row>
    <row r="1182" spans="1:3" x14ac:dyDescent="0.2">
      <c r="A1182" s="2">
        <v>45916</v>
      </c>
      <c r="B1182" s="1" t="s">
        <v>8</v>
      </c>
      <c r="C1182" s="1">
        <v>421.62</v>
      </c>
    </row>
    <row r="1183" spans="1:3" x14ac:dyDescent="0.2">
      <c r="A1183" s="2">
        <v>45917</v>
      </c>
      <c r="B1183" s="1" t="s">
        <v>8</v>
      </c>
      <c r="C1183" s="1">
        <v>425.86</v>
      </c>
    </row>
    <row r="1184" spans="1:3" x14ac:dyDescent="0.2">
      <c r="A1184" s="2">
        <v>45918</v>
      </c>
      <c r="B1184" s="1" t="s">
        <v>8</v>
      </c>
      <c r="C1184" s="1">
        <v>416.85</v>
      </c>
    </row>
    <row r="1185" spans="1:3" x14ac:dyDescent="0.2">
      <c r="A1185" s="2">
        <v>45919</v>
      </c>
      <c r="B1185" s="1" t="s">
        <v>8</v>
      </c>
      <c r="C1185" s="1">
        <v>426.07</v>
      </c>
    </row>
    <row r="1186" spans="1:3" x14ac:dyDescent="0.2">
      <c r="A1186" s="2">
        <v>45922</v>
      </c>
      <c r="B1186" s="1" t="s">
        <v>8</v>
      </c>
      <c r="C1186" s="1">
        <v>434.21</v>
      </c>
    </row>
    <row r="1187" spans="1:3" x14ac:dyDescent="0.2">
      <c r="A1187" s="2">
        <v>45923</v>
      </c>
      <c r="B1187" s="1" t="s">
        <v>8</v>
      </c>
      <c r="C1187" s="1">
        <v>425.85</v>
      </c>
    </row>
    <row r="1188" spans="1:3" x14ac:dyDescent="0.2">
      <c r="A1188" s="2">
        <v>45924</v>
      </c>
      <c r="B1188" s="1" t="s">
        <v>8</v>
      </c>
      <c r="C1188" s="1">
        <v>442.79</v>
      </c>
    </row>
    <row r="1189" spans="1:3" x14ac:dyDescent="0.2">
      <c r="A1189" s="2">
        <v>45925</v>
      </c>
      <c r="B1189" s="1" t="s">
        <v>8</v>
      </c>
      <c r="C1189" s="1">
        <v>423.39</v>
      </c>
    </row>
    <row r="1190" spans="1:3" x14ac:dyDescent="0.2">
      <c r="A1190" s="2">
        <v>45926</v>
      </c>
      <c r="B1190" s="1" t="s">
        <v>8</v>
      </c>
      <c r="C1190" s="1">
        <v>440.4</v>
      </c>
    </row>
    <row r="1191" spans="1:3" x14ac:dyDescent="0.2">
      <c r="A1191" s="2">
        <v>45929</v>
      </c>
      <c r="B1191" s="1" t="s">
        <v>8</v>
      </c>
      <c r="C1191" s="1">
        <v>443.21</v>
      </c>
    </row>
    <row r="1192" spans="1:3" x14ac:dyDescent="0.2">
      <c r="A1192" s="2">
        <v>45930</v>
      </c>
      <c r="B1192" s="1" t="s">
        <v>8</v>
      </c>
      <c r="C1192" s="1">
        <v>444.72</v>
      </c>
    </row>
    <row r="1193" spans="1:3" x14ac:dyDescent="0.2">
      <c r="A1193" s="2">
        <v>45931</v>
      </c>
      <c r="B1193" s="1" t="s">
        <v>8</v>
      </c>
      <c r="C1193" s="1">
        <v>459.46</v>
      </c>
    </row>
    <row r="1194" spans="1:3" x14ac:dyDescent="0.2">
      <c r="A1194" s="2">
        <v>45932</v>
      </c>
      <c r="B1194" s="1" t="s">
        <v>8</v>
      </c>
      <c r="C1194" s="1">
        <v>436</v>
      </c>
    </row>
    <row r="1195" spans="1:3" x14ac:dyDescent="0.2">
      <c r="A1195" s="2">
        <v>45933</v>
      </c>
      <c r="B1195" s="1" t="s">
        <v>8</v>
      </c>
      <c r="C1195" s="1">
        <v>429.83</v>
      </c>
    </row>
    <row r="1196" spans="1:3" x14ac:dyDescent="0.2">
      <c r="A1196" s="2">
        <v>45936</v>
      </c>
      <c r="B1196" s="1" t="s">
        <v>8</v>
      </c>
      <c r="C1196" s="1">
        <v>453.25</v>
      </c>
    </row>
    <row r="1197" spans="1:3" x14ac:dyDescent="0.2">
      <c r="A1197" s="2">
        <v>45937</v>
      </c>
      <c r="B1197" s="1" t="s">
        <v>8</v>
      </c>
      <c r="C1197" s="1">
        <v>433.09</v>
      </c>
    </row>
    <row r="1198" spans="1:3" x14ac:dyDescent="0.2">
      <c r="A1198" s="2">
        <v>45938</v>
      </c>
      <c r="B1198" s="1" t="s">
        <v>8</v>
      </c>
      <c r="C1198" s="1">
        <v>438.69</v>
      </c>
    </row>
    <row r="1199" spans="1:3" x14ac:dyDescent="0.2">
      <c r="A1199" s="2">
        <v>45939</v>
      </c>
      <c r="B1199" s="1" t="s">
        <v>8</v>
      </c>
      <c r="C1199" s="1">
        <v>435.54</v>
      </c>
    </row>
    <row r="1200" spans="1:3" x14ac:dyDescent="0.2">
      <c r="A1200" s="2">
        <v>45940</v>
      </c>
      <c r="B1200" s="1" t="s">
        <v>8</v>
      </c>
      <c r="C1200" s="1">
        <v>413.49</v>
      </c>
    </row>
    <row r="1201" spans="1:3" x14ac:dyDescent="0.2">
      <c r="A1201" s="2">
        <v>45943</v>
      </c>
      <c r="B1201" s="1" t="s">
        <v>8</v>
      </c>
      <c r="C1201" s="1">
        <v>435.9</v>
      </c>
    </row>
    <row r="1202" spans="1:3" x14ac:dyDescent="0.2">
      <c r="A1202" s="2">
        <v>45944</v>
      </c>
      <c r="B1202" s="1" t="s">
        <v>8</v>
      </c>
      <c r="C1202" s="1">
        <v>429.24</v>
      </c>
    </row>
    <row r="1203" spans="1:3" x14ac:dyDescent="0.2">
      <c r="A1203" s="2">
        <v>45945</v>
      </c>
      <c r="B1203" s="1" t="s">
        <v>8</v>
      </c>
      <c r="C1203" s="1">
        <v>435.15</v>
      </c>
    </row>
    <row r="1204" spans="1:3" x14ac:dyDescent="0.2">
      <c r="A1204" s="2">
        <v>45946</v>
      </c>
      <c r="B1204" s="1" t="s">
        <v>8</v>
      </c>
      <c r="C1204" s="1">
        <v>428.75</v>
      </c>
    </row>
    <row r="1205" spans="1:3" x14ac:dyDescent="0.2">
      <c r="A1205" s="2">
        <v>45947</v>
      </c>
      <c r="B1205" s="1" t="s">
        <v>8</v>
      </c>
      <c r="C1205" s="1">
        <v>439.31</v>
      </c>
    </row>
    <row r="1206" spans="1:3" x14ac:dyDescent="0.2">
      <c r="A1206" s="2">
        <v>45950</v>
      </c>
      <c r="B1206" s="1" t="s">
        <v>8</v>
      </c>
      <c r="C1206" s="1">
        <v>447.43</v>
      </c>
    </row>
    <row r="1207" spans="1:3" x14ac:dyDescent="0.2">
      <c r="A1207" s="2">
        <v>45951</v>
      </c>
      <c r="B1207" s="1" t="s">
        <v>8</v>
      </c>
      <c r="C1207" s="1">
        <v>442.6</v>
      </c>
    </row>
    <row r="1208" spans="1:3" x14ac:dyDescent="0.2">
      <c r="A1208" s="2">
        <v>45952</v>
      </c>
      <c r="B1208" s="1" t="s">
        <v>8</v>
      </c>
      <c r="C1208" s="1">
        <v>438.97</v>
      </c>
    </row>
    <row r="1209" spans="1:3" x14ac:dyDescent="0.2">
      <c r="A1209" s="2">
        <v>45953</v>
      </c>
      <c r="B1209" s="1" t="s">
        <v>8</v>
      </c>
      <c r="C1209" s="1">
        <v>448.98</v>
      </c>
    </row>
    <row r="1210" spans="1:3" x14ac:dyDescent="0.2">
      <c r="A1210" s="2">
        <v>45954</v>
      </c>
      <c r="B1210" s="1" t="s">
        <v>8</v>
      </c>
      <c r="C1210" s="1">
        <v>433.72</v>
      </c>
    </row>
    <row r="1211" spans="1:3" x14ac:dyDescent="0.2">
      <c r="A1211" s="2">
        <v>45957</v>
      </c>
      <c r="B1211" s="1" t="s">
        <v>8</v>
      </c>
      <c r="C1211" s="1">
        <v>452.42</v>
      </c>
    </row>
    <row r="1212" spans="1:3" x14ac:dyDescent="0.2">
      <c r="A1212" s="2">
        <v>45958</v>
      </c>
      <c r="B1212" s="1" t="s">
        <v>8</v>
      </c>
      <c r="C1212" s="1">
        <v>460.55</v>
      </c>
    </row>
    <row r="1213" spans="1:3" x14ac:dyDescent="0.2">
      <c r="A1213" s="2">
        <v>45959</v>
      </c>
      <c r="B1213" s="1" t="s">
        <v>8</v>
      </c>
      <c r="C1213" s="1">
        <v>461.51</v>
      </c>
    </row>
    <row r="1214" spans="1:3" x14ac:dyDescent="0.2">
      <c r="A1214" s="2">
        <v>45960</v>
      </c>
      <c r="B1214" s="1" t="s">
        <v>8</v>
      </c>
      <c r="C1214" s="1">
        <v>440.1</v>
      </c>
    </row>
    <row r="1215" spans="1:3" x14ac:dyDescent="0.2">
      <c r="A1215" s="2">
        <v>45961</v>
      </c>
      <c r="B1215" s="1" t="s">
        <v>8</v>
      </c>
      <c r="C1215" s="1">
        <v>456.56</v>
      </c>
    </row>
    <row r="1216" spans="1:3" x14ac:dyDescent="0.2">
      <c r="A1216" s="2">
        <v>45964</v>
      </c>
      <c r="B1216" s="1" t="s">
        <v>8</v>
      </c>
      <c r="C1216" s="1">
        <v>468.37</v>
      </c>
    </row>
    <row r="1217" spans="1:3" x14ac:dyDescent="0.2">
      <c r="A1217" s="2">
        <v>45965</v>
      </c>
      <c r="B1217" s="1" t="s">
        <v>8</v>
      </c>
      <c r="C1217" s="1">
        <v>444.26</v>
      </c>
    </row>
    <row r="1218" spans="1:3" x14ac:dyDescent="0.2">
      <c r="A1218" s="2">
        <v>45966</v>
      </c>
      <c r="B1218" s="1" t="s">
        <v>8</v>
      </c>
      <c r="C1218" s="1">
        <v>462.07</v>
      </c>
    </row>
    <row r="1219" spans="1:3" x14ac:dyDescent="0.2">
      <c r="A1219" s="2">
        <v>45967</v>
      </c>
      <c r="B1219" s="1" t="s">
        <v>8</v>
      </c>
      <c r="C1219" s="1">
        <v>445.91</v>
      </c>
    </row>
    <row r="1220" spans="1:3" x14ac:dyDescent="0.2">
      <c r="A1220" s="2">
        <v>45968</v>
      </c>
      <c r="B1220" s="1" t="s">
        <v>8</v>
      </c>
      <c r="C1220" s="1">
        <v>429.52</v>
      </c>
    </row>
    <row r="1221" spans="1:3" x14ac:dyDescent="0.2">
      <c r="A1221" s="2">
        <v>45971</v>
      </c>
      <c r="B1221" s="1" t="s">
        <v>8</v>
      </c>
      <c r="C1221" s="1">
        <v>445.23</v>
      </c>
    </row>
    <row r="1222" spans="1:3" x14ac:dyDescent="0.2">
      <c r="A1222" s="2">
        <v>45972</v>
      </c>
      <c r="B1222" s="1" t="s">
        <v>8</v>
      </c>
      <c r="C1222" s="1">
        <v>439.62</v>
      </c>
    </row>
    <row r="1223" spans="1:3" x14ac:dyDescent="0.2">
      <c r="A1223" s="2">
        <v>45973</v>
      </c>
      <c r="B1223" s="1" t="s">
        <v>8</v>
      </c>
      <c r="C1223" s="1">
        <v>430.6</v>
      </c>
    </row>
    <row r="1224" spans="1:3" x14ac:dyDescent="0.2">
      <c r="A1224" s="2">
        <v>45974</v>
      </c>
      <c r="B1224" s="1" t="s">
        <v>8</v>
      </c>
      <c r="C1224" s="1">
        <v>401.99</v>
      </c>
    </row>
    <row r="1225" spans="1:3" x14ac:dyDescent="0.2">
      <c r="A1225" s="2">
        <v>45975</v>
      </c>
      <c r="B1225" s="1" t="s">
        <v>8</v>
      </c>
      <c r="C1225" s="1">
        <v>404.35</v>
      </c>
    </row>
    <row r="1226" spans="1:3" x14ac:dyDescent="0.2">
      <c r="A1226" s="2">
        <v>45978</v>
      </c>
      <c r="B1226" s="1" t="s">
        <v>8</v>
      </c>
      <c r="C1226" s="1">
        <v>408.92</v>
      </c>
    </row>
    <row r="1227" spans="1:3" x14ac:dyDescent="0.2">
      <c r="A1227" s="2">
        <v>45979</v>
      </c>
      <c r="B1227" s="1" t="s">
        <v>8</v>
      </c>
      <c r="C1227" s="1">
        <v>401.25</v>
      </c>
    </row>
    <row r="1228" spans="1:3" x14ac:dyDescent="0.2">
      <c r="A1228" s="2">
        <v>45980</v>
      </c>
      <c r="B1228" s="1" t="s">
        <v>8</v>
      </c>
      <c r="C1228" s="1">
        <v>403.99</v>
      </c>
    </row>
    <row r="1229" spans="1:3" x14ac:dyDescent="0.2">
      <c r="A1229" s="2">
        <v>45981</v>
      </c>
      <c r="B1229" s="1" t="s">
        <v>8</v>
      </c>
      <c r="C1229" s="1">
        <v>395.23</v>
      </c>
    </row>
    <row r="1230" spans="1:3" x14ac:dyDescent="0.2">
      <c r="A1230" s="2">
        <v>45982</v>
      </c>
      <c r="B1230" s="1" t="s">
        <v>8</v>
      </c>
      <c r="C1230" s="1">
        <v>391.09</v>
      </c>
    </row>
    <row r="1231" spans="1:3" x14ac:dyDescent="0.2">
      <c r="A1231" s="2">
        <v>45985</v>
      </c>
      <c r="B1231" s="1" t="s">
        <v>8</v>
      </c>
      <c r="C1231" s="1">
        <v>417.78</v>
      </c>
    </row>
    <row r="1232" spans="1:3" x14ac:dyDescent="0.2">
      <c r="A1232" s="2">
        <v>45986</v>
      </c>
      <c r="B1232" s="1" t="s">
        <v>8</v>
      </c>
      <c r="C1232" s="1">
        <v>419.4</v>
      </c>
    </row>
    <row r="1233" spans="1:3" x14ac:dyDescent="0.2">
      <c r="A1233" s="2">
        <v>45987</v>
      </c>
      <c r="B1233" s="1" t="s">
        <v>8</v>
      </c>
      <c r="C1233" s="1">
        <v>426.58</v>
      </c>
    </row>
    <row r="1234" spans="1:3" x14ac:dyDescent="0.2">
      <c r="A1234" s="2">
        <v>45989</v>
      </c>
      <c r="B1234" s="1" t="s">
        <v>8</v>
      </c>
      <c r="C1234" s="1">
        <v>430.17</v>
      </c>
    </row>
    <row r="1235" spans="1:3" x14ac:dyDescent="0.2">
      <c r="A1235" s="2">
        <v>45992</v>
      </c>
      <c r="B1235" s="1" t="s">
        <v>8</v>
      </c>
      <c r="C1235" s="1">
        <v>430.14</v>
      </c>
    </row>
    <row r="1236" spans="1:3" x14ac:dyDescent="0.2">
      <c r="A1236" s="2">
        <v>45993</v>
      </c>
      <c r="B1236" s="1" t="s">
        <v>8</v>
      </c>
      <c r="C1236" s="1">
        <v>429.24</v>
      </c>
    </row>
    <row r="1237" spans="1:3" x14ac:dyDescent="0.2">
      <c r="A1237" s="2">
        <v>45994</v>
      </c>
      <c r="B1237" s="1" t="s">
        <v>8</v>
      </c>
      <c r="C1237" s="1">
        <v>446.74</v>
      </c>
    </row>
    <row r="1238" spans="1:3" x14ac:dyDescent="0.2">
      <c r="A1238" s="2">
        <v>45995</v>
      </c>
      <c r="B1238" s="1" t="s">
        <v>8</v>
      </c>
      <c r="C1238" s="1">
        <v>454.53</v>
      </c>
    </row>
    <row r="1239" spans="1:3" x14ac:dyDescent="0.2">
      <c r="A1239" s="2">
        <v>45996</v>
      </c>
      <c r="B1239" s="1" t="s">
        <v>8</v>
      </c>
      <c r="C1239" s="1">
        <v>455</v>
      </c>
    </row>
    <row r="1240" spans="1:3" x14ac:dyDescent="0.2">
      <c r="A1240" s="2">
        <v>45999</v>
      </c>
      <c r="B1240" s="1" t="s">
        <v>8</v>
      </c>
      <c r="C1240" s="1">
        <v>439.58</v>
      </c>
    </row>
    <row r="1241" spans="1:3" x14ac:dyDescent="0.2">
      <c r="A1241" s="2">
        <v>46000</v>
      </c>
      <c r="B1241" s="1" t="s">
        <v>8</v>
      </c>
      <c r="C1241" s="1">
        <v>445.17</v>
      </c>
    </row>
    <row r="1242" spans="1:3" x14ac:dyDescent="0.2">
      <c r="A1242" s="2">
        <v>46001</v>
      </c>
      <c r="B1242" s="1" t="s">
        <v>8</v>
      </c>
      <c r="C1242" s="1">
        <v>451.45</v>
      </c>
    </row>
    <row r="1243" spans="1:3" x14ac:dyDescent="0.2">
      <c r="A1243" s="2">
        <v>46002</v>
      </c>
      <c r="B1243" s="1" t="s">
        <v>8</v>
      </c>
      <c r="C1243" s="1">
        <v>446.89</v>
      </c>
    </row>
    <row r="1244" spans="1:3" x14ac:dyDescent="0.2">
      <c r="A1244" s="2">
        <v>46003</v>
      </c>
      <c r="B1244" s="1" t="s">
        <v>8</v>
      </c>
      <c r="C1244" s="1">
        <v>458.96</v>
      </c>
    </row>
    <row r="1245" spans="1:3" x14ac:dyDescent="0.2">
      <c r="A1245" s="2">
        <v>46006</v>
      </c>
      <c r="B1245" s="1" t="s">
        <v>8</v>
      </c>
      <c r="C1245" s="1">
        <v>475.31</v>
      </c>
    </row>
    <row r="1246" spans="1:3" x14ac:dyDescent="0.2">
      <c r="A1246" s="2">
        <v>46007</v>
      </c>
      <c r="B1246" s="1" t="s">
        <v>8</v>
      </c>
      <c r="C1246" s="1">
        <v>489.88</v>
      </c>
    </row>
    <row r="1247" spans="1:3" x14ac:dyDescent="0.2">
      <c r="A1247" s="2">
        <v>46008</v>
      </c>
      <c r="B1247" s="1" t="s">
        <v>8</v>
      </c>
      <c r="C1247" s="1">
        <v>467.26</v>
      </c>
    </row>
    <row r="1248" spans="1:3" x14ac:dyDescent="0.2">
      <c r="A1248" s="2">
        <v>46009</v>
      </c>
      <c r="B1248" s="1" t="s">
        <v>8</v>
      </c>
      <c r="C1248" s="1">
        <v>483.37</v>
      </c>
    </row>
    <row r="1249" spans="1:3" x14ac:dyDescent="0.2">
      <c r="A1249" s="2">
        <v>46010</v>
      </c>
      <c r="B1249" s="1" t="s">
        <v>8</v>
      </c>
      <c r="C1249" s="1">
        <v>481.2</v>
      </c>
    </row>
    <row r="1250" spans="1:3" x14ac:dyDescent="0.2">
      <c r="A1250" s="2">
        <v>46013</v>
      </c>
      <c r="B1250" s="1" t="s">
        <v>8</v>
      </c>
      <c r="C1250" s="1">
        <v>488.73</v>
      </c>
    </row>
    <row r="1251" spans="1:3" x14ac:dyDescent="0.2">
      <c r="A1251" s="2">
        <v>46014</v>
      </c>
      <c r="B1251" s="1" t="s">
        <v>8</v>
      </c>
      <c r="C1251" s="1">
        <v>485.56</v>
      </c>
    </row>
    <row r="1252" spans="1:3" x14ac:dyDescent="0.2">
      <c r="A1252" s="2">
        <v>46015</v>
      </c>
      <c r="B1252" s="1" t="s">
        <v>8</v>
      </c>
      <c r="C1252" s="1">
        <v>485.4</v>
      </c>
    </row>
    <row r="1253" spans="1:3" x14ac:dyDescent="0.2">
      <c r="A1253" s="2">
        <v>46017</v>
      </c>
      <c r="B1253" s="1" t="s">
        <v>8</v>
      </c>
      <c r="C1253" s="1">
        <v>475.19</v>
      </c>
    </row>
    <row r="1254" spans="1:3" x14ac:dyDescent="0.2">
      <c r="A1254" s="2">
        <v>46020</v>
      </c>
      <c r="B1254" s="1" t="s">
        <v>8</v>
      </c>
      <c r="C1254" s="1">
        <v>459.64</v>
      </c>
    </row>
    <row r="1255" spans="1:3" x14ac:dyDescent="0.2">
      <c r="A1255" s="2">
        <v>46021</v>
      </c>
      <c r="B1255" s="1" t="s">
        <v>8</v>
      </c>
      <c r="C1255" s="1">
        <v>454.43</v>
      </c>
    </row>
    <row r="1256" spans="1:3" x14ac:dyDescent="0.2">
      <c r="A1256" s="2">
        <v>46022</v>
      </c>
      <c r="B1256" s="1" t="s">
        <v>8</v>
      </c>
      <c r="C1256" s="1">
        <v>449.72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F199-CDEB-40CC-B291-A082F383E773}">
  <sheetPr codeName="Sheet7"/>
  <dimension ref="A1:C4123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9</v>
      </c>
      <c r="C2" s="1">
        <v>85.994799999999998</v>
      </c>
    </row>
    <row r="3" spans="1:3" x14ac:dyDescent="0.2">
      <c r="A3" s="2">
        <v>44201</v>
      </c>
      <c r="B3" s="1" t="s">
        <v>9</v>
      </c>
      <c r="C3" s="1">
        <v>86.688199999999995</v>
      </c>
    </row>
    <row r="4" spans="1:3" x14ac:dyDescent="0.2">
      <c r="A4" s="2">
        <v>44202</v>
      </c>
      <c r="B4" s="1" t="s">
        <v>9</v>
      </c>
      <c r="C4" s="1">
        <v>85.832800000000006</v>
      </c>
    </row>
    <row r="5" spans="1:3" x14ac:dyDescent="0.2">
      <c r="A5" s="2">
        <v>44203</v>
      </c>
      <c r="B5" s="1" t="s">
        <v>9</v>
      </c>
      <c r="C5" s="1">
        <v>88.396600000000007</v>
      </c>
    </row>
    <row r="6" spans="1:3" x14ac:dyDescent="0.2">
      <c r="A6" s="2">
        <v>44204</v>
      </c>
      <c r="B6" s="1" t="s">
        <v>9</v>
      </c>
      <c r="C6" s="1">
        <v>89.566800000000001</v>
      </c>
    </row>
    <row r="7" spans="1:3" x14ac:dyDescent="0.2">
      <c r="A7" s="2">
        <v>44207</v>
      </c>
      <c r="B7" s="1" t="s">
        <v>9</v>
      </c>
      <c r="C7" s="1">
        <v>87.497299999999996</v>
      </c>
    </row>
    <row r="8" spans="1:3" x14ac:dyDescent="0.2">
      <c r="A8" s="2">
        <v>44208</v>
      </c>
      <c r="B8" s="1" t="s">
        <v>9</v>
      </c>
      <c r="C8" s="1">
        <v>86.557699999999997</v>
      </c>
    </row>
    <row r="9" spans="1:3" x14ac:dyDescent="0.2">
      <c r="A9" s="2">
        <v>44209</v>
      </c>
      <c r="B9" s="1" t="s">
        <v>9</v>
      </c>
      <c r="C9" s="1">
        <v>87.046899999999994</v>
      </c>
    </row>
    <row r="10" spans="1:3" x14ac:dyDescent="0.2">
      <c r="A10" s="2">
        <v>44210</v>
      </c>
      <c r="B10" s="1" t="s">
        <v>9</v>
      </c>
      <c r="C10" s="1">
        <v>86.233400000000003</v>
      </c>
    </row>
    <row r="11" spans="1:3" x14ac:dyDescent="0.2">
      <c r="A11" s="2">
        <v>44211</v>
      </c>
      <c r="B11" s="1" t="s">
        <v>9</v>
      </c>
      <c r="C11" s="1">
        <v>86.069100000000006</v>
      </c>
    </row>
    <row r="12" spans="1:3" x14ac:dyDescent="0.2">
      <c r="A12" s="2">
        <v>44215</v>
      </c>
      <c r="B12" s="1" t="s">
        <v>9</v>
      </c>
      <c r="C12" s="1">
        <v>88.901200000000003</v>
      </c>
    </row>
    <row r="13" spans="1:3" x14ac:dyDescent="0.2">
      <c r="A13" s="2">
        <v>44216</v>
      </c>
      <c r="B13" s="1" t="s">
        <v>9</v>
      </c>
      <c r="C13" s="1">
        <v>93.664000000000001</v>
      </c>
    </row>
    <row r="14" spans="1:3" x14ac:dyDescent="0.2">
      <c r="A14" s="2">
        <v>44217</v>
      </c>
      <c r="B14" s="1" t="s">
        <v>9</v>
      </c>
      <c r="C14" s="1">
        <v>93.867199999999997</v>
      </c>
    </row>
    <row r="15" spans="1:3" x14ac:dyDescent="0.2">
      <c r="A15" s="2">
        <v>44218</v>
      </c>
      <c r="B15" s="1" t="s">
        <v>9</v>
      </c>
      <c r="C15" s="1">
        <v>94.286100000000005</v>
      </c>
    </row>
    <row r="16" spans="1:3" x14ac:dyDescent="0.2">
      <c r="A16" s="2">
        <v>44221</v>
      </c>
      <c r="B16" s="1" t="s">
        <v>9</v>
      </c>
      <c r="C16" s="1">
        <v>94.371799999999993</v>
      </c>
    </row>
    <row r="17" spans="1:3" x14ac:dyDescent="0.2">
      <c r="A17" s="2">
        <v>44222</v>
      </c>
      <c r="B17" s="1" t="s">
        <v>9</v>
      </c>
      <c r="C17" s="1">
        <v>95.052899999999994</v>
      </c>
    </row>
    <row r="18" spans="1:3" x14ac:dyDescent="0.2">
      <c r="A18" s="2">
        <v>44223</v>
      </c>
      <c r="B18" s="1" t="s">
        <v>9</v>
      </c>
      <c r="C18" s="1">
        <v>90.618399999999994</v>
      </c>
    </row>
    <row r="19" spans="1:3" x14ac:dyDescent="0.2">
      <c r="A19" s="2">
        <v>44224</v>
      </c>
      <c r="B19" s="1" t="s">
        <v>9</v>
      </c>
      <c r="C19" s="1">
        <v>92.325299999999999</v>
      </c>
    </row>
    <row r="20" spans="1:3" x14ac:dyDescent="0.2">
      <c r="A20" s="2">
        <v>44225</v>
      </c>
      <c r="B20" s="1" t="s">
        <v>9</v>
      </c>
      <c r="C20" s="1">
        <v>91.0381</v>
      </c>
    </row>
    <row r="21" spans="1:3" x14ac:dyDescent="0.2">
      <c r="A21" s="2">
        <v>44228</v>
      </c>
      <c r="B21" s="1" t="s">
        <v>9</v>
      </c>
      <c r="C21" s="1">
        <v>94.311599999999999</v>
      </c>
    </row>
    <row r="22" spans="1:3" x14ac:dyDescent="0.2">
      <c r="A22" s="2">
        <v>44229</v>
      </c>
      <c r="B22" s="1" t="s">
        <v>9</v>
      </c>
      <c r="C22" s="1">
        <v>95.609399999999994</v>
      </c>
    </row>
    <row r="23" spans="1:3" x14ac:dyDescent="0.2">
      <c r="A23" s="2">
        <v>44230</v>
      </c>
      <c r="B23" s="1" t="s">
        <v>9</v>
      </c>
      <c r="C23" s="1">
        <v>102.572</v>
      </c>
    </row>
    <row r="24" spans="1:3" x14ac:dyDescent="0.2">
      <c r="A24" s="2">
        <v>44231</v>
      </c>
      <c r="B24" s="1" t="s">
        <v>9</v>
      </c>
      <c r="C24" s="1">
        <v>102.31100000000001</v>
      </c>
    </row>
    <row r="25" spans="1:3" x14ac:dyDescent="0.2">
      <c r="A25" s="2">
        <v>44232</v>
      </c>
      <c r="B25" s="1" t="s">
        <v>9</v>
      </c>
      <c r="C25" s="1">
        <v>104.06399999999999</v>
      </c>
    </row>
    <row r="26" spans="1:3" x14ac:dyDescent="0.2">
      <c r="A26" s="2">
        <v>44235</v>
      </c>
      <c r="B26" s="1" t="s">
        <v>9</v>
      </c>
      <c r="C26" s="1">
        <v>103.85</v>
      </c>
    </row>
    <row r="27" spans="1:3" x14ac:dyDescent="0.2">
      <c r="A27" s="2">
        <v>44236</v>
      </c>
      <c r="B27" s="1" t="s">
        <v>9</v>
      </c>
      <c r="C27" s="1">
        <v>103.396</v>
      </c>
    </row>
    <row r="28" spans="1:3" x14ac:dyDescent="0.2">
      <c r="A28" s="2">
        <v>44237</v>
      </c>
      <c r="B28" s="1" t="s">
        <v>9</v>
      </c>
      <c r="C28" s="1">
        <v>103.947</v>
      </c>
    </row>
    <row r="29" spans="1:3" x14ac:dyDescent="0.2">
      <c r="A29" s="2">
        <v>44238</v>
      </c>
      <c r="B29" s="1" t="s">
        <v>9</v>
      </c>
      <c r="C29" s="1">
        <v>104.06100000000001</v>
      </c>
    </row>
    <row r="30" spans="1:3" x14ac:dyDescent="0.2">
      <c r="A30" s="2">
        <v>44239</v>
      </c>
      <c r="B30" s="1" t="s">
        <v>9</v>
      </c>
      <c r="C30" s="1">
        <v>104.373</v>
      </c>
    </row>
    <row r="31" spans="1:3" x14ac:dyDescent="0.2">
      <c r="A31" s="2">
        <v>44243</v>
      </c>
      <c r="B31" s="1" t="s">
        <v>9</v>
      </c>
      <c r="C31" s="1">
        <v>105.15300000000001</v>
      </c>
    </row>
    <row r="32" spans="1:3" x14ac:dyDescent="0.2">
      <c r="A32" s="2">
        <v>44244</v>
      </c>
      <c r="B32" s="1" t="s">
        <v>9</v>
      </c>
      <c r="C32" s="1">
        <v>105.54900000000001</v>
      </c>
    </row>
    <row r="33" spans="1:3" x14ac:dyDescent="0.2">
      <c r="A33" s="2">
        <v>44245</v>
      </c>
      <c r="B33" s="1" t="s">
        <v>9</v>
      </c>
      <c r="C33" s="1">
        <v>104.91</v>
      </c>
    </row>
    <row r="34" spans="1:3" x14ac:dyDescent="0.2">
      <c r="A34" s="2">
        <v>44246</v>
      </c>
      <c r="B34" s="1" t="s">
        <v>9</v>
      </c>
      <c r="C34" s="1">
        <v>104.063</v>
      </c>
    </row>
    <row r="35" spans="1:3" x14ac:dyDescent="0.2">
      <c r="A35" s="2">
        <v>44249</v>
      </c>
      <c r="B35" s="1" t="s">
        <v>9</v>
      </c>
      <c r="C35" s="1">
        <v>102.342</v>
      </c>
    </row>
    <row r="36" spans="1:3" x14ac:dyDescent="0.2">
      <c r="A36" s="2">
        <v>44250</v>
      </c>
      <c r="B36" s="1" t="s">
        <v>9</v>
      </c>
      <c r="C36" s="1">
        <v>102.634</v>
      </c>
    </row>
    <row r="37" spans="1:3" x14ac:dyDescent="0.2">
      <c r="A37" s="2">
        <v>44251</v>
      </c>
      <c r="B37" s="1" t="s">
        <v>9</v>
      </c>
      <c r="C37" s="1">
        <v>103.81399999999999</v>
      </c>
    </row>
    <row r="38" spans="1:3" x14ac:dyDescent="0.2">
      <c r="A38" s="2">
        <v>44252</v>
      </c>
      <c r="B38" s="1" t="s">
        <v>9</v>
      </c>
      <c r="C38" s="1">
        <v>100.434</v>
      </c>
    </row>
    <row r="39" spans="1:3" x14ac:dyDescent="0.2">
      <c r="A39" s="2">
        <v>44253</v>
      </c>
      <c r="B39" s="1" t="s">
        <v>9</v>
      </c>
      <c r="C39" s="1">
        <v>100.73099999999999</v>
      </c>
    </row>
    <row r="40" spans="1:3" x14ac:dyDescent="0.2">
      <c r="A40" s="2">
        <v>44256</v>
      </c>
      <c r="B40" s="1" t="s">
        <v>9</v>
      </c>
      <c r="C40" s="1">
        <v>103.10899999999999</v>
      </c>
    </row>
    <row r="41" spans="1:3" x14ac:dyDescent="0.2">
      <c r="A41" s="2">
        <v>44257</v>
      </c>
      <c r="B41" s="1" t="s">
        <v>9</v>
      </c>
      <c r="C41" s="1">
        <v>102.851</v>
      </c>
    </row>
    <row r="42" spans="1:3" x14ac:dyDescent="0.2">
      <c r="A42" s="2">
        <v>44258</v>
      </c>
      <c r="B42" s="1" t="s">
        <v>9</v>
      </c>
      <c r="C42" s="1">
        <v>100.208</v>
      </c>
    </row>
    <row r="43" spans="1:3" x14ac:dyDescent="0.2">
      <c r="A43" s="2">
        <v>44259</v>
      </c>
      <c r="B43" s="1" t="s">
        <v>9</v>
      </c>
      <c r="C43" s="1">
        <v>101.328</v>
      </c>
    </row>
    <row r="44" spans="1:3" x14ac:dyDescent="0.2">
      <c r="A44" s="2">
        <v>44260</v>
      </c>
      <c r="B44" s="1" t="s">
        <v>9</v>
      </c>
      <c r="C44" s="1">
        <v>104.47499999999999</v>
      </c>
    </row>
    <row r="45" spans="1:3" x14ac:dyDescent="0.2">
      <c r="A45" s="2">
        <v>44263</v>
      </c>
      <c r="B45" s="1" t="s">
        <v>9</v>
      </c>
      <c r="C45" s="1">
        <v>100.012</v>
      </c>
    </row>
    <row r="46" spans="1:3" x14ac:dyDescent="0.2">
      <c r="A46" s="2">
        <v>44264</v>
      </c>
      <c r="B46" s="1" t="s">
        <v>9</v>
      </c>
      <c r="C46" s="1">
        <v>101.65</v>
      </c>
    </row>
    <row r="47" spans="1:3" x14ac:dyDescent="0.2">
      <c r="A47" s="2">
        <v>44265</v>
      </c>
      <c r="B47" s="1" t="s">
        <v>9</v>
      </c>
      <c r="C47" s="1">
        <v>101.44199999999999</v>
      </c>
    </row>
    <row r="48" spans="1:3" x14ac:dyDescent="0.2">
      <c r="A48" s="2">
        <v>44266</v>
      </c>
      <c r="B48" s="1" t="s">
        <v>9</v>
      </c>
      <c r="C48" s="1">
        <v>104.648</v>
      </c>
    </row>
    <row r="49" spans="1:3" x14ac:dyDescent="0.2">
      <c r="A49" s="2">
        <v>44267</v>
      </c>
      <c r="B49" s="1" t="s">
        <v>9</v>
      </c>
      <c r="C49" s="1">
        <v>102.129</v>
      </c>
    </row>
    <row r="50" spans="1:3" x14ac:dyDescent="0.2">
      <c r="A50" s="2">
        <v>44270</v>
      </c>
      <c r="B50" s="1" t="s">
        <v>9</v>
      </c>
      <c r="C50" s="1">
        <v>102.351</v>
      </c>
    </row>
    <row r="51" spans="1:3" x14ac:dyDescent="0.2">
      <c r="A51" s="2">
        <v>44271</v>
      </c>
      <c r="B51" s="1" t="s">
        <v>9</v>
      </c>
      <c r="C51" s="1">
        <v>103.818</v>
      </c>
    </row>
    <row r="52" spans="1:3" x14ac:dyDescent="0.2">
      <c r="A52" s="2">
        <v>44272</v>
      </c>
      <c r="B52" s="1" t="s">
        <v>9</v>
      </c>
      <c r="C52" s="1">
        <v>103.735</v>
      </c>
    </row>
    <row r="53" spans="1:3" x14ac:dyDescent="0.2">
      <c r="A53" s="2">
        <v>44273</v>
      </c>
      <c r="B53" s="1" t="s">
        <v>9</v>
      </c>
      <c r="C53" s="1">
        <v>100.702</v>
      </c>
    </row>
    <row r="54" spans="1:3" x14ac:dyDescent="0.2">
      <c r="A54" s="2">
        <v>44274</v>
      </c>
      <c r="B54" s="1" t="s">
        <v>9</v>
      </c>
      <c r="C54" s="1">
        <v>100.982</v>
      </c>
    </row>
    <row r="55" spans="1:3" x14ac:dyDescent="0.2">
      <c r="A55" s="2">
        <v>44277</v>
      </c>
      <c r="B55" s="1" t="s">
        <v>9</v>
      </c>
      <c r="C55" s="1">
        <v>101.169</v>
      </c>
    </row>
    <row r="56" spans="1:3" x14ac:dyDescent="0.2">
      <c r="A56" s="2">
        <v>44278</v>
      </c>
      <c r="B56" s="1" t="s">
        <v>9</v>
      </c>
      <c r="C56" s="1">
        <v>101.697</v>
      </c>
    </row>
    <row r="57" spans="1:3" x14ac:dyDescent="0.2">
      <c r="A57" s="2">
        <v>44279</v>
      </c>
      <c r="B57" s="1" t="s">
        <v>9</v>
      </c>
      <c r="C57" s="1">
        <v>101.258</v>
      </c>
    </row>
    <row r="58" spans="1:3" x14ac:dyDescent="0.2">
      <c r="A58" s="2">
        <v>44280</v>
      </c>
      <c r="B58" s="1" t="s">
        <v>9</v>
      </c>
      <c r="C58" s="1">
        <v>101.255</v>
      </c>
    </row>
    <row r="59" spans="1:3" x14ac:dyDescent="0.2">
      <c r="A59" s="2">
        <v>44281</v>
      </c>
      <c r="B59" s="1" t="s">
        <v>9</v>
      </c>
      <c r="C59" s="1">
        <v>100.87</v>
      </c>
    </row>
    <row r="60" spans="1:3" x14ac:dyDescent="0.2">
      <c r="A60" s="2">
        <v>44284</v>
      </c>
      <c r="B60" s="1" t="s">
        <v>9</v>
      </c>
      <c r="C60" s="1">
        <v>101.92100000000001</v>
      </c>
    </row>
    <row r="61" spans="1:3" x14ac:dyDescent="0.2">
      <c r="A61" s="2">
        <v>44285</v>
      </c>
      <c r="B61" s="1" t="s">
        <v>9</v>
      </c>
      <c r="C61" s="1">
        <v>101.955</v>
      </c>
    </row>
    <row r="62" spans="1:3" x14ac:dyDescent="0.2">
      <c r="A62" s="2">
        <v>44286</v>
      </c>
      <c r="B62" s="1" t="s">
        <v>9</v>
      </c>
      <c r="C62" s="1">
        <v>102.753</v>
      </c>
    </row>
    <row r="63" spans="1:3" x14ac:dyDescent="0.2">
      <c r="A63" s="2">
        <v>44287</v>
      </c>
      <c r="B63" s="1" t="s">
        <v>9</v>
      </c>
      <c r="C63" s="1">
        <v>106.104</v>
      </c>
    </row>
    <row r="64" spans="1:3" x14ac:dyDescent="0.2">
      <c r="A64" s="2">
        <v>44291</v>
      </c>
      <c r="B64" s="1" t="s">
        <v>9</v>
      </c>
      <c r="C64" s="1">
        <v>110.547</v>
      </c>
    </row>
    <row r="65" spans="1:3" x14ac:dyDescent="0.2">
      <c r="A65" s="2">
        <v>44292</v>
      </c>
      <c r="B65" s="1" t="s">
        <v>9</v>
      </c>
      <c r="C65" s="1">
        <v>110.06399999999999</v>
      </c>
    </row>
    <row r="66" spans="1:3" x14ac:dyDescent="0.2">
      <c r="A66" s="2">
        <v>44293</v>
      </c>
      <c r="B66" s="1" t="s">
        <v>9</v>
      </c>
      <c r="C66" s="1">
        <v>111.548</v>
      </c>
    </row>
    <row r="67" spans="1:3" x14ac:dyDescent="0.2">
      <c r="A67" s="2">
        <v>44294</v>
      </c>
      <c r="B67" s="1" t="s">
        <v>9</v>
      </c>
      <c r="C67" s="1">
        <v>112.11499999999999</v>
      </c>
    </row>
    <row r="68" spans="1:3" x14ac:dyDescent="0.2">
      <c r="A68" s="2">
        <v>44295</v>
      </c>
      <c r="B68" s="1" t="s">
        <v>9</v>
      </c>
      <c r="C68" s="1">
        <v>113.124</v>
      </c>
    </row>
    <row r="69" spans="1:3" x14ac:dyDescent="0.2">
      <c r="A69" s="2">
        <v>44298</v>
      </c>
      <c r="B69" s="1" t="s">
        <v>9</v>
      </c>
      <c r="C69" s="1">
        <v>111.825</v>
      </c>
    </row>
    <row r="70" spans="1:3" x14ac:dyDescent="0.2">
      <c r="A70" s="2">
        <v>44299</v>
      </c>
      <c r="B70" s="1" t="s">
        <v>9</v>
      </c>
      <c r="C70" s="1">
        <v>112.31399999999999</v>
      </c>
    </row>
    <row r="71" spans="1:3" x14ac:dyDescent="0.2">
      <c r="A71" s="2">
        <v>44300</v>
      </c>
      <c r="B71" s="1" t="s">
        <v>9</v>
      </c>
      <c r="C71" s="1">
        <v>111.69</v>
      </c>
    </row>
    <row r="72" spans="1:3" x14ac:dyDescent="0.2">
      <c r="A72" s="2">
        <v>44301</v>
      </c>
      <c r="B72" s="1" t="s">
        <v>9</v>
      </c>
      <c r="C72" s="1">
        <v>113.85</v>
      </c>
    </row>
    <row r="73" spans="1:3" x14ac:dyDescent="0.2">
      <c r="A73" s="2">
        <v>44302</v>
      </c>
      <c r="B73" s="1" t="s">
        <v>9</v>
      </c>
      <c r="C73" s="1">
        <v>113.726</v>
      </c>
    </row>
    <row r="74" spans="1:3" x14ac:dyDescent="0.2">
      <c r="A74" s="2">
        <v>44305</v>
      </c>
      <c r="B74" s="1" t="s">
        <v>9</v>
      </c>
      <c r="C74" s="1">
        <v>114.074</v>
      </c>
    </row>
    <row r="75" spans="1:3" x14ac:dyDescent="0.2">
      <c r="A75" s="2">
        <v>44306</v>
      </c>
      <c r="B75" s="1" t="s">
        <v>9</v>
      </c>
      <c r="C75" s="1">
        <v>113.538</v>
      </c>
    </row>
    <row r="76" spans="1:3" x14ac:dyDescent="0.2">
      <c r="A76" s="2">
        <v>44307</v>
      </c>
      <c r="B76" s="1" t="s">
        <v>9</v>
      </c>
      <c r="C76" s="1">
        <v>113.505</v>
      </c>
    </row>
    <row r="77" spans="1:3" x14ac:dyDescent="0.2">
      <c r="A77" s="2">
        <v>44308</v>
      </c>
      <c r="B77" s="1" t="s">
        <v>9</v>
      </c>
      <c r="C77" s="1">
        <v>112.21899999999999</v>
      </c>
    </row>
    <row r="78" spans="1:3" x14ac:dyDescent="0.2">
      <c r="A78" s="2">
        <v>44309</v>
      </c>
      <c r="B78" s="1" t="s">
        <v>9</v>
      </c>
      <c r="C78" s="1">
        <v>114.581</v>
      </c>
    </row>
    <row r="79" spans="1:3" x14ac:dyDescent="0.2">
      <c r="A79" s="2">
        <v>44312</v>
      </c>
      <c r="B79" s="1" t="s">
        <v>9</v>
      </c>
      <c r="C79" s="1">
        <v>115.07899999999999</v>
      </c>
    </row>
    <row r="80" spans="1:3" x14ac:dyDescent="0.2">
      <c r="A80" s="2">
        <v>44313</v>
      </c>
      <c r="B80" s="1" t="s">
        <v>9</v>
      </c>
      <c r="C80" s="1">
        <v>114.13500000000001</v>
      </c>
    </row>
    <row r="81" spans="1:3" x14ac:dyDescent="0.2">
      <c r="A81" s="2">
        <v>44314</v>
      </c>
      <c r="B81" s="1" t="s">
        <v>9</v>
      </c>
      <c r="C81" s="1">
        <v>117.526</v>
      </c>
    </row>
    <row r="82" spans="1:3" x14ac:dyDescent="0.2">
      <c r="A82" s="2">
        <v>44315</v>
      </c>
      <c r="B82" s="1" t="s">
        <v>9</v>
      </c>
      <c r="C82" s="1">
        <v>119.206</v>
      </c>
    </row>
    <row r="83" spans="1:3" x14ac:dyDescent="0.2">
      <c r="A83" s="2">
        <v>44316</v>
      </c>
      <c r="B83" s="1" t="s">
        <v>9</v>
      </c>
      <c r="C83" s="1">
        <v>117.25</v>
      </c>
    </row>
    <row r="84" spans="1:3" x14ac:dyDescent="0.2">
      <c r="A84" s="2">
        <v>44319</v>
      </c>
      <c r="B84" s="1" t="s">
        <v>9</v>
      </c>
      <c r="C84" s="1">
        <v>116.73099999999999</v>
      </c>
    </row>
    <row r="85" spans="1:3" x14ac:dyDescent="0.2">
      <c r="A85" s="2">
        <v>44320</v>
      </c>
      <c r="B85" s="1" t="s">
        <v>9</v>
      </c>
      <c r="C85" s="1">
        <v>114.925</v>
      </c>
    </row>
    <row r="86" spans="1:3" x14ac:dyDescent="0.2">
      <c r="A86" s="2">
        <v>44321</v>
      </c>
      <c r="B86" s="1" t="s">
        <v>9</v>
      </c>
      <c r="C86" s="1">
        <v>115.32</v>
      </c>
    </row>
    <row r="87" spans="1:3" x14ac:dyDescent="0.2">
      <c r="A87" s="2">
        <v>44322</v>
      </c>
      <c r="B87" s="1" t="s">
        <v>9</v>
      </c>
      <c r="C87" s="1">
        <v>116.44499999999999</v>
      </c>
    </row>
    <row r="88" spans="1:3" x14ac:dyDescent="0.2">
      <c r="A88" s="2">
        <v>44323</v>
      </c>
      <c r="B88" s="1" t="s">
        <v>9</v>
      </c>
      <c r="C88" s="1">
        <v>117.17100000000001</v>
      </c>
    </row>
    <row r="89" spans="1:3" x14ac:dyDescent="0.2">
      <c r="A89" s="2">
        <v>44326</v>
      </c>
      <c r="B89" s="1" t="s">
        <v>9</v>
      </c>
      <c r="C89" s="1">
        <v>114.17400000000001</v>
      </c>
    </row>
    <row r="90" spans="1:3" x14ac:dyDescent="0.2">
      <c r="A90" s="2">
        <v>44327</v>
      </c>
      <c r="B90" s="1" t="s">
        <v>9</v>
      </c>
      <c r="C90" s="1">
        <v>113.093</v>
      </c>
    </row>
    <row r="91" spans="1:3" x14ac:dyDescent="0.2">
      <c r="A91" s="2">
        <v>44328</v>
      </c>
      <c r="B91" s="1" t="s">
        <v>9</v>
      </c>
      <c r="C91" s="1">
        <v>109.614</v>
      </c>
    </row>
    <row r="92" spans="1:3" x14ac:dyDescent="0.2">
      <c r="A92" s="2">
        <v>44329</v>
      </c>
      <c r="B92" s="1" t="s">
        <v>9</v>
      </c>
      <c r="C92" s="1">
        <v>111.04900000000001</v>
      </c>
    </row>
    <row r="93" spans="1:3" x14ac:dyDescent="0.2">
      <c r="A93" s="2">
        <v>44330</v>
      </c>
      <c r="B93" s="1" t="s">
        <v>9</v>
      </c>
      <c r="C93" s="1">
        <v>113.50700000000001</v>
      </c>
    </row>
    <row r="94" spans="1:3" x14ac:dyDescent="0.2">
      <c r="A94" s="2">
        <v>44333</v>
      </c>
      <c r="B94" s="1" t="s">
        <v>9</v>
      </c>
      <c r="C94" s="1">
        <v>114.033</v>
      </c>
    </row>
    <row r="95" spans="1:3" x14ac:dyDescent="0.2">
      <c r="A95" s="2">
        <v>44334</v>
      </c>
      <c r="B95" s="1" t="s">
        <v>9</v>
      </c>
      <c r="C95" s="1">
        <v>112.715</v>
      </c>
    </row>
    <row r="96" spans="1:3" x14ac:dyDescent="0.2">
      <c r="A96" s="2">
        <v>44335</v>
      </c>
      <c r="B96" s="1" t="s">
        <v>9</v>
      </c>
      <c r="C96" s="1">
        <v>113.16500000000001</v>
      </c>
    </row>
    <row r="97" spans="1:3" x14ac:dyDescent="0.2">
      <c r="A97" s="2">
        <v>44336</v>
      </c>
      <c r="B97" s="1" t="s">
        <v>9</v>
      </c>
      <c r="C97" s="1">
        <v>114.931</v>
      </c>
    </row>
    <row r="98" spans="1:3" x14ac:dyDescent="0.2">
      <c r="A98" s="2">
        <v>44337</v>
      </c>
      <c r="B98" s="1" t="s">
        <v>9</v>
      </c>
      <c r="C98" s="1">
        <v>114.292</v>
      </c>
    </row>
    <row r="99" spans="1:3" x14ac:dyDescent="0.2">
      <c r="A99" s="2">
        <v>44340</v>
      </c>
      <c r="B99" s="1" t="s">
        <v>9</v>
      </c>
      <c r="C99" s="1">
        <v>117.626</v>
      </c>
    </row>
    <row r="100" spans="1:3" x14ac:dyDescent="0.2">
      <c r="A100" s="2">
        <v>44341</v>
      </c>
      <c r="B100" s="1" t="s">
        <v>9</v>
      </c>
      <c r="C100" s="1">
        <v>117.717</v>
      </c>
    </row>
    <row r="101" spans="1:3" x14ac:dyDescent="0.2">
      <c r="A101" s="2">
        <v>44342</v>
      </c>
      <c r="B101" s="1" t="s">
        <v>9</v>
      </c>
      <c r="C101" s="1">
        <v>118.586</v>
      </c>
    </row>
    <row r="102" spans="1:3" x14ac:dyDescent="0.2">
      <c r="A102" s="2">
        <v>44343</v>
      </c>
      <c r="B102" s="1" t="s">
        <v>9</v>
      </c>
      <c r="C102" s="1">
        <v>117.708</v>
      </c>
    </row>
    <row r="103" spans="1:3" x14ac:dyDescent="0.2">
      <c r="A103" s="2">
        <v>44344</v>
      </c>
      <c r="B103" s="1" t="s">
        <v>9</v>
      </c>
      <c r="C103" s="1">
        <v>117.416</v>
      </c>
    </row>
    <row r="104" spans="1:3" x14ac:dyDescent="0.2">
      <c r="A104" s="2">
        <v>44348</v>
      </c>
      <c r="B104" s="1" t="s">
        <v>9</v>
      </c>
      <c r="C104" s="1">
        <v>118.629</v>
      </c>
    </row>
    <row r="105" spans="1:3" x14ac:dyDescent="0.2">
      <c r="A105" s="2">
        <v>44349</v>
      </c>
      <c r="B105" s="1" t="s">
        <v>9</v>
      </c>
      <c r="C105" s="1">
        <v>118.102</v>
      </c>
    </row>
    <row r="106" spans="1:3" x14ac:dyDescent="0.2">
      <c r="A106" s="2">
        <v>44350</v>
      </c>
      <c r="B106" s="1" t="s">
        <v>9</v>
      </c>
      <c r="C106" s="1">
        <v>116.955</v>
      </c>
    </row>
    <row r="107" spans="1:3" x14ac:dyDescent="0.2">
      <c r="A107" s="2">
        <v>44351</v>
      </c>
      <c r="B107" s="1" t="s">
        <v>9</v>
      </c>
      <c r="C107" s="1">
        <v>119.247</v>
      </c>
    </row>
    <row r="108" spans="1:3" x14ac:dyDescent="0.2">
      <c r="A108" s="2">
        <v>44354</v>
      </c>
      <c r="B108" s="1" t="s">
        <v>9</v>
      </c>
      <c r="C108" s="1">
        <v>119.681</v>
      </c>
    </row>
    <row r="109" spans="1:3" x14ac:dyDescent="0.2">
      <c r="A109" s="2">
        <v>44355</v>
      </c>
      <c r="B109" s="1" t="s">
        <v>9</v>
      </c>
      <c r="C109" s="1">
        <v>119.489</v>
      </c>
    </row>
    <row r="110" spans="1:3" x14ac:dyDescent="0.2">
      <c r="A110" s="2">
        <v>44356</v>
      </c>
      <c r="B110" s="1" t="s">
        <v>9</v>
      </c>
      <c r="C110" s="1">
        <v>119.96299999999999</v>
      </c>
    </row>
    <row r="111" spans="1:3" x14ac:dyDescent="0.2">
      <c r="A111" s="2">
        <v>44357</v>
      </c>
      <c r="B111" s="1" t="s">
        <v>9</v>
      </c>
      <c r="C111" s="1">
        <v>121.316</v>
      </c>
    </row>
    <row r="112" spans="1:3" x14ac:dyDescent="0.2">
      <c r="A112" s="2">
        <v>44358</v>
      </c>
      <c r="B112" s="1" t="s">
        <v>9</v>
      </c>
      <c r="C112" s="1">
        <v>121.071</v>
      </c>
    </row>
    <row r="113" spans="1:3" x14ac:dyDescent="0.2">
      <c r="A113" s="2">
        <v>44361</v>
      </c>
      <c r="B113" s="1" t="s">
        <v>9</v>
      </c>
      <c r="C113" s="1">
        <v>122.004</v>
      </c>
    </row>
    <row r="114" spans="1:3" x14ac:dyDescent="0.2">
      <c r="A114" s="2">
        <v>44362</v>
      </c>
      <c r="B114" s="1" t="s">
        <v>9</v>
      </c>
      <c r="C114" s="1">
        <v>120.98099999999999</v>
      </c>
    </row>
    <row r="115" spans="1:3" x14ac:dyDescent="0.2">
      <c r="A115" s="2">
        <v>44363</v>
      </c>
      <c r="B115" s="1" t="s">
        <v>9</v>
      </c>
      <c r="C115" s="1">
        <v>120.336</v>
      </c>
    </row>
    <row r="116" spans="1:3" x14ac:dyDescent="0.2">
      <c r="A116" s="2">
        <v>44364</v>
      </c>
      <c r="B116" s="1" t="s">
        <v>9</v>
      </c>
      <c r="C116" s="1">
        <v>121.304</v>
      </c>
    </row>
    <row r="117" spans="1:3" x14ac:dyDescent="0.2">
      <c r="A117" s="2">
        <v>44365</v>
      </c>
      <c r="B117" s="1" t="s">
        <v>9</v>
      </c>
      <c r="C117" s="1">
        <v>119.67700000000001</v>
      </c>
    </row>
    <row r="118" spans="1:3" x14ac:dyDescent="0.2">
      <c r="A118" s="2">
        <v>44368</v>
      </c>
      <c r="B118" s="1" t="s">
        <v>9</v>
      </c>
      <c r="C118" s="1">
        <v>121.372</v>
      </c>
    </row>
    <row r="119" spans="1:3" x14ac:dyDescent="0.2">
      <c r="A119" s="2">
        <v>44369</v>
      </c>
      <c r="B119" s="1" t="s">
        <v>9</v>
      </c>
      <c r="C119" s="1">
        <v>121.88800000000001</v>
      </c>
    </row>
    <row r="120" spans="1:3" x14ac:dyDescent="0.2">
      <c r="A120" s="2">
        <v>44370</v>
      </c>
      <c r="B120" s="1" t="s">
        <v>9</v>
      </c>
      <c r="C120" s="1">
        <v>121.68600000000001</v>
      </c>
    </row>
    <row r="121" spans="1:3" x14ac:dyDescent="0.2">
      <c r="A121" s="2">
        <v>44371</v>
      </c>
      <c r="B121" s="1" t="s">
        <v>9</v>
      </c>
      <c r="C121" s="1">
        <v>122.05800000000001</v>
      </c>
    </row>
    <row r="122" spans="1:3" x14ac:dyDescent="0.2">
      <c r="A122" s="2">
        <v>44372</v>
      </c>
      <c r="B122" s="1" t="s">
        <v>9</v>
      </c>
      <c r="C122" s="1">
        <v>122.066</v>
      </c>
    </row>
    <row r="123" spans="1:3" x14ac:dyDescent="0.2">
      <c r="A123" s="2">
        <v>44375</v>
      </c>
      <c r="B123" s="1" t="s">
        <v>9</v>
      </c>
      <c r="C123" s="1">
        <v>122.09399999999999</v>
      </c>
    </row>
    <row r="124" spans="1:3" x14ac:dyDescent="0.2">
      <c r="A124" s="2">
        <v>44376</v>
      </c>
      <c r="B124" s="1" t="s">
        <v>9</v>
      </c>
      <c r="C124" s="1">
        <v>121.83</v>
      </c>
    </row>
    <row r="125" spans="1:3" x14ac:dyDescent="0.2">
      <c r="A125" s="2">
        <v>44377</v>
      </c>
      <c r="B125" s="1" t="s">
        <v>9</v>
      </c>
      <c r="C125" s="1">
        <v>121.649</v>
      </c>
    </row>
    <row r="126" spans="1:3" x14ac:dyDescent="0.2">
      <c r="A126" s="2">
        <v>44378</v>
      </c>
      <c r="B126" s="1" t="s">
        <v>9</v>
      </c>
      <c r="C126" s="1">
        <v>122.002</v>
      </c>
    </row>
    <row r="127" spans="1:3" x14ac:dyDescent="0.2">
      <c r="A127" s="2">
        <v>44379</v>
      </c>
      <c r="B127" s="1" t="s">
        <v>9</v>
      </c>
      <c r="C127" s="1">
        <v>124.80500000000001</v>
      </c>
    </row>
    <row r="128" spans="1:3" x14ac:dyDescent="0.2">
      <c r="A128" s="2">
        <v>44383</v>
      </c>
      <c r="B128" s="1" t="s">
        <v>9</v>
      </c>
      <c r="C128" s="1">
        <v>125.73399999999999</v>
      </c>
    </row>
    <row r="129" spans="1:3" x14ac:dyDescent="0.2">
      <c r="A129" s="2">
        <v>44384</v>
      </c>
      <c r="B129" s="1" t="s">
        <v>9</v>
      </c>
      <c r="C129" s="1">
        <v>126.018</v>
      </c>
    </row>
    <row r="130" spans="1:3" x14ac:dyDescent="0.2">
      <c r="A130" s="2">
        <v>44385</v>
      </c>
      <c r="B130" s="1" t="s">
        <v>9</v>
      </c>
      <c r="C130" s="1">
        <v>124.592</v>
      </c>
    </row>
    <row r="131" spans="1:3" x14ac:dyDescent="0.2">
      <c r="A131" s="2">
        <v>44386</v>
      </c>
      <c r="B131" s="1" t="s">
        <v>9</v>
      </c>
      <c r="C131" s="1">
        <v>125.065</v>
      </c>
    </row>
    <row r="132" spans="1:3" x14ac:dyDescent="0.2">
      <c r="A132" s="2">
        <v>44389</v>
      </c>
      <c r="B132" s="1" t="s">
        <v>9</v>
      </c>
      <c r="C132" s="1">
        <v>126.517</v>
      </c>
    </row>
    <row r="133" spans="1:3" x14ac:dyDescent="0.2">
      <c r="A133" s="2">
        <v>44390</v>
      </c>
      <c r="B133" s="1" t="s">
        <v>9</v>
      </c>
      <c r="C133" s="1">
        <v>126.88200000000001</v>
      </c>
    </row>
    <row r="134" spans="1:3" x14ac:dyDescent="0.2">
      <c r="A134" s="2">
        <v>44391</v>
      </c>
      <c r="B134" s="1" t="s">
        <v>9</v>
      </c>
      <c r="C134" s="1">
        <v>127.774</v>
      </c>
    </row>
    <row r="135" spans="1:3" x14ac:dyDescent="0.2">
      <c r="A135" s="2">
        <v>44392</v>
      </c>
      <c r="B135" s="1" t="s">
        <v>9</v>
      </c>
      <c r="C135" s="1">
        <v>126.54600000000001</v>
      </c>
    </row>
    <row r="136" spans="1:3" x14ac:dyDescent="0.2">
      <c r="A136" s="2">
        <v>44393</v>
      </c>
      <c r="B136" s="1" t="s">
        <v>9</v>
      </c>
      <c r="C136" s="1">
        <v>126.511</v>
      </c>
    </row>
    <row r="137" spans="1:3" x14ac:dyDescent="0.2">
      <c r="A137" s="2">
        <v>44396</v>
      </c>
      <c r="B137" s="1" t="s">
        <v>9</v>
      </c>
      <c r="C137" s="1">
        <v>124.128</v>
      </c>
    </row>
    <row r="138" spans="1:3" x14ac:dyDescent="0.2">
      <c r="A138" s="2">
        <v>44397</v>
      </c>
      <c r="B138" s="1" t="s">
        <v>9</v>
      </c>
      <c r="C138" s="1">
        <v>125.754</v>
      </c>
    </row>
    <row r="139" spans="1:3" x14ac:dyDescent="0.2">
      <c r="A139" s="2">
        <v>44398</v>
      </c>
      <c r="B139" s="1" t="s">
        <v>9</v>
      </c>
      <c r="C139" s="1">
        <v>127.08799999999999</v>
      </c>
    </row>
    <row r="140" spans="1:3" x14ac:dyDescent="0.2">
      <c r="A140" s="2">
        <v>44399</v>
      </c>
      <c r="B140" s="1" t="s">
        <v>9</v>
      </c>
      <c r="C140" s="1">
        <v>127.95699999999999</v>
      </c>
    </row>
    <row r="141" spans="1:3" x14ac:dyDescent="0.2">
      <c r="A141" s="2">
        <v>44400</v>
      </c>
      <c r="B141" s="1" t="s">
        <v>9</v>
      </c>
      <c r="C141" s="1">
        <v>132.535</v>
      </c>
    </row>
    <row r="142" spans="1:3" x14ac:dyDescent="0.2">
      <c r="A142" s="2">
        <v>44403</v>
      </c>
      <c r="B142" s="1" t="s">
        <v>9</v>
      </c>
      <c r="C142" s="1">
        <v>133.55099999999999</v>
      </c>
    </row>
    <row r="143" spans="1:3" x14ac:dyDescent="0.2">
      <c r="A143" s="2">
        <v>44404</v>
      </c>
      <c r="B143" s="1" t="s">
        <v>9</v>
      </c>
      <c r="C143" s="1">
        <v>131.423</v>
      </c>
    </row>
    <row r="144" spans="1:3" x14ac:dyDescent="0.2">
      <c r="A144" s="2">
        <v>44405</v>
      </c>
      <c r="B144" s="1" t="s">
        <v>9</v>
      </c>
      <c r="C144" s="1">
        <v>135.60300000000001</v>
      </c>
    </row>
    <row r="145" spans="1:3" x14ac:dyDescent="0.2">
      <c r="A145" s="2">
        <v>44406</v>
      </c>
      <c r="B145" s="1" t="s">
        <v>9</v>
      </c>
      <c r="C145" s="1">
        <v>135.28700000000001</v>
      </c>
    </row>
    <row r="146" spans="1:3" x14ac:dyDescent="0.2">
      <c r="A146" s="2">
        <v>44407</v>
      </c>
      <c r="B146" s="1" t="s">
        <v>9</v>
      </c>
      <c r="C146" s="1">
        <v>134.24100000000001</v>
      </c>
    </row>
    <row r="147" spans="1:3" x14ac:dyDescent="0.2">
      <c r="A147" s="2">
        <v>44410</v>
      </c>
      <c r="B147" s="1" t="s">
        <v>9</v>
      </c>
      <c r="C147" s="1">
        <v>134.36600000000001</v>
      </c>
    </row>
    <row r="148" spans="1:3" x14ac:dyDescent="0.2">
      <c r="A148" s="2">
        <v>44411</v>
      </c>
      <c r="B148" s="1" t="s">
        <v>9</v>
      </c>
      <c r="C148" s="1">
        <v>135.13999999999999</v>
      </c>
    </row>
    <row r="149" spans="1:3" x14ac:dyDescent="0.2">
      <c r="A149" s="2">
        <v>44412</v>
      </c>
      <c r="B149" s="1" t="s">
        <v>9</v>
      </c>
      <c r="C149" s="1">
        <v>134.63800000000001</v>
      </c>
    </row>
    <row r="150" spans="1:3" x14ac:dyDescent="0.2">
      <c r="A150" s="2">
        <v>44413</v>
      </c>
      <c r="B150" s="1" t="s">
        <v>9</v>
      </c>
      <c r="C150" s="1">
        <v>135.76</v>
      </c>
    </row>
    <row r="151" spans="1:3" x14ac:dyDescent="0.2">
      <c r="A151" s="2">
        <v>44414</v>
      </c>
      <c r="B151" s="1" t="s">
        <v>9</v>
      </c>
      <c r="C151" s="1">
        <v>135.24700000000001</v>
      </c>
    </row>
    <row r="152" spans="1:3" x14ac:dyDescent="0.2">
      <c r="A152" s="2">
        <v>44417</v>
      </c>
      <c r="B152" s="1" t="s">
        <v>9</v>
      </c>
      <c r="C152" s="1">
        <v>136.41900000000001</v>
      </c>
    </row>
    <row r="153" spans="1:3" x14ac:dyDescent="0.2">
      <c r="A153" s="2">
        <v>44418</v>
      </c>
      <c r="B153" s="1" t="s">
        <v>9</v>
      </c>
      <c r="C153" s="1">
        <v>136.31299999999999</v>
      </c>
    </row>
    <row r="154" spans="1:3" x14ac:dyDescent="0.2">
      <c r="A154" s="2">
        <v>44419</v>
      </c>
      <c r="B154" s="1" t="s">
        <v>9</v>
      </c>
      <c r="C154" s="1">
        <v>135.78700000000001</v>
      </c>
    </row>
    <row r="155" spans="1:3" x14ac:dyDescent="0.2">
      <c r="A155" s="2">
        <v>44420</v>
      </c>
      <c r="B155" s="1" t="s">
        <v>9</v>
      </c>
      <c r="C155" s="1">
        <v>136.69800000000001</v>
      </c>
    </row>
    <row r="156" spans="1:3" x14ac:dyDescent="0.2">
      <c r="A156" s="2">
        <v>44421</v>
      </c>
      <c r="B156" s="1" t="s">
        <v>9</v>
      </c>
      <c r="C156" s="1">
        <v>137.23099999999999</v>
      </c>
    </row>
    <row r="157" spans="1:3" x14ac:dyDescent="0.2">
      <c r="A157" s="2">
        <v>44424</v>
      </c>
      <c r="B157" s="1" t="s">
        <v>9</v>
      </c>
      <c r="C157" s="1">
        <v>137.81</v>
      </c>
    </row>
    <row r="158" spans="1:3" x14ac:dyDescent="0.2">
      <c r="A158" s="2">
        <v>44425</v>
      </c>
      <c r="B158" s="1" t="s">
        <v>9</v>
      </c>
      <c r="C158" s="1">
        <v>136.16800000000001</v>
      </c>
    </row>
    <row r="159" spans="1:3" x14ac:dyDescent="0.2">
      <c r="A159" s="2">
        <v>44426</v>
      </c>
      <c r="B159" s="1" t="s">
        <v>9</v>
      </c>
      <c r="C159" s="1">
        <v>134.96</v>
      </c>
    </row>
    <row r="160" spans="1:3" x14ac:dyDescent="0.2">
      <c r="A160" s="2">
        <v>44427</v>
      </c>
      <c r="B160" s="1" t="s">
        <v>9</v>
      </c>
      <c r="C160" s="1">
        <v>135.18899999999999</v>
      </c>
    </row>
    <row r="161" spans="1:3" x14ac:dyDescent="0.2">
      <c r="A161" s="2">
        <v>44428</v>
      </c>
      <c r="B161" s="1" t="s">
        <v>9</v>
      </c>
      <c r="C161" s="1">
        <v>136.93299999999999</v>
      </c>
    </row>
    <row r="162" spans="1:3" x14ac:dyDescent="0.2">
      <c r="A162" s="2">
        <v>44431</v>
      </c>
      <c r="B162" s="1" t="s">
        <v>9</v>
      </c>
      <c r="C162" s="1">
        <v>139.535</v>
      </c>
    </row>
    <row r="163" spans="1:3" x14ac:dyDescent="0.2">
      <c r="A163" s="2">
        <v>44432</v>
      </c>
      <c r="B163" s="1" t="s">
        <v>9</v>
      </c>
      <c r="C163" s="1">
        <v>140.75200000000001</v>
      </c>
    </row>
    <row r="164" spans="1:3" x14ac:dyDescent="0.2">
      <c r="A164" s="2">
        <v>44433</v>
      </c>
      <c r="B164" s="1" t="s">
        <v>9</v>
      </c>
      <c r="C164" s="1">
        <v>141.566</v>
      </c>
    </row>
    <row r="165" spans="1:3" x14ac:dyDescent="0.2">
      <c r="A165" s="2">
        <v>44434</v>
      </c>
      <c r="B165" s="1" t="s">
        <v>9</v>
      </c>
      <c r="C165" s="1">
        <v>140.929</v>
      </c>
    </row>
    <row r="166" spans="1:3" x14ac:dyDescent="0.2">
      <c r="A166" s="2">
        <v>44435</v>
      </c>
      <c r="B166" s="1" t="s">
        <v>9</v>
      </c>
      <c r="C166" s="1">
        <v>143.48400000000001</v>
      </c>
    </row>
    <row r="167" spans="1:3" x14ac:dyDescent="0.2">
      <c r="A167" s="2">
        <v>44438</v>
      </c>
      <c r="B167" s="1" t="s">
        <v>9</v>
      </c>
      <c r="C167" s="1">
        <v>144.06800000000001</v>
      </c>
    </row>
    <row r="168" spans="1:3" x14ac:dyDescent="0.2">
      <c r="A168" s="2">
        <v>44439</v>
      </c>
      <c r="B168" s="1" t="s">
        <v>9</v>
      </c>
      <c r="C168" s="1">
        <v>144.17500000000001</v>
      </c>
    </row>
    <row r="169" spans="1:3" x14ac:dyDescent="0.2">
      <c r="A169" s="2">
        <v>44440</v>
      </c>
      <c r="B169" s="1" t="s">
        <v>9</v>
      </c>
      <c r="C169" s="1">
        <v>144.69200000000001</v>
      </c>
    </row>
    <row r="170" spans="1:3" x14ac:dyDescent="0.2">
      <c r="A170" s="2">
        <v>44441</v>
      </c>
      <c r="B170" s="1" t="s">
        <v>9</v>
      </c>
      <c r="C170" s="1">
        <v>142.76900000000001</v>
      </c>
    </row>
    <row r="171" spans="1:3" x14ac:dyDescent="0.2">
      <c r="A171" s="2">
        <v>44442</v>
      </c>
      <c r="B171" s="1" t="s">
        <v>9</v>
      </c>
      <c r="C171" s="1">
        <v>143.221</v>
      </c>
    </row>
    <row r="172" spans="1:3" x14ac:dyDescent="0.2">
      <c r="A172" s="2">
        <v>44446</v>
      </c>
      <c r="B172" s="1" t="s">
        <v>9</v>
      </c>
      <c r="C172" s="1">
        <v>143.76</v>
      </c>
    </row>
    <row r="173" spans="1:3" x14ac:dyDescent="0.2">
      <c r="A173" s="2">
        <v>44447</v>
      </c>
      <c r="B173" s="1" t="s">
        <v>9</v>
      </c>
      <c r="C173" s="1">
        <v>143.172</v>
      </c>
    </row>
    <row r="174" spans="1:3" x14ac:dyDescent="0.2">
      <c r="A174" s="2">
        <v>44448</v>
      </c>
      <c r="B174" s="1" t="s">
        <v>9</v>
      </c>
      <c r="C174" s="1">
        <v>143.02199999999999</v>
      </c>
    </row>
    <row r="175" spans="1:3" x14ac:dyDescent="0.2">
      <c r="A175" s="2">
        <v>44449</v>
      </c>
      <c r="B175" s="1" t="s">
        <v>9</v>
      </c>
      <c r="C175" s="1">
        <v>140.36799999999999</v>
      </c>
    </row>
    <row r="176" spans="1:3" x14ac:dyDescent="0.2">
      <c r="A176" s="2">
        <v>44452</v>
      </c>
      <c r="B176" s="1" t="s">
        <v>9</v>
      </c>
      <c r="C176" s="1">
        <v>141.81800000000001</v>
      </c>
    </row>
    <row r="177" spans="1:3" x14ac:dyDescent="0.2">
      <c r="A177" s="2">
        <v>44453</v>
      </c>
      <c r="B177" s="1" t="s">
        <v>9</v>
      </c>
      <c r="C177" s="1">
        <v>142.029</v>
      </c>
    </row>
    <row r="178" spans="1:3" x14ac:dyDescent="0.2">
      <c r="A178" s="2">
        <v>44454</v>
      </c>
      <c r="B178" s="1" t="s">
        <v>9</v>
      </c>
      <c r="C178" s="1">
        <v>143.90799999999999</v>
      </c>
    </row>
    <row r="179" spans="1:3" x14ac:dyDescent="0.2">
      <c r="A179" s="2">
        <v>44455</v>
      </c>
      <c r="B179" s="1" t="s">
        <v>9</v>
      </c>
      <c r="C179" s="1">
        <v>143.09100000000001</v>
      </c>
    </row>
    <row r="180" spans="1:3" x14ac:dyDescent="0.2">
      <c r="A180" s="2">
        <v>44456</v>
      </c>
      <c r="B180" s="1" t="s">
        <v>9</v>
      </c>
      <c r="C180" s="1">
        <v>140.292</v>
      </c>
    </row>
    <row r="181" spans="1:3" x14ac:dyDescent="0.2">
      <c r="A181" s="2">
        <v>44459</v>
      </c>
      <c r="B181" s="1" t="s">
        <v>9</v>
      </c>
      <c r="C181" s="1">
        <v>138.21799999999999</v>
      </c>
    </row>
    <row r="182" spans="1:3" x14ac:dyDescent="0.2">
      <c r="A182" s="2">
        <v>44460</v>
      </c>
      <c r="B182" s="1" t="s">
        <v>9</v>
      </c>
      <c r="C182" s="1">
        <v>138.53100000000001</v>
      </c>
    </row>
    <row r="183" spans="1:3" x14ac:dyDescent="0.2">
      <c r="A183" s="2">
        <v>44461</v>
      </c>
      <c r="B183" s="1" t="s">
        <v>9</v>
      </c>
      <c r="C183" s="1">
        <v>139.77699999999999</v>
      </c>
    </row>
    <row r="184" spans="1:3" x14ac:dyDescent="0.2">
      <c r="A184" s="2">
        <v>44462</v>
      </c>
      <c r="B184" s="1" t="s">
        <v>9</v>
      </c>
      <c r="C184" s="1">
        <v>140.70599999999999</v>
      </c>
    </row>
    <row r="185" spans="1:3" x14ac:dyDescent="0.2">
      <c r="A185" s="2">
        <v>44463</v>
      </c>
      <c r="B185" s="1" t="s">
        <v>9</v>
      </c>
      <c r="C185" s="1">
        <v>141.702</v>
      </c>
    </row>
    <row r="186" spans="1:3" x14ac:dyDescent="0.2">
      <c r="A186" s="2">
        <v>44466</v>
      </c>
      <c r="B186" s="1" t="s">
        <v>9</v>
      </c>
      <c r="C186" s="1">
        <v>140.56200000000001</v>
      </c>
    </row>
    <row r="187" spans="1:3" x14ac:dyDescent="0.2">
      <c r="A187" s="2">
        <v>44467</v>
      </c>
      <c r="B187" s="1" t="s">
        <v>9</v>
      </c>
      <c r="C187" s="1">
        <v>135.339</v>
      </c>
    </row>
    <row r="188" spans="1:3" x14ac:dyDescent="0.2">
      <c r="A188" s="2">
        <v>44468</v>
      </c>
      <c r="B188" s="1" t="s">
        <v>9</v>
      </c>
      <c r="C188" s="1">
        <v>133.869</v>
      </c>
    </row>
    <row r="189" spans="1:3" x14ac:dyDescent="0.2">
      <c r="A189" s="2">
        <v>44469</v>
      </c>
      <c r="B189" s="1" t="s">
        <v>9</v>
      </c>
      <c r="C189" s="1">
        <v>133.19300000000001</v>
      </c>
    </row>
    <row r="190" spans="1:3" x14ac:dyDescent="0.2">
      <c r="A190" s="2">
        <v>44470</v>
      </c>
      <c r="B190" s="1" t="s">
        <v>9</v>
      </c>
      <c r="C190" s="1">
        <v>136.04900000000001</v>
      </c>
    </row>
    <row r="191" spans="1:3" x14ac:dyDescent="0.2">
      <c r="A191" s="2">
        <v>44473</v>
      </c>
      <c r="B191" s="1" t="s">
        <v>9</v>
      </c>
      <c r="C191" s="1">
        <v>133.17699999999999</v>
      </c>
    </row>
    <row r="192" spans="1:3" x14ac:dyDescent="0.2">
      <c r="A192" s="2">
        <v>44474</v>
      </c>
      <c r="B192" s="1" t="s">
        <v>9</v>
      </c>
      <c r="C192" s="1">
        <v>135.53200000000001</v>
      </c>
    </row>
    <row r="193" spans="1:3" x14ac:dyDescent="0.2">
      <c r="A193" s="2">
        <v>44475</v>
      </c>
      <c r="B193" s="1" t="s">
        <v>9</v>
      </c>
      <c r="C193" s="1">
        <v>137.06800000000001</v>
      </c>
    </row>
    <row r="194" spans="1:3" x14ac:dyDescent="0.2">
      <c r="A194" s="2">
        <v>44476</v>
      </c>
      <c r="B194" s="1" t="s">
        <v>9</v>
      </c>
      <c r="C194" s="1">
        <v>138.72200000000001</v>
      </c>
    </row>
    <row r="195" spans="1:3" x14ac:dyDescent="0.2">
      <c r="A195" s="2">
        <v>44477</v>
      </c>
      <c r="B195" s="1" t="s">
        <v>9</v>
      </c>
      <c r="C195" s="1">
        <v>139.28100000000001</v>
      </c>
    </row>
    <row r="196" spans="1:3" x14ac:dyDescent="0.2">
      <c r="A196" s="2">
        <v>44480</v>
      </c>
      <c r="B196" s="1" t="s">
        <v>9</v>
      </c>
      <c r="C196" s="1">
        <v>138.41200000000001</v>
      </c>
    </row>
    <row r="197" spans="1:3" x14ac:dyDescent="0.2">
      <c r="A197" s="2">
        <v>44481</v>
      </c>
      <c r="B197" s="1" t="s">
        <v>9</v>
      </c>
      <c r="C197" s="1">
        <v>135.95599999999999</v>
      </c>
    </row>
    <row r="198" spans="1:3" x14ac:dyDescent="0.2">
      <c r="A198" s="2">
        <v>44482</v>
      </c>
      <c r="B198" s="1" t="s">
        <v>9</v>
      </c>
      <c r="C198" s="1">
        <v>137.08500000000001</v>
      </c>
    </row>
    <row r="199" spans="1:3" x14ac:dyDescent="0.2">
      <c r="A199" s="2">
        <v>44483</v>
      </c>
      <c r="B199" s="1" t="s">
        <v>9</v>
      </c>
      <c r="C199" s="1">
        <v>140.64099999999999</v>
      </c>
    </row>
    <row r="200" spans="1:3" x14ac:dyDescent="0.2">
      <c r="A200" s="2">
        <v>44484</v>
      </c>
      <c r="B200" s="1" t="s">
        <v>9</v>
      </c>
      <c r="C200" s="1">
        <v>140.858</v>
      </c>
    </row>
    <row r="201" spans="1:3" x14ac:dyDescent="0.2">
      <c r="A201" s="2">
        <v>44487</v>
      </c>
      <c r="B201" s="1" t="s">
        <v>9</v>
      </c>
      <c r="C201" s="1">
        <v>142.262</v>
      </c>
    </row>
    <row r="202" spans="1:3" x14ac:dyDescent="0.2">
      <c r="A202" s="2">
        <v>44488</v>
      </c>
      <c r="B202" s="1" t="s">
        <v>9</v>
      </c>
      <c r="C202" s="1">
        <v>142.71899999999999</v>
      </c>
    </row>
    <row r="203" spans="1:3" x14ac:dyDescent="0.2">
      <c r="A203" s="2">
        <v>44489</v>
      </c>
      <c r="B203" s="1" t="s">
        <v>9</v>
      </c>
      <c r="C203" s="1">
        <v>141.256</v>
      </c>
    </row>
    <row r="204" spans="1:3" x14ac:dyDescent="0.2">
      <c r="A204" s="2">
        <v>44490</v>
      </c>
      <c r="B204" s="1" t="s">
        <v>9</v>
      </c>
      <c r="C204" s="1">
        <v>141.37299999999999</v>
      </c>
    </row>
    <row r="205" spans="1:3" x14ac:dyDescent="0.2">
      <c r="A205" s="2">
        <v>44491</v>
      </c>
      <c r="B205" s="1" t="s">
        <v>9</v>
      </c>
      <c r="C205" s="1">
        <v>137.06899999999999</v>
      </c>
    </row>
    <row r="206" spans="1:3" x14ac:dyDescent="0.2">
      <c r="A206" s="2">
        <v>44494</v>
      </c>
      <c r="B206" s="1" t="s">
        <v>9</v>
      </c>
      <c r="C206" s="1">
        <v>136.94999999999999</v>
      </c>
    </row>
    <row r="207" spans="1:3" x14ac:dyDescent="0.2">
      <c r="A207" s="2">
        <v>44495</v>
      </c>
      <c r="B207" s="1" t="s">
        <v>9</v>
      </c>
      <c r="C207" s="1">
        <v>138.80500000000001</v>
      </c>
    </row>
    <row r="208" spans="1:3" x14ac:dyDescent="0.2">
      <c r="A208" s="2">
        <v>44496</v>
      </c>
      <c r="B208" s="1" t="s">
        <v>9</v>
      </c>
      <c r="C208" s="1">
        <v>145.68899999999999</v>
      </c>
    </row>
    <row r="209" spans="1:3" x14ac:dyDescent="0.2">
      <c r="A209" s="2">
        <v>44497</v>
      </c>
      <c r="B209" s="1" t="s">
        <v>9</v>
      </c>
      <c r="C209" s="1">
        <v>145.322</v>
      </c>
    </row>
    <row r="210" spans="1:3" x14ac:dyDescent="0.2">
      <c r="A210" s="2">
        <v>44498</v>
      </c>
      <c r="B210" s="1" t="s">
        <v>9</v>
      </c>
      <c r="C210" s="1">
        <v>147.511</v>
      </c>
    </row>
    <row r="211" spans="1:3" x14ac:dyDescent="0.2">
      <c r="A211" s="2">
        <v>44501</v>
      </c>
      <c r="B211" s="1" t="s">
        <v>9</v>
      </c>
      <c r="C211" s="1">
        <v>142.97800000000001</v>
      </c>
    </row>
    <row r="212" spans="1:3" x14ac:dyDescent="0.2">
      <c r="A212" s="2">
        <v>44502</v>
      </c>
      <c r="B212" s="1" t="s">
        <v>9</v>
      </c>
      <c r="C212" s="1">
        <v>144.90600000000001</v>
      </c>
    </row>
    <row r="213" spans="1:3" x14ac:dyDescent="0.2">
      <c r="A213" s="2">
        <v>44503</v>
      </c>
      <c r="B213" s="1" t="s">
        <v>9</v>
      </c>
      <c r="C213" s="1">
        <v>146.06899999999999</v>
      </c>
    </row>
    <row r="214" spans="1:3" x14ac:dyDescent="0.2">
      <c r="A214" s="2">
        <v>44504</v>
      </c>
      <c r="B214" s="1" t="s">
        <v>9</v>
      </c>
      <c r="C214" s="1">
        <v>147.732</v>
      </c>
    </row>
    <row r="215" spans="1:3" x14ac:dyDescent="0.2">
      <c r="A215" s="2">
        <v>44505</v>
      </c>
      <c r="B215" s="1" t="s">
        <v>9</v>
      </c>
      <c r="C215" s="1">
        <v>148.31399999999999</v>
      </c>
    </row>
    <row r="216" spans="1:3" x14ac:dyDescent="0.2">
      <c r="A216" s="2">
        <v>44508</v>
      </c>
      <c r="B216" s="1" t="s">
        <v>9</v>
      </c>
      <c r="C216" s="1">
        <v>148.49299999999999</v>
      </c>
    </row>
    <row r="217" spans="1:3" x14ac:dyDescent="0.2">
      <c r="A217" s="2">
        <v>44509</v>
      </c>
      <c r="B217" s="1" t="s">
        <v>9</v>
      </c>
      <c r="C217" s="1">
        <v>148.38</v>
      </c>
    </row>
    <row r="218" spans="1:3" x14ac:dyDescent="0.2">
      <c r="A218" s="2">
        <v>44510</v>
      </c>
      <c r="B218" s="1" t="s">
        <v>9</v>
      </c>
      <c r="C218" s="1">
        <v>145.36699999999999</v>
      </c>
    </row>
    <row r="219" spans="1:3" x14ac:dyDescent="0.2">
      <c r="A219" s="2">
        <v>44511</v>
      </c>
      <c r="B219" s="1" t="s">
        <v>9</v>
      </c>
      <c r="C219" s="1">
        <v>145.24</v>
      </c>
    </row>
    <row r="220" spans="1:3" x14ac:dyDescent="0.2">
      <c r="A220" s="2">
        <v>44512</v>
      </c>
      <c r="B220" s="1" t="s">
        <v>9</v>
      </c>
      <c r="C220" s="1">
        <v>148.14099999999999</v>
      </c>
    </row>
    <row r="221" spans="1:3" x14ac:dyDescent="0.2">
      <c r="A221" s="2">
        <v>44515</v>
      </c>
      <c r="B221" s="1" t="s">
        <v>9</v>
      </c>
      <c r="C221" s="1">
        <v>147.91499999999999</v>
      </c>
    </row>
    <row r="222" spans="1:3" x14ac:dyDescent="0.2">
      <c r="A222" s="2">
        <v>44516</v>
      </c>
      <c r="B222" s="1" t="s">
        <v>9</v>
      </c>
      <c r="C222" s="1">
        <v>147.34100000000001</v>
      </c>
    </row>
    <row r="223" spans="1:3" x14ac:dyDescent="0.2">
      <c r="A223" s="2">
        <v>44517</v>
      </c>
      <c r="B223" s="1" t="s">
        <v>9</v>
      </c>
      <c r="C223" s="1">
        <v>147.512</v>
      </c>
    </row>
    <row r="224" spans="1:3" x14ac:dyDescent="0.2">
      <c r="A224" s="2">
        <v>44518</v>
      </c>
      <c r="B224" s="1" t="s">
        <v>9</v>
      </c>
      <c r="C224" s="1">
        <v>149.297</v>
      </c>
    </row>
    <row r="225" spans="1:3" x14ac:dyDescent="0.2">
      <c r="A225" s="2">
        <v>44519</v>
      </c>
      <c r="B225" s="1" t="s">
        <v>9</v>
      </c>
      <c r="C225" s="1">
        <v>148.38800000000001</v>
      </c>
    </row>
    <row r="226" spans="1:3" x14ac:dyDescent="0.2">
      <c r="A226" s="2">
        <v>44522</v>
      </c>
      <c r="B226" s="1" t="s">
        <v>9</v>
      </c>
      <c r="C226" s="1">
        <v>145.773</v>
      </c>
    </row>
    <row r="227" spans="1:3" x14ac:dyDescent="0.2">
      <c r="A227" s="2">
        <v>44523</v>
      </c>
      <c r="B227" s="1" t="s">
        <v>9</v>
      </c>
      <c r="C227" s="1">
        <v>145.256</v>
      </c>
    </row>
    <row r="228" spans="1:3" x14ac:dyDescent="0.2">
      <c r="A228" s="2">
        <v>44524</v>
      </c>
      <c r="B228" s="1" t="s">
        <v>9</v>
      </c>
      <c r="C228" s="1">
        <v>145.59200000000001</v>
      </c>
    </row>
    <row r="229" spans="1:3" x14ac:dyDescent="0.2">
      <c r="A229" s="2">
        <v>44526</v>
      </c>
      <c r="B229" s="1" t="s">
        <v>9</v>
      </c>
      <c r="C229" s="1">
        <v>141.66999999999999</v>
      </c>
    </row>
    <row r="230" spans="1:3" x14ac:dyDescent="0.2">
      <c r="A230" s="2">
        <v>44529</v>
      </c>
      <c r="B230" s="1" t="s">
        <v>9</v>
      </c>
      <c r="C230" s="1">
        <v>145.005</v>
      </c>
    </row>
    <row r="231" spans="1:3" x14ac:dyDescent="0.2">
      <c r="A231" s="2">
        <v>44530</v>
      </c>
      <c r="B231" s="1" t="s">
        <v>9</v>
      </c>
      <c r="C231" s="1">
        <v>141.38399999999999</v>
      </c>
    </row>
    <row r="232" spans="1:3" x14ac:dyDescent="0.2">
      <c r="A232" s="2">
        <v>44531</v>
      </c>
      <c r="B232" s="1" t="s">
        <v>9</v>
      </c>
      <c r="C232" s="1">
        <v>140.542</v>
      </c>
    </row>
    <row r="233" spans="1:3" x14ac:dyDescent="0.2">
      <c r="A233" s="2">
        <v>44532</v>
      </c>
      <c r="B233" s="1" t="s">
        <v>9</v>
      </c>
      <c r="C233" s="1">
        <v>142.44999999999999</v>
      </c>
    </row>
    <row r="234" spans="1:3" x14ac:dyDescent="0.2">
      <c r="A234" s="2">
        <v>44533</v>
      </c>
      <c r="B234" s="1" t="s">
        <v>9</v>
      </c>
      <c r="C234" s="1">
        <v>141.489</v>
      </c>
    </row>
    <row r="235" spans="1:3" x14ac:dyDescent="0.2">
      <c r="A235" s="2">
        <v>44536</v>
      </c>
      <c r="B235" s="1" t="s">
        <v>9</v>
      </c>
      <c r="C235" s="1">
        <v>142.63900000000001</v>
      </c>
    </row>
    <row r="236" spans="1:3" x14ac:dyDescent="0.2">
      <c r="A236" s="2">
        <v>44537</v>
      </c>
      <c r="B236" s="1" t="s">
        <v>9</v>
      </c>
      <c r="C236" s="1">
        <v>146.738</v>
      </c>
    </row>
    <row r="237" spans="1:3" x14ac:dyDescent="0.2">
      <c r="A237" s="2">
        <v>44538</v>
      </c>
      <c r="B237" s="1" t="s">
        <v>9</v>
      </c>
      <c r="C237" s="1">
        <v>147.65100000000001</v>
      </c>
    </row>
    <row r="238" spans="1:3" x14ac:dyDescent="0.2">
      <c r="A238" s="2">
        <v>44539</v>
      </c>
      <c r="B238" s="1" t="s">
        <v>9</v>
      </c>
      <c r="C238" s="1">
        <v>147.10499999999999</v>
      </c>
    </row>
    <row r="239" spans="1:3" x14ac:dyDescent="0.2">
      <c r="A239" s="2">
        <v>44540</v>
      </c>
      <c r="B239" s="1" t="s">
        <v>9</v>
      </c>
      <c r="C239" s="1">
        <v>147.46700000000001</v>
      </c>
    </row>
    <row r="240" spans="1:3" x14ac:dyDescent="0.2">
      <c r="A240" s="2">
        <v>44543</v>
      </c>
      <c r="B240" s="1" t="s">
        <v>9</v>
      </c>
      <c r="C240" s="1">
        <v>145.29900000000001</v>
      </c>
    </row>
    <row r="241" spans="1:3" x14ac:dyDescent="0.2">
      <c r="A241" s="2">
        <v>44544</v>
      </c>
      <c r="B241" s="1" t="s">
        <v>9</v>
      </c>
      <c r="C241" s="1">
        <v>143.38800000000001</v>
      </c>
    </row>
    <row r="242" spans="1:3" x14ac:dyDescent="0.2">
      <c r="A242" s="2">
        <v>44545</v>
      </c>
      <c r="B242" s="1" t="s">
        <v>9</v>
      </c>
      <c r="C242" s="1">
        <v>145.91200000000001</v>
      </c>
    </row>
    <row r="243" spans="1:3" x14ac:dyDescent="0.2">
      <c r="A243" s="2">
        <v>44546</v>
      </c>
      <c r="B243" s="1" t="s">
        <v>9</v>
      </c>
      <c r="C243" s="1">
        <v>143.923</v>
      </c>
    </row>
    <row r="244" spans="1:3" x14ac:dyDescent="0.2">
      <c r="A244" s="2">
        <v>44547</v>
      </c>
      <c r="B244" s="1" t="s">
        <v>9</v>
      </c>
      <c r="C244" s="1">
        <v>141.21299999999999</v>
      </c>
    </row>
    <row r="245" spans="1:3" x14ac:dyDescent="0.2">
      <c r="A245" s="2">
        <v>44550</v>
      </c>
      <c r="B245" s="1" t="s">
        <v>9</v>
      </c>
      <c r="C245" s="1">
        <v>141.096</v>
      </c>
    </row>
    <row r="246" spans="1:3" x14ac:dyDescent="0.2">
      <c r="A246" s="2">
        <v>44551</v>
      </c>
      <c r="B246" s="1" t="s">
        <v>9</v>
      </c>
      <c r="C246" s="1">
        <v>142.95400000000001</v>
      </c>
    </row>
    <row r="247" spans="1:3" x14ac:dyDescent="0.2">
      <c r="A247" s="2">
        <v>44552</v>
      </c>
      <c r="B247" s="1" t="s">
        <v>9</v>
      </c>
      <c r="C247" s="1">
        <v>145.886</v>
      </c>
    </row>
    <row r="248" spans="1:3" x14ac:dyDescent="0.2">
      <c r="A248" s="2">
        <v>44553</v>
      </c>
      <c r="B248" s="1" t="s">
        <v>9</v>
      </c>
      <c r="C248" s="1">
        <v>146.386</v>
      </c>
    </row>
    <row r="249" spans="1:3" x14ac:dyDescent="0.2">
      <c r="A249" s="2">
        <v>44557</v>
      </c>
      <c r="B249" s="1" t="s">
        <v>9</v>
      </c>
      <c r="C249" s="1">
        <v>147.37100000000001</v>
      </c>
    </row>
    <row r="250" spans="1:3" x14ac:dyDescent="0.2">
      <c r="A250" s="2">
        <v>44558</v>
      </c>
      <c r="B250" s="1" t="s">
        <v>9</v>
      </c>
      <c r="C250" s="1">
        <v>146.15700000000001</v>
      </c>
    </row>
    <row r="251" spans="1:3" x14ac:dyDescent="0.2">
      <c r="A251" s="2">
        <v>44559</v>
      </c>
      <c r="B251" s="1" t="s">
        <v>9</v>
      </c>
      <c r="C251" s="1">
        <v>146.126</v>
      </c>
    </row>
    <row r="252" spans="1:3" x14ac:dyDescent="0.2">
      <c r="A252" s="2">
        <v>44560</v>
      </c>
      <c r="B252" s="1" t="s">
        <v>9</v>
      </c>
      <c r="C252" s="1">
        <v>145.67099999999999</v>
      </c>
    </row>
    <row r="253" spans="1:3" x14ac:dyDescent="0.2">
      <c r="A253" s="2">
        <v>44561</v>
      </c>
      <c r="B253" s="1" t="s">
        <v>9</v>
      </c>
      <c r="C253" s="1">
        <v>144.32900000000001</v>
      </c>
    </row>
    <row r="254" spans="1:3" x14ac:dyDescent="0.2">
      <c r="A254" s="2">
        <v>44564</v>
      </c>
      <c r="B254" s="1" t="s">
        <v>9</v>
      </c>
      <c r="C254" s="1">
        <v>144.46799999999999</v>
      </c>
    </row>
    <row r="255" spans="1:3" x14ac:dyDescent="0.2">
      <c r="A255" s="2">
        <v>44565</v>
      </c>
      <c r="B255" s="1" t="s">
        <v>9</v>
      </c>
      <c r="C255" s="1">
        <v>143.87799999999999</v>
      </c>
    </row>
    <row r="256" spans="1:3" x14ac:dyDescent="0.2">
      <c r="A256" s="2">
        <v>44566</v>
      </c>
      <c r="B256" s="1" t="s">
        <v>9</v>
      </c>
      <c r="C256" s="1">
        <v>137.27799999999999</v>
      </c>
    </row>
    <row r="257" spans="1:3" x14ac:dyDescent="0.2">
      <c r="A257" s="2">
        <v>44567</v>
      </c>
      <c r="B257" s="1" t="s">
        <v>9</v>
      </c>
      <c r="C257" s="1">
        <v>137.251</v>
      </c>
    </row>
    <row r="258" spans="1:3" x14ac:dyDescent="0.2">
      <c r="A258" s="2">
        <v>44568</v>
      </c>
      <c r="B258" s="1" t="s">
        <v>9</v>
      </c>
      <c r="C258" s="1">
        <v>136.523</v>
      </c>
    </row>
    <row r="259" spans="1:3" x14ac:dyDescent="0.2">
      <c r="A259" s="2">
        <v>44571</v>
      </c>
      <c r="B259" s="1" t="s">
        <v>9</v>
      </c>
      <c r="C259" s="1">
        <v>138.16900000000001</v>
      </c>
    </row>
    <row r="260" spans="1:3" x14ac:dyDescent="0.2">
      <c r="A260" s="2">
        <v>44572</v>
      </c>
      <c r="B260" s="1" t="s">
        <v>9</v>
      </c>
      <c r="C260" s="1">
        <v>139.23099999999999</v>
      </c>
    </row>
    <row r="261" spans="1:3" x14ac:dyDescent="0.2">
      <c r="A261" s="2">
        <v>44573</v>
      </c>
      <c r="B261" s="1" t="s">
        <v>9</v>
      </c>
      <c r="C261" s="1">
        <v>140.91900000000001</v>
      </c>
    </row>
    <row r="262" spans="1:3" x14ac:dyDescent="0.2">
      <c r="A262" s="2">
        <v>44574</v>
      </c>
      <c r="B262" s="1" t="s">
        <v>9</v>
      </c>
      <c r="C262" s="1">
        <v>138.08699999999999</v>
      </c>
    </row>
    <row r="263" spans="1:3" x14ac:dyDescent="0.2">
      <c r="A263" s="2">
        <v>44575</v>
      </c>
      <c r="B263" s="1" t="s">
        <v>9</v>
      </c>
      <c r="C263" s="1">
        <v>138.976</v>
      </c>
    </row>
    <row r="264" spans="1:3" x14ac:dyDescent="0.2">
      <c r="A264" s="2">
        <v>44579</v>
      </c>
      <c r="B264" s="1" t="s">
        <v>9</v>
      </c>
      <c r="C264" s="1">
        <v>135.50700000000001</v>
      </c>
    </row>
    <row r="265" spans="1:3" x14ac:dyDescent="0.2">
      <c r="A265" s="2">
        <v>44580</v>
      </c>
      <c r="B265" s="1" t="s">
        <v>9</v>
      </c>
      <c r="C265" s="1">
        <v>134.62799999999999</v>
      </c>
    </row>
    <row r="266" spans="1:3" x14ac:dyDescent="0.2">
      <c r="A266" s="2">
        <v>44581</v>
      </c>
      <c r="B266" s="1" t="s">
        <v>9</v>
      </c>
      <c r="C266" s="1">
        <v>132.827</v>
      </c>
    </row>
    <row r="267" spans="1:3" x14ac:dyDescent="0.2">
      <c r="A267" s="2">
        <v>44582</v>
      </c>
      <c r="B267" s="1" t="s">
        <v>9</v>
      </c>
      <c r="C267" s="1">
        <v>129.881</v>
      </c>
    </row>
    <row r="268" spans="1:3" x14ac:dyDescent="0.2">
      <c r="A268" s="2">
        <v>44585</v>
      </c>
      <c r="B268" s="1" t="s">
        <v>9</v>
      </c>
      <c r="C268" s="1">
        <v>130.33199999999999</v>
      </c>
    </row>
    <row r="269" spans="1:3" x14ac:dyDescent="0.2">
      <c r="A269" s="2">
        <v>44586</v>
      </c>
      <c r="B269" s="1" t="s">
        <v>9</v>
      </c>
      <c r="C269" s="1">
        <v>126.476</v>
      </c>
    </row>
    <row r="270" spans="1:3" x14ac:dyDescent="0.2">
      <c r="A270" s="2">
        <v>44587</v>
      </c>
      <c r="B270" s="1" t="s">
        <v>9</v>
      </c>
      <c r="C270" s="1">
        <v>128.76599999999999</v>
      </c>
    </row>
    <row r="271" spans="1:3" x14ac:dyDescent="0.2">
      <c r="A271" s="2">
        <v>44588</v>
      </c>
      <c r="B271" s="1" t="s">
        <v>9</v>
      </c>
      <c r="C271" s="1">
        <v>128.53899999999999</v>
      </c>
    </row>
    <row r="272" spans="1:3" x14ac:dyDescent="0.2">
      <c r="A272" s="2">
        <v>44589</v>
      </c>
      <c r="B272" s="1" t="s">
        <v>9</v>
      </c>
      <c r="C272" s="1">
        <v>132.869</v>
      </c>
    </row>
    <row r="273" spans="1:3" x14ac:dyDescent="0.2">
      <c r="A273" s="2">
        <v>44592</v>
      </c>
      <c r="B273" s="1" t="s">
        <v>9</v>
      </c>
      <c r="C273" s="1">
        <v>134.815</v>
      </c>
    </row>
    <row r="274" spans="1:3" x14ac:dyDescent="0.2">
      <c r="A274" s="2">
        <v>44593</v>
      </c>
      <c r="B274" s="1" t="s">
        <v>9</v>
      </c>
      <c r="C274" s="1">
        <v>137.14699999999999</v>
      </c>
    </row>
    <row r="275" spans="1:3" x14ac:dyDescent="0.2">
      <c r="A275" s="2">
        <v>44594</v>
      </c>
      <c r="B275" s="1" t="s">
        <v>9</v>
      </c>
      <c r="C275" s="1">
        <v>147.465</v>
      </c>
    </row>
    <row r="276" spans="1:3" x14ac:dyDescent="0.2">
      <c r="A276" s="2">
        <v>44595</v>
      </c>
      <c r="B276" s="1" t="s">
        <v>9</v>
      </c>
      <c r="C276" s="1">
        <v>142.57400000000001</v>
      </c>
    </row>
    <row r="277" spans="1:3" x14ac:dyDescent="0.2">
      <c r="A277" s="2">
        <v>44596</v>
      </c>
      <c r="B277" s="1" t="s">
        <v>9</v>
      </c>
      <c r="C277" s="1">
        <v>142.77500000000001</v>
      </c>
    </row>
    <row r="278" spans="1:3" x14ac:dyDescent="0.2">
      <c r="A278" s="2">
        <v>44599</v>
      </c>
      <c r="B278" s="1" t="s">
        <v>9</v>
      </c>
      <c r="C278" s="1">
        <v>138.69800000000001</v>
      </c>
    </row>
    <row r="279" spans="1:3" x14ac:dyDescent="0.2">
      <c r="A279" s="2">
        <v>44600</v>
      </c>
      <c r="B279" s="1" t="s">
        <v>9</v>
      </c>
      <c r="C279" s="1">
        <v>138.89500000000001</v>
      </c>
    </row>
    <row r="280" spans="1:3" x14ac:dyDescent="0.2">
      <c r="A280" s="2">
        <v>44601</v>
      </c>
      <c r="B280" s="1" t="s">
        <v>9</v>
      </c>
      <c r="C280" s="1">
        <v>141.08099999999999</v>
      </c>
    </row>
    <row r="281" spans="1:3" x14ac:dyDescent="0.2">
      <c r="A281" s="2">
        <v>44602</v>
      </c>
      <c r="B281" s="1" t="s">
        <v>9</v>
      </c>
      <c r="C281" s="1">
        <v>138.12</v>
      </c>
    </row>
    <row r="282" spans="1:3" x14ac:dyDescent="0.2">
      <c r="A282" s="2">
        <v>44603</v>
      </c>
      <c r="B282" s="1" t="s">
        <v>9</v>
      </c>
      <c r="C282" s="1">
        <v>133.797</v>
      </c>
    </row>
    <row r="283" spans="1:3" x14ac:dyDescent="0.2">
      <c r="A283" s="2">
        <v>44606</v>
      </c>
      <c r="B283" s="1" t="s">
        <v>9</v>
      </c>
      <c r="C283" s="1">
        <v>135.03700000000001</v>
      </c>
    </row>
    <row r="284" spans="1:3" x14ac:dyDescent="0.2">
      <c r="A284" s="2">
        <v>44607</v>
      </c>
      <c r="B284" s="1" t="s">
        <v>9</v>
      </c>
      <c r="C284" s="1">
        <v>136.114</v>
      </c>
    </row>
    <row r="285" spans="1:3" x14ac:dyDescent="0.2">
      <c r="A285" s="2">
        <v>44608</v>
      </c>
      <c r="B285" s="1" t="s">
        <v>9</v>
      </c>
      <c r="C285" s="1">
        <v>137.24100000000001</v>
      </c>
    </row>
    <row r="286" spans="1:3" x14ac:dyDescent="0.2">
      <c r="A286" s="2">
        <v>44609</v>
      </c>
      <c r="B286" s="1" t="s">
        <v>9</v>
      </c>
      <c r="C286" s="1">
        <v>132.06100000000001</v>
      </c>
    </row>
    <row r="287" spans="1:3" x14ac:dyDescent="0.2">
      <c r="A287" s="2">
        <v>44610</v>
      </c>
      <c r="B287" s="1" t="s">
        <v>9</v>
      </c>
      <c r="C287" s="1">
        <v>129.93199999999999</v>
      </c>
    </row>
    <row r="288" spans="1:3" x14ac:dyDescent="0.2">
      <c r="A288" s="2">
        <v>44614</v>
      </c>
      <c r="B288" s="1" t="s">
        <v>9</v>
      </c>
      <c r="C288" s="1">
        <v>129.345</v>
      </c>
    </row>
    <row r="289" spans="1:3" x14ac:dyDescent="0.2">
      <c r="A289" s="2">
        <v>44615</v>
      </c>
      <c r="B289" s="1" t="s">
        <v>9</v>
      </c>
      <c r="C289" s="1">
        <v>127.127</v>
      </c>
    </row>
    <row r="290" spans="1:3" x14ac:dyDescent="0.2">
      <c r="A290" s="2">
        <v>44616</v>
      </c>
      <c r="B290" s="1" t="s">
        <v>9</v>
      </c>
      <c r="C290" s="1">
        <v>132.21100000000001</v>
      </c>
    </row>
    <row r="291" spans="1:3" x14ac:dyDescent="0.2">
      <c r="A291" s="2">
        <v>44617</v>
      </c>
      <c r="B291" s="1" t="s">
        <v>9</v>
      </c>
      <c r="C291" s="1">
        <v>133.97399999999999</v>
      </c>
    </row>
    <row r="292" spans="1:3" x14ac:dyDescent="0.2">
      <c r="A292" s="2">
        <v>44620</v>
      </c>
      <c r="B292" s="1" t="s">
        <v>9</v>
      </c>
      <c r="C292" s="1">
        <v>134.56899999999999</v>
      </c>
    </row>
    <row r="293" spans="1:3" x14ac:dyDescent="0.2">
      <c r="A293" s="2">
        <v>44621</v>
      </c>
      <c r="B293" s="1" t="s">
        <v>9</v>
      </c>
      <c r="C293" s="1">
        <v>133.578</v>
      </c>
    </row>
    <row r="294" spans="1:3" x14ac:dyDescent="0.2">
      <c r="A294" s="2">
        <v>44622</v>
      </c>
      <c r="B294" s="1" t="s">
        <v>9</v>
      </c>
      <c r="C294" s="1">
        <v>134.08600000000001</v>
      </c>
    </row>
    <row r="295" spans="1:3" x14ac:dyDescent="0.2">
      <c r="A295" s="2">
        <v>44623</v>
      </c>
      <c r="B295" s="1" t="s">
        <v>9</v>
      </c>
      <c r="C295" s="1">
        <v>133.416</v>
      </c>
    </row>
    <row r="296" spans="1:3" x14ac:dyDescent="0.2">
      <c r="A296" s="2">
        <v>44624</v>
      </c>
      <c r="B296" s="1" t="s">
        <v>9</v>
      </c>
      <c r="C296" s="1">
        <v>131.429</v>
      </c>
    </row>
    <row r="297" spans="1:3" x14ac:dyDescent="0.2">
      <c r="A297" s="2">
        <v>44627</v>
      </c>
      <c r="B297" s="1" t="s">
        <v>9</v>
      </c>
      <c r="C297" s="1">
        <v>125.922</v>
      </c>
    </row>
    <row r="298" spans="1:3" x14ac:dyDescent="0.2">
      <c r="A298" s="2">
        <v>44628</v>
      </c>
      <c r="B298" s="1" t="s">
        <v>9</v>
      </c>
      <c r="C298" s="1">
        <v>126.645</v>
      </c>
    </row>
    <row r="299" spans="1:3" x14ac:dyDescent="0.2">
      <c r="A299" s="2">
        <v>44629</v>
      </c>
      <c r="B299" s="1" t="s">
        <v>9</v>
      </c>
      <c r="C299" s="1">
        <v>132.93799999999999</v>
      </c>
    </row>
    <row r="300" spans="1:3" x14ac:dyDescent="0.2">
      <c r="A300" s="2">
        <v>44630</v>
      </c>
      <c r="B300" s="1" t="s">
        <v>9</v>
      </c>
      <c r="C300" s="1">
        <v>131.952</v>
      </c>
    </row>
    <row r="301" spans="1:3" x14ac:dyDescent="0.2">
      <c r="A301" s="2">
        <v>44631</v>
      </c>
      <c r="B301" s="1" t="s">
        <v>9</v>
      </c>
      <c r="C301" s="1">
        <v>129.40100000000001</v>
      </c>
    </row>
    <row r="302" spans="1:3" x14ac:dyDescent="0.2">
      <c r="A302" s="2">
        <v>44634</v>
      </c>
      <c r="B302" s="1" t="s">
        <v>9</v>
      </c>
      <c r="C302" s="1">
        <v>125.496</v>
      </c>
    </row>
    <row r="303" spans="1:3" x14ac:dyDescent="0.2">
      <c r="A303" s="2">
        <v>44635</v>
      </c>
      <c r="B303" s="1" t="s">
        <v>9</v>
      </c>
      <c r="C303" s="1">
        <v>128.73099999999999</v>
      </c>
    </row>
    <row r="304" spans="1:3" x14ac:dyDescent="0.2">
      <c r="A304" s="2">
        <v>44636</v>
      </c>
      <c r="B304" s="1" t="s">
        <v>9</v>
      </c>
      <c r="C304" s="1">
        <v>132.80000000000001</v>
      </c>
    </row>
    <row r="305" spans="1:3" x14ac:dyDescent="0.2">
      <c r="A305" s="2">
        <v>44637</v>
      </c>
      <c r="B305" s="1" t="s">
        <v>9</v>
      </c>
      <c r="C305" s="1">
        <v>133.35599999999999</v>
      </c>
    </row>
    <row r="306" spans="1:3" x14ac:dyDescent="0.2">
      <c r="A306" s="2">
        <v>44638</v>
      </c>
      <c r="B306" s="1" t="s">
        <v>9</v>
      </c>
      <c r="C306" s="1">
        <v>135.63499999999999</v>
      </c>
    </row>
    <row r="307" spans="1:3" x14ac:dyDescent="0.2">
      <c r="A307" s="2">
        <v>44641</v>
      </c>
      <c r="B307" s="1" t="s">
        <v>9</v>
      </c>
      <c r="C307" s="1">
        <v>135.61099999999999</v>
      </c>
    </row>
    <row r="308" spans="1:3" x14ac:dyDescent="0.2">
      <c r="A308" s="2">
        <v>44642</v>
      </c>
      <c r="B308" s="1" t="s">
        <v>9</v>
      </c>
      <c r="C308" s="1">
        <v>139.363</v>
      </c>
    </row>
    <row r="309" spans="1:3" x14ac:dyDescent="0.2">
      <c r="A309" s="2">
        <v>44643</v>
      </c>
      <c r="B309" s="1" t="s">
        <v>9</v>
      </c>
      <c r="C309" s="1">
        <v>137.77600000000001</v>
      </c>
    </row>
    <row r="310" spans="1:3" x14ac:dyDescent="0.2">
      <c r="A310" s="2">
        <v>44644</v>
      </c>
      <c r="B310" s="1" t="s">
        <v>9</v>
      </c>
      <c r="C310" s="1">
        <v>141.06100000000001</v>
      </c>
    </row>
    <row r="311" spans="1:3" x14ac:dyDescent="0.2">
      <c r="A311" s="2">
        <v>44645</v>
      </c>
      <c r="B311" s="1" t="s">
        <v>9</v>
      </c>
      <c r="C311" s="1">
        <v>141.161</v>
      </c>
    </row>
    <row r="312" spans="1:3" x14ac:dyDescent="0.2">
      <c r="A312" s="2">
        <v>44648</v>
      </c>
      <c r="B312" s="1" t="s">
        <v>9</v>
      </c>
      <c r="C312" s="1">
        <v>140.94499999999999</v>
      </c>
    </row>
    <row r="313" spans="1:3" x14ac:dyDescent="0.2">
      <c r="A313" s="2">
        <v>44649</v>
      </c>
      <c r="B313" s="1" t="s">
        <v>9</v>
      </c>
      <c r="C313" s="1">
        <v>141.99100000000001</v>
      </c>
    </row>
    <row r="314" spans="1:3" x14ac:dyDescent="0.2">
      <c r="A314" s="2">
        <v>44650</v>
      </c>
      <c r="B314" s="1" t="s">
        <v>9</v>
      </c>
      <c r="C314" s="1">
        <v>141.42500000000001</v>
      </c>
    </row>
    <row r="315" spans="1:3" x14ac:dyDescent="0.2">
      <c r="A315" s="2">
        <v>44651</v>
      </c>
      <c r="B315" s="1" t="s">
        <v>9</v>
      </c>
      <c r="C315" s="1">
        <v>138.566</v>
      </c>
    </row>
    <row r="316" spans="1:3" x14ac:dyDescent="0.2">
      <c r="A316" s="2">
        <v>44652</v>
      </c>
      <c r="B316" s="1" t="s">
        <v>9</v>
      </c>
      <c r="C316" s="1">
        <v>139.64400000000001</v>
      </c>
    </row>
    <row r="317" spans="1:3" x14ac:dyDescent="0.2">
      <c r="A317" s="2">
        <v>44655</v>
      </c>
      <c r="B317" s="1" t="s">
        <v>9</v>
      </c>
      <c r="C317" s="1">
        <v>142.45599999999999</v>
      </c>
    </row>
    <row r="318" spans="1:3" x14ac:dyDescent="0.2">
      <c r="A318" s="2">
        <v>44656</v>
      </c>
      <c r="B318" s="1" t="s">
        <v>9</v>
      </c>
      <c r="C318" s="1">
        <v>140.083</v>
      </c>
    </row>
    <row r="319" spans="1:3" x14ac:dyDescent="0.2">
      <c r="A319" s="2">
        <v>44657</v>
      </c>
      <c r="B319" s="1" t="s">
        <v>9</v>
      </c>
      <c r="C319" s="1">
        <v>136.054</v>
      </c>
    </row>
    <row r="320" spans="1:3" x14ac:dyDescent="0.2">
      <c r="A320" s="2">
        <v>44658</v>
      </c>
      <c r="B320" s="1" t="s">
        <v>9</v>
      </c>
      <c r="C320" s="1">
        <v>135.39699999999999</v>
      </c>
    </row>
    <row r="321" spans="1:3" x14ac:dyDescent="0.2">
      <c r="A321" s="2">
        <v>44659</v>
      </c>
      <c r="B321" s="1" t="s">
        <v>9</v>
      </c>
      <c r="C321" s="1">
        <v>132.80699999999999</v>
      </c>
    </row>
    <row r="322" spans="1:3" x14ac:dyDescent="0.2">
      <c r="A322" s="2">
        <v>44662</v>
      </c>
      <c r="B322" s="1" t="s">
        <v>9</v>
      </c>
      <c r="C322" s="1">
        <v>128.358</v>
      </c>
    </row>
    <row r="323" spans="1:3" x14ac:dyDescent="0.2">
      <c r="A323" s="2">
        <v>44663</v>
      </c>
      <c r="B323" s="1" t="s">
        <v>9</v>
      </c>
      <c r="C323" s="1">
        <v>127.253</v>
      </c>
    </row>
    <row r="324" spans="1:3" x14ac:dyDescent="0.2">
      <c r="A324" s="2">
        <v>44664</v>
      </c>
      <c r="B324" s="1" t="s">
        <v>9</v>
      </c>
      <c r="C324" s="1">
        <v>129.42500000000001</v>
      </c>
    </row>
    <row r="325" spans="1:3" x14ac:dyDescent="0.2">
      <c r="A325" s="2">
        <v>44665</v>
      </c>
      <c r="B325" s="1" t="s">
        <v>9</v>
      </c>
      <c r="C325" s="1">
        <v>126.27200000000001</v>
      </c>
    </row>
    <row r="326" spans="1:3" x14ac:dyDescent="0.2">
      <c r="A326" s="2">
        <v>44669</v>
      </c>
      <c r="B326" s="1" t="s">
        <v>9</v>
      </c>
      <c r="C326" s="1">
        <v>127.215</v>
      </c>
    </row>
    <row r="327" spans="1:3" x14ac:dyDescent="0.2">
      <c r="A327" s="2">
        <v>44670</v>
      </c>
      <c r="B327" s="1" t="s">
        <v>9</v>
      </c>
      <c r="C327" s="1">
        <v>129.54</v>
      </c>
    </row>
    <row r="328" spans="1:3" x14ac:dyDescent="0.2">
      <c r="A328" s="2">
        <v>44671</v>
      </c>
      <c r="B328" s="1" t="s">
        <v>9</v>
      </c>
      <c r="C328" s="1">
        <v>127.578</v>
      </c>
    </row>
    <row r="329" spans="1:3" x14ac:dyDescent="0.2">
      <c r="A329" s="2">
        <v>44672</v>
      </c>
      <c r="B329" s="1" t="s">
        <v>9</v>
      </c>
      <c r="C329" s="1">
        <v>124.363</v>
      </c>
    </row>
    <row r="330" spans="1:3" x14ac:dyDescent="0.2">
      <c r="A330" s="2">
        <v>44673</v>
      </c>
      <c r="B330" s="1" t="s">
        <v>9</v>
      </c>
      <c r="C330" s="1">
        <v>119.20399999999999</v>
      </c>
    </row>
    <row r="331" spans="1:3" x14ac:dyDescent="0.2">
      <c r="A331" s="2">
        <v>44676</v>
      </c>
      <c r="B331" s="1" t="s">
        <v>9</v>
      </c>
      <c r="C331" s="1">
        <v>122.629</v>
      </c>
    </row>
    <row r="332" spans="1:3" x14ac:dyDescent="0.2">
      <c r="A332" s="2">
        <v>44677</v>
      </c>
      <c r="B332" s="1" t="s">
        <v>9</v>
      </c>
      <c r="C332" s="1">
        <v>118.22199999999999</v>
      </c>
    </row>
    <row r="333" spans="1:3" x14ac:dyDescent="0.2">
      <c r="A333" s="2">
        <v>44678</v>
      </c>
      <c r="B333" s="1" t="s">
        <v>9</v>
      </c>
      <c r="C333" s="1">
        <v>113.881</v>
      </c>
    </row>
    <row r="334" spans="1:3" x14ac:dyDescent="0.2">
      <c r="A334" s="2">
        <v>44679</v>
      </c>
      <c r="B334" s="1" t="s">
        <v>9</v>
      </c>
      <c r="C334" s="1">
        <v>118.09399999999999</v>
      </c>
    </row>
    <row r="335" spans="1:3" x14ac:dyDescent="0.2">
      <c r="A335" s="2">
        <v>44680</v>
      </c>
      <c r="B335" s="1" t="s">
        <v>9</v>
      </c>
      <c r="C335" s="1">
        <v>113.69799999999999</v>
      </c>
    </row>
    <row r="336" spans="1:3" x14ac:dyDescent="0.2">
      <c r="A336" s="2">
        <v>44683</v>
      </c>
      <c r="B336" s="1" t="s">
        <v>9</v>
      </c>
      <c r="C336" s="1">
        <v>116.16200000000001</v>
      </c>
    </row>
    <row r="337" spans="1:3" x14ac:dyDescent="0.2">
      <c r="A337" s="2">
        <v>44684</v>
      </c>
      <c r="B337" s="1" t="s">
        <v>9</v>
      </c>
      <c r="C337" s="1">
        <v>116.91</v>
      </c>
    </row>
    <row r="338" spans="1:3" x14ac:dyDescent="0.2">
      <c r="A338" s="2">
        <v>44685</v>
      </c>
      <c r="B338" s="1" t="s">
        <v>9</v>
      </c>
      <c r="C338" s="1">
        <v>121.819</v>
      </c>
    </row>
    <row r="339" spans="1:3" x14ac:dyDescent="0.2">
      <c r="A339" s="2">
        <v>44686</v>
      </c>
      <c r="B339" s="1" t="s">
        <v>9</v>
      </c>
      <c r="C339" s="1">
        <v>116.08499999999999</v>
      </c>
    </row>
    <row r="340" spans="1:3" x14ac:dyDescent="0.2">
      <c r="A340" s="2">
        <v>44687</v>
      </c>
      <c r="B340" s="1" t="s">
        <v>9</v>
      </c>
      <c r="C340" s="1">
        <v>115.328</v>
      </c>
    </row>
    <row r="341" spans="1:3" x14ac:dyDescent="0.2">
      <c r="A341" s="2">
        <v>44690</v>
      </c>
      <c r="B341" s="1" t="s">
        <v>9</v>
      </c>
      <c r="C341" s="1">
        <v>112.105</v>
      </c>
    </row>
    <row r="342" spans="1:3" x14ac:dyDescent="0.2">
      <c r="A342" s="2">
        <v>44691</v>
      </c>
      <c r="B342" s="1" t="s">
        <v>9</v>
      </c>
      <c r="C342" s="1">
        <v>113.982</v>
      </c>
    </row>
    <row r="343" spans="1:3" x14ac:dyDescent="0.2">
      <c r="A343" s="2">
        <v>44692</v>
      </c>
      <c r="B343" s="1" t="s">
        <v>9</v>
      </c>
      <c r="C343" s="1">
        <v>113.19199999999999</v>
      </c>
    </row>
    <row r="344" spans="1:3" x14ac:dyDescent="0.2">
      <c r="A344" s="2">
        <v>44693</v>
      </c>
      <c r="B344" s="1" t="s">
        <v>9</v>
      </c>
      <c r="C344" s="1">
        <v>112.437</v>
      </c>
    </row>
    <row r="345" spans="1:3" x14ac:dyDescent="0.2">
      <c r="A345" s="2">
        <v>44694</v>
      </c>
      <c r="B345" s="1" t="s">
        <v>9</v>
      </c>
      <c r="C345" s="1">
        <v>115.631</v>
      </c>
    </row>
    <row r="346" spans="1:3" x14ac:dyDescent="0.2">
      <c r="A346" s="2">
        <v>44697</v>
      </c>
      <c r="B346" s="1" t="s">
        <v>9</v>
      </c>
      <c r="C346" s="1">
        <v>114.032</v>
      </c>
    </row>
    <row r="347" spans="1:3" x14ac:dyDescent="0.2">
      <c r="A347" s="2">
        <v>44698</v>
      </c>
      <c r="B347" s="1" t="s">
        <v>9</v>
      </c>
      <c r="C347" s="1">
        <v>116.05200000000001</v>
      </c>
    </row>
    <row r="348" spans="1:3" x14ac:dyDescent="0.2">
      <c r="A348" s="2">
        <v>44699</v>
      </c>
      <c r="B348" s="1" t="s">
        <v>9</v>
      </c>
      <c r="C348" s="1">
        <v>111.495</v>
      </c>
    </row>
    <row r="349" spans="1:3" x14ac:dyDescent="0.2">
      <c r="A349" s="2">
        <v>44700</v>
      </c>
      <c r="B349" s="1" t="s">
        <v>9</v>
      </c>
      <c r="C349" s="1">
        <v>109.985</v>
      </c>
    </row>
    <row r="350" spans="1:3" x14ac:dyDescent="0.2">
      <c r="A350" s="2">
        <v>44701</v>
      </c>
      <c r="B350" s="1" t="s">
        <v>9</v>
      </c>
      <c r="C350" s="1">
        <v>108.515</v>
      </c>
    </row>
    <row r="351" spans="1:3" x14ac:dyDescent="0.2">
      <c r="A351" s="2">
        <v>44704</v>
      </c>
      <c r="B351" s="1" t="s">
        <v>9</v>
      </c>
      <c r="C351" s="1">
        <v>111.08499999999999</v>
      </c>
    </row>
    <row r="352" spans="1:3" x14ac:dyDescent="0.2">
      <c r="A352" s="2">
        <v>44705</v>
      </c>
      <c r="B352" s="1" t="s">
        <v>9</v>
      </c>
      <c r="C352" s="1">
        <v>105.58799999999999</v>
      </c>
    </row>
    <row r="353" spans="1:3" x14ac:dyDescent="0.2">
      <c r="A353" s="2">
        <v>44706</v>
      </c>
      <c r="B353" s="1" t="s">
        <v>9</v>
      </c>
      <c r="C353" s="1">
        <v>105.423</v>
      </c>
    </row>
    <row r="354" spans="1:3" x14ac:dyDescent="0.2">
      <c r="A354" s="2">
        <v>44707</v>
      </c>
      <c r="B354" s="1" t="s">
        <v>9</v>
      </c>
      <c r="C354" s="1">
        <v>107.402</v>
      </c>
    </row>
    <row r="355" spans="1:3" x14ac:dyDescent="0.2">
      <c r="A355" s="2">
        <v>44708</v>
      </c>
      <c r="B355" s="1" t="s">
        <v>9</v>
      </c>
      <c r="C355" s="1">
        <v>111.91</v>
      </c>
    </row>
    <row r="356" spans="1:3" x14ac:dyDescent="0.2">
      <c r="A356" s="2">
        <v>44712</v>
      </c>
      <c r="B356" s="1" t="s">
        <v>9</v>
      </c>
      <c r="C356" s="1">
        <v>113.351</v>
      </c>
    </row>
    <row r="357" spans="1:3" x14ac:dyDescent="0.2">
      <c r="A357" s="2">
        <v>44713</v>
      </c>
      <c r="B357" s="1" t="s">
        <v>9</v>
      </c>
      <c r="C357" s="1">
        <v>113.48</v>
      </c>
    </row>
    <row r="358" spans="1:3" x14ac:dyDescent="0.2">
      <c r="A358" s="2">
        <v>44714</v>
      </c>
      <c r="B358" s="1" t="s">
        <v>9</v>
      </c>
      <c r="C358" s="1">
        <v>117.197</v>
      </c>
    </row>
    <row r="359" spans="1:3" x14ac:dyDescent="0.2">
      <c r="A359" s="2">
        <v>44715</v>
      </c>
      <c r="B359" s="1" t="s">
        <v>9</v>
      </c>
      <c r="C359" s="1">
        <v>114.127</v>
      </c>
    </row>
    <row r="360" spans="1:3" x14ac:dyDescent="0.2">
      <c r="A360" s="2">
        <v>44718</v>
      </c>
      <c r="B360" s="1" t="s">
        <v>9</v>
      </c>
      <c r="C360" s="1">
        <v>116.398</v>
      </c>
    </row>
    <row r="361" spans="1:3" x14ac:dyDescent="0.2">
      <c r="A361" s="2">
        <v>44719</v>
      </c>
      <c r="B361" s="1" t="s">
        <v>9</v>
      </c>
      <c r="C361" s="1">
        <v>116.726</v>
      </c>
    </row>
    <row r="362" spans="1:3" x14ac:dyDescent="0.2">
      <c r="A362" s="2">
        <v>44720</v>
      </c>
      <c r="B362" s="1" t="s">
        <v>9</v>
      </c>
      <c r="C362" s="1">
        <v>116.771</v>
      </c>
    </row>
    <row r="363" spans="1:3" x14ac:dyDescent="0.2">
      <c r="A363" s="2">
        <v>44721</v>
      </c>
      <c r="B363" s="1" t="s">
        <v>9</v>
      </c>
      <c r="C363" s="1">
        <v>114.42100000000001</v>
      </c>
    </row>
    <row r="364" spans="1:3" x14ac:dyDescent="0.2">
      <c r="A364" s="2">
        <v>44722</v>
      </c>
      <c r="B364" s="1" t="s">
        <v>9</v>
      </c>
      <c r="C364" s="1">
        <v>110.761</v>
      </c>
    </row>
    <row r="365" spans="1:3" x14ac:dyDescent="0.2">
      <c r="A365" s="2">
        <v>44725</v>
      </c>
      <c r="B365" s="1" t="s">
        <v>9</v>
      </c>
      <c r="C365" s="1">
        <v>106.008</v>
      </c>
    </row>
    <row r="366" spans="1:3" x14ac:dyDescent="0.2">
      <c r="A366" s="2">
        <v>44726</v>
      </c>
      <c r="B366" s="1" t="s">
        <v>9</v>
      </c>
      <c r="C366" s="1">
        <v>106.33</v>
      </c>
    </row>
    <row r="367" spans="1:3" x14ac:dyDescent="0.2">
      <c r="A367" s="2">
        <v>44727</v>
      </c>
      <c r="B367" s="1" t="s">
        <v>9</v>
      </c>
      <c r="C367" s="1">
        <v>109.36799999999999</v>
      </c>
    </row>
    <row r="368" spans="1:3" x14ac:dyDescent="0.2">
      <c r="A368" s="2">
        <v>44728</v>
      </c>
      <c r="B368" s="1" t="s">
        <v>9</v>
      </c>
      <c r="C368" s="1">
        <v>105.651</v>
      </c>
    </row>
    <row r="369" spans="1:3" x14ac:dyDescent="0.2">
      <c r="A369" s="2">
        <v>44729</v>
      </c>
      <c r="B369" s="1" t="s">
        <v>9</v>
      </c>
      <c r="C369" s="1">
        <v>106.756</v>
      </c>
    </row>
    <row r="370" spans="1:3" x14ac:dyDescent="0.2">
      <c r="A370" s="2">
        <v>44733</v>
      </c>
      <c r="B370" s="1" t="s">
        <v>9</v>
      </c>
      <c r="C370" s="1">
        <v>111.14100000000001</v>
      </c>
    </row>
    <row r="371" spans="1:3" x14ac:dyDescent="0.2">
      <c r="A371" s="2">
        <v>44734</v>
      </c>
      <c r="B371" s="1" t="s">
        <v>9</v>
      </c>
      <c r="C371" s="1">
        <v>111.08499999999999</v>
      </c>
    </row>
    <row r="372" spans="1:3" x14ac:dyDescent="0.2">
      <c r="A372" s="2">
        <v>44735</v>
      </c>
      <c r="B372" s="1" t="s">
        <v>9</v>
      </c>
      <c r="C372" s="1">
        <v>111.836</v>
      </c>
    </row>
    <row r="373" spans="1:3" x14ac:dyDescent="0.2">
      <c r="A373" s="2">
        <v>44736</v>
      </c>
      <c r="B373" s="1" t="s">
        <v>9</v>
      </c>
      <c r="C373" s="1">
        <v>117.54900000000001</v>
      </c>
    </row>
    <row r="374" spans="1:3" x14ac:dyDescent="0.2">
      <c r="A374" s="2">
        <v>44739</v>
      </c>
      <c r="B374" s="1" t="s">
        <v>9</v>
      </c>
      <c r="C374" s="1">
        <v>115.416</v>
      </c>
    </row>
    <row r="375" spans="1:3" x14ac:dyDescent="0.2">
      <c r="A375" s="2">
        <v>44740</v>
      </c>
      <c r="B375" s="1" t="s">
        <v>9</v>
      </c>
      <c r="C375" s="1">
        <v>111.604</v>
      </c>
    </row>
    <row r="376" spans="1:3" x14ac:dyDescent="0.2">
      <c r="A376" s="2">
        <v>44741</v>
      </c>
      <c r="B376" s="1" t="s">
        <v>9</v>
      </c>
      <c r="C376" s="1">
        <v>111.298</v>
      </c>
    </row>
    <row r="377" spans="1:3" x14ac:dyDescent="0.2">
      <c r="A377" s="2">
        <v>44742</v>
      </c>
      <c r="B377" s="1" t="s">
        <v>9</v>
      </c>
      <c r="C377" s="1">
        <v>108.57</v>
      </c>
    </row>
    <row r="378" spans="1:3" x14ac:dyDescent="0.2">
      <c r="A378" s="2">
        <v>44743</v>
      </c>
      <c r="B378" s="1" t="s">
        <v>9</v>
      </c>
      <c r="C378" s="1">
        <v>108.345</v>
      </c>
    </row>
    <row r="379" spans="1:3" x14ac:dyDescent="0.2">
      <c r="A379" s="2">
        <v>44747</v>
      </c>
      <c r="B379" s="1" t="s">
        <v>9</v>
      </c>
      <c r="C379" s="1">
        <v>112.854</v>
      </c>
    </row>
    <row r="380" spans="1:3" x14ac:dyDescent="0.2">
      <c r="A380" s="2">
        <v>44748</v>
      </c>
      <c r="B380" s="1" t="s">
        <v>9</v>
      </c>
      <c r="C380" s="1">
        <v>114.158</v>
      </c>
    </row>
    <row r="381" spans="1:3" x14ac:dyDescent="0.2">
      <c r="A381" s="2">
        <v>44749</v>
      </c>
      <c r="B381" s="1" t="s">
        <v>9</v>
      </c>
      <c r="C381" s="1">
        <v>118.354</v>
      </c>
    </row>
    <row r="382" spans="1:3" x14ac:dyDescent="0.2">
      <c r="A382" s="2">
        <v>44750</v>
      </c>
      <c r="B382" s="1" t="s">
        <v>9</v>
      </c>
      <c r="C382" s="1">
        <v>118.923</v>
      </c>
    </row>
    <row r="383" spans="1:3" x14ac:dyDescent="0.2">
      <c r="A383" s="2">
        <v>44753</v>
      </c>
      <c r="B383" s="1" t="s">
        <v>9</v>
      </c>
      <c r="C383" s="1">
        <v>115.258</v>
      </c>
    </row>
    <row r="384" spans="1:3" x14ac:dyDescent="0.2">
      <c r="A384" s="2">
        <v>44754</v>
      </c>
      <c r="B384" s="1" t="s">
        <v>9</v>
      </c>
      <c r="C384" s="1">
        <v>113.608</v>
      </c>
    </row>
    <row r="385" spans="1:3" x14ac:dyDescent="0.2">
      <c r="A385" s="2">
        <v>44755</v>
      </c>
      <c r="B385" s="1" t="s">
        <v>9</v>
      </c>
      <c r="C385" s="1">
        <v>110.952</v>
      </c>
    </row>
    <row r="386" spans="1:3" x14ac:dyDescent="0.2">
      <c r="A386" s="2">
        <v>44756</v>
      </c>
      <c r="B386" s="1" t="s">
        <v>9</v>
      </c>
      <c r="C386" s="1">
        <v>109.968</v>
      </c>
    </row>
    <row r="387" spans="1:3" x14ac:dyDescent="0.2">
      <c r="A387" s="2">
        <v>44757</v>
      </c>
      <c r="B387" s="1" t="s">
        <v>9</v>
      </c>
      <c r="C387" s="1">
        <v>111.374</v>
      </c>
    </row>
    <row r="388" spans="1:3" x14ac:dyDescent="0.2">
      <c r="A388" s="2">
        <v>44760</v>
      </c>
      <c r="B388" s="1" t="s">
        <v>9</v>
      </c>
      <c r="C388" s="1">
        <v>108.636</v>
      </c>
    </row>
    <row r="389" spans="1:3" x14ac:dyDescent="0.2">
      <c r="A389" s="2">
        <v>44761</v>
      </c>
      <c r="B389" s="1" t="s">
        <v>9</v>
      </c>
      <c r="C389" s="1">
        <v>113.399</v>
      </c>
    </row>
    <row r="390" spans="1:3" x14ac:dyDescent="0.2">
      <c r="A390" s="2">
        <v>44762</v>
      </c>
      <c r="B390" s="1" t="s">
        <v>9</v>
      </c>
      <c r="C390" s="1">
        <v>113.488</v>
      </c>
    </row>
    <row r="391" spans="1:3" x14ac:dyDescent="0.2">
      <c r="A391" s="2">
        <v>44763</v>
      </c>
      <c r="B391" s="1" t="s">
        <v>9</v>
      </c>
      <c r="C391" s="1">
        <v>113.92700000000001</v>
      </c>
    </row>
    <row r="392" spans="1:3" x14ac:dyDescent="0.2">
      <c r="A392" s="2">
        <v>44764</v>
      </c>
      <c r="B392" s="1" t="s">
        <v>9</v>
      </c>
      <c r="C392" s="1">
        <v>107.51</v>
      </c>
    </row>
    <row r="393" spans="1:3" x14ac:dyDescent="0.2">
      <c r="A393" s="2">
        <v>44767</v>
      </c>
      <c r="B393" s="1" t="s">
        <v>9</v>
      </c>
      <c r="C393" s="1">
        <v>107.122</v>
      </c>
    </row>
    <row r="394" spans="1:3" x14ac:dyDescent="0.2">
      <c r="A394" s="2">
        <v>44768</v>
      </c>
      <c r="B394" s="1" t="s">
        <v>9</v>
      </c>
      <c r="C394" s="1">
        <v>104.64100000000001</v>
      </c>
    </row>
    <row r="395" spans="1:3" x14ac:dyDescent="0.2">
      <c r="A395" s="2">
        <v>44769</v>
      </c>
      <c r="B395" s="1" t="s">
        <v>9</v>
      </c>
      <c r="C395" s="1">
        <v>112.651</v>
      </c>
    </row>
    <row r="396" spans="1:3" x14ac:dyDescent="0.2">
      <c r="A396" s="2">
        <v>44770</v>
      </c>
      <c r="B396" s="1" t="s">
        <v>9</v>
      </c>
      <c r="C396" s="1">
        <v>113.80800000000001</v>
      </c>
    </row>
    <row r="397" spans="1:3" x14ac:dyDescent="0.2">
      <c r="A397" s="2">
        <v>44771</v>
      </c>
      <c r="B397" s="1" t="s">
        <v>9</v>
      </c>
      <c r="C397" s="1">
        <v>115.9</v>
      </c>
    </row>
    <row r="398" spans="1:3" x14ac:dyDescent="0.2">
      <c r="A398" s="2">
        <v>44774</v>
      </c>
      <c r="B398" s="1" t="s">
        <v>9</v>
      </c>
      <c r="C398" s="1">
        <v>114.44499999999999</v>
      </c>
    </row>
    <row r="399" spans="1:3" x14ac:dyDescent="0.2">
      <c r="A399" s="2">
        <v>44775</v>
      </c>
      <c r="B399" s="1" t="s">
        <v>9</v>
      </c>
      <c r="C399" s="1">
        <v>114.715</v>
      </c>
    </row>
    <row r="400" spans="1:3" x14ac:dyDescent="0.2">
      <c r="A400" s="2">
        <v>44776</v>
      </c>
      <c r="B400" s="1" t="s">
        <v>9</v>
      </c>
      <c r="C400" s="1">
        <v>117.654</v>
      </c>
    </row>
    <row r="401" spans="1:3" x14ac:dyDescent="0.2">
      <c r="A401" s="2">
        <v>44777</v>
      </c>
      <c r="B401" s="1" t="s">
        <v>9</v>
      </c>
      <c r="C401" s="1">
        <v>117.764</v>
      </c>
    </row>
    <row r="402" spans="1:3" x14ac:dyDescent="0.2">
      <c r="A402" s="2">
        <v>44778</v>
      </c>
      <c r="B402" s="1" t="s">
        <v>9</v>
      </c>
      <c r="C402" s="1">
        <v>117.04600000000001</v>
      </c>
    </row>
    <row r="403" spans="1:3" x14ac:dyDescent="0.2">
      <c r="A403" s="2">
        <v>44781</v>
      </c>
      <c r="B403" s="1" t="s">
        <v>9</v>
      </c>
      <c r="C403" s="1">
        <v>116.877</v>
      </c>
    </row>
    <row r="404" spans="1:3" x14ac:dyDescent="0.2">
      <c r="A404" s="2">
        <v>44782</v>
      </c>
      <c r="B404" s="1" t="s">
        <v>9</v>
      </c>
      <c r="C404" s="1">
        <v>116.209</v>
      </c>
    </row>
    <row r="405" spans="1:3" x14ac:dyDescent="0.2">
      <c r="A405" s="2">
        <v>44783</v>
      </c>
      <c r="B405" s="1" t="s">
        <v>9</v>
      </c>
      <c r="C405" s="1">
        <v>119.268</v>
      </c>
    </row>
    <row r="406" spans="1:3" x14ac:dyDescent="0.2">
      <c r="A406" s="2">
        <v>44784</v>
      </c>
      <c r="B406" s="1" t="s">
        <v>9</v>
      </c>
      <c r="C406" s="1">
        <v>118.411</v>
      </c>
    </row>
    <row r="407" spans="1:3" x14ac:dyDescent="0.2">
      <c r="A407" s="2">
        <v>44785</v>
      </c>
      <c r="B407" s="1" t="s">
        <v>9</v>
      </c>
      <c r="C407" s="1">
        <v>121.241</v>
      </c>
    </row>
    <row r="408" spans="1:3" x14ac:dyDescent="0.2">
      <c r="A408" s="2">
        <v>44788</v>
      </c>
      <c r="B408" s="1" t="s">
        <v>9</v>
      </c>
      <c r="C408" s="1">
        <v>121.639</v>
      </c>
    </row>
    <row r="409" spans="1:3" x14ac:dyDescent="0.2">
      <c r="A409" s="2">
        <v>44789</v>
      </c>
      <c r="B409" s="1" t="s">
        <v>9</v>
      </c>
      <c r="C409" s="1">
        <v>121.26</v>
      </c>
    </row>
    <row r="410" spans="1:3" x14ac:dyDescent="0.2">
      <c r="A410" s="2">
        <v>44790</v>
      </c>
      <c r="B410" s="1" t="s">
        <v>9</v>
      </c>
      <c r="C410" s="1">
        <v>119.11799999999999</v>
      </c>
    </row>
    <row r="411" spans="1:3" x14ac:dyDescent="0.2">
      <c r="A411" s="2">
        <v>44791</v>
      </c>
      <c r="B411" s="1" t="s">
        <v>9</v>
      </c>
      <c r="C411" s="1">
        <v>119.736</v>
      </c>
    </row>
    <row r="412" spans="1:3" x14ac:dyDescent="0.2">
      <c r="A412" s="2">
        <v>44792</v>
      </c>
      <c r="B412" s="1" t="s">
        <v>9</v>
      </c>
      <c r="C412" s="1">
        <v>116.78700000000001</v>
      </c>
    </row>
    <row r="413" spans="1:3" x14ac:dyDescent="0.2">
      <c r="A413" s="2">
        <v>44795</v>
      </c>
      <c r="B413" s="1" t="s">
        <v>9</v>
      </c>
      <c r="C413" s="1">
        <v>113.828</v>
      </c>
    </row>
    <row r="414" spans="1:3" x14ac:dyDescent="0.2">
      <c r="A414" s="2">
        <v>44796</v>
      </c>
      <c r="B414" s="1" t="s">
        <v>9</v>
      </c>
      <c r="C414" s="1">
        <v>113.44799999999999</v>
      </c>
    </row>
    <row r="415" spans="1:3" x14ac:dyDescent="0.2">
      <c r="A415" s="2">
        <v>44797</v>
      </c>
      <c r="B415" s="1" t="s">
        <v>9</v>
      </c>
      <c r="C415" s="1">
        <v>113.28</v>
      </c>
    </row>
    <row r="416" spans="1:3" x14ac:dyDescent="0.2">
      <c r="A416" s="2">
        <v>44798</v>
      </c>
      <c r="B416" s="1" t="s">
        <v>9</v>
      </c>
      <c r="C416" s="1">
        <v>116.229</v>
      </c>
    </row>
    <row r="417" spans="1:3" x14ac:dyDescent="0.2">
      <c r="A417" s="2">
        <v>44799</v>
      </c>
      <c r="B417" s="1" t="s">
        <v>9</v>
      </c>
      <c r="C417" s="1">
        <v>109.94199999999999</v>
      </c>
    </row>
    <row r="418" spans="1:3" x14ac:dyDescent="0.2">
      <c r="A418" s="2">
        <v>44802</v>
      </c>
      <c r="B418" s="1" t="s">
        <v>9</v>
      </c>
      <c r="C418" s="1">
        <v>109.02500000000001</v>
      </c>
    </row>
    <row r="419" spans="1:3" x14ac:dyDescent="0.2">
      <c r="A419" s="2">
        <v>44803</v>
      </c>
      <c r="B419" s="1" t="s">
        <v>9</v>
      </c>
      <c r="C419" s="1">
        <v>108.547</v>
      </c>
    </row>
    <row r="420" spans="1:3" x14ac:dyDescent="0.2">
      <c r="A420" s="2">
        <v>44804</v>
      </c>
      <c r="B420" s="1" t="s">
        <v>9</v>
      </c>
      <c r="C420" s="1">
        <v>107.82899999999999</v>
      </c>
    </row>
    <row r="421" spans="1:3" x14ac:dyDescent="0.2">
      <c r="A421" s="2">
        <v>44805</v>
      </c>
      <c r="B421" s="1" t="s">
        <v>9</v>
      </c>
      <c r="C421" s="1">
        <v>109.34399999999999</v>
      </c>
    </row>
    <row r="422" spans="1:3" x14ac:dyDescent="0.2">
      <c r="A422" s="2">
        <v>44806</v>
      </c>
      <c r="B422" s="1" t="s">
        <v>9</v>
      </c>
      <c r="C422" s="1">
        <v>107.46</v>
      </c>
    </row>
    <row r="423" spans="1:3" x14ac:dyDescent="0.2">
      <c r="A423" s="2">
        <v>44810</v>
      </c>
      <c r="B423" s="1" t="s">
        <v>9</v>
      </c>
      <c r="C423" s="1">
        <v>106.425</v>
      </c>
    </row>
    <row r="424" spans="1:3" x14ac:dyDescent="0.2">
      <c r="A424" s="2">
        <v>44811</v>
      </c>
      <c r="B424" s="1" t="s">
        <v>9</v>
      </c>
      <c r="C424" s="1">
        <v>109.05500000000001</v>
      </c>
    </row>
    <row r="425" spans="1:3" x14ac:dyDescent="0.2">
      <c r="A425" s="2">
        <v>44812</v>
      </c>
      <c r="B425" s="1" t="s">
        <v>9</v>
      </c>
      <c r="C425" s="1">
        <v>107.989</v>
      </c>
    </row>
    <row r="426" spans="1:3" x14ac:dyDescent="0.2">
      <c r="A426" s="2">
        <v>44813</v>
      </c>
      <c r="B426" s="1" t="s">
        <v>9</v>
      </c>
      <c r="C426" s="1">
        <v>110.251</v>
      </c>
    </row>
    <row r="427" spans="1:3" x14ac:dyDescent="0.2">
      <c r="A427" s="2">
        <v>44816</v>
      </c>
      <c r="B427" s="1" t="s">
        <v>9</v>
      </c>
      <c r="C427" s="1">
        <v>110.459</v>
      </c>
    </row>
    <row r="428" spans="1:3" x14ac:dyDescent="0.2">
      <c r="A428" s="2">
        <v>44817</v>
      </c>
      <c r="B428" s="1" t="s">
        <v>9</v>
      </c>
      <c r="C428" s="1">
        <v>103.943</v>
      </c>
    </row>
    <row r="429" spans="1:3" x14ac:dyDescent="0.2">
      <c r="A429" s="2">
        <v>44818</v>
      </c>
      <c r="B429" s="1" t="s">
        <v>9</v>
      </c>
      <c r="C429" s="1">
        <v>104.621</v>
      </c>
    </row>
    <row r="430" spans="1:3" x14ac:dyDescent="0.2">
      <c r="A430" s="2">
        <v>44819</v>
      </c>
      <c r="B430" s="1" t="s">
        <v>9</v>
      </c>
      <c r="C430" s="1">
        <v>102.538</v>
      </c>
    </row>
    <row r="431" spans="1:3" x14ac:dyDescent="0.2">
      <c r="A431" s="2">
        <v>44820</v>
      </c>
      <c r="B431" s="1" t="s">
        <v>9</v>
      </c>
      <c r="C431" s="1">
        <v>102.429</v>
      </c>
    </row>
    <row r="432" spans="1:3" x14ac:dyDescent="0.2">
      <c r="A432" s="2">
        <v>44823</v>
      </c>
      <c r="B432" s="1" t="s">
        <v>9</v>
      </c>
      <c r="C432" s="1">
        <v>102.69799999999999</v>
      </c>
    </row>
    <row r="433" spans="1:3" x14ac:dyDescent="0.2">
      <c r="A433" s="2">
        <v>44824</v>
      </c>
      <c r="B433" s="1" t="s">
        <v>9</v>
      </c>
      <c r="C433" s="1">
        <v>100.77500000000001</v>
      </c>
    </row>
    <row r="434" spans="1:3" x14ac:dyDescent="0.2">
      <c r="A434" s="2">
        <v>44825</v>
      </c>
      <c r="B434" s="1" t="s">
        <v>9</v>
      </c>
      <c r="C434" s="1">
        <v>98.921400000000006</v>
      </c>
    </row>
    <row r="435" spans="1:3" x14ac:dyDescent="0.2">
      <c r="A435" s="2">
        <v>44826</v>
      </c>
      <c r="B435" s="1" t="s">
        <v>9</v>
      </c>
      <c r="C435" s="1">
        <v>99.778000000000006</v>
      </c>
    </row>
    <row r="436" spans="1:3" x14ac:dyDescent="0.2">
      <c r="A436" s="2">
        <v>44827</v>
      </c>
      <c r="B436" s="1" t="s">
        <v>9</v>
      </c>
      <c r="C436" s="1">
        <v>98.383300000000006</v>
      </c>
    </row>
    <row r="437" spans="1:3" x14ac:dyDescent="0.2">
      <c r="A437" s="2">
        <v>44830</v>
      </c>
      <c r="B437" s="1" t="s">
        <v>9</v>
      </c>
      <c r="C437" s="1">
        <v>97.8155</v>
      </c>
    </row>
    <row r="438" spans="1:3" x14ac:dyDescent="0.2">
      <c r="A438" s="2">
        <v>44831</v>
      </c>
      <c r="B438" s="1" t="s">
        <v>9</v>
      </c>
      <c r="C438" s="1">
        <v>97.147800000000004</v>
      </c>
    </row>
    <row r="439" spans="1:3" x14ac:dyDescent="0.2">
      <c r="A439" s="2">
        <v>44832</v>
      </c>
      <c r="B439" s="1" t="s">
        <v>9</v>
      </c>
      <c r="C439" s="1">
        <v>99.688699999999997</v>
      </c>
    </row>
    <row r="440" spans="1:3" x14ac:dyDescent="0.2">
      <c r="A440" s="2">
        <v>44833</v>
      </c>
      <c r="B440" s="1" t="s">
        <v>9</v>
      </c>
      <c r="C440" s="1">
        <v>97.068100000000001</v>
      </c>
    </row>
    <row r="441" spans="1:3" x14ac:dyDescent="0.2">
      <c r="A441" s="2">
        <v>44834</v>
      </c>
      <c r="B441" s="1" t="s">
        <v>9</v>
      </c>
      <c r="C441" s="1">
        <v>95.304500000000004</v>
      </c>
    </row>
    <row r="442" spans="1:3" x14ac:dyDescent="0.2">
      <c r="A442" s="2">
        <v>44837</v>
      </c>
      <c r="B442" s="1" t="s">
        <v>9</v>
      </c>
      <c r="C442" s="1">
        <v>98.283699999999996</v>
      </c>
    </row>
    <row r="443" spans="1:3" x14ac:dyDescent="0.2">
      <c r="A443" s="2">
        <v>44838</v>
      </c>
      <c r="B443" s="1" t="s">
        <v>9</v>
      </c>
      <c r="C443" s="1">
        <v>101.27200000000001</v>
      </c>
    </row>
    <row r="444" spans="1:3" x14ac:dyDescent="0.2">
      <c r="A444" s="2">
        <v>44839</v>
      </c>
      <c r="B444" s="1" t="s">
        <v>9</v>
      </c>
      <c r="C444" s="1">
        <v>101.06399999999999</v>
      </c>
    </row>
    <row r="445" spans="1:3" x14ac:dyDescent="0.2">
      <c r="A445" s="2">
        <v>44840</v>
      </c>
      <c r="B445" s="1" t="s">
        <v>9</v>
      </c>
      <c r="C445" s="1">
        <v>101.054</v>
      </c>
    </row>
    <row r="446" spans="1:3" x14ac:dyDescent="0.2">
      <c r="A446" s="2">
        <v>44841</v>
      </c>
      <c r="B446" s="1" t="s">
        <v>9</v>
      </c>
      <c r="C446" s="1">
        <v>98.323599999999999</v>
      </c>
    </row>
    <row r="447" spans="1:3" x14ac:dyDescent="0.2">
      <c r="A447" s="2">
        <v>44844</v>
      </c>
      <c r="B447" s="1" t="s">
        <v>9</v>
      </c>
      <c r="C447" s="1">
        <v>97.506600000000006</v>
      </c>
    </row>
    <row r="448" spans="1:3" x14ac:dyDescent="0.2">
      <c r="A448" s="2">
        <v>44845</v>
      </c>
      <c r="B448" s="1" t="s">
        <v>9</v>
      </c>
      <c r="C448" s="1">
        <v>96.828999999999994</v>
      </c>
    </row>
    <row r="449" spans="1:3" x14ac:dyDescent="0.2">
      <c r="A449" s="2">
        <v>44846</v>
      </c>
      <c r="B449" s="1" t="s">
        <v>9</v>
      </c>
      <c r="C449" s="1">
        <v>97.207700000000003</v>
      </c>
    </row>
    <row r="450" spans="1:3" x14ac:dyDescent="0.2">
      <c r="A450" s="2">
        <v>44847</v>
      </c>
      <c r="B450" s="1" t="s">
        <v>9</v>
      </c>
      <c r="C450" s="1">
        <v>98.702200000000005</v>
      </c>
    </row>
    <row r="451" spans="1:3" x14ac:dyDescent="0.2">
      <c r="A451" s="2">
        <v>44848</v>
      </c>
      <c r="B451" s="1" t="s">
        <v>9</v>
      </c>
      <c r="C451" s="1">
        <v>96.211200000000005</v>
      </c>
    </row>
    <row r="452" spans="1:3" x14ac:dyDescent="0.2">
      <c r="A452" s="2">
        <v>44851</v>
      </c>
      <c r="B452" s="1" t="s">
        <v>9</v>
      </c>
      <c r="C452" s="1">
        <v>99.608900000000006</v>
      </c>
    </row>
    <row r="453" spans="1:3" x14ac:dyDescent="0.2">
      <c r="A453" s="2">
        <v>44852</v>
      </c>
      <c r="B453" s="1" t="s">
        <v>9</v>
      </c>
      <c r="C453" s="1">
        <v>100.40600000000001</v>
      </c>
    </row>
    <row r="454" spans="1:3" x14ac:dyDescent="0.2">
      <c r="A454" s="2">
        <v>44853</v>
      </c>
      <c r="B454" s="1" t="s">
        <v>9</v>
      </c>
      <c r="C454" s="1">
        <v>99.270099999999999</v>
      </c>
    </row>
    <row r="455" spans="1:3" x14ac:dyDescent="0.2">
      <c r="A455" s="2">
        <v>44854</v>
      </c>
      <c r="B455" s="1" t="s">
        <v>9</v>
      </c>
      <c r="C455" s="1">
        <v>99.608900000000006</v>
      </c>
    </row>
    <row r="456" spans="1:3" x14ac:dyDescent="0.2">
      <c r="A456" s="2">
        <v>44855</v>
      </c>
      <c r="B456" s="1" t="s">
        <v>9</v>
      </c>
      <c r="C456" s="1">
        <v>100.765</v>
      </c>
    </row>
    <row r="457" spans="1:3" x14ac:dyDescent="0.2">
      <c r="A457" s="2">
        <v>44858</v>
      </c>
      <c r="B457" s="1" t="s">
        <v>9</v>
      </c>
      <c r="C457" s="1">
        <v>102.149</v>
      </c>
    </row>
    <row r="458" spans="1:3" x14ac:dyDescent="0.2">
      <c r="A458" s="2">
        <v>44859</v>
      </c>
      <c r="B458" s="1" t="s">
        <v>9</v>
      </c>
      <c r="C458" s="1">
        <v>104.10299999999999</v>
      </c>
    </row>
    <row r="459" spans="1:3" x14ac:dyDescent="0.2">
      <c r="A459" s="2">
        <v>44860</v>
      </c>
      <c r="B459" s="1" t="s">
        <v>9</v>
      </c>
      <c r="C459" s="1">
        <v>94.587100000000007</v>
      </c>
    </row>
    <row r="460" spans="1:3" x14ac:dyDescent="0.2">
      <c r="A460" s="2">
        <v>44861</v>
      </c>
      <c r="B460" s="1" t="s">
        <v>9</v>
      </c>
      <c r="C460" s="1">
        <v>91.886899999999997</v>
      </c>
    </row>
    <row r="461" spans="1:3" x14ac:dyDescent="0.2">
      <c r="A461" s="2">
        <v>44862</v>
      </c>
      <c r="B461" s="1" t="s">
        <v>9</v>
      </c>
      <c r="C461" s="1">
        <v>95.942099999999996</v>
      </c>
    </row>
    <row r="462" spans="1:3" x14ac:dyDescent="0.2">
      <c r="A462" s="2">
        <v>44865</v>
      </c>
      <c r="B462" s="1" t="s">
        <v>9</v>
      </c>
      <c r="C462" s="1">
        <v>94.168700000000001</v>
      </c>
    </row>
    <row r="463" spans="1:3" x14ac:dyDescent="0.2">
      <c r="A463" s="2">
        <v>44866</v>
      </c>
      <c r="B463" s="1" t="s">
        <v>9</v>
      </c>
      <c r="C463" s="1">
        <v>90.143199999999993</v>
      </c>
    </row>
    <row r="464" spans="1:3" x14ac:dyDescent="0.2">
      <c r="A464" s="2">
        <v>44867</v>
      </c>
      <c r="B464" s="1" t="s">
        <v>9</v>
      </c>
      <c r="C464" s="1">
        <v>86.655900000000003</v>
      </c>
    </row>
    <row r="465" spans="1:3" x14ac:dyDescent="0.2">
      <c r="A465" s="2">
        <v>44868</v>
      </c>
      <c r="B465" s="1" t="s">
        <v>9</v>
      </c>
      <c r="C465" s="1">
        <v>83.128699999999995</v>
      </c>
    </row>
    <row r="466" spans="1:3" x14ac:dyDescent="0.2">
      <c r="A466" s="2">
        <v>44869</v>
      </c>
      <c r="B466" s="1" t="s">
        <v>9</v>
      </c>
      <c r="C466" s="1">
        <v>86.267200000000003</v>
      </c>
    </row>
    <row r="467" spans="1:3" x14ac:dyDescent="0.2">
      <c r="A467" s="2">
        <v>44872</v>
      </c>
      <c r="B467" s="1" t="s">
        <v>9</v>
      </c>
      <c r="C467" s="1">
        <v>88.170500000000004</v>
      </c>
    </row>
    <row r="468" spans="1:3" x14ac:dyDescent="0.2">
      <c r="A468" s="2">
        <v>44873</v>
      </c>
      <c r="B468" s="1" t="s">
        <v>9</v>
      </c>
      <c r="C468" s="1">
        <v>88.578900000000004</v>
      </c>
    </row>
    <row r="469" spans="1:3" x14ac:dyDescent="0.2">
      <c r="A469" s="2">
        <v>44874</v>
      </c>
      <c r="B469" s="1" t="s">
        <v>9</v>
      </c>
      <c r="C469" s="1">
        <v>87.004599999999996</v>
      </c>
    </row>
    <row r="470" spans="1:3" x14ac:dyDescent="0.2">
      <c r="A470" s="2">
        <v>44875</v>
      </c>
      <c r="B470" s="1" t="s">
        <v>9</v>
      </c>
      <c r="C470" s="1">
        <v>93.600700000000003</v>
      </c>
    </row>
    <row r="471" spans="1:3" x14ac:dyDescent="0.2">
      <c r="A471" s="2">
        <v>44876</v>
      </c>
      <c r="B471" s="1" t="s">
        <v>9</v>
      </c>
      <c r="C471" s="1">
        <v>96.061800000000005</v>
      </c>
    </row>
    <row r="472" spans="1:3" x14ac:dyDescent="0.2">
      <c r="A472" s="2">
        <v>44879</v>
      </c>
      <c r="B472" s="1" t="s">
        <v>9</v>
      </c>
      <c r="C472" s="1">
        <v>95.354299999999995</v>
      </c>
    </row>
    <row r="473" spans="1:3" x14ac:dyDescent="0.2">
      <c r="A473" s="2">
        <v>44880</v>
      </c>
      <c r="B473" s="1" t="s">
        <v>9</v>
      </c>
      <c r="C473" s="1">
        <v>98.084400000000002</v>
      </c>
    </row>
    <row r="474" spans="1:3" x14ac:dyDescent="0.2">
      <c r="A474" s="2">
        <v>44881</v>
      </c>
      <c r="B474" s="1" t="s">
        <v>9</v>
      </c>
      <c r="C474" s="1">
        <v>98.492999999999995</v>
      </c>
    </row>
    <row r="475" spans="1:3" x14ac:dyDescent="0.2">
      <c r="A475" s="2">
        <v>44882</v>
      </c>
      <c r="B475" s="1" t="s">
        <v>9</v>
      </c>
      <c r="C475" s="1">
        <v>98.0047</v>
      </c>
    </row>
    <row r="476" spans="1:3" x14ac:dyDescent="0.2">
      <c r="A476" s="2">
        <v>44883</v>
      </c>
      <c r="B476" s="1" t="s">
        <v>9</v>
      </c>
      <c r="C476" s="1">
        <v>97.078000000000003</v>
      </c>
    </row>
    <row r="477" spans="1:3" x14ac:dyDescent="0.2">
      <c r="A477" s="2">
        <v>44886</v>
      </c>
      <c r="B477" s="1" t="s">
        <v>9</v>
      </c>
      <c r="C477" s="1">
        <v>95.2547</v>
      </c>
    </row>
    <row r="478" spans="1:3" x14ac:dyDescent="0.2">
      <c r="A478" s="2">
        <v>44887</v>
      </c>
      <c r="B478" s="1" t="s">
        <v>9</v>
      </c>
      <c r="C478" s="1">
        <v>96.699399999999997</v>
      </c>
    </row>
    <row r="479" spans="1:3" x14ac:dyDescent="0.2">
      <c r="A479" s="2">
        <v>44888</v>
      </c>
      <c r="B479" s="1" t="s">
        <v>9</v>
      </c>
      <c r="C479" s="1">
        <v>98.104399999999998</v>
      </c>
    </row>
    <row r="480" spans="1:3" x14ac:dyDescent="0.2">
      <c r="A480" s="2">
        <v>44890</v>
      </c>
      <c r="B480" s="1" t="s">
        <v>9</v>
      </c>
      <c r="C480" s="1">
        <v>97.108000000000004</v>
      </c>
    </row>
    <row r="481" spans="1:3" x14ac:dyDescent="0.2">
      <c r="A481" s="2">
        <v>44893</v>
      </c>
      <c r="B481" s="1" t="s">
        <v>9</v>
      </c>
      <c r="C481" s="1">
        <v>95.703100000000006</v>
      </c>
    </row>
    <row r="482" spans="1:3" x14ac:dyDescent="0.2">
      <c r="A482" s="2">
        <v>44894</v>
      </c>
      <c r="B482" s="1" t="s">
        <v>9</v>
      </c>
      <c r="C482" s="1">
        <v>94.846199999999996</v>
      </c>
    </row>
    <row r="483" spans="1:3" x14ac:dyDescent="0.2">
      <c r="A483" s="2">
        <v>44895</v>
      </c>
      <c r="B483" s="1" t="s">
        <v>9</v>
      </c>
      <c r="C483" s="1">
        <v>100.625</v>
      </c>
    </row>
    <row r="484" spans="1:3" x14ac:dyDescent="0.2">
      <c r="A484" s="2">
        <v>44896</v>
      </c>
      <c r="B484" s="1" t="s">
        <v>9</v>
      </c>
      <c r="C484" s="1">
        <v>100.625</v>
      </c>
    </row>
    <row r="485" spans="1:3" x14ac:dyDescent="0.2">
      <c r="A485" s="2">
        <v>44897</v>
      </c>
      <c r="B485" s="1" t="s">
        <v>9</v>
      </c>
      <c r="C485" s="1">
        <v>100.077</v>
      </c>
    </row>
    <row r="486" spans="1:3" x14ac:dyDescent="0.2">
      <c r="A486" s="2">
        <v>44900</v>
      </c>
      <c r="B486" s="1" t="s">
        <v>9</v>
      </c>
      <c r="C486" s="1">
        <v>99.120699999999999</v>
      </c>
    </row>
    <row r="487" spans="1:3" x14ac:dyDescent="0.2">
      <c r="A487" s="2">
        <v>44901</v>
      </c>
      <c r="B487" s="1" t="s">
        <v>9</v>
      </c>
      <c r="C487" s="1">
        <v>96.6297</v>
      </c>
    </row>
    <row r="488" spans="1:3" x14ac:dyDescent="0.2">
      <c r="A488" s="2">
        <v>44902</v>
      </c>
      <c r="B488" s="1" t="s">
        <v>9</v>
      </c>
      <c r="C488" s="1">
        <v>94.597099999999998</v>
      </c>
    </row>
    <row r="489" spans="1:3" x14ac:dyDescent="0.2">
      <c r="A489" s="2">
        <v>44903</v>
      </c>
      <c r="B489" s="1" t="s">
        <v>9</v>
      </c>
      <c r="C489" s="1">
        <v>93.371600000000001</v>
      </c>
    </row>
    <row r="490" spans="1:3" x14ac:dyDescent="0.2">
      <c r="A490" s="2">
        <v>44904</v>
      </c>
      <c r="B490" s="1" t="s">
        <v>9</v>
      </c>
      <c r="C490" s="1">
        <v>92.494699999999995</v>
      </c>
    </row>
    <row r="491" spans="1:3" x14ac:dyDescent="0.2">
      <c r="A491" s="2">
        <v>44907</v>
      </c>
      <c r="B491" s="1" t="s">
        <v>9</v>
      </c>
      <c r="C491" s="1">
        <v>92.972899999999996</v>
      </c>
    </row>
    <row r="492" spans="1:3" x14ac:dyDescent="0.2">
      <c r="A492" s="2">
        <v>44908</v>
      </c>
      <c r="B492" s="1" t="s">
        <v>9</v>
      </c>
      <c r="C492" s="1">
        <v>95.284599999999998</v>
      </c>
    </row>
    <row r="493" spans="1:3" x14ac:dyDescent="0.2">
      <c r="A493" s="2">
        <v>44909</v>
      </c>
      <c r="B493" s="1" t="s">
        <v>9</v>
      </c>
      <c r="C493" s="1">
        <v>94.726600000000005</v>
      </c>
    </row>
    <row r="494" spans="1:3" x14ac:dyDescent="0.2">
      <c r="A494" s="2">
        <v>44910</v>
      </c>
      <c r="B494" s="1" t="s">
        <v>9</v>
      </c>
      <c r="C494" s="1">
        <v>90.531700000000001</v>
      </c>
    </row>
    <row r="495" spans="1:3" x14ac:dyDescent="0.2">
      <c r="A495" s="2">
        <v>44911</v>
      </c>
      <c r="B495" s="1" t="s">
        <v>9</v>
      </c>
      <c r="C495" s="1">
        <v>89.933899999999994</v>
      </c>
    </row>
    <row r="496" spans="1:3" x14ac:dyDescent="0.2">
      <c r="A496" s="2">
        <v>44914</v>
      </c>
      <c r="B496" s="1" t="s">
        <v>9</v>
      </c>
      <c r="C496" s="1">
        <v>88.120500000000007</v>
      </c>
    </row>
    <row r="497" spans="1:3" x14ac:dyDescent="0.2">
      <c r="A497" s="2">
        <v>44915</v>
      </c>
      <c r="B497" s="1" t="s">
        <v>9</v>
      </c>
      <c r="C497" s="1">
        <v>88.698400000000007</v>
      </c>
    </row>
    <row r="498" spans="1:3" x14ac:dyDescent="0.2">
      <c r="A498" s="2">
        <v>44916</v>
      </c>
      <c r="B498" s="1" t="s">
        <v>9</v>
      </c>
      <c r="C498" s="1">
        <v>89.256399999999999</v>
      </c>
    </row>
    <row r="499" spans="1:3" x14ac:dyDescent="0.2">
      <c r="A499" s="2">
        <v>44917</v>
      </c>
      <c r="B499" s="1" t="s">
        <v>9</v>
      </c>
      <c r="C499" s="1">
        <v>87.442999999999998</v>
      </c>
    </row>
    <row r="500" spans="1:3" x14ac:dyDescent="0.2">
      <c r="A500" s="2">
        <v>44918</v>
      </c>
      <c r="B500" s="1" t="s">
        <v>9</v>
      </c>
      <c r="C500" s="1">
        <v>88.907700000000006</v>
      </c>
    </row>
    <row r="501" spans="1:3" x14ac:dyDescent="0.2">
      <c r="A501" s="2">
        <v>44922</v>
      </c>
      <c r="B501" s="1" t="s">
        <v>9</v>
      </c>
      <c r="C501" s="1">
        <v>87.074299999999994</v>
      </c>
    </row>
    <row r="502" spans="1:3" x14ac:dyDescent="0.2">
      <c r="A502" s="2">
        <v>44923</v>
      </c>
      <c r="B502" s="1" t="s">
        <v>9</v>
      </c>
      <c r="C502" s="1">
        <v>85.709299999999999</v>
      </c>
    </row>
    <row r="503" spans="1:3" x14ac:dyDescent="0.2">
      <c r="A503" s="2">
        <v>44924</v>
      </c>
      <c r="B503" s="1" t="s">
        <v>9</v>
      </c>
      <c r="C503" s="1">
        <v>88.130499999999998</v>
      </c>
    </row>
    <row r="504" spans="1:3" x14ac:dyDescent="0.2">
      <c r="A504" s="2">
        <v>44925</v>
      </c>
      <c r="B504" s="1" t="s">
        <v>9</v>
      </c>
      <c r="C504" s="1">
        <v>87.911299999999997</v>
      </c>
    </row>
    <row r="505" spans="1:3" x14ac:dyDescent="0.2">
      <c r="A505" s="2">
        <v>44929</v>
      </c>
      <c r="B505" s="1" t="s">
        <v>9</v>
      </c>
      <c r="C505" s="1">
        <v>88.798000000000002</v>
      </c>
    </row>
    <row r="506" spans="1:3" x14ac:dyDescent="0.2">
      <c r="A506" s="2">
        <v>44930</v>
      </c>
      <c r="B506" s="1" t="s">
        <v>9</v>
      </c>
      <c r="C506" s="1">
        <v>87.761799999999994</v>
      </c>
    </row>
    <row r="507" spans="1:3" x14ac:dyDescent="0.2">
      <c r="A507" s="2">
        <v>44931</v>
      </c>
      <c r="B507" s="1" t="s">
        <v>9</v>
      </c>
      <c r="C507" s="1">
        <v>85.8887</v>
      </c>
    </row>
    <row r="508" spans="1:3" x14ac:dyDescent="0.2">
      <c r="A508" s="2">
        <v>44932</v>
      </c>
      <c r="B508" s="1" t="s">
        <v>9</v>
      </c>
      <c r="C508" s="1">
        <v>87.024600000000007</v>
      </c>
    </row>
    <row r="509" spans="1:3" x14ac:dyDescent="0.2">
      <c r="A509" s="2">
        <v>44935</v>
      </c>
      <c r="B509" s="1" t="s">
        <v>9</v>
      </c>
      <c r="C509" s="1">
        <v>87.702100000000002</v>
      </c>
    </row>
    <row r="510" spans="1:3" x14ac:dyDescent="0.2">
      <c r="A510" s="2">
        <v>44936</v>
      </c>
      <c r="B510" s="1" t="s">
        <v>9</v>
      </c>
      <c r="C510" s="1">
        <v>88.1006</v>
      </c>
    </row>
    <row r="511" spans="1:3" x14ac:dyDescent="0.2">
      <c r="A511" s="2">
        <v>44937</v>
      </c>
      <c r="B511" s="1" t="s">
        <v>9</v>
      </c>
      <c r="C511" s="1">
        <v>91.189499999999995</v>
      </c>
    </row>
    <row r="512" spans="1:3" x14ac:dyDescent="0.2">
      <c r="A512" s="2">
        <v>44938</v>
      </c>
      <c r="B512" s="1" t="s">
        <v>9</v>
      </c>
      <c r="C512" s="1">
        <v>90.800799999999995</v>
      </c>
    </row>
    <row r="513" spans="1:3" x14ac:dyDescent="0.2">
      <c r="A513" s="2">
        <v>44939</v>
      </c>
      <c r="B513" s="1" t="s">
        <v>9</v>
      </c>
      <c r="C513" s="1">
        <v>91.787300000000002</v>
      </c>
    </row>
    <row r="514" spans="1:3" x14ac:dyDescent="0.2">
      <c r="A514" s="2">
        <v>44943</v>
      </c>
      <c r="B514" s="1" t="s">
        <v>9</v>
      </c>
      <c r="C514" s="1">
        <v>90.960300000000004</v>
      </c>
    </row>
    <row r="515" spans="1:3" x14ac:dyDescent="0.2">
      <c r="A515" s="2">
        <v>44944</v>
      </c>
      <c r="B515" s="1" t="s">
        <v>9</v>
      </c>
      <c r="C515" s="1">
        <v>90.790800000000004</v>
      </c>
    </row>
    <row r="516" spans="1:3" x14ac:dyDescent="0.2">
      <c r="A516" s="2">
        <v>44945</v>
      </c>
      <c r="B516" s="1" t="s">
        <v>9</v>
      </c>
      <c r="C516" s="1">
        <v>92.713800000000006</v>
      </c>
    </row>
    <row r="517" spans="1:3" x14ac:dyDescent="0.2">
      <c r="A517" s="2">
        <v>44946</v>
      </c>
      <c r="B517" s="1" t="s">
        <v>9</v>
      </c>
      <c r="C517" s="1">
        <v>97.665999999999997</v>
      </c>
    </row>
    <row r="518" spans="1:3" x14ac:dyDescent="0.2">
      <c r="A518" s="2">
        <v>44949</v>
      </c>
      <c r="B518" s="1" t="s">
        <v>9</v>
      </c>
      <c r="C518" s="1">
        <v>99.429500000000004</v>
      </c>
    </row>
    <row r="519" spans="1:3" x14ac:dyDescent="0.2">
      <c r="A519" s="2">
        <v>44950</v>
      </c>
      <c r="B519" s="1" t="s">
        <v>9</v>
      </c>
      <c r="C519" s="1">
        <v>97.347099999999998</v>
      </c>
    </row>
    <row r="520" spans="1:3" x14ac:dyDescent="0.2">
      <c r="A520" s="2">
        <v>44951</v>
      </c>
      <c r="B520" s="1" t="s">
        <v>9</v>
      </c>
      <c r="C520" s="1">
        <v>94.876099999999994</v>
      </c>
    </row>
    <row r="521" spans="1:3" x14ac:dyDescent="0.2">
      <c r="A521" s="2">
        <v>44952</v>
      </c>
      <c r="B521" s="1" t="s">
        <v>9</v>
      </c>
      <c r="C521" s="1">
        <v>97.167699999999996</v>
      </c>
    </row>
    <row r="522" spans="1:3" x14ac:dyDescent="0.2">
      <c r="A522" s="2">
        <v>44953</v>
      </c>
      <c r="B522" s="1" t="s">
        <v>9</v>
      </c>
      <c r="C522" s="1">
        <v>99.011099999999999</v>
      </c>
    </row>
    <row r="523" spans="1:3" x14ac:dyDescent="0.2">
      <c r="A523" s="2">
        <v>44956</v>
      </c>
      <c r="B523" s="1" t="s">
        <v>9</v>
      </c>
      <c r="C523" s="1">
        <v>96.5899</v>
      </c>
    </row>
    <row r="524" spans="1:3" x14ac:dyDescent="0.2">
      <c r="A524" s="2">
        <v>44957</v>
      </c>
      <c r="B524" s="1" t="s">
        <v>9</v>
      </c>
      <c r="C524" s="1">
        <v>98.483000000000004</v>
      </c>
    </row>
    <row r="525" spans="1:3" x14ac:dyDescent="0.2">
      <c r="A525" s="2">
        <v>44958</v>
      </c>
      <c r="B525" s="1" t="s">
        <v>9</v>
      </c>
      <c r="C525" s="1">
        <v>100.06699999999999</v>
      </c>
    </row>
    <row r="526" spans="1:3" x14ac:dyDescent="0.2">
      <c r="A526" s="2">
        <v>44959</v>
      </c>
      <c r="B526" s="1" t="s">
        <v>9</v>
      </c>
      <c r="C526" s="1">
        <v>107.35</v>
      </c>
    </row>
    <row r="527" spans="1:3" x14ac:dyDescent="0.2">
      <c r="A527" s="2">
        <v>44960</v>
      </c>
      <c r="B527" s="1" t="s">
        <v>9</v>
      </c>
      <c r="C527" s="1">
        <v>104.401</v>
      </c>
    </row>
    <row r="528" spans="1:3" x14ac:dyDescent="0.2">
      <c r="A528" s="2">
        <v>44963</v>
      </c>
      <c r="B528" s="1" t="s">
        <v>9</v>
      </c>
      <c r="C528" s="1">
        <v>102.52800000000001</v>
      </c>
    </row>
    <row r="529" spans="1:3" x14ac:dyDescent="0.2">
      <c r="A529" s="2">
        <v>44964</v>
      </c>
      <c r="B529" s="1" t="s">
        <v>9</v>
      </c>
      <c r="C529" s="1">
        <v>107.252</v>
      </c>
    </row>
    <row r="530" spans="1:3" x14ac:dyDescent="0.2">
      <c r="A530" s="2">
        <v>44965</v>
      </c>
      <c r="B530" s="1" t="s">
        <v>9</v>
      </c>
      <c r="C530" s="1">
        <v>99.011099999999999</v>
      </c>
    </row>
    <row r="531" spans="1:3" x14ac:dyDescent="0.2">
      <c r="A531" s="2">
        <v>44966</v>
      </c>
      <c r="B531" s="1" t="s">
        <v>9</v>
      </c>
      <c r="C531" s="1">
        <v>94.666799999999995</v>
      </c>
    </row>
    <row r="532" spans="1:3" x14ac:dyDescent="0.2">
      <c r="A532" s="2">
        <v>44967</v>
      </c>
      <c r="B532" s="1" t="s">
        <v>9</v>
      </c>
      <c r="C532" s="1">
        <v>94.228399999999993</v>
      </c>
    </row>
    <row r="533" spans="1:3" x14ac:dyDescent="0.2">
      <c r="A533" s="2">
        <v>44970</v>
      </c>
      <c r="B533" s="1" t="s">
        <v>9</v>
      </c>
      <c r="C533" s="1">
        <v>94.268299999999996</v>
      </c>
    </row>
    <row r="534" spans="1:3" x14ac:dyDescent="0.2">
      <c r="A534" s="2">
        <v>44971</v>
      </c>
      <c r="B534" s="1" t="s">
        <v>9</v>
      </c>
      <c r="C534" s="1">
        <v>94.338099999999997</v>
      </c>
    </row>
    <row r="535" spans="1:3" x14ac:dyDescent="0.2">
      <c r="A535" s="2">
        <v>44972</v>
      </c>
      <c r="B535" s="1" t="s">
        <v>9</v>
      </c>
      <c r="C535" s="1">
        <v>96.5899</v>
      </c>
    </row>
    <row r="536" spans="1:3" x14ac:dyDescent="0.2">
      <c r="A536" s="2">
        <v>44973</v>
      </c>
      <c r="B536" s="1" t="s">
        <v>9</v>
      </c>
      <c r="C536" s="1">
        <v>95.165000000000006</v>
      </c>
    </row>
    <row r="537" spans="1:3" x14ac:dyDescent="0.2">
      <c r="A537" s="2">
        <v>44974</v>
      </c>
      <c r="B537" s="1" t="s">
        <v>9</v>
      </c>
      <c r="C537" s="1">
        <v>94.009200000000007</v>
      </c>
    </row>
    <row r="538" spans="1:3" x14ac:dyDescent="0.2">
      <c r="A538" s="2">
        <v>44978</v>
      </c>
      <c r="B538" s="1" t="s">
        <v>9</v>
      </c>
      <c r="C538" s="1">
        <v>91.458500000000001</v>
      </c>
    </row>
    <row r="539" spans="1:3" x14ac:dyDescent="0.2">
      <c r="A539" s="2">
        <v>44979</v>
      </c>
      <c r="B539" s="1" t="s">
        <v>9</v>
      </c>
      <c r="C539" s="1">
        <v>91.318899999999999</v>
      </c>
    </row>
    <row r="540" spans="1:3" x14ac:dyDescent="0.2">
      <c r="A540" s="2">
        <v>44980</v>
      </c>
      <c r="B540" s="1" t="s">
        <v>9</v>
      </c>
      <c r="C540" s="1">
        <v>90.561700000000002</v>
      </c>
    </row>
    <row r="541" spans="1:3" x14ac:dyDescent="0.2">
      <c r="A541" s="2">
        <v>44981</v>
      </c>
      <c r="B541" s="1" t="s">
        <v>9</v>
      </c>
      <c r="C541" s="1">
        <v>88.808000000000007</v>
      </c>
    </row>
    <row r="542" spans="1:3" x14ac:dyDescent="0.2">
      <c r="A542" s="2">
        <v>44984</v>
      </c>
      <c r="B542" s="1" t="s">
        <v>9</v>
      </c>
      <c r="C542" s="1">
        <v>89.545400000000001</v>
      </c>
    </row>
    <row r="543" spans="1:3" x14ac:dyDescent="0.2">
      <c r="A543" s="2">
        <v>44985</v>
      </c>
      <c r="B543" s="1" t="s">
        <v>9</v>
      </c>
      <c r="C543" s="1">
        <v>89.734800000000007</v>
      </c>
    </row>
    <row r="544" spans="1:3" x14ac:dyDescent="0.2">
      <c r="A544" s="2">
        <v>44986</v>
      </c>
      <c r="B544" s="1" t="s">
        <v>9</v>
      </c>
      <c r="C544" s="1">
        <v>90.033600000000007</v>
      </c>
    </row>
    <row r="545" spans="1:3" x14ac:dyDescent="0.2">
      <c r="A545" s="2">
        <v>44987</v>
      </c>
      <c r="B545" s="1" t="s">
        <v>9</v>
      </c>
      <c r="C545" s="1">
        <v>91.667599999999993</v>
      </c>
    </row>
    <row r="546" spans="1:3" x14ac:dyDescent="0.2">
      <c r="A546" s="2">
        <v>44988</v>
      </c>
      <c r="B546" s="1" t="s">
        <v>9</v>
      </c>
      <c r="C546" s="1">
        <v>93.311700000000002</v>
      </c>
    </row>
    <row r="547" spans="1:3" x14ac:dyDescent="0.2">
      <c r="A547" s="2">
        <v>44991</v>
      </c>
      <c r="B547" s="1" t="s">
        <v>9</v>
      </c>
      <c r="C547" s="1">
        <v>94.7864</v>
      </c>
    </row>
    <row r="548" spans="1:3" x14ac:dyDescent="0.2">
      <c r="A548" s="2">
        <v>44992</v>
      </c>
      <c r="B548" s="1" t="s">
        <v>9</v>
      </c>
      <c r="C548" s="1">
        <v>93.521000000000001</v>
      </c>
    </row>
    <row r="549" spans="1:3" x14ac:dyDescent="0.2">
      <c r="A549" s="2">
        <v>44993</v>
      </c>
      <c r="B549" s="1" t="s">
        <v>9</v>
      </c>
      <c r="C549" s="1">
        <v>93.909599999999998</v>
      </c>
    </row>
    <row r="550" spans="1:3" x14ac:dyDescent="0.2">
      <c r="A550" s="2">
        <v>44994</v>
      </c>
      <c r="B550" s="1" t="s">
        <v>9</v>
      </c>
      <c r="C550" s="1">
        <v>91.986599999999996</v>
      </c>
    </row>
    <row r="551" spans="1:3" x14ac:dyDescent="0.2">
      <c r="A551" s="2">
        <v>44995</v>
      </c>
      <c r="B551" s="1" t="s">
        <v>9</v>
      </c>
      <c r="C551" s="1">
        <v>90.302599999999998</v>
      </c>
    </row>
    <row r="552" spans="1:3" x14ac:dyDescent="0.2">
      <c r="A552" s="2">
        <v>44998</v>
      </c>
      <c r="B552" s="1" t="s">
        <v>9</v>
      </c>
      <c r="C552" s="1">
        <v>90.781000000000006</v>
      </c>
    </row>
    <row r="553" spans="1:3" x14ac:dyDescent="0.2">
      <c r="A553" s="2">
        <v>44999</v>
      </c>
      <c r="B553" s="1" t="s">
        <v>9</v>
      </c>
      <c r="C553" s="1">
        <v>93.630600000000001</v>
      </c>
    </row>
    <row r="554" spans="1:3" x14ac:dyDescent="0.2">
      <c r="A554" s="2">
        <v>45000</v>
      </c>
      <c r="B554" s="1" t="s">
        <v>9</v>
      </c>
      <c r="C554" s="1">
        <v>95.762799999999999</v>
      </c>
    </row>
    <row r="555" spans="1:3" x14ac:dyDescent="0.2">
      <c r="A555" s="2">
        <v>45001</v>
      </c>
      <c r="B555" s="1" t="s">
        <v>9</v>
      </c>
      <c r="C555" s="1">
        <v>99.957400000000007</v>
      </c>
    </row>
    <row r="556" spans="1:3" x14ac:dyDescent="0.2">
      <c r="A556" s="2">
        <v>45002</v>
      </c>
      <c r="B556" s="1" t="s">
        <v>9</v>
      </c>
      <c r="C556" s="1">
        <v>101.253</v>
      </c>
    </row>
    <row r="557" spans="1:3" x14ac:dyDescent="0.2">
      <c r="A557" s="2">
        <v>45005</v>
      </c>
      <c r="B557" s="1" t="s">
        <v>9</v>
      </c>
      <c r="C557" s="1">
        <v>100.854</v>
      </c>
    </row>
    <row r="558" spans="1:3" x14ac:dyDescent="0.2">
      <c r="A558" s="2">
        <v>45006</v>
      </c>
      <c r="B558" s="1" t="s">
        <v>9</v>
      </c>
      <c r="C558" s="1">
        <v>104.541</v>
      </c>
    </row>
    <row r="559" spans="1:3" x14ac:dyDescent="0.2">
      <c r="A559" s="2">
        <v>45007</v>
      </c>
      <c r="B559" s="1" t="s">
        <v>9</v>
      </c>
      <c r="C559" s="1">
        <v>102.996</v>
      </c>
    </row>
    <row r="560" spans="1:3" x14ac:dyDescent="0.2">
      <c r="A560" s="2">
        <v>45008</v>
      </c>
      <c r="B560" s="1" t="s">
        <v>9</v>
      </c>
      <c r="C560" s="1">
        <v>105.218</v>
      </c>
    </row>
    <row r="561" spans="1:3" x14ac:dyDescent="0.2">
      <c r="A561" s="2">
        <v>45009</v>
      </c>
      <c r="B561" s="1" t="s">
        <v>9</v>
      </c>
      <c r="C561" s="1">
        <v>105.059</v>
      </c>
    </row>
    <row r="562" spans="1:3" x14ac:dyDescent="0.2">
      <c r="A562" s="2">
        <v>45012</v>
      </c>
      <c r="B562" s="1" t="s">
        <v>9</v>
      </c>
      <c r="C562" s="1">
        <v>102.09</v>
      </c>
    </row>
    <row r="563" spans="1:3" x14ac:dyDescent="0.2">
      <c r="A563" s="2">
        <v>45013</v>
      </c>
      <c r="B563" s="1" t="s">
        <v>9</v>
      </c>
      <c r="C563" s="1">
        <v>100.66500000000001</v>
      </c>
    </row>
    <row r="564" spans="1:3" x14ac:dyDescent="0.2">
      <c r="A564" s="2">
        <v>45014</v>
      </c>
      <c r="B564" s="1" t="s">
        <v>9</v>
      </c>
      <c r="C564" s="1">
        <v>101.024</v>
      </c>
    </row>
    <row r="565" spans="1:3" x14ac:dyDescent="0.2">
      <c r="A565" s="2">
        <v>45015</v>
      </c>
      <c r="B565" s="1" t="s">
        <v>9</v>
      </c>
      <c r="C565" s="1">
        <v>100.52500000000001</v>
      </c>
    </row>
    <row r="566" spans="1:3" x14ac:dyDescent="0.2">
      <c r="A566" s="2">
        <v>45016</v>
      </c>
      <c r="B566" s="1" t="s">
        <v>9</v>
      </c>
      <c r="C566" s="1">
        <v>103.35599999999999</v>
      </c>
    </row>
    <row r="567" spans="1:3" x14ac:dyDescent="0.2">
      <c r="A567" s="2">
        <v>45019</v>
      </c>
      <c r="B567" s="1" t="s">
        <v>9</v>
      </c>
      <c r="C567" s="1">
        <v>103.983</v>
      </c>
    </row>
    <row r="568" spans="1:3" x14ac:dyDescent="0.2">
      <c r="A568" s="2">
        <v>45020</v>
      </c>
      <c r="B568" s="1" t="s">
        <v>9</v>
      </c>
      <c r="C568" s="1">
        <v>104.34099999999999</v>
      </c>
    </row>
    <row r="569" spans="1:3" x14ac:dyDescent="0.2">
      <c r="A569" s="2">
        <v>45021</v>
      </c>
      <c r="B569" s="1" t="s">
        <v>9</v>
      </c>
      <c r="C569" s="1">
        <v>104.093</v>
      </c>
    </row>
    <row r="570" spans="1:3" x14ac:dyDescent="0.2">
      <c r="A570" s="2">
        <v>45022</v>
      </c>
      <c r="B570" s="1" t="s">
        <v>9</v>
      </c>
      <c r="C570" s="1">
        <v>108.02800000000001</v>
      </c>
    </row>
    <row r="571" spans="1:3" x14ac:dyDescent="0.2">
      <c r="A571" s="2">
        <v>45026</v>
      </c>
      <c r="B571" s="1" t="s">
        <v>9</v>
      </c>
      <c r="C571" s="1">
        <v>106.05500000000001</v>
      </c>
    </row>
    <row r="572" spans="1:3" x14ac:dyDescent="0.2">
      <c r="A572" s="2">
        <v>45027</v>
      </c>
      <c r="B572" s="1" t="s">
        <v>9</v>
      </c>
      <c r="C572" s="1">
        <v>104.97</v>
      </c>
    </row>
    <row r="573" spans="1:3" x14ac:dyDescent="0.2">
      <c r="A573" s="2">
        <v>45028</v>
      </c>
      <c r="B573" s="1" t="s">
        <v>9</v>
      </c>
      <c r="C573" s="1">
        <v>104.262</v>
      </c>
    </row>
    <row r="574" spans="1:3" x14ac:dyDescent="0.2">
      <c r="A574" s="2">
        <v>45029</v>
      </c>
      <c r="B574" s="1" t="s">
        <v>9</v>
      </c>
      <c r="C574" s="1">
        <v>107.042</v>
      </c>
    </row>
    <row r="575" spans="1:3" x14ac:dyDescent="0.2">
      <c r="A575" s="2">
        <v>45030</v>
      </c>
      <c r="B575" s="1" t="s">
        <v>9</v>
      </c>
      <c r="C575" s="1">
        <v>108.477</v>
      </c>
    </row>
    <row r="576" spans="1:3" x14ac:dyDescent="0.2">
      <c r="A576" s="2">
        <v>45033</v>
      </c>
      <c r="B576" s="1" t="s">
        <v>9</v>
      </c>
      <c r="C576" s="1">
        <v>105.58799999999999</v>
      </c>
    </row>
    <row r="577" spans="1:3" x14ac:dyDescent="0.2">
      <c r="A577" s="2">
        <v>45034</v>
      </c>
      <c r="B577" s="1" t="s">
        <v>9</v>
      </c>
      <c r="C577" s="1">
        <v>104.123</v>
      </c>
    </row>
    <row r="578" spans="1:3" x14ac:dyDescent="0.2">
      <c r="A578" s="2">
        <v>45035</v>
      </c>
      <c r="B578" s="1" t="s">
        <v>9</v>
      </c>
      <c r="C578" s="1">
        <v>103.804</v>
      </c>
    </row>
    <row r="579" spans="1:3" x14ac:dyDescent="0.2">
      <c r="A579" s="2">
        <v>45036</v>
      </c>
      <c r="B579" s="1" t="s">
        <v>9</v>
      </c>
      <c r="C579" s="1">
        <v>104.91</v>
      </c>
    </row>
    <row r="580" spans="1:3" x14ac:dyDescent="0.2">
      <c r="A580" s="2">
        <v>45037</v>
      </c>
      <c r="B580" s="1" t="s">
        <v>9</v>
      </c>
      <c r="C580" s="1">
        <v>105.029</v>
      </c>
    </row>
    <row r="581" spans="1:3" x14ac:dyDescent="0.2">
      <c r="A581" s="2">
        <v>45040</v>
      </c>
      <c r="B581" s="1" t="s">
        <v>9</v>
      </c>
      <c r="C581" s="1">
        <v>105.58799999999999</v>
      </c>
    </row>
    <row r="582" spans="1:3" x14ac:dyDescent="0.2">
      <c r="A582" s="2">
        <v>45041</v>
      </c>
      <c r="B582" s="1" t="s">
        <v>9</v>
      </c>
      <c r="C582" s="1">
        <v>103.47499999999999</v>
      </c>
    </row>
    <row r="583" spans="1:3" x14ac:dyDescent="0.2">
      <c r="A583" s="2">
        <v>45042</v>
      </c>
      <c r="B583" s="1" t="s">
        <v>9</v>
      </c>
      <c r="C583" s="1">
        <v>103.336</v>
      </c>
    </row>
    <row r="584" spans="1:3" x14ac:dyDescent="0.2">
      <c r="A584" s="2">
        <v>45043</v>
      </c>
      <c r="B584" s="1" t="s">
        <v>9</v>
      </c>
      <c r="C584" s="1">
        <v>107.202</v>
      </c>
    </row>
    <row r="585" spans="1:3" x14ac:dyDescent="0.2">
      <c r="A585" s="2">
        <v>45044</v>
      </c>
      <c r="B585" s="1" t="s">
        <v>9</v>
      </c>
      <c r="C585" s="1">
        <v>106.952</v>
      </c>
    </row>
    <row r="586" spans="1:3" x14ac:dyDescent="0.2">
      <c r="A586" s="2">
        <v>45047</v>
      </c>
      <c r="B586" s="1" t="s">
        <v>9</v>
      </c>
      <c r="C586" s="1">
        <v>106.813</v>
      </c>
    </row>
    <row r="587" spans="1:3" x14ac:dyDescent="0.2">
      <c r="A587" s="2">
        <v>45048</v>
      </c>
      <c r="B587" s="1" t="s">
        <v>9</v>
      </c>
      <c r="C587" s="1">
        <v>104.94</v>
      </c>
    </row>
    <row r="588" spans="1:3" x14ac:dyDescent="0.2">
      <c r="A588" s="2">
        <v>45049</v>
      </c>
      <c r="B588" s="1" t="s">
        <v>9</v>
      </c>
      <c r="C588" s="1">
        <v>105.029</v>
      </c>
    </row>
    <row r="589" spans="1:3" x14ac:dyDescent="0.2">
      <c r="A589" s="2">
        <v>45050</v>
      </c>
      <c r="B589" s="1" t="s">
        <v>9</v>
      </c>
      <c r="C589" s="1">
        <v>104.31100000000001</v>
      </c>
    </row>
    <row r="590" spans="1:3" x14ac:dyDescent="0.2">
      <c r="A590" s="2">
        <v>45051</v>
      </c>
      <c r="B590" s="1" t="s">
        <v>9</v>
      </c>
      <c r="C590" s="1">
        <v>105.188</v>
      </c>
    </row>
    <row r="591" spans="1:3" x14ac:dyDescent="0.2">
      <c r="A591" s="2">
        <v>45054</v>
      </c>
      <c r="B591" s="1" t="s">
        <v>9</v>
      </c>
      <c r="C591" s="1">
        <v>107.38</v>
      </c>
    </row>
    <row r="592" spans="1:3" x14ac:dyDescent="0.2">
      <c r="A592" s="2">
        <v>45055</v>
      </c>
      <c r="B592" s="1" t="s">
        <v>9</v>
      </c>
      <c r="C592" s="1">
        <v>106.962</v>
      </c>
    </row>
    <row r="593" spans="1:3" x14ac:dyDescent="0.2">
      <c r="A593" s="2">
        <v>45056</v>
      </c>
      <c r="B593" s="1" t="s">
        <v>9</v>
      </c>
      <c r="C593" s="1">
        <v>111.346</v>
      </c>
    </row>
    <row r="594" spans="1:3" x14ac:dyDescent="0.2">
      <c r="A594" s="2">
        <v>45057</v>
      </c>
      <c r="B594" s="1" t="s">
        <v>9</v>
      </c>
      <c r="C594" s="1">
        <v>116.149</v>
      </c>
    </row>
    <row r="595" spans="1:3" x14ac:dyDescent="0.2">
      <c r="A595" s="2">
        <v>45058</v>
      </c>
      <c r="B595" s="1" t="s">
        <v>9</v>
      </c>
      <c r="C595" s="1">
        <v>117.08499999999999</v>
      </c>
    </row>
    <row r="596" spans="1:3" x14ac:dyDescent="0.2">
      <c r="A596" s="2">
        <v>45061</v>
      </c>
      <c r="B596" s="1" t="s">
        <v>9</v>
      </c>
      <c r="C596" s="1">
        <v>116.089</v>
      </c>
    </row>
    <row r="597" spans="1:3" x14ac:dyDescent="0.2">
      <c r="A597" s="2">
        <v>45062</v>
      </c>
      <c r="B597" s="1" t="s">
        <v>9</v>
      </c>
      <c r="C597" s="1">
        <v>119.07899999999999</v>
      </c>
    </row>
    <row r="598" spans="1:3" x14ac:dyDescent="0.2">
      <c r="A598" s="2">
        <v>45063</v>
      </c>
      <c r="B598" s="1" t="s">
        <v>9</v>
      </c>
      <c r="C598" s="1">
        <v>120.40300000000001</v>
      </c>
    </row>
    <row r="599" spans="1:3" x14ac:dyDescent="0.2">
      <c r="A599" s="2">
        <v>45064</v>
      </c>
      <c r="B599" s="1" t="s">
        <v>9</v>
      </c>
      <c r="C599" s="1">
        <v>122.386</v>
      </c>
    </row>
    <row r="600" spans="1:3" x14ac:dyDescent="0.2">
      <c r="A600" s="2">
        <v>45065</v>
      </c>
      <c r="B600" s="1" t="s">
        <v>9</v>
      </c>
      <c r="C600" s="1">
        <v>122.31699999999999</v>
      </c>
    </row>
    <row r="601" spans="1:3" x14ac:dyDescent="0.2">
      <c r="A601" s="2">
        <v>45068</v>
      </c>
      <c r="B601" s="1" t="s">
        <v>9</v>
      </c>
      <c r="C601" s="1">
        <v>124.598</v>
      </c>
    </row>
    <row r="602" spans="1:3" x14ac:dyDescent="0.2">
      <c r="A602" s="2">
        <v>45069</v>
      </c>
      <c r="B602" s="1" t="s">
        <v>9</v>
      </c>
      <c r="C602" s="1">
        <v>122.117</v>
      </c>
    </row>
    <row r="603" spans="1:3" x14ac:dyDescent="0.2">
      <c r="A603" s="2">
        <v>45070</v>
      </c>
      <c r="B603" s="1" t="s">
        <v>9</v>
      </c>
      <c r="C603" s="1">
        <v>120.46299999999999</v>
      </c>
    </row>
    <row r="604" spans="1:3" x14ac:dyDescent="0.2">
      <c r="A604" s="2">
        <v>45071</v>
      </c>
      <c r="B604" s="1" t="s">
        <v>9</v>
      </c>
      <c r="C604" s="1">
        <v>123.03400000000001</v>
      </c>
    </row>
    <row r="605" spans="1:3" x14ac:dyDescent="0.2">
      <c r="A605" s="2">
        <v>45072</v>
      </c>
      <c r="B605" s="1" t="s">
        <v>9</v>
      </c>
      <c r="C605" s="1">
        <v>124.16</v>
      </c>
    </row>
    <row r="606" spans="1:3" x14ac:dyDescent="0.2">
      <c r="A606" s="2">
        <v>45076</v>
      </c>
      <c r="B606" s="1" t="s">
        <v>9</v>
      </c>
      <c r="C606" s="1">
        <v>123.223</v>
      </c>
    </row>
    <row r="607" spans="1:3" x14ac:dyDescent="0.2">
      <c r="A607" s="2">
        <v>45077</v>
      </c>
      <c r="B607" s="1" t="s">
        <v>9</v>
      </c>
      <c r="C607" s="1">
        <v>122.426</v>
      </c>
    </row>
    <row r="608" spans="1:3" x14ac:dyDescent="0.2">
      <c r="A608" s="2">
        <v>45078</v>
      </c>
      <c r="B608" s="1" t="s">
        <v>9</v>
      </c>
      <c r="C608" s="1">
        <v>123.273</v>
      </c>
    </row>
    <row r="609" spans="1:3" x14ac:dyDescent="0.2">
      <c r="A609" s="2">
        <v>45079</v>
      </c>
      <c r="B609" s="1" t="s">
        <v>9</v>
      </c>
      <c r="C609" s="1">
        <v>124.22</v>
      </c>
    </row>
    <row r="610" spans="1:3" x14ac:dyDescent="0.2">
      <c r="A610" s="2">
        <v>45082</v>
      </c>
      <c r="B610" s="1" t="s">
        <v>9</v>
      </c>
      <c r="C610" s="1">
        <v>125.55500000000001</v>
      </c>
    </row>
    <row r="611" spans="1:3" x14ac:dyDescent="0.2">
      <c r="A611" s="2">
        <v>45083</v>
      </c>
      <c r="B611" s="1" t="s">
        <v>9</v>
      </c>
      <c r="C611" s="1">
        <v>126.85</v>
      </c>
    </row>
    <row r="612" spans="1:3" x14ac:dyDescent="0.2">
      <c r="A612" s="2">
        <v>45084</v>
      </c>
      <c r="B612" s="1" t="s">
        <v>9</v>
      </c>
      <c r="C612" s="1">
        <v>122.05800000000001</v>
      </c>
    </row>
    <row r="613" spans="1:3" x14ac:dyDescent="0.2">
      <c r="A613" s="2">
        <v>45085</v>
      </c>
      <c r="B613" s="1" t="s">
        <v>9</v>
      </c>
      <c r="C613" s="1">
        <v>121.699</v>
      </c>
    </row>
    <row r="614" spans="1:3" x14ac:dyDescent="0.2">
      <c r="A614" s="2">
        <v>45086</v>
      </c>
      <c r="B614" s="1" t="s">
        <v>9</v>
      </c>
      <c r="C614" s="1">
        <v>121.788</v>
      </c>
    </row>
    <row r="615" spans="1:3" x14ac:dyDescent="0.2">
      <c r="A615" s="2">
        <v>45089</v>
      </c>
      <c r="B615" s="1" t="s">
        <v>9</v>
      </c>
      <c r="C615" s="1">
        <v>123.193</v>
      </c>
    </row>
    <row r="616" spans="1:3" x14ac:dyDescent="0.2">
      <c r="A616" s="2">
        <v>45090</v>
      </c>
      <c r="B616" s="1" t="s">
        <v>9</v>
      </c>
      <c r="C616" s="1">
        <v>123.383</v>
      </c>
    </row>
    <row r="617" spans="1:3" x14ac:dyDescent="0.2">
      <c r="A617" s="2">
        <v>45091</v>
      </c>
      <c r="B617" s="1" t="s">
        <v>9</v>
      </c>
      <c r="C617" s="1">
        <v>123.223</v>
      </c>
    </row>
    <row r="618" spans="1:3" x14ac:dyDescent="0.2">
      <c r="A618" s="2">
        <v>45092</v>
      </c>
      <c r="B618" s="1" t="s">
        <v>9</v>
      </c>
      <c r="C618" s="1">
        <v>124.63800000000001</v>
      </c>
    </row>
    <row r="619" spans="1:3" x14ac:dyDescent="0.2">
      <c r="A619" s="2">
        <v>45093</v>
      </c>
      <c r="B619" s="1" t="s">
        <v>9</v>
      </c>
      <c r="C619" s="1">
        <v>123.083</v>
      </c>
    </row>
    <row r="620" spans="1:3" x14ac:dyDescent="0.2">
      <c r="A620" s="2">
        <v>45097</v>
      </c>
      <c r="B620" s="1" t="s">
        <v>9</v>
      </c>
      <c r="C620" s="1">
        <v>122.655</v>
      </c>
    </row>
    <row r="621" spans="1:3" x14ac:dyDescent="0.2">
      <c r="A621" s="2">
        <v>45098</v>
      </c>
      <c r="B621" s="1" t="s">
        <v>9</v>
      </c>
      <c r="C621" s="1">
        <v>120.114</v>
      </c>
    </row>
    <row r="622" spans="1:3" x14ac:dyDescent="0.2">
      <c r="A622" s="2">
        <v>45099</v>
      </c>
      <c r="B622" s="1" t="s">
        <v>9</v>
      </c>
      <c r="C622" s="1">
        <v>122.705</v>
      </c>
    </row>
    <row r="623" spans="1:3" x14ac:dyDescent="0.2">
      <c r="A623" s="2">
        <v>45100</v>
      </c>
      <c r="B623" s="1" t="s">
        <v>9</v>
      </c>
      <c r="C623" s="1">
        <v>121.898</v>
      </c>
    </row>
    <row r="624" spans="1:3" x14ac:dyDescent="0.2">
      <c r="A624" s="2">
        <v>45103</v>
      </c>
      <c r="B624" s="1" t="s">
        <v>9</v>
      </c>
      <c r="C624" s="1">
        <v>117.91200000000001</v>
      </c>
    </row>
    <row r="625" spans="1:3" x14ac:dyDescent="0.2">
      <c r="A625" s="2">
        <v>45104</v>
      </c>
      <c r="B625" s="1" t="s">
        <v>9</v>
      </c>
      <c r="C625" s="1">
        <v>117.902</v>
      </c>
    </row>
    <row r="626" spans="1:3" x14ac:dyDescent="0.2">
      <c r="A626" s="2">
        <v>45105</v>
      </c>
      <c r="B626" s="1" t="s">
        <v>9</v>
      </c>
      <c r="C626" s="1">
        <v>119.746</v>
      </c>
    </row>
    <row r="627" spans="1:3" x14ac:dyDescent="0.2">
      <c r="A627" s="2">
        <v>45106</v>
      </c>
      <c r="B627" s="1" t="s">
        <v>9</v>
      </c>
      <c r="C627" s="1">
        <v>118.669</v>
      </c>
    </row>
    <row r="628" spans="1:3" x14ac:dyDescent="0.2">
      <c r="A628" s="2">
        <v>45107</v>
      </c>
      <c r="B628" s="1" t="s">
        <v>9</v>
      </c>
      <c r="C628" s="1">
        <v>119.268</v>
      </c>
    </row>
    <row r="629" spans="1:3" x14ac:dyDescent="0.2">
      <c r="A629" s="2">
        <v>45110</v>
      </c>
      <c r="B629" s="1" t="s">
        <v>9</v>
      </c>
      <c r="C629" s="1">
        <v>119.467</v>
      </c>
    </row>
    <row r="630" spans="1:3" x14ac:dyDescent="0.2">
      <c r="A630" s="2">
        <v>45112</v>
      </c>
      <c r="B630" s="1" t="s">
        <v>9</v>
      </c>
      <c r="C630" s="1">
        <v>121.31</v>
      </c>
    </row>
    <row r="631" spans="1:3" x14ac:dyDescent="0.2">
      <c r="A631" s="2">
        <v>45113</v>
      </c>
      <c r="B631" s="1" t="s">
        <v>9</v>
      </c>
      <c r="C631" s="1">
        <v>119.676</v>
      </c>
    </row>
    <row r="632" spans="1:3" x14ac:dyDescent="0.2">
      <c r="A632" s="2">
        <v>45114</v>
      </c>
      <c r="B632" s="1" t="s">
        <v>9</v>
      </c>
      <c r="C632" s="1">
        <v>119.04900000000001</v>
      </c>
    </row>
    <row r="633" spans="1:3" x14ac:dyDescent="0.2">
      <c r="A633" s="2">
        <v>45117</v>
      </c>
      <c r="B633" s="1" t="s">
        <v>9</v>
      </c>
      <c r="C633" s="1">
        <v>116.03</v>
      </c>
    </row>
    <row r="634" spans="1:3" x14ac:dyDescent="0.2">
      <c r="A634" s="2">
        <v>45118</v>
      </c>
      <c r="B634" s="1" t="s">
        <v>9</v>
      </c>
      <c r="C634" s="1">
        <v>116.717</v>
      </c>
    </row>
    <row r="635" spans="1:3" x14ac:dyDescent="0.2">
      <c r="A635" s="2">
        <v>45119</v>
      </c>
      <c r="B635" s="1" t="s">
        <v>9</v>
      </c>
      <c r="C635" s="1">
        <v>118.501</v>
      </c>
    </row>
    <row r="636" spans="1:3" x14ac:dyDescent="0.2">
      <c r="A636" s="2">
        <v>45120</v>
      </c>
      <c r="B636" s="1" t="s">
        <v>9</v>
      </c>
      <c r="C636" s="1">
        <v>124.09</v>
      </c>
    </row>
    <row r="637" spans="1:3" x14ac:dyDescent="0.2">
      <c r="A637" s="2">
        <v>45121</v>
      </c>
      <c r="B637" s="1" t="s">
        <v>9</v>
      </c>
      <c r="C637" s="1">
        <v>124.967</v>
      </c>
    </row>
    <row r="638" spans="1:3" x14ac:dyDescent="0.2">
      <c r="A638" s="2">
        <v>45124</v>
      </c>
      <c r="B638" s="1" t="s">
        <v>9</v>
      </c>
      <c r="C638" s="1">
        <v>124.2</v>
      </c>
    </row>
    <row r="639" spans="1:3" x14ac:dyDescent="0.2">
      <c r="A639" s="2">
        <v>45125</v>
      </c>
      <c r="B639" s="1" t="s">
        <v>9</v>
      </c>
      <c r="C639" s="1">
        <v>123.313</v>
      </c>
    </row>
    <row r="640" spans="1:3" x14ac:dyDescent="0.2">
      <c r="A640" s="2">
        <v>45126</v>
      </c>
      <c r="B640" s="1" t="s">
        <v>9</v>
      </c>
      <c r="C640" s="1">
        <v>121.589</v>
      </c>
    </row>
    <row r="641" spans="1:3" x14ac:dyDescent="0.2">
      <c r="A641" s="2">
        <v>45127</v>
      </c>
      <c r="B641" s="1" t="s">
        <v>9</v>
      </c>
      <c r="C641" s="1">
        <v>118.76900000000001</v>
      </c>
    </row>
    <row r="642" spans="1:3" x14ac:dyDescent="0.2">
      <c r="A642" s="2">
        <v>45128</v>
      </c>
      <c r="B642" s="1" t="s">
        <v>9</v>
      </c>
      <c r="C642" s="1">
        <v>119.586</v>
      </c>
    </row>
    <row r="643" spans="1:3" x14ac:dyDescent="0.2">
      <c r="A643" s="2">
        <v>45131</v>
      </c>
      <c r="B643" s="1" t="s">
        <v>9</v>
      </c>
      <c r="C643" s="1">
        <v>121.09099999999999</v>
      </c>
    </row>
    <row r="644" spans="1:3" x14ac:dyDescent="0.2">
      <c r="A644" s="2">
        <v>45132</v>
      </c>
      <c r="B644" s="1" t="s">
        <v>9</v>
      </c>
      <c r="C644" s="1">
        <v>121.768</v>
      </c>
    </row>
    <row r="645" spans="1:3" x14ac:dyDescent="0.2">
      <c r="A645" s="2">
        <v>45133</v>
      </c>
      <c r="B645" s="1" t="s">
        <v>9</v>
      </c>
      <c r="C645" s="1">
        <v>128.803</v>
      </c>
    </row>
    <row r="646" spans="1:3" x14ac:dyDescent="0.2">
      <c r="A646" s="2">
        <v>45134</v>
      </c>
      <c r="B646" s="1" t="s">
        <v>9</v>
      </c>
      <c r="C646" s="1">
        <v>128.93299999999999</v>
      </c>
    </row>
    <row r="647" spans="1:3" x14ac:dyDescent="0.2">
      <c r="A647" s="2">
        <v>45135</v>
      </c>
      <c r="B647" s="1" t="s">
        <v>9</v>
      </c>
      <c r="C647" s="1">
        <v>132.102</v>
      </c>
    </row>
    <row r="648" spans="1:3" x14ac:dyDescent="0.2">
      <c r="A648" s="2">
        <v>45138</v>
      </c>
      <c r="B648" s="1" t="s">
        <v>9</v>
      </c>
      <c r="C648" s="1">
        <v>132.24</v>
      </c>
    </row>
    <row r="649" spans="1:3" x14ac:dyDescent="0.2">
      <c r="A649" s="2">
        <v>45139</v>
      </c>
      <c r="B649" s="1" t="s">
        <v>9</v>
      </c>
      <c r="C649" s="1">
        <v>131.07499999999999</v>
      </c>
    </row>
    <row r="650" spans="1:3" x14ac:dyDescent="0.2">
      <c r="A650" s="2">
        <v>45140</v>
      </c>
      <c r="B650" s="1" t="s">
        <v>9</v>
      </c>
      <c r="C650" s="1">
        <v>127.916</v>
      </c>
    </row>
    <row r="651" spans="1:3" x14ac:dyDescent="0.2">
      <c r="A651" s="2">
        <v>45141</v>
      </c>
      <c r="B651" s="1" t="s">
        <v>9</v>
      </c>
      <c r="C651" s="1">
        <v>127.986</v>
      </c>
    </row>
    <row r="652" spans="1:3" x14ac:dyDescent="0.2">
      <c r="A652" s="2">
        <v>45142</v>
      </c>
      <c r="B652" s="1" t="s">
        <v>9</v>
      </c>
      <c r="C652" s="1">
        <v>127.64700000000001</v>
      </c>
    </row>
    <row r="653" spans="1:3" x14ac:dyDescent="0.2">
      <c r="A653" s="2">
        <v>45145</v>
      </c>
      <c r="B653" s="1" t="s">
        <v>9</v>
      </c>
      <c r="C653" s="1">
        <v>131.05500000000001</v>
      </c>
    </row>
    <row r="654" spans="1:3" x14ac:dyDescent="0.2">
      <c r="A654" s="2">
        <v>45146</v>
      </c>
      <c r="B654" s="1" t="s">
        <v>9</v>
      </c>
      <c r="C654" s="1">
        <v>130.92500000000001</v>
      </c>
    </row>
    <row r="655" spans="1:3" x14ac:dyDescent="0.2">
      <c r="A655" s="2">
        <v>45147</v>
      </c>
      <c r="B655" s="1" t="s">
        <v>9</v>
      </c>
      <c r="C655" s="1">
        <v>129.191</v>
      </c>
    </row>
    <row r="656" spans="1:3" x14ac:dyDescent="0.2">
      <c r="A656" s="2">
        <v>45148</v>
      </c>
      <c r="B656" s="1" t="s">
        <v>9</v>
      </c>
      <c r="C656" s="1">
        <v>129.221</v>
      </c>
    </row>
    <row r="657" spans="1:3" x14ac:dyDescent="0.2">
      <c r="A657" s="2">
        <v>45149</v>
      </c>
      <c r="B657" s="1" t="s">
        <v>9</v>
      </c>
      <c r="C657" s="1">
        <v>129.09200000000001</v>
      </c>
    </row>
    <row r="658" spans="1:3" x14ac:dyDescent="0.2">
      <c r="A658" s="2">
        <v>45152</v>
      </c>
      <c r="B658" s="1" t="s">
        <v>9</v>
      </c>
      <c r="C658" s="1">
        <v>130.85499999999999</v>
      </c>
    </row>
    <row r="659" spans="1:3" x14ac:dyDescent="0.2">
      <c r="A659" s="2">
        <v>45153</v>
      </c>
      <c r="B659" s="1" t="s">
        <v>9</v>
      </c>
      <c r="C659" s="1">
        <v>129.31100000000001</v>
      </c>
    </row>
    <row r="660" spans="1:3" x14ac:dyDescent="0.2">
      <c r="A660" s="2">
        <v>45154</v>
      </c>
      <c r="B660" s="1" t="s">
        <v>9</v>
      </c>
      <c r="C660" s="1">
        <v>128.23500000000001</v>
      </c>
    </row>
    <row r="661" spans="1:3" x14ac:dyDescent="0.2">
      <c r="A661" s="2">
        <v>45155</v>
      </c>
      <c r="B661" s="1" t="s">
        <v>9</v>
      </c>
      <c r="C661" s="1">
        <v>129.45099999999999</v>
      </c>
    </row>
    <row r="662" spans="1:3" x14ac:dyDescent="0.2">
      <c r="A662" s="2">
        <v>45156</v>
      </c>
      <c r="B662" s="1" t="s">
        <v>9</v>
      </c>
      <c r="C662" s="1">
        <v>126.999</v>
      </c>
    </row>
    <row r="663" spans="1:3" x14ac:dyDescent="0.2">
      <c r="A663" s="2">
        <v>45159</v>
      </c>
      <c r="B663" s="1" t="s">
        <v>9</v>
      </c>
      <c r="C663" s="1">
        <v>127.90600000000001</v>
      </c>
    </row>
    <row r="664" spans="1:3" x14ac:dyDescent="0.2">
      <c r="A664" s="2">
        <v>45160</v>
      </c>
      <c r="B664" s="1" t="s">
        <v>9</v>
      </c>
      <c r="C664" s="1">
        <v>128.614</v>
      </c>
    </row>
    <row r="665" spans="1:3" x14ac:dyDescent="0.2">
      <c r="A665" s="2">
        <v>45161</v>
      </c>
      <c r="B665" s="1" t="s">
        <v>9</v>
      </c>
      <c r="C665" s="1">
        <v>131.892</v>
      </c>
    </row>
    <row r="666" spans="1:3" x14ac:dyDescent="0.2">
      <c r="A666" s="2">
        <v>45162</v>
      </c>
      <c r="B666" s="1" t="s">
        <v>9</v>
      </c>
      <c r="C666" s="1">
        <v>129.31100000000001</v>
      </c>
    </row>
    <row r="667" spans="1:3" x14ac:dyDescent="0.2">
      <c r="A667" s="2">
        <v>45163</v>
      </c>
      <c r="B667" s="1" t="s">
        <v>9</v>
      </c>
      <c r="C667" s="1">
        <v>129.411</v>
      </c>
    </row>
    <row r="668" spans="1:3" x14ac:dyDescent="0.2">
      <c r="A668" s="2">
        <v>45166</v>
      </c>
      <c r="B668" s="1" t="s">
        <v>9</v>
      </c>
      <c r="C668" s="1">
        <v>130.53700000000001</v>
      </c>
    </row>
    <row r="669" spans="1:3" x14ac:dyDescent="0.2">
      <c r="A669" s="2">
        <v>45167</v>
      </c>
      <c r="B669" s="1" t="s">
        <v>9</v>
      </c>
      <c r="C669" s="1">
        <v>134.084</v>
      </c>
    </row>
    <row r="670" spans="1:3" x14ac:dyDescent="0.2">
      <c r="A670" s="2">
        <v>45168</v>
      </c>
      <c r="B670" s="1" t="s">
        <v>9</v>
      </c>
      <c r="C670" s="1">
        <v>135.38900000000001</v>
      </c>
    </row>
    <row r="671" spans="1:3" x14ac:dyDescent="0.2">
      <c r="A671" s="2">
        <v>45169</v>
      </c>
      <c r="B671" s="1" t="s">
        <v>9</v>
      </c>
      <c r="C671" s="1">
        <v>135.679</v>
      </c>
    </row>
    <row r="672" spans="1:3" x14ac:dyDescent="0.2">
      <c r="A672" s="2">
        <v>45170</v>
      </c>
      <c r="B672" s="1" t="s">
        <v>9</v>
      </c>
      <c r="C672" s="1">
        <v>135.16900000000001</v>
      </c>
    </row>
    <row r="673" spans="1:3" x14ac:dyDescent="0.2">
      <c r="A673" s="2">
        <v>45174</v>
      </c>
      <c r="B673" s="1" t="s">
        <v>9</v>
      </c>
      <c r="C673" s="1">
        <v>135.279</v>
      </c>
    </row>
    <row r="674" spans="1:3" x14ac:dyDescent="0.2">
      <c r="A674" s="2">
        <v>45175</v>
      </c>
      <c r="B674" s="1" t="s">
        <v>9</v>
      </c>
      <c r="C674" s="1">
        <v>133.97399999999999</v>
      </c>
    </row>
    <row r="675" spans="1:3" x14ac:dyDescent="0.2">
      <c r="A675" s="2">
        <v>45176</v>
      </c>
      <c r="B675" s="1" t="s">
        <v>9</v>
      </c>
      <c r="C675" s="1">
        <v>134.77199999999999</v>
      </c>
    </row>
    <row r="676" spans="1:3" x14ac:dyDescent="0.2">
      <c r="A676" s="2">
        <v>45177</v>
      </c>
      <c r="B676" s="1" t="s">
        <v>9</v>
      </c>
      <c r="C676" s="1">
        <v>135.887</v>
      </c>
    </row>
    <row r="677" spans="1:3" x14ac:dyDescent="0.2">
      <c r="A677" s="2">
        <v>45180</v>
      </c>
      <c r="B677" s="1" t="s">
        <v>9</v>
      </c>
      <c r="C677" s="1">
        <v>136.42599999999999</v>
      </c>
    </row>
    <row r="678" spans="1:3" x14ac:dyDescent="0.2">
      <c r="A678" s="2">
        <v>45181</v>
      </c>
      <c r="B678" s="1" t="s">
        <v>9</v>
      </c>
      <c r="C678" s="1">
        <v>134.851</v>
      </c>
    </row>
    <row r="679" spans="1:3" x14ac:dyDescent="0.2">
      <c r="A679" s="2">
        <v>45182</v>
      </c>
      <c r="B679" s="1" t="s">
        <v>9</v>
      </c>
      <c r="C679" s="1">
        <v>136.21600000000001</v>
      </c>
    </row>
    <row r="680" spans="1:3" x14ac:dyDescent="0.2">
      <c r="A680" s="2">
        <v>45183</v>
      </c>
      <c r="B680" s="1" t="s">
        <v>9</v>
      </c>
      <c r="C680" s="1">
        <v>137.601</v>
      </c>
    </row>
    <row r="681" spans="1:3" x14ac:dyDescent="0.2">
      <c r="A681" s="2">
        <v>45184</v>
      </c>
      <c r="B681" s="1" t="s">
        <v>9</v>
      </c>
      <c r="C681" s="1">
        <v>136.90299999999999</v>
      </c>
    </row>
    <row r="682" spans="1:3" x14ac:dyDescent="0.2">
      <c r="A682" s="2">
        <v>45187</v>
      </c>
      <c r="B682" s="1" t="s">
        <v>9</v>
      </c>
      <c r="C682" s="1">
        <v>137.71100000000001</v>
      </c>
    </row>
    <row r="683" spans="1:3" x14ac:dyDescent="0.2">
      <c r="A683" s="2">
        <v>45188</v>
      </c>
      <c r="B683" s="1" t="s">
        <v>9</v>
      </c>
      <c r="C683" s="1">
        <v>137.541</v>
      </c>
    </row>
    <row r="684" spans="1:3" x14ac:dyDescent="0.2">
      <c r="A684" s="2">
        <v>45189</v>
      </c>
      <c r="B684" s="1" t="s">
        <v>9</v>
      </c>
      <c r="C684" s="1">
        <v>133.25700000000001</v>
      </c>
    </row>
    <row r="685" spans="1:3" x14ac:dyDescent="0.2">
      <c r="A685" s="2">
        <v>45190</v>
      </c>
      <c r="B685" s="1" t="s">
        <v>9</v>
      </c>
      <c r="C685" s="1">
        <v>129.96799999999999</v>
      </c>
    </row>
    <row r="686" spans="1:3" x14ac:dyDescent="0.2">
      <c r="A686" s="2">
        <v>45191</v>
      </c>
      <c r="B686" s="1" t="s">
        <v>9</v>
      </c>
      <c r="C686" s="1">
        <v>129.78</v>
      </c>
    </row>
    <row r="687" spans="1:3" x14ac:dyDescent="0.2">
      <c r="A687" s="2">
        <v>45194</v>
      </c>
      <c r="B687" s="1" t="s">
        <v>9</v>
      </c>
      <c r="C687" s="1">
        <v>130.636</v>
      </c>
    </row>
    <row r="688" spans="1:3" x14ac:dyDescent="0.2">
      <c r="A688" s="2">
        <v>45195</v>
      </c>
      <c r="B688" s="1" t="s">
        <v>9</v>
      </c>
      <c r="C688" s="1">
        <v>128.101</v>
      </c>
    </row>
    <row r="689" spans="1:3" x14ac:dyDescent="0.2">
      <c r="A689" s="2">
        <v>45196</v>
      </c>
      <c r="B689" s="1" t="s">
        <v>9</v>
      </c>
      <c r="C689" s="1">
        <v>130.06800000000001</v>
      </c>
    </row>
    <row r="690" spans="1:3" x14ac:dyDescent="0.2">
      <c r="A690" s="2">
        <v>45197</v>
      </c>
      <c r="B690" s="1" t="s">
        <v>9</v>
      </c>
      <c r="C690" s="1">
        <v>131.83199999999999</v>
      </c>
    </row>
    <row r="691" spans="1:3" x14ac:dyDescent="0.2">
      <c r="A691" s="2">
        <v>45198</v>
      </c>
      <c r="B691" s="1" t="s">
        <v>9</v>
      </c>
      <c r="C691" s="1">
        <v>130.38800000000001</v>
      </c>
    </row>
    <row r="692" spans="1:3" x14ac:dyDescent="0.2">
      <c r="A692" s="2">
        <v>45201</v>
      </c>
      <c r="B692" s="1" t="s">
        <v>9</v>
      </c>
      <c r="C692" s="1">
        <v>133.685</v>
      </c>
    </row>
    <row r="693" spans="1:3" x14ac:dyDescent="0.2">
      <c r="A693" s="2">
        <v>45202</v>
      </c>
      <c r="B693" s="1" t="s">
        <v>9</v>
      </c>
      <c r="C693" s="1">
        <v>131.952</v>
      </c>
    </row>
    <row r="694" spans="1:3" x14ac:dyDescent="0.2">
      <c r="A694" s="2">
        <v>45203</v>
      </c>
      <c r="B694" s="1" t="s">
        <v>9</v>
      </c>
      <c r="C694" s="1">
        <v>134.75200000000001</v>
      </c>
    </row>
    <row r="695" spans="1:3" x14ac:dyDescent="0.2">
      <c r="A695" s="2">
        <v>45204</v>
      </c>
      <c r="B695" s="1" t="s">
        <v>9</v>
      </c>
      <c r="C695" s="1">
        <v>134.58199999999999</v>
      </c>
    </row>
    <row r="696" spans="1:3" x14ac:dyDescent="0.2">
      <c r="A696" s="2">
        <v>45205</v>
      </c>
      <c r="B696" s="1" t="s">
        <v>9</v>
      </c>
      <c r="C696" s="1">
        <v>137.083</v>
      </c>
    </row>
    <row r="697" spans="1:3" x14ac:dyDescent="0.2">
      <c r="A697" s="2">
        <v>45208</v>
      </c>
      <c r="B697" s="1" t="s">
        <v>9</v>
      </c>
      <c r="C697" s="1">
        <v>137.91999999999999</v>
      </c>
    </row>
    <row r="698" spans="1:3" x14ac:dyDescent="0.2">
      <c r="A698" s="2">
        <v>45209</v>
      </c>
      <c r="B698" s="1" t="s">
        <v>9</v>
      </c>
      <c r="C698" s="1">
        <v>137.56100000000001</v>
      </c>
    </row>
    <row r="699" spans="1:3" x14ac:dyDescent="0.2">
      <c r="A699" s="2">
        <v>45210</v>
      </c>
      <c r="B699" s="1" t="s">
        <v>9</v>
      </c>
      <c r="C699" s="1">
        <v>140.04300000000001</v>
      </c>
    </row>
    <row r="700" spans="1:3" x14ac:dyDescent="0.2">
      <c r="A700" s="2">
        <v>45211</v>
      </c>
      <c r="B700" s="1" t="s">
        <v>9</v>
      </c>
      <c r="C700" s="1">
        <v>138.46799999999999</v>
      </c>
    </row>
    <row r="701" spans="1:3" x14ac:dyDescent="0.2">
      <c r="A701" s="2">
        <v>45212</v>
      </c>
      <c r="B701" s="1" t="s">
        <v>9</v>
      </c>
      <c r="C701" s="1">
        <v>136.864</v>
      </c>
    </row>
    <row r="702" spans="1:3" x14ac:dyDescent="0.2">
      <c r="A702" s="2">
        <v>45215</v>
      </c>
      <c r="B702" s="1" t="s">
        <v>9</v>
      </c>
      <c r="C702" s="1">
        <v>138.59299999999999</v>
      </c>
    </row>
    <row r="703" spans="1:3" x14ac:dyDescent="0.2">
      <c r="A703" s="2">
        <v>45216</v>
      </c>
      <c r="B703" s="1" t="s">
        <v>9</v>
      </c>
      <c r="C703" s="1">
        <v>139.215</v>
      </c>
    </row>
    <row r="704" spans="1:3" x14ac:dyDescent="0.2">
      <c r="A704" s="2">
        <v>45217</v>
      </c>
      <c r="B704" s="1" t="s">
        <v>9</v>
      </c>
      <c r="C704" s="1">
        <v>137.46100000000001</v>
      </c>
    </row>
    <row r="705" spans="1:3" x14ac:dyDescent="0.2">
      <c r="A705" s="2">
        <v>45218</v>
      </c>
      <c r="B705" s="1" t="s">
        <v>9</v>
      </c>
      <c r="C705" s="1">
        <v>137.25299999999999</v>
      </c>
    </row>
    <row r="706" spans="1:3" x14ac:dyDescent="0.2">
      <c r="A706" s="2">
        <v>45219</v>
      </c>
      <c r="B706" s="1" t="s">
        <v>9</v>
      </c>
      <c r="C706" s="1">
        <v>135.11099999999999</v>
      </c>
    </row>
    <row r="707" spans="1:3" x14ac:dyDescent="0.2">
      <c r="A707" s="2">
        <v>45222</v>
      </c>
      <c r="B707" s="1" t="s">
        <v>9</v>
      </c>
      <c r="C707" s="1">
        <v>136.00700000000001</v>
      </c>
    </row>
    <row r="708" spans="1:3" x14ac:dyDescent="0.2">
      <c r="A708" s="2">
        <v>45223</v>
      </c>
      <c r="B708" s="1" t="s">
        <v>9</v>
      </c>
      <c r="C708" s="1">
        <v>138.30799999999999</v>
      </c>
    </row>
    <row r="709" spans="1:3" x14ac:dyDescent="0.2">
      <c r="A709" s="2">
        <v>45224</v>
      </c>
      <c r="B709" s="1" t="s">
        <v>9</v>
      </c>
      <c r="C709" s="1">
        <v>125.157</v>
      </c>
    </row>
    <row r="710" spans="1:3" x14ac:dyDescent="0.2">
      <c r="A710" s="2">
        <v>45225</v>
      </c>
      <c r="B710" s="1" t="s">
        <v>9</v>
      </c>
      <c r="C710" s="1">
        <v>121.83799999999999</v>
      </c>
    </row>
    <row r="711" spans="1:3" x14ac:dyDescent="0.2">
      <c r="A711" s="2">
        <v>45226</v>
      </c>
      <c r="B711" s="1" t="s">
        <v>9</v>
      </c>
      <c r="C711" s="1">
        <v>121.72799999999999</v>
      </c>
    </row>
    <row r="712" spans="1:3" x14ac:dyDescent="0.2">
      <c r="A712" s="2">
        <v>45229</v>
      </c>
      <c r="B712" s="1" t="s">
        <v>9</v>
      </c>
      <c r="C712" s="1">
        <v>124.01</v>
      </c>
    </row>
    <row r="713" spans="1:3" x14ac:dyDescent="0.2">
      <c r="A713" s="2">
        <v>45230</v>
      </c>
      <c r="B713" s="1" t="s">
        <v>9</v>
      </c>
      <c r="C713" s="1">
        <v>123.63200000000001</v>
      </c>
    </row>
    <row r="714" spans="1:3" x14ac:dyDescent="0.2">
      <c r="A714" s="2">
        <v>45231</v>
      </c>
      <c r="B714" s="1" t="s">
        <v>9</v>
      </c>
      <c r="C714" s="1">
        <v>125.994</v>
      </c>
    </row>
    <row r="715" spans="1:3" x14ac:dyDescent="0.2">
      <c r="A715" s="2">
        <v>45232</v>
      </c>
      <c r="B715" s="1" t="s">
        <v>9</v>
      </c>
      <c r="C715" s="1">
        <v>127.029</v>
      </c>
    </row>
    <row r="716" spans="1:3" x14ac:dyDescent="0.2">
      <c r="A716" s="2">
        <v>45233</v>
      </c>
      <c r="B716" s="1" t="s">
        <v>9</v>
      </c>
      <c r="C716" s="1">
        <v>128.63399999999999</v>
      </c>
    </row>
    <row r="717" spans="1:3" x14ac:dyDescent="0.2">
      <c r="A717" s="2">
        <v>45236</v>
      </c>
      <c r="B717" s="1" t="s">
        <v>9</v>
      </c>
      <c r="C717" s="1">
        <v>129.78</v>
      </c>
    </row>
    <row r="718" spans="1:3" x14ac:dyDescent="0.2">
      <c r="A718" s="2">
        <v>45237</v>
      </c>
      <c r="B718" s="1" t="s">
        <v>9</v>
      </c>
      <c r="C718" s="1">
        <v>130.49700000000001</v>
      </c>
    </row>
    <row r="719" spans="1:3" x14ac:dyDescent="0.2">
      <c r="A719" s="2">
        <v>45238</v>
      </c>
      <c r="B719" s="1" t="s">
        <v>9</v>
      </c>
      <c r="C719" s="1">
        <v>131.363</v>
      </c>
    </row>
    <row r="720" spans="1:3" x14ac:dyDescent="0.2">
      <c r="A720" s="2">
        <v>45239</v>
      </c>
      <c r="B720" s="1" t="s">
        <v>9</v>
      </c>
      <c r="C720" s="1">
        <v>129.77000000000001</v>
      </c>
    </row>
    <row r="721" spans="1:3" x14ac:dyDescent="0.2">
      <c r="A721" s="2">
        <v>45240</v>
      </c>
      <c r="B721" s="1" t="s">
        <v>9</v>
      </c>
      <c r="C721" s="1">
        <v>132.11099999999999</v>
      </c>
    </row>
    <row r="722" spans="1:3" x14ac:dyDescent="0.2">
      <c r="A722" s="2">
        <v>45243</v>
      </c>
      <c r="B722" s="1" t="s">
        <v>9</v>
      </c>
      <c r="C722" s="1">
        <v>131.613</v>
      </c>
    </row>
    <row r="723" spans="1:3" x14ac:dyDescent="0.2">
      <c r="A723" s="2">
        <v>45244</v>
      </c>
      <c r="B723" s="1" t="s">
        <v>9</v>
      </c>
      <c r="C723" s="1">
        <v>133.137</v>
      </c>
    </row>
    <row r="724" spans="1:3" x14ac:dyDescent="0.2">
      <c r="A724" s="2">
        <v>45245</v>
      </c>
      <c r="B724" s="1" t="s">
        <v>9</v>
      </c>
      <c r="C724" s="1">
        <v>134.13399999999999</v>
      </c>
    </row>
    <row r="725" spans="1:3" x14ac:dyDescent="0.2">
      <c r="A725" s="2">
        <v>45246</v>
      </c>
      <c r="B725" s="1" t="s">
        <v>9</v>
      </c>
      <c r="C725" s="1">
        <v>136.43600000000001</v>
      </c>
    </row>
    <row r="726" spans="1:3" x14ac:dyDescent="0.2">
      <c r="A726" s="2">
        <v>45247</v>
      </c>
      <c r="B726" s="1" t="s">
        <v>9</v>
      </c>
      <c r="C726" s="1">
        <v>134.821</v>
      </c>
    </row>
    <row r="727" spans="1:3" x14ac:dyDescent="0.2">
      <c r="A727" s="2">
        <v>45250</v>
      </c>
      <c r="B727" s="1" t="s">
        <v>9</v>
      </c>
      <c r="C727" s="1">
        <v>135.75800000000001</v>
      </c>
    </row>
    <row r="728" spans="1:3" x14ac:dyDescent="0.2">
      <c r="A728" s="2">
        <v>45251</v>
      </c>
      <c r="B728" s="1" t="s">
        <v>9</v>
      </c>
      <c r="C728" s="1">
        <v>136.476</v>
      </c>
    </row>
    <row r="729" spans="1:3" x14ac:dyDescent="0.2">
      <c r="A729" s="2">
        <v>45252</v>
      </c>
      <c r="B729" s="1" t="s">
        <v>9</v>
      </c>
      <c r="C729" s="1">
        <v>137.99</v>
      </c>
    </row>
    <row r="730" spans="1:3" x14ac:dyDescent="0.2">
      <c r="A730" s="2">
        <v>45254</v>
      </c>
      <c r="B730" s="1" t="s">
        <v>9</v>
      </c>
      <c r="C730" s="1">
        <v>136.196</v>
      </c>
    </row>
    <row r="731" spans="1:3" x14ac:dyDescent="0.2">
      <c r="A731" s="2">
        <v>45257</v>
      </c>
      <c r="B731" s="1" t="s">
        <v>9</v>
      </c>
      <c r="C731" s="1">
        <v>135.917</v>
      </c>
    </row>
    <row r="732" spans="1:3" x14ac:dyDescent="0.2">
      <c r="A732" s="2">
        <v>45258</v>
      </c>
      <c r="B732" s="1" t="s">
        <v>9</v>
      </c>
      <c r="C732" s="1">
        <v>136.70400000000001</v>
      </c>
    </row>
    <row r="733" spans="1:3" x14ac:dyDescent="0.2">
      <c r="A733" s="2">
        <v>45259</v>
      </c>
      <c r="B733" s="1" t="s">
        <v>9</v>
      </c>
      <c r="C733" s="1">
        <v>134.50200000000001</v>
      </c>
    </row>
    <row r="734" spans="1:3" x14ac:dyDescent="0.2">
      <c r="A734" s="2">
        <v>45260</v>
      </c>
      <c r="B734" s="1" t="s">
        <v>9</v>
      </c>
      <c r="C734" s="1">
        <v>132.05199999999999</v>
      </c>
    </row>
    <row r="735" spans="1:3" x14ac:dyDescent="0.2">
      <c r="A735" s="2">
        <v>45261</v>
      </c>
      <c r="B735" s="1" t="s">
        <v>9</v>
      </c>
      <c r="C735" s="1">
        <v>131.38300000000001</v>
      </c>
    </row>
    <row r="736" spans="1:3" x14ac:dyDescent="0.2">
      <c r="A736" s="2">
        <v>45264</v>
      </c>
      <c r="B736" s="1" t="s">
        <v>9</v>
      </c>
      <c r="C736" s="1">
        <v>128.803</v>
      </c>
    </row>
    <row r="737" spans="1:3" x14ac:dyDescent="0.2">
      <c r="A737" s="2">
        <v>45265</v>
      </c>
      <c r="B737" s="1" t="s">
        <v>9</v>
      </c>
      <c r="C737" s="1">
        <v>130.517</v>
      </c>
    </row>
    <row r="738" spans="1:3" x14ac:dyDescent="0.2">
      <c r="A738" s="2">
        <v>45266</v>
      </c>
      <c r="B738" s="1" t="s">
        <v>9</v>
      </c>
      <c r="C738" s="1">
        <v>129.55099999999999</v>
      </c>
    </row>
    <row r="739" spans="1:3" x14ac:dyDescent="0.2">
      <c r="A739" s="2">
        <v>45267</v>
      </c>
      <c r="B739" s="1" t="s">
        <v>9</v>
      </c>
      <c r="C739" s="1">
        <v>136.43600000000001</v>
      </c>
    </row>
    <row r="740" spans="1:3" x14ac:dyDescent="0.2">
      <c r="A740" s="2">
        <v>45268</v>
      </c>
      <c r="B740" s="1" t="s">
        <v>9</v>
      </c>
      <c r="C740" s="1">
        <v>134.50200000000001</v>
      </c>
    </row>
    <row r="741" spans="1:3" x14ac:dyDescent="0.2">
      <c r="A741" s="2">
        <v>45271</v>
      </c>
      <c r="B741" s="1" t="s">
        <v>9</v>
      </c>
      <c r="C741" s="1">
        <v>132.809</v>
      </c>
    </row>
    <row r="742" spans="1:3" x14ac:dyDescent="0.2">
      <c r="A742" s="2">
        <v>45272</v>
      </c>
      <c r="B742" s="1" t="s">
        <v>9</v>
      </c>
      <c r="C742" s="1">
        <v>132.042</v>
      </c>
    </row>
    <row r="743" spans="1:3" x14ac:dyDescent="0.2">
      <c r="A743" s="2">
        <v>45273</v>
      </c>
      <c r="B743" s="1" t="s">
        <v>9</v>
      </c>
      <c r="C743" s="1">
        <v>132.09200000000001</v>
      </c>
    </row>
    <row r="744" spans="1:3" x14ac:dyDescent="0.2">
      <c r="A744" s="2">
        <v>45274</v>
      </c>
      <c r="B744" s="1" t="s">
        <v>9</v>
      </c>
      <c r="C744" s="1">
        <v>131.46299999999999</v>
      </c>
    </row>
    <row r="745" spans="1:3" x14ac:dyDescent="0.2">
      <c r="A745" s="2">
        <v>45275</v>
      </c>
      <c r="B745" s="1" t="s">
        <v>9</v>
      </c>
      <c r="C745" s="1">
        <v>132.12100000000001</v>
      </c>
    </row>
    <row r="746" spans="1:3" x14ac:dyDescent="0.2">
      <c r="A746" s="2">
        <v>45278</v>
      </c>
      <c r="B746" s="1" t="s">
        <v>9</v>
      </c>
      <c r="C746" s="1">
        <v>135.309</v>
      </c>
    </row>
    <row r="747" spans="1:3" x14ac:dyDescent="0.2">
      <c r="A747" s="2">
        <v>45279</v>
      </c>
      <c r="B747" s="1" t="s">
        <v>9</v>
      </c>
      <c r="C747" s="1">
        <v>136.15600000000001</v>
      </c>
    </row>
    <row r="748" spans="1:3" x14ac:dyDescent="0.2">
      <c r="A748" s="2">
        <v>45280</v>
      </c>
      <c r="B748" s="1" t="s">
        <v>9</v>
      </c>
      <c r="C748" s="1">
        <v>137.84</v>
      </c>
    </row>
    <row r="749" spans="1:3" x14ac:dyDescent="0.2">
      <c r="A749" s="2">
        <v>45281</v>
      </c>
      <c r="B749" s="1" t="s">
        <v>9</v>
      </c>
      <c r="C749" s="1">
        <v>139.91300000000001</v>
      </c>
    </row>
    <row r="750" spans="1:3" x14ac:dyDescent="0.2">
      <c r="A750" s="2">
        <v>45282</v>
      </c>
      <c r="B750" s="1" t="s">
        <v>9</v>
      </c>
      <c r="C750" s="1">
        <v>140.97900000000001</v>
      </c>
    </row>
    <row r="751" spans="1:3" x14ac:dyDescent="0.2">
      <c r="A751" s="2">
        <v>45286</v>
      </c>
      <c r="B751" s="1" t="s">
        <v>9</v>
      </c>
      <c r="C751" s="1">
        <v>141.00899999999999</v>
      </c>
    </row>
    <row r="752" spans="1:3" x14ac:dyDescent="0.2">
      <c r="A752" s="2">
        <v>45287</v>
      </c>
      <c r="B752" s="1" t="s">
        <v>9</v>
      </c>
      <c r="C752" s="1">
        <v>139.863</v>
      </c>
    </row>
    <row r="753" spans="1:3" x14ac:dyDescent="0.2">
      <c r="A753" s="2">
        <v>45288</v>
      </c>
      <c r="B753" s="1" t="s">
        <v>9</v>
      </c>
      <c r="C753" s="1">
        <v>139.72300000000001</v>
      </c>
    </row>
    <row r="754" spans="1:3" x14ac:dyDescent="0.2">
      <c r="A754" s="2">
        <v>45289</v>
      </c>
      <c r="B754" s="1" t="s">
        <v>9</v>
      </c>
      <c r="C754" s="1">
        <v>139.185</v>
      </c>
    </row>
    <row r="755" spans="1:3" x14ac:dyDescent="0.2">
      <c r="A755" s="2">
        <v>45293</v>
      </c>
      <c r="B755" s="1" t="s">
        <v>9</v>
      </c>
      <c r="C755" s="1">
        <v>137.67099999999999</v>
      </c>
    </row>
    <row r="756" spans="1:3" x14ac:dyDescent="0.2">
      <c r="A756" s="2">
        <v>45294</v>
      </c>
      <c r="B756" s="1" t="s">
        <v>9</v>
      </c>
      <c r="C756" s="1">
        <v>138.41800000000001</v>
      </c>
    </row>
    <row r="757" spans="1:3" x14ac:dyDescent="0.2">
      <c r="A757" s="2">
        <v>45295</v>
      </c>
      <c r="B757" s="1" t="s">
        <v>9</v>
      </c>
      <c r="C757" s="1">
        <v>135.89699999999999</v>
      </c>
    </row>
    <row r="758" spans="1:3" x14ac:dyDescent="0.2">
      <c r="A758" s="2">
        <v>45296</v>
      </c>
      <c r="B758" s="1" t="s">
        <v>9</v>
      </c>
      <c r="C758" s="1">
        <v>135.239</v>
      </c>
    </row>
    <row r="759" spans="1:3" x14ac:dyDescent="0.2">
      <c r="A759" s="2">
        <v>45299</v>
      </c>
      <c r="B759" s="1" t="s">
        <v>9</v>
      </c>
      <c r="C759" s="1">
        <v>138.33799999999999</v>
      </c>
    </row>
    <row r="760" spans="1:3" x14ac:dyDescent="0.2">
      <c r="A760" s="2">
        <v>45300</v>
      </c>
      <c r="B760" s="1" t="s">
        <v>9</v>
      </c>
      <c r="C760" s="1">
        <v>140.44</v>
      </c>
    </row>
    <row r="761" spans="1:3" x14ac:dyDescent="0.2">
      <c r="A761" s="2">
        <v>45301</v>
      </c>
      <c r="B761" s="1" t="s">
        <v>9</v>
      </c>
      <c r="C761" s="1">
        <v>141.767</v>
      </c>
    </row>
    <row r="762" spans="1:3" x14ac:dyDescent="0.2">
      <c r="A762" s="2">
        <v>45302</v>
      </c>
      <c r="B762" s="1" t="s">
        <v>9</v>
      </c>
      <c r="C762" s="1">
        <v>141.56700000000001</v>
      </c>
    </row>
    <row r="763" spans="1:3" x14ac:dyDescent="0.2">
      <c r="A763" s="2">
        <v>45303</v>
      </c>
      <c r="B763" s="1" t="s">
        <v>9</v>
      </c>
      <c r="C763" s="1">
        <v>142.13399999999999</v>
      </c>
    </row>
    <row r="764" spans="1:3" x14ac:dyDescent="0.2">
      <c r="A764" s="2">
        <v>45307</v>
      </c>
      <c r="B764" s="1" t="s">
        <v>9</v>
      </c>
      <c r="C764" s="1">
        <v>141.97499999999999</v>
      </c>
    </row>
    <row r="765" spans="1:3" x14ac:dyDescent="0.2">
      <c r="A765" s="2">
        <v>45308</v>
      </c>
      <c r="B765" s="1" t="s">
        <v>9</v>
      </c>
      <c r="C765" s="1">
        <v>140.959</v>
      </c>
    </row>
    <row r="766" spans="1:3" x14ac:dyDescent="0.2">
      <c r="A766" s="2">
        <v>45309</v>
      </c>
      <c r="B766" s="1" t="s">
        <v>9</v>
      </c>
      <c r="C766" s="1">
        <v>142.96199999999999</v>
      </c>
    </row>
    <row r="767" spans="1:3" x14ac:dyDescent="0.2">
      <c r="A767" s="2">
        <v>45310</v>
      </c>
      <c r="B767" s="1" t="s">
        <v>9</v>
      </c>
      <c r="C767" s="1">
        <v>145.851</v>
      </c>
    </row>
    <row r="768" spans="1:3" x14ac:dyDescent="0.2">
      <c r="A768" s="2">
        <v>45313</v>
      </c>
      <c r="B768" s="1" t="s">
        <v>9</v>
      </c>
      <c r="C768" s="1">
        <v>145.46299999999999</v>
      </c>
    </row>
    <row r="769" spans="1:3" x14ac:dyDescent="0.2">
      <c r="A769" s="2">
        <v>45314</v>
      </c>
      <c r="B769" s="1" t="s">
        <v>9</v>
      </c>
      <c r="C769" s="1">
        <v>146.50800000000001</v>
      </c>
    </row>
    <row r="770" spans="1:3" x14ac:dyDescent="0.2">
      <c r="A770" s="2">
        <v>45315</v>
      </c>
      <c r="B770" s="1" t="s">
        <v>9</v>
      </c>
      <c r="C770" s="1">
        <v>148.16300000000001</v>
      </c>
    </row>
    <row r="771" spans="1:3" x14ac:dyDescent="0.2">
      <c r="A771" s="2">
        <v>45316</v>
      </c>
      <c r="B771" s="1" t="s">
        <v>9</v>
      </c>
      <c r="C771" s="1">
        <v>151.322</v>
      </c>
    </row>
    <row r="772" spans="1:3" x14ac:dyDescent="0.2">
      <c r="A772" s="2">
        <v>45317</v>
      </c>
      <c r="B772" s="1" t="s">
        <v>9</v>
      </c>
      <c r="C772" s="1">
        <v>151.636</v>
      </c>
    </row>
    <row r="773" spans="1:3" x14ac:dyDescent="0.2">
      <c r="A773" s="2">
        <v>45320</v>
      </c>
      <c r="B773" s="1" t="s">
        <v>9</v>
      </c>
      <c r="C773" s="1">
        <v>152.95599999999999</v>
      </c>
    </row>
    <row r="774" spans="1:3" x14ac:dyDescent="0.2">
      <c r="A774" s="2">
        <v>45321</v>
      </c>
      <c r="B774" s="1" t="s">
        <v>9</v>
      </c>
      <c r="C774" s="1">
        <v>150.91300000000001</v>
      </c>
    </row>
    <row r="775" spans="1:3" x14ac:dyDescent="0.2">
      <c r="A775" s="2">
        <v>45322</v>
      </c>
      <c r="B775" s="1" t="s">
        <v>9</v>
      </c>
      <c r="C775" s="1">
        <v>139.59399999999999</v>
      </c>
    </row>
    <row r="776" spans="1:3" x14ac:dyDescent="0.2">
      <c r="A776" s="2">
        <v>45323</v>
      </c>
      <c r="B776" s="1" t="s">
        <v>9</v>
      </c>
      <c r="C776" s="1">
        <v>140.65</v>
      </c>
    </row>
    <row r="777" spans="1:3" x14ac:dyDescent="0.2">
      <c r="A777" s="2">
        <v>45324</v>
      </c>
      <c r="B777" s="1" t="s">
        <v>9</v>
      </c>
      <c r="C777" s="1">
        <v>141.86600000000001</v>
      </c>
    </row>
    <row r="778" spans="1:3" x14ac:dyDescent="0.2">
      <c r="A778" s="2">
        <v>45327</v>
      </c>
      <c r="B778" s="1" t="s">
        <v>9</v>
      </c>
      <c r="C778" s="1">
        <v>143.161</v>
      </c>
    </row>
    <row r="779" spans="1:3" x14ac:dyDescent="0.2">
      <c r="A779" s="2">
        <v>45328</v>
      </c>
      <c r="B779" s="1" t="s">
        <v>9</v>
      </c>
      <c r="C779" s="1">
        <v>143.57900000000001</v>
      </c>
    </row>
    <row r="780" spans="1:3" x14ac:dyDescent="0.2">
      <c r="A780" s="2">
        <v>45329</v>
      </c>
      <c r="B780" s="1" t="s">
        <v>9</v>
      </c>
      <c r="C780" s="1">
        <v>145.01400000000001</v>
      </c>
    </row>
    <row r="781" spans="1:3" x14ac:dyDescent="0.2">
      <c r="A781" s="2">
        <v>45330</v>
      </c>
      <c r="B781" s="1" t="s">
        <v>9</v>
      </c>
      <c r="C781" s="1">
        <v>145.38300000000001</v>
      </c>
    </row>
    <row r="782" spans="1:3" x14ac:dyDescent="0.2">
      <c r="A782" s="2">
        <v>45331</v>
      </c>
      <c r="B782" s="1" t="s">
        <v>9</v>
      </c>
      <c r="C782" s="1">
        <v>148.46199999999999</v>
      </c>
    </row>
    <row r="783" spans="1:3" x14ac:dyDescent="0.2">
      <c r="A783" s="2">
        <v>45334</v>
      </c>
      <c r="B783" s="1" t="s">
        <v>9</v>
      </c>
      <c r="C783" s="1">
        <v>146.99799999999999</v>
      </c>
    </row>
    <row r="784" spans="1:3" x14ac:dyDescent="0.2">
      <c r="A784" s="2">
        <v>45335</v>
      </c>
      <c r="B784" s="1" t="s">
        <v>9</v>
      </c>
      <c r="C784" s="1">
        <v>144.61600000000001</v>
      </c>
    </row>
    <row r="785" spans="1:3" x14ac:dyDescent="0.2">
      <c r="A785" s="2">
        <v>45336</v>
      </c>
      <c r="B785" s="1" t="s">
        <v>9</v>
      </c>
      <c r="C785" s="1">
        <v>145.41300000000001</v>
      </c>
    </row>
    <row r="786" spans="1:3" x14ac:dyDescent="0.2">
      <c r="A786" s="2">
        <v>45337</v>
      </c>
      <c r="B786" s="1" t="s">
        <v>9</v>
      </c>
      <c r="C786" s="1">
        <v>142.25399999999999</v>
      </c>
    </row>
    <row r="787" spans="1:3" x14ac:dyDescent="0.2">
      <c r="A787" s="2">
        <v>45338</v>
      </c>
      <c r="B787" s="1" t="s">
        <v>9</v>
      </c>
      <c r="C787" s="1">
        <v>140.01300000000001</v>
      </c>
    </row>
    <row r="788" spans="1:3" x14ac:dyDescent="0.2">
      <c r="A788" s="2">
        <v>45342</v>
      </c>
      <c r="B788" s="1" t="s">
        <v>9</v>
      </c>
      <c r="C788" s="1">
        <v>140.61000000000001</v>
      </c>
    </row>
    <row r="789" spans="1:3" x14ac:dyDescent="0.2">
      <c r="A789" s="2">
        <v>45343</v>
      </c>
      <c r="B789" s="1" t="s">
        <v>9</v>
      </c>
      <c r="C789" s="1">
        <v>142.035</v>
      </c>
    </row>
    <row r="790" spans="1:3" x14ac:dyDescent="0.2">
      <c r="A790" s="2">
        <v>45344</v>
      </c>
      <c r="B790" s="1" t="s">
        <v>9</v>
      </c>
      <c r="C790" s="1">
        <v>143.56899999999999</v>
      </c>
    </row>
    <row r="791" spans="1:3" x14ac:dyDescent="0.2">
      <c r="A791" s="2">
        <v>45345</v>
      </c>
      <c r="B791" s="1" t="s">
        <v>9</v>
      </c>
      <c r="C791" s="1">
        <v>143.44</v>
      </c>
    </row>
    <row r="792" spans="1:3" x14ac:dyDescent="0.2">
      <c r="A792" s="2">
        <v>45348</v>
      </c>
      <c r="B792" s="1" t="s">
        <v>9</v>
      </c>
      <c r="C792" s="1">
        <v>137.07300000000001</v>
      </c>
    </row>
    <row r="793" spans="1:3" x14ac:dyDescent="0.2">
      <c r="A793" s="2">
        <v>45349</v>
      </c>
      <c r="B793" s="1" t="s">
        <v>9</v>
      </c>
      <c r="C793" s="1">
        <v>138.37799999999999</v>
      </c>
    </row>
    <row r="794" spans="1:3" x14ac:dyDescent="0.2">
      <c r="A794" s="2">
        <v>45350</v>
      </c>
      <c r="B794" s="1" t="s">
        <v>9</v>
      </c>
      <c r="C794" s="1">
        <v>135.887</v>
      </c>
    </row>
    <row r="795" spans="1:3" x14ac:dyDescent="0.2">
      <c r="A795" s="2">
        <v>45351</v>
      </c>
      <c r="B795" s="1" t="s">
        <v>9</v>
      </c>
      <c r="C795" s="1">
        <v>137.96</v>
      </c>
    </row>
    <row r="796" spans="1:3" x14ac:dyDescent="0.2">
      <c r="A796" s="2">
        <v>45352</v>
      </c>
      <c r="B796" s="1" t="s">
        <v>9</v>
      </c>
      <c r="C796" s="1">
        <v>136.64400000000001</v>
      </c>
    </row>
    <row r="797" spans="1:3" x14ac:dyDescent="0.2">
      <c r="A797" s="2">
        <v>45355</v>
      </c>
      <c r="B797" s="1" t="s">
        <v>9</v>
      </c>
      <c r="C797" s="1">
        <v>132.86799999999999</v>
      </c>
    </row>
    <row r="798" spans="1:3" x14ac:dyDescent="0.2">
      <c r="A798" s="2">
        <v>45356</v>
      </c>
      <c r="B798" s="1" t="s">
        <v>9</v>
      </c>
      <c r="C798" s="1">
        <v>132.191</v>
      </c>
    </row>
    <row r="799" spans="1:3" x14ac:dyDescent="0.2">
      <c r="A799" s="2">
        <v>45357</v>
      </c>
      <c r="B799" s="1" t="s">
        <v>9</v>
      </c>
      <c r="C799" s="1">
        <v>130.92500000000001</v>
      </c>
    </row>
    <row r="800" spans="1:3" x14ac:dyDescent="0.2">
      <c r="A800" s="2">
        <v>45358</v>
      </c>
      <c r="B800" s="1" t="s">
        <v>9</v>
      </c>
      <c r="C800" s="1">
        <v>133.89500000000001</v>
      </c>
    </row>
    <row r="801" spans="1:3" x14ac:dyDescent="0.2">
      <c r="A801" s="2">
        <v>45359</v>
      </c>
      <c r="B801" s="1" t="s">
        <v>9</v>
      </c>
      <c r="C801" s="1">
        <v>134.92099999999999</v>
      </c>
    </row>
    <row r="802" spans="1:3" x14ac:dyDescent="0.2">
      <c r="A802" s="2">
        <v>45362</v>
      </c>
      <c r="B802" s="1" t="s">
        <v>9</v>
      </c>
      <c r="C802" s="1">
        <v>137.173</v>
      </c>
    </row>
    <row r="803" spans="1:3" x14ac:dyDescent="0.2">
      <c r="A803" s="2">
        <v>45363</v>
      </c>
      <c r="B803" s="1" t="s">
        <v>9</v>
      </c>
      <c r="C803" s="1">
        <v>138</v>
      </c>
    </row>
    <row r="804" spans="1:3" x14ac:dyDescent="0.2">
      <c r="A804" s="2">
        <v>45364</v>
      </c>
      <c r="B804" s="1" t="s">
        <v>9</v>
      </c>
      <c r="C804" s="1">
        <v>139.285</v>
      </c>
    </row>
    <row r="805" spans="1:3" x14ac:dyDescent="0.2">
      <c r="A805" s="2">
        <v>45365</v>
      </c>
      <c r="B805" s="1" t="s">
        <v>9</v>
      </c>
      <c r="C805" s="1">
        <v>142.584</v>
      </c>
    </row>
    <row r="806" spans="1:3" x14ac:dyDescent="0.2">
      <c r="A806" s="2">
        <v>45366</v>
      </c>
      <c r="B806" s="1" t="s">
        <v>9</v>
      </c>
      <c r="C806" s="1">
        <v>140.66999999999999</v>
      </c>
    </row>
    <row r="807" spans="1:3" x14ac:dyDescent="0.2">
      <c r="A807" s="2">
        <v>45369</v>
      </c>
      <c r="B807" s="1" t="s">
        <v>9</v>
      </c>
      <c r="C807" s="1">
        <v>147.14699999999999</v>
      </c>
    </row>
    <row r="808" spans="1:3" x14ac:dyDescent="0.2">
      <c r="A808" s="2">
        <v>45370</v>
      </c>
      <c r="B808" s="1" t="s">
        <v>9</v>
      </c>
      <c r="C808" s="1">
        <v>146.49799999999999</v>
      </c>
    </row>
    <row r="809" spans="1:3" x14ac:dyDescent="0.2">
      <c r="A809" s="2">
        <v>45371</v>
      </c>
      <c r="B809" s="1" t="s">
        <v>9</v>
      </c>
      <c r="C809" s="1">
        <v>148.202</v>
      </c>
    </row>
    <row r="810" spans="1:3" x14ac:dyDescent="0.2">
      <c r="A810" s="2">
        <v>45372</v>
      </c>
      <c r="B810" s="1" t="s">
        <v>9</v>
      </c>
      <c r="C810" s="1">
        <v>147.06700000000001</v>
      </c>
    </row>
    <row r="811" spans="1:3" x14ac:dyDescent="0.2">
      <c r="A811" s="2">
        <v>45373</v>
      </c>
      <c r="B811" s="1" t="s">
        <v>9</v>
      </c>
      <c r="C811" s="1">
        <v>150.22499999999999</v>
      </c>
    </row>
    <row r="812" spans="1:3" x14ac:dyDescent="0.2">
      <c r="A812" s="2">
        <v>45376</v>
      </c>
      <c r="B812" s="1" t="s">
        <v>9</v>
      </c>
      <c r="C812" s="1">
        <v>149.52799999999999</v>
      </c>
    </row>
    <row r="813" spans="1:3" x14ac:dyDescent="0.2">
      <c r="A813" s="2">
        <v>45377</v>
      </c>
      <c r="B813" s="1" t="s">
        <v>9</v>
      </c>
      <c r="C813" s="1">
        <v>150.126</v>
      </c>
    </row>
    <row r="814" spans="1:3" x14ac:dyDescent="0.2">
      <c r="A814" s="2">
        <v>45378</v>
      </c>
      <c r="B814" s="1" t="s">
        <v>9</v>
      </c>
      <c r="C814" s="1">
        <v>150.32499999999999</v>
      </c>
    </row>
    <row r="815" spans="1:3" x14ac:dyDescent="0.2">
      <c r="A815" s="2">
        <v>45379</v>
      </c>
      <c r="B815" s="1" t="s">
        <v>9</v>
      </c>
      <c r="C815" s="1">
        <v>150.38499999999999</v>
      </c>
    </row>
    <row r="816" spans="1:3" x14ac:dyDescent="0.2">
      <c r="A816" s="2">
        <v>45383</v>
      </c>
      <c r="B816" s="1" t="s">
        <v>9</v>
      </c>
      <c r="C816" s="1">
        <v>154.928</v>
      </c>
    </row>
    <row r="817" spans="1:3" x14ac:dyDescent="0.2">
      <c r="A817" s="2">
        <v>45384</v>
      </c>
      <c r="B817" s="1" t="s">
        <v>9</v>
      </c>
      <c r="C817" s="1">
        <v>154.00200000000001</v>
      </c>
    </row>
    <row r="818" spans="1:3" x14ac:dyDescent="0.2">
      <c r="A818" s="2">
        <v>45385</v>
      </c>
      <c r="B818" s="1" t="s">
        <v>9</v>
      </c>
      <c r="C818" s="1">
        <v>154.36000000000001</v>
      </c>
    </row>
    <row r="819" spans="1:3" x14ac:dyDescent="0.2">
      <c r="A819" s="2">
        <v>45386</v>
      </c>
      <c r="B819" s="1" t="s">
        <v>9</v>
      </c>
      <c r="C819" s="1">
        <v>149.98599999999999</v>
      </c>
    </row>
    <row r="820" spans="1:3" x14ac:dyDescent="0.2">
      <c r="A820" s="2">
        <v>45387</v>
      </c>
      <c r="B820" s="1" t="s">
        <v>9</v>
      </c>
      <c r="C820" s="1">
        <v>151.94900000000001</v>
      </c>
    </row>
    <row r="821" spans="1:3" x14ac:dyDescent="0.2">
      <c r="A821" s="2">
        <v>45390</v>
      </c>
      <c r="B821" s="1" t="s">
        <v>9</v>
      </c>
      <c r="C821" s="1">
        <v>154.29</v>
      </c>
    </row>
    <row r="822" spans="1:3" x14ac:dyDescent="0.2">
      <c r="A822" s="2">
        <v>45391</v>
      </c>
      <c r="B822" s="1" t="s">
        <v>9</v>
      </c>
      <c r="C822" s="1">
        <v>156.03399999999999</v>
      </c>
    </row>
    <row r="823" spans="1:3" x14ac:dyDescent="0.2">
      <c r="A823" s="2">
        <v>45392</v>
      </c>
      <c r="B823" s="1" t="s">
        <v>9</v>
      </c>
      <c r="C823" s="1">
        <v>155.57599999999999</v>
      </c>
    </row>
    <row r="824" spans="1:3" x14ac:dyDescent="0.2">
      <c r="A824" s="2">
        <v>45393</v>
      </c>
      <c r="B824" s="1" t="s">
        <v>9</v>
      </c>
      <c r="C824" s="1">
        <v>158.834</v>
      </c>
    </row>
    <row r="825" spans="1:3" x14ac:dyDescent="0.2">
      <c r="A825" s="2">
        <v>45394</v>
      </c>
      <c r="B825" s="1" t="s">
        <v>9</v>
      </c>
      <c r="C825" s="1">
        <v>157.16</v>
      </c>
    </row>
    <row r="826" spans="1:3" x14ac:dyDescent="0.2">
      <c r="A826" s="2">
        <v>45397</v>
      </c>
      <c r="B826" s="1" t="s">
        <v>9</v>
      </c>
      <c r="C826" s="1">
        <v>154.30000000000001</v>
      </c>
    </row>
    <row r="827" spans="1:3" x14ac:dyDescent="0.2">
      <c r="A827" s="2">
        <v>45398</v>
      </c>
      <c r="B827" s="1" t="s">
        <v>9</v>
      </c>
      <c r="C827" s="1">
        <v>153.84299999999999</v>
      </c>
    </row>
    <row r="828" spans="1:3" x14ac:dyDescent="0.2">
      <c r="A828" s="2">
        <v>45399</v>
      </c>
      <c r="B828" s="1" t="s">
        <v>9</v>
      </c>
      <c r="C828" s="1">
        <v>154.90799999999999</v>
      </c>
    </row>
    <row r="829" spans="1:3" x14ac:dyDescent="0.2">
      <c r="A829" s="2">
        <v>45400</v>
      </c>
      <c r="B829" s="1" t="s">
        <v>9</v>
      </c>
      <c r="C829" s="1">
        <v>155.446</v>
      </c>
    </row>
    <row r="830" spans="1:3" x14ac:dyDescent="0.2">
      <c r="A830" s="2">
        <v>45401</v>
      </c>
      <c r="B830" s="1" t="s">
        <v>9</v>
      </c>
      <c r="C830" s="1">
        <v>153.553</v>
      </c>
    </row>
    <row r="831" spans="1:3" x14ac:dyDescent="0.2">
      <c r="A831" s="2">
        <v>45404</v>
      </c>
      <c r="B831" s="1" t="s">
        <v>9</v>
      </c>
      <c r="C831" s="1">
        <v>155.71600000000001</v>
      </c>
    </row>
    <row r="832" spans="1:3" x14ac:dyDescent="0.2">
      <c r="A832" s="2">
        <v>45405</v>
      </c>
      <c r="B832" s="1" t="s">
        <v>9</v>
      </c>
      <c r="C832" s="1">
        <v>157.68899999999999</v>
      </c>
    </row>
    <row r="833" spans="1:3" x14ac:dyDescent="0.2">
      <c r="A833" s="2">
        <v>45406</v>
      </c>
      <c r="B833" s="1" t="s">
        <v>9</v>
      </c>
      <c r="C833" s="1">
        <v>158.55500000000001</v>
      </c>
    </row>
    <row r="834" spans="1:3" x14ac:dyDescent="0.2">
      <c r="A834" s="2">
        <v>45407</v>
      </c>
      <c r="B834" s="1" t="s">
        <v>9</v>
      </c>
      <c r="C834" s="1">
        <v>155.43700000000001</v>
      </c>
    </row>
    <row r="835" spans="1:3" x14ac:dyDescent="0.2">
      <c r="A835" s="2">
        <v>45408</v>
      </c>
      <c r="B835" s="1" t="s">
        <v>9</v>
      </c>
      <c r="C835" s="1">
        <v>171.32900000000001</v>
      </c>
    </row>
    <row r="836" spans="1:3" x14ac:dyDescent="0.2">
      <c r="A836" s="2">
        <v>45411</v>
      </c>
      <c r="B836" s="1" t="s">
        <v>9</v>
      </c>
      <c r="C836" s="1">
        <v>165.55</v>
      </c>
    </row>
    <row r="837" spans="1:3" x14ac:dyDescent="0.2">
      <c r="A837" s="2">
        <v>45412</v>
      </c>
      <c r="B837" s="1" t="s">
        <v>9</v>
      </c>
      <c r="C837" s="1">
        <v>162.19200000000001</v>
      </c>
    </row>
    <row r="838" spans="1:3" x14ac:dyDescent="0.2">
      <c r="A838" s="2">
        <v>45413</v>
      </c>
      <c r="B838" s="1" t="s">
        <v>9</v>
      </c>
      <c r="C838" s="1">
        <v>163.268</v>
      </c>
    </row>
    <row r="839" spans="1:3" x14ac:dyDescent="0.2">
      <c r="A839" s="2">
        <v>45414</v>
      </c>
      <c r="B839" s="1" t="s">
        <v>9</v>
      </c>
      <c r="C839" s="1">
        <v>166.018</v>
      </c>
    </row>
    <row r="840" spans="1:3" x14ac:dyDescent="0.2">
      <c r="A840" s="2">
        <v>45415</v>
      </c>
      <c r="B840" s="1" t="s">
        <v>9</v>
      </c>
      <c r="C840" s="1">
        <v>166.636</v>
      </c>
    </row>
    <row r="841" spans="1:3" x14ac:dyDescent="0.2">
      <c r="A841" s="2">
        <v>45418</v>
      </c>
      <c r="B841" s="1" t="s">
        <v>9</v>
      </c>
      <c r="C841" s="1">
        <v>167.49199999999999</v>
      </c>
    </row>
    <row r="842" spans="1:3" x14ac:dyDescent="0.2">
      <c r="A842" s="2">
        <v>45419</v>
      </c>
      <c r="B842" s="1" t="s">
        <v>9</v>
      </c>
      <c r="C842" s="1">
        <v>170.631</v>
      </c>
    </row>
    <row r="843" spans="1:3" x14ac:dyDescent="0.2">
      <c r="A843" s="2">
        <v>45420</v>
      </c>
      <c r="B843" s="1" t="s">
        <v>9</v>
      </c>
      <c r="C843" s="1">
        <v>168.76900000000001</v>
      </c>
    </row>
    <row r="844" spans="1:3" x14ac:dyDescent="0.2">
      <c r="A844" s="2">
        <v>45421</v>
      </c>
      <c r="B844" s="1" t="s">
        <v>9</v>
      </c>
      <c r="C844" s="1">
        <v>169.346</v>
      </c>
    </row>
    <row r="845" spans="1:3" x14ac:dyDescent="0.2">
      <c r="A845" s="2">
        <v>45422</v>
      </c>
      <c r="B845" s="1" t="s">
        <v>9</v>
      </c>
      <c r="C845" s="1">
        <v>168.041</v>
      </c>
    </row>
    <row r="846" spans="1:3" x14ac:dyDescent="0.2">
      <c r="A846" s="2">
        <v>45425</v>
      </c>
      <c r="B846" s="1" t="s">
        <v>9</v>
      </c>
      <c r="C846" s="1">
        <v>168.529</v>
      </c>
    </row>
    <row r="847" spans="1:3" x14ac:dyDescent="0.2">
      <c r="A847" s="2">
        <v>45426</v>
      </c>
      <c r="B847" s="1" t="s">
        <v>9</v>
      </c>
      <c r="C847" s="1">
        <v>169.72499999999999</v>
      </c>
    </row>
    <row r="848" spans="1:3" x14ac:dyDescent="0.2">
      <c r="A848" s="2">
        <v>45427</v>
      </c>
      <c r="B848" s="1" t="s">
        <v>9</v>
      </c>
      <c r="C848" s="1">
        <v>171.887</v>
      </c>
    </row>
    <row r="849" spans="1:3" x14ac:dyDescent="0.2">
      <c r="A849" s="2">
        <v>45428</v>
      </c>
      <c r="B849" s="1" t="s">
        <v>9</v>
      </c>
      <c r="C849" s="1">
        <v>173.55</v>
      </c>
    </row>
    <row r="850" spans="1:3" x14ac:dyDescent="0.2">
      <c r="A850" s="2">
        <v>45429</v>
      </c>
      <c r="B850" s="1" t="s">
        <v>9</v>
      </c>
      <c r="C850" s="1">
        <v>175.42400000000001</v>
      </c>
    </row>
    <row r="851" spans="1:3" x14ac:dyDescent="0.2">
      <c r="A851" s="2">
        <v>45432</v>
      </c>
      <c r="B851" s="1" t="s">
        <v>9</v>
      </c>
      <c r="C851" s="1">
        <v>176.28100000000001</v>
      </c>
    </row>
    <row r="852" spans="1:3" x14ac:dyDescent="0.2">
      <c r="A852" s="2">
        <v>45433</v>
      </c>
      <c r="B852" s="1" t="s">
        <v>9</v>
      </c>
      <c r="C852" s="1">
        <v>177.208</v>
      </c>
    </row>
    <row r="853" spans="1:3" x14ac:dyDescent="0.2">
      <c r="A853" s="2">
        <v>45434</v>
      </c>
      <c r="B853" s="1" t="s">
        <v>9</v>
      </c>
      <c r="C853" s="1">
        <v>175.744</v>
      </c>
    </row>
    <row r="854" spans="1:3" x14ac:dyDescent="0.2">
      <c r="A854" s="2">
        <v>45435</v>
      </c>
      <c r="B854" s="1" t="s">
        <v>9</v>
      </c>
      <c r="C854" s="1">
        <v>172.923</v>
      </c>
    </row>
    <row r="855" spans="1:3" x14ac:dyDescent="0.2">
      <c r="A855" s="2">
        <v>45436</v>
      </c>
      <c r="B855" s="1" t="s">
        <v>9</v>
      </c>
      <c r="C855" s="1">
        <v>174.357</v>
      </c>
    </row>
    <row r="856" spans="1:3" x14ac:dyDescent="0.2">
      <c r="A856" s="2">
        <v>45440</v>
      </c>
      <c r="B856" s="1" t="s">
        <v>9</v>
      </c>
      <c r="C856" s="1">
        <v>175.76400000000001</v>
      </c>
    </row>
    <row r="857" spans="1:3" x14ac:dyDescent="0.2">
      <c r="A857" s="2">
        <v>45441</v>
      </c>
      <c r="B857" s="1" t="s">
        <v>9</v>
      </c>
      <c r="C857" s="1">
        <v>175.26400000000001</v>
      </c>
    </row>
    <row r="858" spans="1:3" x14ac:dyDescent="0.2">
      <c r="A858" s="2">
        <v>45442</v>
      </c>
      <c r="B858" s="1" t="s">
        <v>9</v>
      </c>
      <c r="C858" s="1">
        <v>171.488</v>
      </c>
    </row>
    <row r="859" spans="1:3" x14ac:dyDescent="0.2">
      <c r="A859" s="2">
        <v>45443</v>
      </c>
      <c r="B859" s="1" t="s">
        <v>9</v>
      </c>
      <c r="C859" s="1">
        <v>171.87700000000001</v>
      </c>
    </row>
    <row r="860" spans="1:3" x14ac:dyDescent="0.2">
      <c r="A860" s="2">
        <v>45446</v>
      </c>
      <c r="B860" s="1" t="s">
        <v>9</v>
      </c>
      <c r="C860" s="1">
        <v>172.54400000000001</v>
      </c>
    </row>
    <row r="861" spans="1:3" x14ac:dyDescent="0.2">
      <c r="A861" s="2">
        <v>45447</v>
      </c>
      <c r="B861" s="1" t="s">
        <v>9</v>
      </c>
      <c r="C861" s="1">
        <v>173.16300000000001</v>
      </c>
    </row>
    <row r="862" spans="1:3" x14ac:dyDescent="0.2">
      <c r="A862" s="2">
        <v>45448</v>
      </c>
      <c r="B862" s="1" t="s">
        <v>9</v>
      </c>
      <c r="C862" s="1">
        <v>174.77699999999999</v>
      </c>
    </row>
    <row r="863" spans="1:3" x14ac:dyDescent="0.2">
      <c r="A863" s="2">
        <v>45449</v>
      </c>
      <c r="B863" s="1" t="s">
        <v>9</v>
      </c>
      <c r="C863" s="1">
        <v>176.09100000000001</v>
      </c>
    </row>
    <row r="864" spans="1:3" x14ac:dyDescent="0.2">
      <c r="A864" s="2">
        <v>45450</v>
      </c>
      <c r="B864" s="1" t="s">
        <v>9</v>
      </c>
      <c r="C864" s="1">
        <v>173.83</v>
      </c>
    </row>
    <row r="865" spans="1:3" x14ac:dyDescent="0.2">
      <c r="A865" s="2">
        <v>45453</v>
      </c>
      <c r="B865" s="1" t="s">
        <v>9</v>
      </c>
      <c r="C865" s="1">
        <v>174.578</v>
      </c>
    </row>
    <row r="866" spans="1:3" x14ac:dyDescent="0.2">
      <c r="A866" s="2">
        <v>45454</v>
      </c>
      <c r="B866" s="1" t="s">
        <v>9</v>
      </c>
      <c r="C866" s="1">
        <v>176.184</v>
      </c>
    </row>
    <row r="867" spans="1:3" x14ac:dyDescent="0.2">
      <c r="A867" s="2">
        <v>45455</v>
      </c>
      <c r="B867" s="1" t="s">
        <v>9</v>
      </c>
      <c r="C867" s="1">
        <v>177.351</v>
      </c>
    </row>
    <row r="868" spans="1:3" x14ac:dyDescent="0.2">
      <c r="A868" s="2">
        <v>45456</v>
      </c>
      <c r="B868" s="1" t="s">
        <v>9</v>
      </c>
      <c r="C868" s="1">
        <v>174.72800000000001</v>
      </c>
    </row>
    <row r="869" spans="1:3" x14ac:dyDescent="0.2">
      <c r="A869" s="2">
        <v>45457</v>
      </c>
      <c r="B869" s="1" t="s">
        <v>9</v>
      </c>
      <c r="C869" s="1">
        <v>176.35400000000001</v>
      </c>
    </row>
    <row r="870" spans="1:3" x14ac:dyDescent="0.2">
      <c r="A870" s="2">
        <v>45460</v>
      </c>
      <c r="B870" s="1" t="s">
        <v>9</v>
      </c>
      <c r="C870" s="1">
        <v>176.80199999999999</v>
      </c>
    </row>
    <row r="871" spans="1:3" x14ac:dyDescent="0.2">
      <c r="A871" s="2">
        <v>45461</v>
      </c>
      <c r="B871" s="1" t="s">
        <v>9</v>
      </c>
      <c r="C871" s="1">
        <v>174.65799999999999</v>
      </c>
    </row>
    <row r="872" spans="1:3" x14ac:dyDescent="0.2">
      <c r="A872" s="2">
        <v>45463</v>
      </c>
      <c r="B872" s="1" t="s">
        <v>9</v>
      </c>
      <c r="C872" s="1">
        <v>175.864</v>
      </c>
    </row>
    <row r="873" spans="1:3" x14ac:dyDescent="0.2">
      <c r="A873" s="2">
        <v>45464</v>
      </c>
      <c r="B873" s="1" t="s">
        <v>9</v>
      </c>
      <c r="C873" s="1">
        <v>179.18700000000001</v>
      </c>
    </row>
    <row r="874" spans="1:3" x14ac:dyDescent="0.2">
      <c r="A874" s="2">
        <v>45467</v>
      </c>
      <c r="B874" s="1" t="s">
        <v>9</v>
      </c>
      <c r="C874" s="1">
        <v>178.77699999999999</v>
      </c>
    </row>
    <row r="875" spans="1:3" x14ac:dyDescent="0.2">
      <c r="A875" s="2">
        <v>45468</v>
      </c>
      <c r="B875" s="1" t="s">
        <v>9</v>
      </c>
      <c r="C875" s="1">
        <v>183.57599999999999</v>
      </c>
    </row>
    <row r="876" spans="1:3" x14ac:dyDescent="0.2">
      <c r="A876" s="2">
        <v>45469</v>
      </c>
      <c r="B876" s="1" t="s">
        <v>9</v>
      </c>
      <c r="C876" s="1">
        <v>183.42599999999999</v>
      </c>
    </row>
    <row r="877" spans="1:3" x14ac:dyDescent="0.2">
      <c r="A877" s="2">
        <v>45470</v>
      </c>
      <c r="B877" s="1" t="s">
        <v>9</v>
      </c>
      <c r="C877" s="1">
        <v>184.952</v>
      </c>
    </row>
    <row r="878" spans="1:3" x14ac:dyDescent="0.2">
      <c r="A878" s="2">
        <v>45471</v>
      </c>
      <c r="B878" s="1" t="s">
        <v>9</v>
      </c>
      <c r="C878" s="1">
        <v>181.70099999999999</v>
      </c>
    </row>
    <row r="879" spans="1:3" x14ac:dyDescent="0.2">
      <c r="A879" s="2">
        <v>45474</v>
      </c>
      <c r="B879" s="1" t="s">
        <v>9</v>
      </c>
      <c r="C879" s="1">
        <v>182.53899999999999</v>
      </c>
    </row>
    <row r="880" spans="1:3" x14ac:dyDescent="0.2">
      <c r="A880" s="2">
        <v>45475</v>
      </c>
      <c r="B880" s="1" t="s">
        <v>9</v>
      </c>
      <c r="C880" s="1">
        <v>184.78299999999999</v>
      </c>
    </row>
    <row r="881" spans="1:3" x14ac:dyDescent="0.2">
      <c r="A881" s="2">
        <v>45476</v>
      </c>
      <c r="B881" s="1" t="s">
        <v>9</v>
      </c>
      <c r="C881" s="1">
        <v>185.36199999999999</v>
      </c>
    </row>
    <row r="882" spans="1:3" x14ac:dyDescent="0.2">
      <c r="A882" s="2">
        <v>45478</v>
      </c>
      <c r="B882" s="1" t="s">
        <v>9</v>
      </c>
      <c r="C882" s="1">
        <v>190.12899999999999</v>
      </c>
    </row>
    <row r="883" spans="1:3" x14ac:dyDescent="0.2">
      <c r="A883" s="2">
        <v>45481</v>
      </c>
      <c r="B883" s="1" t="s">
        <v>9</v>
      </c>
      <c r="C883" s="1">
        <v>188.56299999999999</v>
      </c>
    </row>
    <row r="884" spans="1:3" x14ac:dyDescent="0.2">
      <c r="A884" s="2">
        <v>45482</v>
      </c>
      <c r="B884" s="1" t="s">
        <v>9</v>
      </c>
      <c r="C884" s="1">
        <v>188.51400000000001</v>
      </c>
    </row>
    <row r="885" spans="1:3" x14ac:dyDescent="0.2">
      <c r="A885" s="2">
        <v>45483</v>
      </c>
      <c r="B885" s="1" t="s">
        <v>9</v>
      </c>
      <c r="C885" s="1">
        <v>190.708</v>
      </c>
    </row>
    <row r="886" spans="1:3" x14ac:dyDescent="0.2">
      <c r="A886" s="2">
        <v>45484</v>
      </c>
      <c r="B886" s="1" t="s">
        <v>9</v>
      </c>
      <c r="C886" s="1">
        <v>185.11199999999999</v>
      </c>
    </row>
    <row r="887" spans="1:3" x14ac:dyDescent="0.2">
      <c r="A887" s="2">
        <v>45485</v>
      </c>
      <c r="B887" s="1" t="s">
        <v>9</v>
      </c>
      <c r="C887" s="1">
        <v>184.613</v>
      </c>
    </row>
    <row r="888" spans="1:3" x14ac:dyDescent="0.2">
      <c r="A888" s="2">
        <v>45488</v>
      </c>
      <c r="B888" s="1" t="s">
        <v>9</v>
      </c>
      <c r="C888" s="1">
        <v>186.07</v>
      </c>
    </row>
    <row r="889" spans="1:3" x14ac:dyDescent="0.2">
      <c r="A889" s="2">
        <v>45489</v>
      </c>
      <c r="B889" s="1" t="s">
        <v>9</v>
      </c>
      <c r="C889" s="1">
        <v>183.46600000000001</v>
      </c>
    </row>
    <row r="890" spans="1:3" x14ac:dyDescent="0.2">
      <c r="A890" s="2">
        <v>45490</v>
      </c>
      <c r="B890" s="1" t="s">
        <v>9</v>
      </c>
      <c r="C890" s="1">
        <v>180.57300000000001</v>
      </c>
    </row>
    <row r="891" spans="1:3" x14ac:dyDescent="0.2">
      <c r="A891" s="2">
        <v>45491</v>
      </c>
      <c r="B891" s="1" t="s">
        <v>9</v>
      </c>
      <c r="C891" s="1">
        <v>177.25200000000001</v>
      </c>
    </row>
    <row r="892" spans="1:3" x14ac:dyDescent="0.2">
      <c r="A892" s="2">
        <v>45492</v>
      </c>
      <c r="B892" s="1" t="s">
        <v>9</v>
      </c>
      <c r="C892" s="1">
        <v>177.22200000000001</v>
      </c>
    </row>
    <row r="893" spans="1:3" x14ac:dyDescent="0.2">
      <c r="A893" s="2">
        <v>45495</v>
      </c>
      <c r="B893" s="1" t="s">
        <v>9</v>
      </c>
      <c r="C893" s="1">
        <v>181.221</v>
      </c>
    </row>
    <row r="894" spans="1:3" x14ac:dyDescent="0.2">
      <c r="A894" s="2">
        <v>45496</v>
      </c>
      <c r="B894" s="1" t="s">
        <v>9</v>
      </c>
      <c r="C894" s="1">
        <v>181.34100000000001</v>
      </c>
    </row>
    <row r="895" spans="1:3" x14ac:dyDescent="0.2">
      <c r="A895" s="2">
        <v>45497</v>
      </c>
      <c r="B895" s="1" t="s">
        <v>9</v>
      </c>
      <c r="C895" s="1">
        <v>172.20400000000001</v>
      </c>
    </row>
    <row r="896" spans="1:3" x14ac:dyDescent="0.2">
      <c r="A896" s="2">
        <v>45498</v>
      </c>
      <c r="B896" s="1" t="s">
        <v>9</v>
      </c>
      <c r="C896" s="1">
        <v>166.86699999999999</v>
      </c>
    </row>
    <row r="897" spans="1:3" x14ac:dyDescent="0.2">
      <c r="A897" s="2">
        <v>45499</v>
      </c>
      <c r="B897" s="1" t="s">
        <v>9</v>
      </c>
      <c r="C897" s="1">
        <v>166.58799999999999</v>
      </c>
    </row>
    <row r="898" spans="1:3" x14ac:dyDescent="0.2">
      <c r="A898" s="2">
        <v>45502</v>
      </c>
      <c r="B898" s="1" t="s">
        <v>9</v>
      </c>
      <c r="C898" s="1">
        <v>169.11099999999999</v>
      </c>
    </row>
    <row r="899" spans="1:3" x14ac:dyDescent="0.2">
      <c r="A899" s="2">
        <v>45503</v>
      </c>
      <c r="B899" s="1" t="s">
        <v>9</v>
      </c>
      <c r="C899" s="1">
        <v>169.869</v>
      </c>
    </row>
    <row r="900" spans="1:3" x14ac:dyDescent="0.2">
      <c r="A900" s="2">
        <v>45504</v>
      </c>
      <c r="B900" s="1" t="s">
        <v>9</v>
      </c>
      <c r="C900" s="1">
        <v>171.11699999999999</v>
      </c>
    </row>
    <row r="901" spans="1:3" x14ac:dyDescent="0.2">
      <c r="A901" s="2">
        <v>45505</v>
      </c>
      <c r="B901" s="1" t="s">
        <v>9</v>
      </c>
      <c r="C901" s="1">
        <v>170.339</v>
      </c>
    </row>
    <row r="902" spans="1:3" x14ac:dyDescent="0.2">
      <c r="A902" s="2">
        <v>45506</v>
      </c>
      <c r="B902" s="1" t="s">
        <v>9</v>
      </c>
      <c r="C902" s="1">
        <v>166.24799999999999</v>
      </c>
    </row>
    <row r="903" spans="1:3" x14ac:dyDescent="0.2">
      <c r="A903" s="2">
        <v>45509</v>
      </c>
      <c r="B903" s="1" t="s">
        <v>9</v>
      </c>
      <c r="C903" s="1">
        <v>158.857</v>
      </c>
    </row>
    <row r="904" spans="1:3" x14ac:dyDescent="0.2">
      <c r="A904" s="2">
        <v>45510</v>
      </c>
      <c r="B904" s="1" t="s">
        <v>9</v>
      </c>
      <c r="C904" s="1">
        <v>157.899</v>
      </c>
    </row>
    <row r="905" spans="1:3" x14ac:dyDescent="0.2">
      <c r="A905" s="2">
        <v>45511</v>
      </c>
      <c r="B905" s="1" t="s">
        <v>9</v>
      </c>
      <c r="C905" s="1">
        <v>158.547</v>
      </c>
    </row>
    <row r="906" spans="1:3" x14ac:dyDescent="0.2">
      <c r="A906" s="2">
        <v>45512</v>
      </c>
      <c r="B906" s="1" t="s">
        <v>9</v>
      </c>
      <c r="C906" s="1">
        <v>161.63</v>
      </c>
    </row>
    <row r="907" spans="1:3" x14ac:dyDescent="0.2">
      <c r="A907" s="2">
        <v>45513</v>
      </c>
      <c r="B907" s="1" t="s">
        <v>9</v>
      </c>
      <c r="C907" s="1">
        <v>163.26599999999999</v>
      </c>
    </row>
    <row r="908" spans="1:3" x14ac:dyDescent="0.2">
      <c r="A908" s="2">
        <v>45516</v>
      </c>
      <c r="B908" s="1" t="s">
        <v>9</v>
      </c>
      <c r="C908" s="1">
        <v>161.88900000000001</v>
      </c>
    </row>
    <row r="909" spans="1:3" x14ac:dyDescent="0.2">
      <c r="A909" s="2">
        <v>45517</v>
      </c>
      <c r="B909" s="1" t="s">
        <v>9</v>
      </c>
      <c r="C909" s="1">
        <v>163.75399999999999</v>
      </c>
    </row>
    <row r="910" spans="1:3" x14ac:dyDescent="0.2">
      <c r="A910" s="2">
        <v>45518</v>
      </c>
      <c r="B910" s="1" t="s">
        <v>9</v>
      </c>
      <c r="C910" s="1">
        <v>159.97399999999999</v>
      </c>
    </row>
    <row r="911" spans="1:3" x14ac:dyDescent="0.2">
      <c r="A911" s="2">
        <v>45519</v>
      </c>
      <c r="B911" s="1" t="s">
        <v>9</v>
      </c>
      <c r="C911" s="1">
        <v>160.90199999999999</v>
      </c>
    </row>
    <row r="912" spans="1:3" x14ac:dyDescent="0.2">
      <c r="A912" s="2">
        <v>45520</v>
      </c>
      <c r="B912" s="1" t="s">
        <v>9</v>
      </c>
      <c r="C912" s="1">
        <v>162.55799999999999</v>
      </c>
    </row>
    <row r="913" spans="1:3" x14ac:dyDescent="0.2">
      <c r="A913" s="2">
        <v>45523</v>
      </c>
      <c r="B913" s="1" t="s">
        <v>9</v>
      </c>
      <c r="C913" s="1">
        <v>166.25800000000001</v>
      </c>
    </row>
    <row r="914" spans="1:3" x14ac:dyDescent="0.2">
      <c r="A914" s="2">
        <v>45524</v>
      </c>
      <c r="B914" s="1" t="s">
        <v>9</v>
      </c>
      <c r="C914" s="1">
        <v>166.767</v>
      </c>
    </row>
    <row r="915" spans="1:3" x14ac:dyDescent="0.2">
      <c r="A915" s="2">
        <v>45525</v>
      </c>
      <c r="B915" s="1" t="s">
        <v>9</v>
      </c>
      <c r="C915" s="1">
        <v>165.44</v>
      </c>
    </row>
    <row r="916" spans="1:3" x14ac:dyDescent="0.2">
      <c r="A916" s="2">
        <v>45526</v>
      </c>
      <c r="B916" s="1" t="s">
        <v>9</v>
      </c>
      <c r="C916" s="1">
        <v>163.39599999999999</v>
      </c>
    </row>
    <row r="917" spans="1:3" x14ac:dyDescent="0.2">
      <c r="A917" s="2">
        <v>45527</v>
      </c>
      <c r="B917" s="1" t="s">
        <v>9</v>
      </c>
      <c r="C917" s="1">
        <v>165.21199999999999</v>
      </c>
    </row>
    <row r="918" spans="1:3" x14ac:dyDescent="0.2">
      <c r="A918" s="2">
        <v>45530</v>
      </c>
      <c r="B918" s="1" t="s">
        <v>9</v>
      </c>
      <c r="C918" s="1">
        <v>165.75</v>
      </c>
    </row>
    <row r="919" spans="1:3" x14ac:dyDescent="0.2">
      <c r="A919" s="2">
        <v>45531</v>
      </c>
      <c r="B919" s="1" t="s">
        <v>9</v>
      </c>
      <c r="C919" s="1">
        <v>164.274</v>
      </c>
    </row>
    <row r="920" spans="1:3" x14ac:dyDescent="0.2">
      <c r="A920" s="2">
        <v>45532</v>
      </c>
      <c r="B920" s="1" t="s">
        <v>9</v>
      </c>
      <c r="C920" s="1">
        <v>162.44800000000001</v>
      </c>
    </row>
    <row r="921" spans="1:3" x14ac:dyDescent="0.2">
      <c r="A921" s="2">
        <v>45533</v>
      </c>
      <c r="B921" s="1" t="s">
        <v>9</v>
      </c>
      <c r="C921" s="1">
        <v>161.381</v>
      </c>
    </row>
    <row r="922" spans="1:3" x14ac:dyDescent="0.2">
      <c r="A922" s="2">
        <v>45534</v>
      </c>
      <c r="B922" s="1" t="s">
        <v>9</v>
      </c>
      <c r="C922" s="1">
        <v>162.976</v>
      </c>
    </row>
    <row r="923" spans="1:3" x14ac:dyDescent="0.2">
      <c r="A923" s="2">
        <v>45538</v>
      </c>
      <c r="B923" s="1" t="s">
        <v>9</v>
      </c>
      <c r="C923" s="1">
        <v>156.971</v>
      </c>
    </row>
    <row r="924" spans="1:3" x14ac:dyDescent="0.2">
      <c r="A924" s="2">
        <v>45539</v>
      </c>
      <c r="B924" s="1" t="s">
        <v>9</v>
      </c>
      <c r="C924" s="1">
        <v>156.06399999999999</v>
      </c>
    </row>
    <row r="925" spans="1:3" x14ac:dyDescent="0.2">
      <c r="A925" s="2">
        <v>45540</v>
      </c>
      <c r="B925" s="1" t="s">
        <v>9</v>
      </c>
      <c r="C925" s="1">
        <v>156.852</v>
      </c>
    </row>
    <row r="926" spans="1:3" x14ac:dyDescent="0.2">
      <c r="A926" s="2">
        <v>45541</v>
      </c>
      <c r="B926" s="1" t="s">
        <v>9</v>
      </c>
      <c r="C926" s="1">
        <v>150.547</v>
      </c>
    </row>
    <row r="927" spans="1:3" x14ac:dyDescent="0.2">
      <c r="A927" s="2">
        <v>45544</v>
      </c>
      <c r="B927" s="1" t="s">
        <v>9</v>
      </c>
      <c r="C927" s="1">
        <v>148.54</v>
      </c>
    </row>
    <row r="928" spans="1:3" x14ac:dyDescent="0.2">
      <c r="A928" s="2">
        <v>45545</v>
      </c>
      <c r="B928" s="1" t="s">
        <v>9</v>
      </c>
      <c r="C928" s="1">
        <v>148.49</v>
      </c>
    </row>
    <row r="929" spans="1:3" x14ac:dyDescent="0.2">
      <c r="A929" s="2">
        <v>45546</v>
      </c>
      <c r="B929" s="1" t="s">
        <v>9</v>
      </c>
      <c r="C929" s="1">
        <v>150.98699999999999</v>
      </c>
    </row>
    <row r="930" spans="1:3" x14ac:dyDescent="0.2">
      <c r="A930" s="2">
        <v>45547</v>
      </c>
      <c r="B930" s="1" t="s">
        <v>9</v>
      </c>
      <c r="C930" s="1">
        <v>154.51300000000001</v>
      </c>
    </row>
    <row r="931" spans="1:3" x14ac:dyDescent="0.2">
      <c r="A931" s="2">
        <v>45548</v>
      </c>
      <c r="B931" s="1" t="s">
        <v>9</v>
      </c>
      <c r="C931" s="1">
        <v>157.28</v>
      </c>
    </row>
    <row r="932" spans="1:3" x14ac:dyDescent="0.2">
      <c r="A932" s="2">
        <v>45551</v>
      </c>
      <c r="B932" s="1" t="s">
        <v>9</v>
      </c>
      <c r="C932" s="1">
        <v>157.87899999999999</v>
      </c>
    </row>
    <row r="933" spans="1:3" x14ac:dyDescent="0.2">
      <c r="A933" s="2">
        <v>45552</v>
      </c>
      <c r="B933" s="1" t="s">
        <v>9</v>
      </c>
      <c r="C933" s="1">
        <v>159.13800000000001</v>
      </c>
    </row>
    <row r="934" spans="1:3" x14ac:dyDescent="0.2">
      <c r="A934" s="2">
        <v>45553</v>
      </c>
      <c r="B934" s="1" t="s">
        <v>9</v>
      </c>
      <c r="C934" s="1">
        <v>159.62700000000001</v>
      </c>
    </row>
    <row r="935" spans="1:3" x14ac:dyDescent="0.2">
      <c r="A935" s="2">
        <v>45554</v>
      </c>
      <c r="B935" s="1" t="s">
        <v>9</v>
      </c>
      <c r="C935" s="1">
        <v>161.95400000000001</v>
      </c>
    </row>
    <row r="936" spans="1:3" x14ac:dyDescent="0.2">
      <c r="A936" s="2">
        <v>45555</v>
      </c>
      <c r="B936" s="1" t="s">
        <v>9</v>
      </c>
      <c r="C936" s="1">
        <v>163.40299999999999</v>
      </c>
    </row>
    <row r="937" spans="1:3" x14ac:dyDescent="0.2">
      <c r="A937" s="2">
        <v>45558</v>
      </c>
      <c r="B937" s="1" t="s">
        <v>9</v>
      </c>
      <c r="C937" s="1">
        <v>161.66499999999999</v>
      </c>
    </row>
    <row r="938" spans="1:3" x14ac:dyDescent="0.2">
      <c r="A938" s="2">
        <v>45559</v>
      </c>
      <c r="B938" s="1" t="s">
        <v>9</v>
      </c>
      <c r="C938" s="1">
        <v>162.10400000000001</v>
      </c>
    </row>
    <row r="939" spans="1:3" x14ac:dyDescent="0.2">
      <c r="A939" s="2">
        <v>45560</v>
      </c>
      <c r="B939" s="1" t="s">
        <v>9</v>
      </c>
      <c r="C939" s="1">
        <v>161.30500000000001</v>
      </c>
    </row>
    <row r="940" spans="1:3" x14ac:dyDescent="0.2">
      <c r="A940" s="2">
        <v>45561</v>
      </c>
      <c r="B940" s="1" t="s">
        <v>9</v>
      </c>
      <c r="C940" s="1">
        <v>162.54400000000001</v>
      </c>
    </row>
    <row r="941" spans="1:3" x14ac:dyDescent="0.2">
      <c r="A941" s="2">
        <v>45562</v>
      </c>
      <c r="B941" s="1" t="s">
        <v>9</v>
      </c>
      <c r="C941" s="1">
        <v>163.762</v>
      </c>
    </row>
    <row r="942" spans="1:3" x14ac:dyDescent="0.2">
      <c r="A942" s="2">
        <v>45565</v>
      </c>
      <c r="B942" s="1" t="s">
        <v>9</v>
      </c>
      <c r="C942" s="1">
        <v>165.66</v>
      </c>
    </row>
    <row r="943" spans="1:3" x14ac:dyDescent="0.2">
      <c r="A943" s="2">
        <v>45566</v>
      </c>
      <c r="B943" s="1" t="s">
        <v>9</v>
      </c>
      <c r="C943" s="1">
        <v>166.79900000000001</v>
      </c>
    </row>
    <row r="944" spans="1:3" x14ac:dyDescent="0.2">
      <c r="A944" s="2">
        <v>45567</v>
      </c>
      <c r="B944" s="1" t="s">
        <v>9</v>
      </c>
      <c r="C944" s="1">
        <v>165.67</v>
      </c>
    </row>
    <row r="945" spans="1:3" x14ac:dyDescent="0.2">
      <c r="A945" s="2">
        <v>45568</v>
      </c>
      <c r="B945" s="1" t="s">
        <v>9</v>
      </c>
      <c r="C945" s="1">
        <v>165.67</v>
      </c>
    </row>
    <row r="946" spans="1:3" x14ac:dyDescent="0.2">
      <c r="A946" s="2">
        <v>45569</v>
      </c>
      <c r="B946" s="1" t="s">
        <v>9</v>
      </c>
      <c r="C946" s="1">
        <v>166.869</v>
      </c>
    </row>
    <row r="947" spans="1:3" x14ac:dyDescent="0.2">
      <c r="A947" s="2">
        <v>45572</v>
      </c>
      <c r="B947" s="1" t="s">
        <v>9</v>
      </c>
      <c r="C947" s="1">
        <v>162.79300000000001</v>
      </c>
    </row>
    <row r="948" spans="1:3" x14ac:dyDescent="0.2">
      <c r="A948" s="2">
        <v>45573</v>
      </c>
      <c r="B948" s="1" t="s">
        <v>9</v>
      </c>
      <c r="C948" s="1">
        <v>164.19200000000001</v>
      </c>
    </row>
    <row r="949" spans="1:3" x14ac:dyDescent="0.2">
      <c r="A949" s="2">
        <v>45574</v>
      </c>
      <c r="B949" s="1" t="s">
        <v>9</v>
      </c>
      <c r="C949" s="1">
        <v>161.67500000000001</v>
      </c>
    </row>
    <row r="950" spans="1:3" x14ac:dyDescent="0.2">
      <c r="A950" s="2">
        <v>45575</v>
      </c>
      <c r="B950" s="1" t="s">
        <v>9</v>
      </c>
      <c r="C950" s="1">
        <v>161.89400000000001</v>
      </c>
    </row>
    <row r="951" spans="1:3" x14ac:dyDescent="0.2">
      <c r="A951" s="2">
        <v>45576</v>
      </c>
      <c r="B951" s="1" t="s">
        <v>9</v>
      </c>
      <c r="C951" s="1">
        <v>163.053</v>
      </c>
    </row>
    <row r="952" spans="1:3" x14ac:dyDescent="0.2">
      <c r="A952" s="2">
        <v>45579</v>
      </c>
      <c r="B952" s="1" t="s">
        <v>9</v>
      </c>
      <c r="C952" s="1">
        <v>164.77099999999999</v>
      </c>
    </row>
    <row r="953" spans="1:3" x14ac:dyDescent="0.2">
      <c r="A953" s="2">
        <v>45580</v>
      </c>
      <c r="B953" s="1" t="s">
        <v>9</v>
      </c>
      <c r="C953" s="1">
        <v>165.27099999999999</v>
      </c>
    </row>
    <row r="954" spans="1:3" x14ac:dyDescent="0.2">
      <c r="A954" s="2">
        <v>45581</v>
      </c>
      <c r="B954" s="1" t="s">
        <v>9</v>
      </c>
      <c r="C954" s="1">
        <v>164.971</v>
      </c>
    </row>
    <row r="955" spans="1:3" x14ac:dyDescent="0.2">
      <c r="A955" s="2">
        <v>45582</v>
      </c>
      <c r="B955" s="1" t="s">
        <v>9</v>
      </c>
      <c r="C955" s="1">
        <v>162.74299999999999</v>
      </c>
    </row>
    <row r="956" spans="1:3" x14ac:dyDescent="0.2">
      <c r="A956" s="2">
        <v>45583</v>
      </c>
      <c r="B956" s="1" t="s">
        <v>9</v>
      </c>
      <c r="C956" s="1">
        <v>163.233</v>
      </c>
    </row>
    <row r="957" spans="1:3" x14ac:dyDescent="0.2">
      <c r="A957" s="2">
        <v>45586</v>
      </c>
      <c r="B957" s="1" t="s">
        <v>9</v>
      </c>
      <c r="C957" s="1">
        <v>163.88200000000001</v>
      </c>
    </row>
    <row r="958" spans="1:3" x14ac:dyDescent="0.2">
      <c r="A958" s="2">
        <v>45587</v>
      </c>
      <c r="B958" s="1" t="s">
        <v>9</v>
      </c>
      <c r="C958" s="1">
        <v>164.95099999999999</v>
      </c>
    </row>
    <row r="959" spans="1:3" x14ac:dyDescent="0.2">
      <c r="A959" s="2">
        <v>45588</v>
      </c>
      <c r="B959" s="1" t="s">
        <v>9</v>
      </c>
      <c r="C959" s="1">
        <v>162.59399999999999</v>
      </c>
    </row>
    <row r="960" spans="1:3" x14ac:dyDescent="0.2">
      <c r="A960" s="2">
        <v>45589</v>
      </c>
      <c r="B960" s="1" t="s">
        <v>9</v>
      </c>
      <c r="C960" s="1">
        <v>162.53399999999999</v>
      </c>
    </row>
    <row r="961" spans="1:3" x14ac:dyDescent="0.2">
      <c r="A961" s="2">
        <v>45590</v>
      </c>
      <c r="B961" s="1" t="s">
        <v>9</v>
      </c>
      <c r="C961" s="1">
        <v>165.08099999999999</v>
      </c>
    </row>
    <row r="962" spans="1:3" x14ac:dyDescent="0.2">
      <c r="A962" s="2">
        <v>45593</v>
      </c>
      <c r="B962" s="1" t="s">
        <v>9</v>
      </c>
      <c r="C962" s="1">
        <v>166.529</v>
      </c>
    </row>
    <row r="963" spans="1:3" x14ac:dyDescent="0.2">
      <c r="A963" s="2">
        <v>45594</v>
      </c>
      <c r="B963" s="1" t="s">
        <v>9</v>
      </c>
      <c r="C963" s="1">
        <v>169.48599999999999</v>
      </c>
    </row>
    <row r="964" spans="1:3" x14ac:dyDescent="0.2">
      <c r="A964" s="2">
        <v>45595</v>
      </c>
      <c r="B964" s="1" t="s">
        <v>9</v>
      </c>
      <c r="C964" s="1">
        <v>174.26</v>
      </c>
    </row>
    <row r="965" spans="1:3" x14ac:dyDescent="0.2">
      <c r="A965" s="2">
        <v>45596</v>
      </c>
      <c r="B965" s="1" t="s">
        <v>9</v>
      </c>
      <c r="C965" s="1">
        <v>170.91399999999999</v>
      </c>
    </row>
    <row r="966" spans="1:3" x14ac:dyDescent="0.2">
      <c r="A966" s="2">
        <v>45597</v>
      </c>
      <c r="B966" s="1" t="s">
        <v>9</v>
      </c>
      <c r="C966" s="1">
        <v>171.09399999999999</v>
      </c>
    </row>
    <row r="967" spans="1:3" x14ac:dyDescent="0.2">
      <c r="A967" s="2">
        <v>45600</v>
      </c>
      <c r="B967" s="1" t="s">
        <v>9</v>
      </c>
      <c r="C967" s="1">
        <v>169.04599999999999</v>
      </c>
    </row>
    <row r="968" spans="1:3" x14ac:dyDescent="0.2">
      <c r="A968" s="2">
        <v>45601</v>
      </c>
      <c r="B968" s="1" t="s">
        <v>9</v>
      </c>
      <c r="C968" s="1">
        <v>169.54599999999999</v>
      </c>
    </row>
    <row r="969" spans="1:3" x14ac:dyDescent="0.2">
      <c r="A969" s="2">
        <v>45602</v>
      </c>
      <c r="B969" s="1" t="s">
        <v>9</v>
      </c>
      <c r="C969" s="1">
        <v>176.30799999999999</v>
      </c>
    </row>
    <row r="970" spans="1:3" x14ac:dyDescent="0.2">
      <c r="A970" s="2">
        <v>45603</v>
      </c>
      <c r="B970" s="1" t="s">
        <v>9</v>
      </c>
      <c r="C970" s="1">
        <v>180.54300000000001</v>
      </c>
    </row>
    <row r="971" spans="1:3" x14ac:dyDescent="0.2">
      <c r="A971" s="2">
        <v>45604</v>
      </c>
      <c r="B971" s="1" t="s">
        <v>9</v>
      </c>
      <c r="C971" s="1">
        <v>178.14599999999999</v>
      </c>
    </row>
    <row r="972" spans="1:3" x14ac:dyDescent="0.2">
      <c r="A972" s="2">
        <v>45607</v>
      </c>
      <c r="B972" s="1" t="s">
        <v>9</v>
      </c>
      <c r="C972" s="1">
        <v>180.14400000000001</v>
      </c>
    </row>
    <row r="973" spans="1:3" x14ac:dyDescent="0.2">
      <c r="A973" s="2">
        <v>45608</v>
      </c>
      <c r="B973" s="1" t="s">
        <v>9</v>
      </c>
      <c r="C973" s="1">
        <v>181.41200000000001</v>
      </c>
    </row>
    <row r="974" spans="1:3" x14ac:dyDescent="0.2">
      <c r="A974" s="2">
        <v>45609</v>
      </c>
      <c r="B974" s="1" t="s">
        <v>9</v>
      </c>
      <c r="C974" s="1">
        <v>178.67500000000001</v>
      </c>
    </row>
    <row r="975" spans="1:3" x14ac:dyDescent="0.2">
      <c r="A975" s="2">
        <v>45610</v>
      </c>
      <c r="B975" s="1" t="s">
        <v>9</v>
      </c>
      <c r="C975" s="1">
        <v>175.37899999999999</v>
      </c>
    </row>
    <row r="976" spans="1:3" x14ac:dyDescent="0.2">
      <c r="A976" s="2">
        <v>45611</v>
      </c>
      <c r="B976" s="1" t="s">
        <v>9</v>
      </c>
      <c r="C976" s="1">
        <v>172.29300000000001</v>
      </c>
    </row>
    <row r="977" spans="1:3" x14ac:dyDescent="0.2">
      <c r="A977" s="2">
        <v>45614</v>
      </c>
      <c r="B977" s="1" t="s">
        <v>9</v>
      </c>
      <c r="C977" s="1">
        <v>175.09899999999999</v>
      </c>
    </row>
    <row r="978" spans="1:3" x14ac:dyDescent="0.2">
      <c r="A978" s="2">
        <v>45615</v>
      </c>
      <c r="B978" s="1" t="s">
        <v>9</v>
      </c>
      <c r="C978" s="1">
        <v>177.916</v>
      </c>
    </row>
    <row r="979" spans="1:3" x14ac:dyDescent="0.2">
      <c r="A979" s="2">
        <v>45616</v>
      </c>
      <c r="B979" s="1" t="s">
        <v>9</v>
      </c>
      <c r="C979" s="1">
        <v>175.779</v>
      </c>
    </row>
    <row r="980" spans="1:3" x14ac:dyDescent="0.2">
      <c r="A980" s="2">
        <v>45617</v>
      </c>
      <c r="B980" s="1" t="s">
        <v>9</v>
      </c>
      <c r="C980" s="1">
        <v>167.43799999999999</v>
      </c>
    </row>
    <row r="981" spans="1:3" x14ac:dyDescent="0.2">
      <c r="A981" s="2">
        <v>45618</v>
      </c>
      <c r="B981" s="1" t="s">
        <v>9</v>
      </c>
      <c r="C981" s="1">
        <v>164.571</v>
      </c>
    </row>
    <row r="982" spans="1:3" x14ac:dyDescent="0.2">
      <c r="A982" s="2">
        <v>45621</v>
      </c>
      <c r="B982" s="1" t="s">
        <v>9</v>
      </c>
      <c r="C982" s="1">
        <v>167.458</v>
      </c>
    </row>
    <row r="983" spans="1:3" x14ac:dyDescent="0.2">
      <c r="A983" s="2">
        <v>45622</v>
      </c>
      <c r="B983" s="1" t="s">
        <v>9</v>
      </c>
      <c r="C983" s="1">
        <v>168.92599999999999</v>
      </c>
    </row>
    <row r="984" spans="1:3" x14ac:dyDescent="0.2">
      <c r="A984" s="2">
        <v>45623</v>
      </c>
      <c r="B984" s="1" t="s">
        <v>9</v>
      </c>
      <c r="C984" s="1">
        <v>169.036</v>
      </c>
    </row>
    <row r="985" spans="1:3" x14ac:dyDescent="0.2">
      <c r="A985" s="2">
        <v>45625</v>
      </c>
      <c r="B985" s="1" t="s">
        <v>9</v>
      </c>
      <c r="C985" s="1">
        <v>168.75700000000001</v>
      </c>
    </row>
    <row r="986" spans="1:3" x14ac:dyDescent="0.2">
      <c r="A986" s="2">
        <v>45628</v>
      </c>
      <c r="B986" s="1" t="s">
        <v>9</v>
      </c>
      <c r="C986" s="1">
        <v>171.29400000000001</v>
      </c>
    </row>
    <row r="987" spans="1:3" x14ac:dyDescent="0.2">
      <c r="A987" s="2">
        <v>45629</v>
      </c>
      <c r="B987" s="1" t="s">
        <v>9</v>
      </c>
      <c r="C987" s="1">
        <v>171.14400000000001</v>
      </c>
    </row>
    <row r="988" spans="1:3" x14ac:dyDescent="0.2">
      <c r="A988" s="2">
        <v>45630</v>
      </c>
      <c r="B988" s="1" t="s">
        <v>9</v>
      </c>
      <c r="C988" s="1">
        <v>174.17</v>
      </c>
    </row>
    <row r="989" spans="1:3" x14ac:dyDescent="0.2">
      <c r="A989" s="2">
        <v>45631</v>
      </c>
      <c r="B989" s="1" t="s">
        <v>9</v>
      </c>
      <c r="C989" s="1">
        <v>172.44200000000001</v>
      </c>
    </row>
    <row r="990" spans="1:3" x14ac:dyDescent="0.2">
      <c r="A990" s="2">
        <v>45632</v>
      </c>
      <c r="B990" s="1" t="s">
        <v>9</v>
      </c>
      <c r="C990" s="1">
        <v>174.51</v>
      </c>
    </row>
    <row r="991" spans="1:3" x14ac:dyDescent="0.2">
      <c r="A991" s="2">
        <v>45635</v>
      </c>
      <c r="B991" s="1" t="s">
        <v>9</v>
      </c>
      <c r="C991" s="1">
        <v>175.37</v>
      </c>
    </row>
    <row r="992" spans="1:3" x14ac:dyDescent="0.2">
      <c r="A992" s="2">
        <v>45636</v>
      </c>
      <c r="B992" s="1" t="s">
        <v>9</v>
      </c>
      <c r="C992" s="1">
        <v>185.17</v>
      </c>
    </row>
    <row r="993" spans="1:3" x14ac:dyDescent="0.2">
      <c r="A993" s="2">
        <v>45637</v>
      </c>
      <c r="B993" s="1" t="s">
        <v>9</v>
      </c>
      <c r="C993" s="1">
        <v>195.4</v>
      </c>
    </row>
    <row r="994" spans="1:3" x14ac:dyDescent="0.2">
      <c r="A994" s="2">
        <v>45638</v>
      </c>
      <c r="B994" s="1" t="s">
        <v>9</v>
      </c>
      <c r="C994" s="1">
        <v>191.96</v>
      </c>
    </row>
    <row r="995" spans="1:3" x14ac:dyDescent="0.2">
      <c r="A995" s="2">
        <v>45639</v>
      </c>
      <c r="B995" s="1" t="s">
        <v>9</v>
      </c>
      <c r="C995" s="1">
        <v>189.82</v>
      </c>
    </row>
    <row r="996" spans="1:3" x14ac:dyDescent="0.2">
      <c r="A996" s="2">
        <v>45642</v>
      </c>
      <c r="B996" s="1" t="s">
        <v>9</v>
      </c>
      <c r="C996" s="1">
        <v>196.66</v>
      </c>
    </row>
    <row r="997" spans="1:3" x14ac:dyDescent="0.2">
      <c r="A997" s="2">
        <v>45643</v>
      </c>
      <c r="B997" s="1" t="s">
        <v>9</v>
      </c>
      <c r="C997" s="1">
        <v>195.42</v>
      </c>
    </row>
    <row r="998" spans="1:3" x14ac:dyDescent="0.2">
      <c r="A998" s="2">
        <v>45644</v>
      </c>
      <c r="B998" s="1" t="s">
        <v>9</v>
      </c>
      <c r="C998" s="1">
        <v>188.4</v>
      </c>
    </row>
    <row r="999" spans="1:3" x14ac:dyDescent="0.2">
      <c r="A999" s="2">
        <v>45645</v>
      </c>
      <c r="B999" s="1" t="s">
        <v>9</v>
      </c>
      <c r="C999" s="1">
        <v>188.51</v>
      </c>
    </row>
    <row r="1000" spans="1:3" x14ac:dyDescent="0.2">
      <c r="A1000" s="2">
        <v>45646</v>
      </c>
      <c r="B1000" s="1" t="s">
        <v>9</v>
      </c>
      <c r="C1000" s="1">
        <v>191.41</v>
      </c>
    </row>
    <row r="1001" spans="1:3" x14ac:dyDescent="0.2">
      <c r="A1001" s="2">
        <v>45649</v>
      </c>
      <c r="B1001" s="1" t="s">
        <v>9</v>
      </c>
      <c r="C1001" s="1">
        <v>194.63</v>
      </c>
    </row>
    <row r="1002" spans="1:3" x14ac:dyDescent="0.2">
      <c r="A1002" s="2">
        <v>45650</v>
      </c>
      <c r="B1002" s="1" t="s">
        <v>9</v>
      </c>
      <c r="C1002" s="1">
        <v>196.11</v>
      </c>
    </row>
    <row r="1003" spans="1:3" x14ac:dyDescent="0.2">
      <c r="A1003" s="2">
        <v>45652</v>
      </c>
      <c r="B1003" s="1" t="s">
        <v>9</v>
      </c>
      <c r="C1003" s="1">
        <v>195.6</v>
      </c>
    </row>
    <row r="1004" spans="1:3" x14ac:dyDescent="0.2">
      <c r="A1004" s="2">
        <v>45653</v>
      </c>
      <c r="B1004" s="1" t="s">
        <v>9</v>
      </c>
      <c r="C1004" s="1">
        <v>192.76</v>
      </c>
    </row>
    <row r="1005" spans="1:3" x14ac:dyDescent="0.2">
      <c r="A1005" s="2">
        <v>45656</v>
      </c>
      <c r="B1005" s="1" t="s">
        <v>9</v>
      </c>
      <c r="C1005" s="1">
        <v>191.24</v>
      </c>
    </row>
    <row r="1006" spans="1:3" x14ac:dyDescent="0.2">
      <c r="A1006" s="2">
        <v>45657</v>
      </c>
      <c r="B1006" s="1" t="s">
        <v>9</v>
      </c>
      <c r="C1006" s="1">
        <v>189.3</v>
      </c>
    </row>
    <row r="1007" spans="1:3" x14ac:dyDescent="0.2">
      <c r="A1007" s="2">
        <v>45659</v>
      </c>
      <c r="B1007" s="1" t="s">
        <v>9</v>
      </c>
      <c r="C1007" s="1">
        <v>189.43</v>
      </c>
    </row>
    <row r="1008" spans="1:3" x14ac:dyDescent="0.2">
      <c r="A1008" s="2">
        <v>45660</v>
      </c>
      <c r="B1008" s="1" t="s">
        <v>9</v>
      </c>
      <c r="C1008" s="1">
        <v>191.79</v>
      </c>
    </row>
    <row r="1009" spans="1:3" x14ac:dyDescent="0.2">
      <c r="A1009" s="2">
        <v>45663</v>
      </c>
      <c r="B1009" s="1" t="s">
        <v>9</v>
      </c>
      <c r="C1009" s="1">
        <v>196.87</v>
      </c>
    </row>
    <row r="1010" spans="1:3" x14ac:dyDescent="0.2">
      <c r="A1010" s="2">
        <v>45664</v>
      </c>
      <c r="B1010" s="1" t="s">
        <v>9</v>
      </c>
      <c r="C1010" s="1">
        <v>195.49</v>
      </c>
    </row>
    <row r="1011" spans="1:3" x14ac:dyDescent="0.2">
      <c r="A1011" s="2">
        <v>45665</v>
      </c>
      <c r="B1011" s="1" t="s">
        <v>9</v>
      </c>
      <c r="C1011" s="1">
        <v>193.95</v>
      </c>
    </row>
    <row r="1012" spans="1:3" x14ac:dyDescent="0.2">
      <c r="A1012" s="2">
        <v>45667</v>
      </c>
      <c r="B1012" s="1" t="s">
        <v>9</v>
      </c>
      <c r="C1012" s="1">
        <v>192.04</v>
      </c>
    </row>
    <row r="1013" spans="1:3" x14ac:dyDescent="0.2">
      <c r="A1013" s="2">
        <v>45670</v>
      </c>
      <c r="B1013" s="1" t="s">
        <v>9</v>
      </c>
      <c r="C1013" s="1">
        <v>191.01</v>
      </c>
    </row>
    <row r="1014" spans="1:3" x14ac:dyDescent="0.2">
      <c r="A1014" s="2">
        <v>45671</v>
      </c>
      <c r="B1014" s="1" t="s">
        <v>9</v>
      </c>
      <c r="C1014" s="1">
        <v>189.66</v>
      </c>
    </row>
    <row r="1015" spans="1:3" x14ac:dyDescent="0.2">
      <c r="A1015" s="2">
        <v>45672</v>
      </c>
      <c r="B1015" s="1" t="s">
        <v>9</v>
      </c>
      <c r="C1015" s="1">
        <v>195.55</v>
      </c>
    </row>
    <row r="1016" spans="1:3" x14ac:dyDescent="0.2">
      <c r="A1016" s="2">
        <v>45673</v>
      </c>
      <c r="B1016" s="1" t="s">
        <v>9</v>
      </c>
      <c r="C1016" s="1">
        <v>192.91</v>
      </c>
    </row>
    <row r="1017" spans="1:3" x14ac:dyDescent="0.2">
      <c r="A1017" s="2">
        <v>45674</v>
      </c>
      <c r="B1017" s="1" t="s">
        <v>9</v>
      </c>
      <c r="C1017" s="1">
        <v>196</v>
      </c>
    </row>
    <row r="1018" spans="1:3" x14ac:dyDescent="0.2">
      <c r="A1018" s="2">
        <v>45678</v>
      </c>
      <c r="B1018" s="1" t="s">
        <v>9</v>
      </c>
      <c r="C1018" s="1">
        <v>198.05</v>
      </c>
    </row>
    <row r="1019" spans="1:3" x14ac:dyDescent="0.2">
      <c r="A1019" s="2">
        <v>45679</v>
      </c>
      <c r="B1019" s="1" t="s">
        <v>9</v>
      </c>
      <c r="C1019" s="1">
        <v>198.37</v>
      </c>
    </row>
    <row r="1020" spans="1:3" x14ac:dyDescent="0.2">
      <c r="A1020" s="2">
        <v>45680</v>
      </c>
      <c r="B1020" s="1" t="s">
        <v>9</v>
      </c>
      <c r="C1020" s="1">
        <v>197.98</v>
      </c>
    </row>
    <row r="1021" spans="1:3" x14ac:dyDescent="0.2">
      <c r="A1021" s="2">
        <v>45681</v>
      </c>
      <c r="B1021" s="1" t="s">
        <v>9</v>
      </c>
      <c r="C1021" s="1">
        <v>200.21</v>
      </c>
    </row>
    <row r="1022" spans="1:3" x14ac:dyDescent="0.2">
      <c r="A1022" s="2">
        <v>45684</v>
      </c>
      <c r="B1022" s="1" t="s">
        <v>9</v>
      </c>
      <c r="C1022" s="1">
        <v>191.81</v>
      </c>
    </row>
    <row r="1023" spans="1:3" x14ac:dyDescent="0.2">
      <c r="A1023" s="2">
        <v>45685</v>
      </c>
      <c r="B1023" s="1" t="s">
        <v>9</v>
      </c>
      <c r="C1023" s="1">
        <v>195.3</v>
      </c>
    </row>
    <row r="1024" spans="1:3" x14ac:dyDescent="0.2">
      <c r="A1024" s="2">
        <v>45686</v>
      </c>
      <c r="B1024" s="1" t="s">
        <v>9</v>
      </c>
      <c r="C1024" s="1">
        <v>195.41</v>
      </c>
    </row>
    <row r="1025" spans="1:3" x14ac:dyDescent="0.2">
      <c r="A1025" s="2">
        <v>45687</v>
      </c>
      <c r="B1025" s="1" t="s">
        <v>9</v>
      </c>
      <c r="C1025" s="1">
        <v>200.87</v>
      </c>
    </row>
    <row r="1026" spans="1:3" x14ac:dyDescent="0.2">
      <c r="A1026" s="2">
        <v>45688</v>
      </c>
      <c r="B1026" s="1" t="s">
        <v>9</v>
      </c>
      <c r="C1026" s="1">
        <v>204.02</v>
      </c>
    </row>
    <row r="1027" spans="1:3" x14ac:dyDescent="0.2">
      <c r="A1027" s="2">
        <v>45691</v>
      </c>
      <c r="B1027" s="1" t="s">
        <v>9</v>
      </c>
      <c r="C1027" s="1">
        <v>201.23</v>
      </c>
    </row>
    <row r="1028" spans="1:3" x14ac:dyDescent="0.2">
      <c r="A1028" s="2">
        <v>45692</v>
      </c>
      <c r="B1028" s="1" t="s">
        <v>9</v>
      </c>
      <c r="C1028" s="1">
        <v>206.38</v>
      </c>
    </row>
    <row r="1029" spans="1:3" x14ac:dyDescent="0.2">
      <c r="A1029" s="2">
        <v>45693</v>
      </c>
      <c r="B1029" s="1" t="s">
        <v>9</v>
      </c>
      <c r="C1029" s="1">
        <v>191.33</v>
      </c>
    </row>
    <row r="1030" spans="1:3" x14ac:dyDescent="0.2">
      <c r="A1030" s="2">
        <v>45694</v>
      </c>
      <c r="B1030" s="1" t="s">
        <v>9</v>
      </c>
      <c r="C1030" s="1">
        <v>191.6</v>
      </c>
    </row>
    <row r="1031" spans="1:3" x14ac:dyDescent="0.2">
      <c r="A1031" s="2">
        <v>45695</v>
      </c>
      <c r="B1031" s="1" t="s">
        <v>9</v>
      </c>
      <c r="C1031" s="1">
        <v>185.34</v>
      </c>
    </row>
    <row r="1032" spans="1:3" x14ac:dyDescent="0.2">
      <c r="A1032" s="2">
        <v>45698</v>
      </c>
      <c r="B1032" s="1" t="s">
        <v>9</v>
      </c>
      <c r="C1032" s="1">
        <v>186.47</v>
      </c>
    </row>
    <row r="1033" spans="1:3" x14ac:dyDescent="0.2">
      <c r="A1033" s="2">
        <v>45699</v>
      </c>
      <c r="B1033" s="1" t="s">
        <v>9</v>
      </c>
      <c r="C1033" s="1">
        <v>185.32</v>
      </c>
    </row>
    <row r="1034" spans="1:3" x14ac:dyDescent="0.2">
      <c r="A1034" s="2">
        <v>45700</v>
      </c>
      <c r="B1034" s="1" t="s">
        <v>9</v>
      </c>
      <c r="C1034" s="1">
        <v>183.61</v>
      </c>
    </row>
    <row r="1035" spans="1:3" x14ac:dyDescent="0.2">
      <c r="A1035" s="2">
        <v>45701</v>
      </c>
      <c r="B1035" s="1" t="s">
        <v>9</v>
      </c>
      <c r="C1035" s="1">
        <v>186.14</v>
      </c>
    </row>
    <row r="1036" spans="1:3" x14ac:dyDescent="0.2">
      <c r="A1036" s="2">
        <v>45702</v>
      </c>
      <c r="B1036" s="1" t="s">
        <v>9</v>
      </c>
      <c r="C1036" s="1">
        <v>185.23</v>
      </c>
    </row>
    <row r="1037" spans="1:3" x14ac:dyDescent="0.2">
      <c r="A1037" s="2">
        <v>45706</v>
      </c>
      <c r="B1037" s="1" t="s">
        <v>9</v>
      </c>
      <c r="C1037" s="1">
        <v>183.77</v>
      </c>
    </row>
    <row r="1038" spans="1:3" x14ac:dyDescent="0.2">
      <c r="A1038" s="2">
        <v>45707</v>
      </c>
      <c r="B1038" s="1" t="s">
        <v>9</v>
      </c>
      <c r="C1038" s="1">
        <v>185.27</v>
      </c>
    </row>
    <row r="1039" spans="1:3" x14ac:dyDescent="0.2">
      <c r="A1039" s="2">
        <v>45708</v>
      </c>
      <c r="B1039" s="1" t="s">
        <v>9</v>
      </c>
      <c r="C1039" s="1">
        <v>184.56</v>
      </c>
    </row>
    <row r="1040" spans="1:3" x14ac:dyDescent="0.2">
      <c r="A1040" s="2">
        <v>45709</v>
      </c>
      <c r="B1040" s="1" t="s">
        <v>9</v>
      </c>
      <c r="C1040" s="1">
        <v>179.66</v>
      </c>
    </row>
    <row r="1041" spans="1:3" x14ac:dyDescent="0.2">
      <c r="A1041" s="2">
        <v>45712</v>
      </c>
      <c r="B1041" s="1" t="s">
        <v>9</v>
      </c>
      <c r="C1041" s="1">
        <v>179.32</v>
      </c>
    </row>
    <row r="1042" spans="1:3" x14ac:dyDescent="0.2">
      <c r="A1042" s="2">
        <v>45713</v>
      </c>
      <c r="B1042" s="1" t="s">
        <v>9</v>
      </c>
      <c r="C1042" s="1">
        <v>175.42</v>
      </c>
    </row>
    <row r="1043" spans="1:3" x14ac:dyDescent="0.2">
      <c r="A1043" s="2">
        <v>45714</v>
      </c>
      <c r="B1043" s="1" t="s">
        <v>9</v>
      </c>
      <c r="C1043" s="1">
        <v>172.73</v>
      </c>
    </row>
    <row r="1044" spans="1:3" x14ac:dyDescent="0.2">
      <c r="A1044" s="2">
        <v>45715</v>
      </c>
      <c r="B1044" s="1" t="s">
        <v>9</v>
      </c>
      <c r="C1044" s="1">
        <v>168.5</v>
      </c>
    </row>
    <row r="1045" spans="1:3" x14ac:dyDescent="0.2">
      <c r="A1045" s="2">
        <v>45716</v>
      </c>
      <c r="B1045" s="1" t="s">
        <v>9</v>
      </c>
      <c r="C1045" s="1">
        <v>170.28</v>
      </c>
    </row>
    <row r="1046" spans="1:3" x14ac:dyDescent="0.2">
      <c r="A1046" s="2">
        <v>45719</v>
      </c>
      <c r="B1046" s="1" t="s">
        <v>9</v>
      </c>
      <c r="C1046" s="1">
        <v>167.01</v>
      </c>
    </row>
    <row r="1047" spans="1:3" x14ac:dyDescent="0.2">
      <c r="A1047" s="2">
        <v>45720</v>
      </c>
      <c r="B1047" s="1" t="s">
        <v>9</v>
      </c>
      <c r="C1047" s="1">
        <v>170.92</v>
      </c>
    </row>
    <row r="1048" spans="1:3" x14ac:dyDescent="0.2">
      <c r="A1048" s="2">
        <v>45721</v>
      </c>
      <c r="B1048" s="1" t="s">
        <v>9</v>
      </c>
      <c r="C1048" s="1">
        <v>173.02</v>
      </c>
    </row>
    <row r="1049" spans="1:3" x14ac:dyDescent="0.2">
      <c r="A1049" s="2">
        <v>45722</v>
      </c>
      <c r="B1049" s="1" t="s">
        <v>9</v>
      </c>
      <c r="C1049" s="1">
        <v>172.35</v>
      </c>
    </row>
    <row r="1050" spans="1:3" x14ac:dyDescent="0.2">
      <c r="A1050" s="2">
        <v>45723</v>
      </c>
      <c r="B1050" s="1" t="s">
        <v>9</v>
      </c>
      <c r="C1050" s="1">
        <v>173.86</v>
      </c>
    </row>
    <row r="1051" spans="1:3" x14ac:dyDescent="0.2">
      <c r="A1051" s="2">
        <v>45726</v>
      </c>
      <c r="B1051" s="1" t="s">
        <v>9</v>
      </c>
      <c r="C1051" s="1">
        <v>165.87</v>
      </c>
    </row>
    <row r="1052" spans="1:3" x14ac:dyDescent="0.2">
      <c r="A1052" s="2">
        <v>45727</v>
      </c>
      <c r="B1052" s="1" t="s">
        <v>9</v>
      </c>
      <c r="C1052" s="1">
        <v>164.04</v>
      </c>
    </row>
    <row r="1053" spans="1:3" x14ac:dyDescent="0.2">
      <c r="A1053" s="2">
        <v>45728</v>
      </c>
      <c r="B1053" s="1" t="s">
        <v>9</v>
      </c>
      <c r="C1053" s="1">
        <v>167.11</v>
      </c>
    </row>
    <row r="1054" spans="1:3" x14ac:dyDescent="0.2">
      <c r="A1054" s="2">
        <v>45729</v>
      </c>
      <c r="B1054" s="1" t="s">
        <v>9</v>
      </c>
      <c r="C1054" s="1">
        <v>162.76</v>
      </c>
    </row>
    <row r="1055" spans="1:3" x14ac:dyDescent="0.2">
      <c r="A1055" s="2">
        <v>45730</v>
      </c>
      <c r="B1055" s="1" t="s">
        <v>9</v>
      </c>
      <c r="C1055" s="1">
        <v>165.49</v>
      </c>
    </row>
    <row r="1056" spans="1:3" x14ac:dyDescent="0.2">
      <c r="A1056" s="2">
        <v>45733</v>
      </c>
      <c r="B1056" s="1" t="s">
        <v>9</v>
      </c>
      <c r="C1056" s="1">
        <v>164.29</v>
      </c>
    </row>
    <row r="1057" spans="1:3" x14ac:dyDescent="0.2">
      <c r="A1057" s="2">
        <v>45734</v>
      </c>
      <c r="B1057" s="1" t="s">
        <v>9</v>
      </c>
      <c r="C1057" s="1">
        <v>160.66999999999999</v>
      </c>
    </row>
    <row r="1058" spans="1:3" x14ac:dyDescent="0.2">
      <c r="A1058" s="2">
        <v>45735</v>
      </c>
      <c r="B1058" s="1" t="s">
        <v>9</v>
      </c>
      <c r="C1058" s="1">
        <v>163.89</v>
      </c>
    </row>
    <row r="1059" spans="1:3" x14ac:dyDescent="0.2">
      <c r="A1059" s="2">
        <v>45736</v>
      </c>
      <c r="B1059" s="1" t="s">
        <v>9</v>
      </c>
      <c r="C1059" s="1">
        <v>162.80000000000001</v>
      </c>
    </row>
    <row r="1060" spans="1:3" x14ac:dyDescent="0.2">
      <c r="A1060" s="2">
        <v>45737</v>
      </c>
      <c r="B1060" s="1" t="s">
        <v>9</v>
      </c>
      <c r="C1060" s="1">
        <v>163.99</v>
      </c>
    </row>
    <row r="1061" spans="1:3" x14ac:dyDescent="0.2">
      <c r="A1061" s="2">
        <v>45740</v>
      </c>
      <c r="B1061" s="1" t="s">
        <v>9</v>
      </c>
      <c r="C1061" s="1">
        <v>167.68</v>
      </c>
    </row>
    <row r="1062" spans="1:3" x14ac:dyDescent="0.2">
      <c r="A1062" s="2">
        <v>45741</v>
      </c>
      <c r="B1062" s="1" t="s">
        <v>9</v>
      </c>
      <c r="C1062" s="1">
        <v>170.56</v>
      </c>
    </row>
    <row r="1063" spans="1:3" x14ac:dyDescent="0.2">
      <c r="A1063" s="2">
        <v>45742</v>
      </c>
      <c r="B1063" s="1" t="s">
        <v>9</v>
      </c>
      <c r="C1063" s="1">
        <v>165.06</v>
      </c>
    </row>
    <row r="1064" spans="1:3" x14ac:dyDescent="0.2">
      <c r="A1064" s="2">
        <v>45743</v>
      </c>
      <c r="B1064" s="1" t="s">
        <v>9</v>
      </c>
      <c r="C1064" s="1">
        <v>162.24</v>
      </c>
    </row>
    <row r="1065" spans="1:3" x14ac:dyDescent="0.2">
      <c r="A1065" s="2">
        <v>45744</v>
      </c>
      <c r="B1065" s="1" t="s">
        <v>9</v>
      </c>
      <c r="C1065" s="1">
        <v>154.33000000000001</v>
      </c>
    </row>
    <row r="1066" spans="1:3" x14ac:dyDescent="0.2">
      <c r="A1066" s="2">
        <v>45747</v>
      </c>
      <c r="B1066" s="1" t="s">
        <v>9</v>
      </c>
      <c r="C1066" s="1">
        <v>154.63999999999999</v>
      </c>
    </row>
    <row r="1067" spans="1:3" x14ac:dyDescent="0.2">
      <c r="A1067" s="2">
        <v>45748</v>
      </c>
      <c r="B1067" s="1" t="s">
        <v>9</v>
      </c>
      <c r="C1067" s="1">
        <v>157.07</v>
      </c>
    </row>
    <row r="1068" spans="1:3" x14ac:dyDescent="0.2">
      <c r="A1068" s="2">
        <v>45749</v>
      </c>
      <c r="B1068" s="1" t="s">
        <v>9</v>
      </c>
      <c r="C1068" s="1">
        <v>157.04</v>
      </c>
    </row>
    <row r="1069" spans="1:3" x14ac:dyDescent="0.2">
      <c r="A1069" s="2">
        <v>45750</v>
      </c>
      <c r="B1069" s="1" t="s">
        <v>9</v>
      </c>
      <c r="C1069" s="1">
        <v>150.72</v>
      </c>
    </row>
    <row r="1070" spans="1:3" x14ac:dyDescent="0.2">
      <c r="A1070" s="2">
        <v>45751</v>
      </c>
      <c r="B1070" s="1" t="s">
        <v>9</v>
      </c>
      <c r="C1070" s="1">
        <v>145.6</v>
      </c>
    </row>
    <row r="1071" spans="1:3" x14ac:dyDescent="0.2">
      <c r="A1071" s="2">
        <v>45754</v>
      </c>
      <c r="B1071" s="1" t="s">
        <v>9</v>
      </c>
      <c r="C1071" s="1">
        <v>146.75</v>
      </c>
    </row>
    <row r="1072" spans="1:3" x14ac:dyDescent="0.2">
      <c r="A1072" s="2">
        <v>45755</v>
      </c>
      <c r="B1072" s="1" t="s">
        <v>9</v>
      </c>
      <c r="C1072" s="1">
        <v>144.69999999999999</v>
      </c>
    </row>
    <row r="1073" spans="1:3" x14ac:dyDescent="0.2">
      <c r="A1073" s="2">
        <v>45756</v>
      </c>
      <c r="B1073" s="1" t="s">
        <v>9</v>
      </c>
      <c r="C1073" s="1">
        <v>158.71</v>
      </c>
    </row>
    <row r="1074" spans="1:3" x14ac:dyDescent="0.2">
      <c r="A1074" s="2">
        <v>45757</v>
      </c>
      <c r="B1074" s="1" t="s">
        <v>9</v>
      </c>
      <c r="C1074" s="1">
        <v>152.82</v>
      </c>
    </row>
    <row r="1075" spans="1:3" x14ac:dyDescent="0.2">
      <c r="A1075" s="2">
        <v>45758</v>
      </c>
      <c r="B1075" s="1" t="s">
        <v>9</v>
      </c>
      <c r="C1075" s="1">
        <v>157.13999999999999</v>
      </c>
    </row>
    <row r="1076" spans="1:3" x14ac:dyDescent="0.2">
      <c r="A1076" s="2">
        <v>45761</v>
      </c>
      <c r="B1076" s="1" t="s">
        <v>9</v>
      </c>
      <c r="C1076" s="1">
        <v>159.07</v>
      </c>
    </row>
    <row r="1077" spans="1:3" x14ac:dyDescent="0.2">
      <c r="A1077" s="2">
        <v>45762</v>
      </c>
      <c r="B1077" s="1" t="s">
        <v>9</v>
      </c>
      <c r="C1077" s="1">
        <v>156.31</v>
      </c>
    </row>
    <row r="1078" spans="1:3" x14ac:dyDescent="0.2">
      <c r="A1078" s="2">
        <v>45763</v>
      </c>
      <c r="B1078" s="1" t="s">
        <v>9</v>
      </c>
      <c r="C1078" s="1">
        <v>153.33000000000001</v>
      </c>
    </row>
    <row r="1079" spans="1:3" x14ac:dyDescent="0.2">
      <c r="A1079" s="2">
        <v>45764</v>
      </c>
      <c r="B1079" s="1" t="s">
        <v>9</v>
      </c>
      <c r="C1079" s="1">
        <v>151.16</v>
      </c>
    </row>
    <row r="1080" spans="1:3" x14ac:dyDescent="0.2">
      <c r="A1080" s="2">
        <v>45768</v>
      </c>
      <c r="B1080" s="1" t="s">
        <v>9</v>
      </c>
      <c r="C1080" s="1">
        <v>147.66999999999999</v>
      </c>
    </row>
    <row r="1081" spans="1:3" x14ac:dyDescent="0.2">
      <c r="A1081" s="2">
        <v>45769</v>
      </c>
      <c r="B1081" s="1" t="s">
        <v>9</v>
      </c>
      <c r="C1081" s="1">
        <v>151.47</v>
      </c>
    </row>
    <row r="1082" spans="1:3" x14ac:dyDescent="0.2">
      <c r="A1082" s="2">
        <v>45770</v>
      </c>
      <c r="B1082" s="1" t="s">
        <v>9</v>
      </c>
      <c r="C1082" s="1">
        <v>155.35</v>
      </c>
    </row>
    <row r="1083" spans="1:3" x14ac:dyDescent="0.2">
      <c r="A1083" s="2">
        <v>45771</v>
      </c>
      <c r="B1083" s="1" t="s">
        <v>9</v>
      </c>
      <c r="C1083" s="1">
        <v>159.28</v>
      </c>
    </row>
    <row r="1084" spans="1:3" x14ac:dyDescent="0.2">
      <c r="A1084" s="2">
        <v>45772</v>
      </c>
      <c r="B1084" s="1" t="s">
        <v>9</v>
      </c>
      <c r="C1084" s="1">
        <v>161.96</v>
      </c>
    </row>
    <row r="1085" spans="1:3" x14ac:dyDescent="0.2">
      <c r="A1085" s="2">
        <v>45775</v>
      </c>
      <c r="B1085" s="1" t="s">
        <v>9</v>
      </c>
      <c r="C1085" s="1">
        <v>160.61000000000001</v>
      </c>
    </row>
    <row r="1086" spans="1:3" x14ac:dyDescent="0.2">
      <c r="A1086" s="2">
        <v>45776</v>
      </c>
      <c r="B1086" s="1" t="s">
        <v>9</v>
      </c>
      <c r="C1086" s="1">
        <v>160.16</v>
      </c>
    </row>
    <row r="1087" spans="1:3" x14ac:dyDescent="0.2">
      <c r="A1087" s="2">
        <v>45777</v>
      </c>
      <c r="B1087" s="1" t="s">
        <v>9</v>
      </c>
      <c r="C1087" s="1">
        <v>158.80000000000001</v>
      </c>
    </row>
    <row r="1088" spans="1:3" x14ac:dyDescent="0.2">
      <c r="A1088" s="2">
        <v>45778</v>
      </c>
      <c r="B1088" s="1" t="s">
        <v>9</v>
      </c>
      <c r="C1088" s="1">
        <v>161.30000000000001</v>
      </c>
    </row>
    <row r="1089" spans="1:3" x14ac:dyDescent="0.2">
      <c r="A1089" s="2">
        <v>45779</v>
      </c>
      <c r="B1089" s="1" t="s">
        <v>9</v>
      </c>
      <c r="C1089" s="1">
        <v>164.03</v>
      </c>
    </row>
    <row r="1090" spans="1:3" x14ac:dyDescent="0.2">
      <c r="A1090" s="2">
        <v>45782</v>
      </c>
      <c r="B1090" s="1" t="s">
        <v>9</v>
      </c>
      <c r="C1090" s="1">
        <v>164.21</v>
      </c>
    </row>
    <row r="1091" spans="1:3" x14ac:dyDescent="0.2">
      <c r="A1091" s="2">
        <v>45783</v>
      </c>
      <c r="B1091" s="1" t="s">
        <v>9</v>
      </c>
      <c r="C1091" s="1">
        <v>163.22999999999999</v>
      </c>
    </row>
    <row r="1092" spans="1:3" x14ac:dyDescent="0.2">
      <c r="A1092" s="2">
        <v>45784</v>
      </c>
      <c r="B1092" s="1" t="s">
        <v>9</v>
      </c>
      <c r="C1092" s="1">
        <v>151.38</v>
      </c>
    </row>
    <row r="1093" spans="1:3" x14ac:dyDescent="0.2">
      <c r="A1093" s="2">
        <v>45785</v>
      </c>
      <c r="B1093" s="1" t="s">
        <v>9</v>
      </c>
      <c r="C1093" s="1">
        <v>154.28</v>
      </c>
    </row>
    <row r="1094" spans="1:3" x14ac:dyDescent="0.2">
      <c r="A1094" s="2">
        <v>45786</v>
      </c>
      <c r="B1094" s="1" t="s">
        <v>9</v>
      </c>
      <c r="C1094" s="1">
        <v>152.75</v>
      </c>
    </row>
    <row r="1095" spans="1:3" x14ac:dyDescent="0.2">
      <c r="A1095" s="2">
        <v>45789</v>
      </c>
      <c r="B1095" s="1" t="s">
        <v>9</v>
      </c>
      <c r="C1095" s="1">
        <v>158.46</v>
      </c>
    </row>
    <row r="1096" spans="1:3" x14ac:dyDescent="0.2">
      <c r="A1096" s="2">
        <v>45790</v>
      </c>
      <c r="B1096" s="1" t="s">
        <v>9</v>
      </c>
      <c r="C1096" s="1">
        <v>159.53</v>
      </c>
    </row>
    <row r="1097" spans="1:3" x14ac:dyDescent="0.2">
      <c r="A1097" s="2">
        <v>45791</v>
      </c>
      <c r="B1097" s="1" t="s">
        <v>9</v>
      </c>
      <c r="C1097" s="1">
        <v>165.37</v>
      </c>
    </row>
    <row r="1098" spans="1:3" x14ac:dyDescent="0.2">
      <c r="A1098" s="2">
        <v>45792</v>
      </c>
      <c r="B1098" s="1" t="s">
        <v>9</v>
      </c>
      <c r="C1098" s="1">
        <v>163.96</v>
      </c>
    </row>
    <row r="1099" spans="1:3" x14ac:dyDescent="0.2">
      <c r="A1099" s="2">
        <v>45793</v>
      </c>
      <c r="B1099" s="1" t="s">
        <v>9</v>
      </c>
      <c r="C1099" s="1">
        <v>166.19</v>
      </c>
    </row>
    <row r="1100" spans="1:3" x14ac:dyDescent="0.2">
      <c r="A1100" s="2">
        <v>45796</v>
      </c>
      <c r="B1100" s="1" t="s">
        <v>9</v>
      </c>
      <c r="C1100" s="1">
        <v>166.54</v>
      </c>
    </row>
    <row r="1101" spans="1:3" x14ac:dyDescent="0.2">
      <c r="A1101" s="2">
        <v>45797</v>
      </c>
      <c r="B1101" s="1" t="s">
        <v>9</v>
      </c>
      <c r="C1101" s="1">
        <v>163.98</v>
      </c>
    </row>
    <row r="1102" spans="1:3" x14ac:dyDescent="0.2">
      <c r="A1102" s="2">
        <v>45798</v>
      </c>
      <c r="B1102" s="1" t="s">
        <v>9</v>
      </c>
      <c r="C1102" s="1">
        <v>168.56</v>
      </c>
    </row>
    <row r="1103" spans="1:3" x14ac:dyDescent="0.2">
      <c r="A1103" s="2">
        <v>45799</v>
      </c>
      <c r="B1103" s="1" t="s">
        <v>9</v>
      </c>
      <c r="C1103" s="1">
        <v>170.87</v>
      </c>
    </row>
    <row r="1104" spans="1:3" x14ac:dyDescent="0.2">
      <c r="A1104" s="2">
        <v>45800</v>
      </c>
      <c r="B1104" s="1" t="s">
        <v>9</v>
      </c>
      <c r="C1104" s="1">
        <v>168.47</v>
      </c>
    </row>
    <row r="1105" spans="1:3" x14ac:dyDescent="0.2">
      <c r="A1105" s="2">
        <v>45804</v>
      </c>
      <c r="B1105" s="1" t="s">
        <v>9</v>
      </c>
      <c r="C1105" s="1">
        <v>172.9</v>
      </c>
    </row>
    <row r="1106" spans="1:3" x14ac:dyDescent="0.2">
      <c r="A1106" s="2">
        <v>45805</v>
      </c>
      <c r="B1106" s="1" t="s">
        <v>9</v>
      </c>
      <c r="C1106" s="1">
        <v>172.36</v>
      </c>
    </row>
    <row r="1107" spans="1:3" x14ac:dyDescent="0.2">
      <c r="A1107" s="2">
        <v>45806</v>
      </c>
      <c r="B1107" s="1" t="s">
        <v>9</v>
      </c>
      <c r="C1107" s="1">
        <v>171.86</v>
      </c>
    </row>
    <row r="1108" spans="1:3" x14ac:dyDescent="0.2">
      <c r="A1108" s="2">
        <v>45807</v>
      </c>
      <c r="B1108" s="1" t="s">
        <v>9</v>
      </c>
      <c r="C1108" s="1">
        <v>171.74</v>
      </c>
    </row>
    <row r="1109" spans="1:3" x14ac:dyDescent="0.2">
      <c r="A1109" s="2">
        <v>45810</v>
      </c>
      <c r="B1109" s="1" t="s">
        <v>9</v>
      </c>
      <c r="C1109" s="1">
        <v>169.03</v>
      </c>
    </row>
    <row r="1110" spans="1:3" x14ac:dyDescent="0.2">
      <c r="A1110" s="2">
        <v>45811</v>
      </c>
      <c r="B1110" s="1" t="s">
        <v>9</v>
      </c>
      <c r="C1110" s="1">
        <v>166.18</v>
      </c>
    </row>
    <row r="1111" spans="1:3" x14ac:dyDescent="0.2">
      <c r="A1111" s="2">
        <v>45812</v>
      </c>
      <c r="B1111" s="1" t="s">
        <v>9</v>
      </c>
      <c r="C1111" s="1">
        <v>168.05</v>
      </c>
    </row>
    <row r="1112" spans="1:3" x14ac:dyDescent="0.2">
      <c r="A1112" s="2">
        <v>45813</v>
      </c>
      <c r="B1112" s="1" t="s">
        <v>9</v>
      </c>
      <c r="C1112" s="1">
        <v>168.21</v>
      </c>
    </row>
    <row r="1113" spans="1:3" x14ac:dyDescent="0.2">
      <c r="A1113" s="2">
        <v>45814</v>
      </c>
      <c r="B1113" s="1" t="s">
        <v>9</v>
      </c>
      <c r="C1113" s="1">
        <v>173.68</v>
      </c>
    </row>
    <row r="1114" spans="1:3" x14ac:dyDescent="0.2">
      <c r="A1114" s="2">
        <v>45817</v>
      </c>
      <c r="B1114" s="1" t="s">
        <v>9</v>
      </c>
      <c r="C1114" s="1">
        <v>176.09</v>
      </c>
    </row>
    <row r="1115" spans="1:3" x14ac:dyDescent="0.2">
      <c r="A1115" s="2">
        <v>45818</v>
      </c>
      <c r="B1115" s="1" t="s">
        <v>9</v>
      </c>
      <c r="C1115" s="1">
        <v>178.6</v>
      </c>
    </row>
    <row r="1116" spans="1:3" x14ac:dyDescent="0.2">
      <c r="A1116" s="2">
        <v>45819</v>
      </c>
      <c r="B1116" s="1" t="s">
        <v>9</v>
      </c>
      <c r="C1116" s="1">
        <v>177.35</v>
      </c>
    </row>
    <row r="1117" spans="1:3" x14ac:dyDescent="0.2">
      <c r="A1117" s="2">
        <v>45820</v>
      </c>
      <c r="B1117" s="1" t="s">
        <v>9</v>
      </c>
      <c r="C1117" s="1">
        <v>175.7</v>
      </c>
    </row>
    <row r="1118" spans="1:3" x14ac:dyDescent="0.2">
      <c r="A1118" s="2">
        <v>45821</v>
      </c>
      <c r="B1118" s="1" t="s">
        <v>9</v>
      </c>
      <c r="C1118" s="1">
        <v>174.67</v>
      </c>
    </row>
    <row r="1119" spans="1:3" x14ac:dyDescent="0.2">
      <c r="A1119" s="2">
        <v>45824</v>
      </c>
      <c r="B1119" s="1" t="s">
        <v>9</v>
      </c>
      <c r="C1119" s="1">
        <v>176.77</v>
      </c>
    </row>
    <row r="1120" spans="1:3" x14ac:dyDescent="0.2">
      <c r="A1120" s="2">
        <v>45825</v>
      </c>
      <c r="B1120" s="1" t="s">
        <v>9</v>
      </c>
      <c r="C1120" s="1">
        <v>175.95</v>
      </c>
    </row>
    <row r="1121" spans="1:3" x14ac:dyDescent="0.2">
      <c r="A1121" s="2">
        <v>45826</v>
      </c>
      <c r="B1121" s="1" t="s">
        <v>9</v>
      </c>
      <c r="C1121" s="1">
        <v>173.32</v>
      </c>
    </row>
    <row r="1122" spans="1:3" x14ac:dyDescent="0.2">
      <c r="A1122" s="2">
        <v>45828</v>
      </c>
      <c r="B1122" s="1" t="s">
        <v>9</v>
      </c>
      <c r="C1122" s="1">
        <v>166.64</v>
      </c>
    </row>
    <row r="1123" spans="1:3" x14ac:dyDescent="0.2">
      <c r="A1123" s="2">
        <v>45831</v>
      </c>
      <c r="B1123" s="1" t="s">
        <v>9</v>
      </c>
      <c r="C1123" s="1">
        <v>165.19</v>
      </c>
    </row>
    <row r="1124" spans="1:3" x14ac:dyDescent="0.2">
      <c r="A1124" s="2">
        <v>45832</v>
      </c>
      <c r="B1124" s="1" t="s">
        <v>9</v>
      </c>
      <c r="C1124" s="1">
        <v>166.77</v>
      </c>
    </row>
    <row r="1125" spans="1:3" x14ac:dyDescent="0.2">
      <c r="A1125" s="2">
        <v>45833</v>
      </c>
      <c r="B1125" s="1" t="s">
        <v>9</v>
      </c>
      <c r="C1125" s="1">
        <v>170.68</v>
      </c>
    </row>
    <row r="1126" spans="1:3" x14ac:dyDescent="0.2">
      <c r="A1126" s="2">
        <v>45834</v>
      </c>
      <c r="B1126" s="1" t="s">
        <v>9</v>
      </c>
      <c r="C1126" s="1">
        <v>173.54</v>
      </c>
    </row>
    <row r="1127" spans="1:3" x14ac:dyDescent="0.2">
      <c r="A1127" s="2">
        <v>45835</v>
      </c>
      <c r="B1127" s="1" t="s">
        <v>9</v>
      </c>
      <c r="C1127" s="1">
        <v>178.53</v>
      </c>
    </row>
    <row r="1128" spans="1:3" x14ac:dyDescent="0.2">
      <c r="A1128" s="2">
        <v>45838</v>
      </c>
      <c r="B1128" s="1" t="s">
        <v>9</v>
      </c>
      <c r="C1128" s="1">
        <v>176.23</v>
      </c>
    </row>
    <row r="1129" spans="1:3" x14ac:dyDescent="0.2">
      <c r="A1129" s="2">
        <v>45839</v>
      </c>
      <c r="B1129" s="1" t="s">
        <v>9</v>
      </c>
      <c r="C1129" s="1">
        <v>175.84</v>
      </c>
    </row>
    <row r="1130" spans="1:3" x14ac:dyDescent="0.2">
      <c r="A1130" s="2">
        <v>45840</v>
      </c>
      <c r="B1130" s="1" t="s">
        <v>9</v>
      </c>
      <c r="C1130" s="1">
        <v>178.64</v>
      </c>
    </row>
    <row r="1131" spans="1:3" x14ac:dyDescent="0.2">
      <c r="A1131" s="2">
        <v>45841</v>
      </c>
      <c r="B1131" s="1" t="s">
        <v>9</v>
      </c>
      <c r="C1131" s="1">
        <v>179.53</v>
      </c>
    </row>
    <row r="1132" spans="1:3" x14ac:dyDescent="0.2">
      <c r="A1132" s="2">
        <v>45845</v>
      </c>
      <c r="B1132" s="1" t="s">
        <v>9</v>
      </c>
      <c r="C1132" s="1">
        <v>176.79</v>
      </c>
    </row>
    <row r="1133" spans="1:3" x14ac:dyDescent="0.2">
      <c r="A1133" s="2">
        <v>45846</v>
      </c>
      <c r="B1133" s="1" t="s">
        <v>9</v>
      </c>
      <c r="C1133" s="1">
        <v>174.36</v>
      </c>
    </row>
    <row r="1134" spans="1:3" x14ac:dyDescent="0.2">
      <c r="A1134" s="2">
        <v>45847</v>
      </c>
      <c r="B1134" s="1" t="s">
        <v>9</v>
      </c>
      <c r="C1134" s="1">
        <v>176.62</v>
      </c>
    </row>
    <row r="1135" spans="1:3" x14ac:dyDescent="0.2">
      <c r="A1135" s="2">
        <v>45848</v>
      </c>
      <c r="B1135" s="1" t="s">
        <v>9</v>
      </c>
      <c r="C1135" s="1">
        <v>177.62</v>
      </c>
    </row>
    <row r="1136" spans="1:3" x14ac:dyDescent="0.2">
      <c r="A1136" s="2">
        <v>45849</v>
      </c>
      <c r="B1136" s="1" t="s">
        <v>9</v>
      </c>
      <c r="C1136" s="1">
        <v>180.19</v>
      </c>
    </row>
    <row r="1137" spans="1:3" x14ac:dyDescent="0.2">
      <c r="A1137" s="2">
        <v>45852</v>
      </c>
      <c r="B1137" s="1" t="s">
        <v>9</v>
      </c>
      <c r="C1137" s="1">
        <v>181.56</v>
      </c>
    </row>
    <row r="1138" spans="1:3" x14ac:dyDescent="0.2">
      <c r="A1138" s="2">
        <v>45853</v>
      </c>
      <c r="B1138" s="1" t="s">
        <v>9</v>
      </c>
      <c r="C1138" s="1">
        <v>182</v>
      </c>
    </row>
    <row r="1139" spans="1:3" x14ac:dyDescent="0.2">
      <c r="A1139" s="2">
        <v>45854</v>
      </c>
      <c r="B1139" s="1" t="s">
        <v>9</v>
      </c>
      <c r="C1139" s="1">
        <v>182.97</v>
      </c>
    </row>
    <row r="1140" spans="1:3" x14ac:dyDescent="0.2">
      <c r="A1140" s="2">
        <v>45855</v>
      </c>
      <c r="B1140" s="1" t="s">
        <v>9</v>
      </c>
      <c r="C1140" s="1">
        <v>183.58</v>
      </c>
    </row>
    <row r="1141" spans="1:3" x14ac:dyDescent="0.2">
      <c r="A1141" s="2">
        <v>45856</v>
      </c>
      <c r="B1141" s="1" t="s">
        <v>9</v>
      </c>
      <c r="C1141" s="1">
        <v>185.06</v>
      </c>
    </row>
    <row r="1142" spans="1:3" x14ac:dyDescent="0.2">
      <c r="A1142" s="2">
        <v>45859</v>
      </c>
      <c r="B1142" s="1" t="s">
        <v>9</v>
      </c>
      <c r="C1142" s="1">
        <v>190.1</v>
      </c>
    </row>
    <row r="1143" spans="1:3" x14ac:dyDescent="0.2">
      <c r="A1143" s="2">
        <v>45860</v>
      </c>
      <c r="B1143" s="1" t="s">
        <v>9</v>
      </c>
      <c r="C1143" s="1">
        <v>191.34</v>
      </c>
    </row>
    <row r="1144" spans="1:3" x14ac:dyDescent="0.2">
      <c r="A1144" s="2">
        <v>45861</v>
      </c>
      <c r="B1144" s="1" t="s">
        <v>9</v>
      </c>
      <c r="C1144" s="1">
        <v>190.23</v>
      </c>
    </row>
    <row r="1145" spans="1:3" x14ac:dyDescent="0.2">
      <c r="A1145" s="2">
        <v>45862</v>
      </c>
      <c r="B1145" s="1" t="s">
        <v>9</v>
      </c>
      <c r="C1145" s="1">
        <v>192.17</v>
      </c>
    </row>
    <row r="1146" spans="1:3" x14ac:dyDescent="0.2">
      <c r="A1146" s="2">
        <v>45863</v>
      </c>
      <c r="B1146" s="1" t="s">
        <v>9</v>
      </c>
      <c r="C1146" s="1">
        <v>193.18</v>
      </c>
    </row>
    <row r="1147" spans="1:3" x14ac:dyDescent="0.2">
      <c r="A1147" s="2">
        <v>45866</v>
      </c>
      <c r="B1147" s="1" t="s">
        <v>9</v>
      </c>
      <c r="C1147" s="1">
        <v>192.58</v>
      </c>
    </row>
    <row r="1148" spans="1:3" x14ac:dyDescent="0.2">
      <c r="A1148" s="2">
        <v>45867</v>
      </c>
      <c r="B1148" s="1" t="s">
        <v>9</v>
      </c>
      <c r="C1148" s="1">
        <v>195.75</v>
      </c>
    </row>
    <row r="1149" spans="1:3" x14ac:dyDescent="0.2">
      <c r="A1149" s="2">
        <v>45868</v>
      </c>
      <c r="B1149" s="1" t="s">
        <v>9</v>
      </c>
      <c r="C1149" s="1">
        <v>196.53</v>
      </c>
    </row>
    <row r="1150" spans="1:3" x14ac:dyDescent="0.2">
      <c r="A1150" s="2">
        <v>45869</v>
      </c>
      <c r="B1150" s="1" t="s">
        <v>9</v>
      </c>
      <c r="C1150" s="1">
        <v>191.9</v>
      </c>
    </row>
    <row r="1151" spans="1:3" x14ac:dyDescent="0.2">
      <c r="A1151" s="2">
        <v>45870</v>
      </c>
      <c r="B1151" s="1" t="s">
        <v>9</v>
      </c>
      <c r="C1151" s="1">
        <v>189.13</v>
      </c>
    </row>
    <row r="1152" spans="1:3" x14ac:dyDescent="0.2">
      <c r="A1152" s="2">
        <v>45873</v>
      </c>
      <c r="B1152" s="1" t="s">
        <v>9</v>
      </c>
      <c r="C1152" s="1">
        <v>195.04</v>
      </c>
    </row>
    <row r="1153" spans="1:3" x14ac:dyDescent="0.2">
      <c r="A1153" s="2">
        <v>45874</v>
      </c>
      <c r="B1153" s="1" t="s">
        <v>9</v>
      </c>
      <c r="C1153" s="1">
        <v>194.67</v>
      </c>
    </row>
    <row r="1154" spans="1:3" x14ac:dyDescent="0.2">
      <c r="A1154" s="2">
        <v>45875</v>
      </c>
      <c r="B1154" s="1" t="s">
        <v>9</v>
      </c>
      <c r="C1154" s="1">
        <v>196.09</v>
      </c>
    </row>
    <row r="1155" spans="1:3" x14ac:dyDescent="0.2">
      <c r="A1155" s="2">
        <v>45876</v>
      </c>
      <c r="B1155" s="1" t="s">
        <v>9</v>
      </c>
      <c r="C1155" s="1">
        <v>196.52</v>
      </c>
    </row>
    <row r="1156" spans="1:3" x14ac:dyDescent="0.2">
      <c r="A1156" s="2">
        <v>45877</v>
      </c>
      <c r="B1156" s="1" t="s">
        <v>9</v>
      </c>
      <c r="C1156" s="1">
        <v>201.42</v>
      </c>
    </row>
    <row r="1157" spans="1:3" x14ac:dyDescent="0.2">
      <c r="A1157" s="2">
        <v>45880</v>
      </c>
      <c r="B1157" s="1" t="s">
        <v>9</v>
      </c>
      <c r="C1157" s="1">
        <v>201</v>
      </c>
    </row>
    <row r="1158" spans="1:3" x14ac:dyDescent="0.2">
      <c r="A1158" s="2">
        <v>45881</v>
      </c>
      <c r="B1158" s="1" t="s">
        <v>9</v>
      </c>
      <c r="C1158" s="1">
        <v>203.34</v>
      </c>
    </row>
    <row r="1159" spans="1:3" x14ac:dyDescent="0.2">
      <c r="A1159" s="2">
        <v>45882</v>
      </c>
      <c r="B1159" s="1" t="s">
        <v>9</v>
      </c>
      <c r="C1159" s="1">
        <v>201.96</v>
      </c>
    </row>
    <row r="1160" spans="1:3" x14ac:dyDescent="0.2">
      <c r="A1160" s="2">
        <v>45883</v>
      </c>
      <c r="B1160" s="1" t="s">
        <v>9</v>
      </c>
      <c r="C1160" s="1">
        <v>202.94</v>
      </c>
    </row>
    <row r="1161" spans="1:3" x14ac:dyDescent="0.2">
      <c r="A1161" s="2">
        <v>45884</v>
      </c>
      <c r="B1161" s="1" t="s">
        <v>9</v>
      </c>
      <c r="C1161" s="1">
        <v>203.9</v>
      </c>
    </row>
    <row r="1162" spans="1:3" x14ac:dyDescent="0.2">
      <c r="A1162" s="2">
        <v>45887</v>
      </c>
      <c r="B1162" s="1" t="s">
        <v>9</v>
      </c>
      <c r="C1162" s="1">
        <v>203.5</v>
      </c>
    </row>
    <row r="1163" spans="1:3" x14ac:dyDescent="0.2">
      <c r="A1163" s="2">
        <v>45888</v>
      </c>
      <c r="B1163" s="1" t="s">
        <v>9</v>
      </c>
      <c r="C1163" s="1">
        <v>201.57</v>
      </c>
    </row>
    <row r="1164" spans="1:3" x14ac:dyDescent="0.2">
      <c r="A1164" s="2">
        <v>45889</v>
      </c>
      <c r="B1164" s="1" t="s">
        <v>9</v>
      </c>
      <c r="C1164" s="1">
        <v>199.32</v>
      </c>
    </row>
    <row r="1165" spans="1:3" x14ac:dyDescent="0.2">
      <c r="A1165" s="2">
        <v>45890</v>
      </c>
      <c r="B1165" s="1" t="s">
        <v>9</v>
      </c>
      <c r="C1165" s="1">
        <v>199.75</v>
      </c>
    </row>
    <row r="1166" spans="1:3" x14ac:dyDescent="0.2">
      <c r="A1166" s="2">
        <v>45891</v>
      </c>
      <c r="B1166" s="1" t="s">
        <v>9</v>
      </c>
      <c r="C1166" s="1">
        <v>206.09</v>
      </c>
    </row>
    <row r="1167" spans="1:3" x14ac:dyDescent="0.2">
      <c r="A1167" s="2">
        <v>45894</v>
      </c>
      <c r="B1167" s="1" t="s">
        <v>9</v>
      </c>
      <c r="C1167" s="1">
        <v>208.49</v>
      </c>
    </row>
    <row r="1168" spans="1:3" x14ac:dyDescent="0.2">
      <c r="A1168" s="2">
        <v>45895</v>
      </c>
      <c r="B1168" s="1" t="s">
        <v>9</v>
      </c>
      <c r="C1168" s="1">
        <v>207.14</v>
      </c>
    </row>
    <row r="1169" spans="1:3" x14ac:dyDescent="0.2">
      <c r="A1169" s="2">
        <v>45896</v>
      </c>
      <c r="B1169" s="1" t="s">
        <v>9</v>
      </c>
      <c r="C1169" s="1">
        <v>207.48</v>
      </c>
    </row>
    <row r="1170" spans="1:3" x14ac:dyDescent="0.2">
      <c r="A1170" s="2">
        <v>45897</v>
      </c>
      <c r="B1170" s="1" t="s">
        <v>9</v>
      </c>
      <c r="C1170" s="1">
        <v>211.64</v>
      </c>
    </row>
    <row r="1171" spans="1:3" x14ac:dyDescent="0.2">
      <c r="A1171" s="2">
        <v>45898</v>
      </c>
      <c r="B1171" s="1" t="s">
        <v>9</v>
      </c>
      <c r="C1171" s="1">
        <v>212.91</v>
      </c>
    </row>
    <row r="1172" spans="1:3" x14ac:dyDescent="0.2">
      <c r="A1172" s="2">
        <v>45902</v>
      </c>
      <c r="B1172" s="1" t="s">
        <v>9</v>
      </c>
      <c r="C1172" s="1">
        <v>211.35</v>
      </c>
    </row>
    <row r="1173" spans="1:3" x14ac:dyDescent="0.2">
      <c r="A1173" s="2">
        <v>45903</v>
      </c>
      <c r="B1173" s="1" t="s">
        <v>9</v>
      </c>
      <c r="C1173" s="1">
        <v>230.66</v>
      </c>
    </row>
    <row r="1174" spans="1:3" x14ac:dyDescent="0.2">
      <c r="A1174" s="2">
        <v>45904</v>
      </c>
      <c r="B1174" s="1" t="s">
        <v>9</v>
      </c>
      <c r="C1174" s="1">
        <v>232.3</v>
      </c>
    </row>
    <row r="1175" spans="1:3" x14ac:dyDescent="0.2">
      <c r="A1175" s="2">
        <v>45905</v>
      </c>
      <c r="B1175" s="1" t="s">
        <v>9</v>
      </c>
      <c r="C1175" s="1">
        <v>235</v>
      </c>
    </row>
    <row r="1176" spans="1:3" x14ac:dyDescent="0.2">
      <c r="A1176" s="2">
        <v>45908</v>
      </c>
      <c r="B1176" s="1" t="s">
        <v>9</v>
      </c>
      <c r="C1176" s="1">
        <v>234.04</v>
      </c>
    </row>
    <row r="1177" spans="1:3" x14ac:dyDescent="0.2">
      <c r="A1177" s="2">
        <v>45909</v>
      </c>
      <c r="B1177" s="1" t="s">
        <v>9</v>
      </c>
      <c r="C1177" s="1">
        <v>239.63</v>
      </c>
    </row>
    <row r="1178" spans="1:3" x14ac:dyDescent="0.2">
      <c r="A1178" s="2">
        <v>45910</v>
      </c>
      <c r="B1178" s="1" t="s">
        <v>9</v>
      </c>
      <c r="C1178" s="1">
        <v>239.17</v>
      </c>
    </row>
    <row r="1179" spans="1:3" x14ac:dyDescent="0.2">
      <c r="A1179" s="2">
        <v>45911</v>
      </c>
      <c r="B1179" s="1" t="s">
        <v>9</v>
      </c>
      <c r="C1179" s="1">
        <v>240.37</v>
      </c>
    </row>
    <row r="1180" spans="1:3" x14ac:dyDescent="0.2">
      <c r="A1180" s="2">
        <v>45912</v>
      </c>
      <c r="B1180" s="1" t="s">
        <v>9</v>
      </c>
      <c r="C1180" s="1">
        <v>240.8</v>
      </c>
    </row>
    <row r="1181" spans="1:3" x14ac:dyDescent="0.2">
      <c r="A1181" s="2">
        <v>45915</v>
      </c>
      <c r="B1181" s="1" t="s">
        <v>9</v>
      </c>
      <c r="C1181" s="1">
        <v>251.61</v>
      </c>
    </row>
    <row r="1182" spans="1:3" x14ac:dyDescent="0.2">
      <c r="A1182" s="2">
        <v>45916</v>
      </c>
      <c r="B1182" s="1" t="s">
        <v>9</v>
      </c>
      <c r="C1182" s="1">
        <v>251.16</v>
      </c>
    </row>
    <row r="1183" spans="1:3" x14ac:dyDescent="0.2">
      <c r="A1183" s="2">
        <v>45917</v>
      </c>
      <c r="B1183" s="1" t="s">
        <v>9</v>
      </c>
      <c r="C1183" s="1">
        <v>249.53</v>
      </c>
    </row>
    <row r="1184" spans="1:3" x14ac:dyDescent="0.2">
      <c r="A1184" s="2">
        <v>45918</v>
      </c>
      <c r="B1184" s="1" t="s">
        <v>9</v>
      </c>
      <c r="C1184" s="1">
        <v>252.03</v>
      </c>
    </row>
    <row r="1185" spans="1:3" x14ac:dyDescent="0.2">
      <c r="A1185" s="2">
        <v>45919</v>
      </c>
      <c r="B1185" s="1" t="s">
        <v>9</v>
      </c>
      <c r="C1185" s="1">
        <v>254.72</v>
      </c>
    </row>
    <row r="1186" spans="1:3" x14ac:dyDescent="0.2">
      <c r="A1186" s="2">
        <v>45922</v>
      </c>
      <c r="B1186" s="1" t="s">
        <v>9</v>
      </c>
      <c r="C1186" s="1">
        <v>252.53</v>
      </c>
    </row>
    <row r="1187" spans="1:3" x14ac:dyDescent="0.2">
      <c r="A1187" s="2">
        <v>45923</v>
      </c>
      <c r="B1187" s="1" t="s">
        <v>9</v>
      </c>
      <c r="C1187" s="1">
        <v>251.66</v>
      </c>
    </row>
    <row r="1188" spans="1:3" x14ac:dyDescent="0.2">
      <c r="A1188" s="2">
        <v>45924</v>
      </c>
      <c r="B1188" s="1" t="s">
        <v>9</v>
      </c>
      <c r="C1188" s="1">
        <v>247.14</v>
      </c>
    </row>
    <row r="1189" spans="1:3" x14ac:dyDescent="0.2">
      <c r="A1189" s="2">
        <v>45925</v>
      </c>
      <c r="B1189" s="1" t="s">
        <v>9</v>
      </c>
      <c r="C1189" s="1">
        <v>245.79</v>
      </c>
    </row>
    <row r="1190" spans="1:3" x14ac:dyDescent="0.2">
      <c r="A1190" s="2">
        <v>45926</v>
      </c>
      <c r="B1190" s="1" t="s">
        <v>9</v>
      </c>
      <c r="C1190" s="1">
        <v>246.54</v>
      </c>
    </row>
    <row r="1191" spans="1:3" x14ac:dyDescent="0.2">
      <c r="A1191" s="2">
        <v>45929</v>
      </c>
      <c r="B1191" s="1" t="s">
        <v>9</v>
      </c>
      <c r="C1191" s="1">
        <v>244.05</v>
      </c>
    </row>
    <row r="1192" spans="1:3" x14ac:dyDescent="0.2">
      <c r="A1192" s="2">
        <v>45930</v>
      </c>
      <c r="B1192" s="1" t="s">
        <v>9</v>
      </c>
      <c r="C1192" s="1">
        <v>243.1</v>
      </c>
    </row>
    <row r="1193" spans="1:3" x14ac:dyDescent="0.2">
      <c r="A1193" s="2">
        <v>45931</v>
      </c>
      <c r="B1193" s="1" t="s">
        <v>9</v>
      </c>
      <c r="C1193" s="1">
        <v>244.9</v>
      </c>
    </row>
    <row r="1194" spans="1:3" x14ac:dyDescent="0.2">
      <c r="A1194" s="2">
        <v>45932</v>
      </c>
      <c r="B1194" s="1" t="s">
        <v>9</v>
      </c>
      <c r="C1194" s="1">
        <v>245.69</v>
      </c>
    </row>
    <row r="1195" spans="1:3" x14ac:dyDescent="0.2">
      <c r="A1195" s="2">
        <v>45933</v>
      </c>
      <c r="B1195" s="1" t="s">
        <v>9</v>
      </c>
      <c r="C1195" s="1">
        <v>245.35</v>
      </c>
    </row>
    <row r="1196" spans="1:3" x14ac:dyDescent="0.2">
      <c r="A1196" s="2">
        <v>45936</v>
      </c>
      <c r="B1196" s="1" t="s">
        <v>9</v>
      </c>
      <c r="C1196" s="1">
        <v>250.43</v>
      </c>
    </row>
    <row r="1197" spans="1:3" x14ac:dyDescent="0.2">
      <c r="A1197" s="2">
        <v>45937</v>
      </c>
      <c r="B1197" s="1" t="s">
        <v>9</v>
      </c>
      <c r="C1197" s="1">
        <v>245.76</v>
      </c>
    </row>
    <row r="1198" spans="1:3" x14ac:dyDescent="0.2">
      <c r="A1198" s="2">
        <v>45938</v>
      </c>
      <c r="B1198" s="1" t="s">
        <v>9</v>
      </c>
      <c r="C1198" s="1">
        <v>244.62</v>
      </c>
    </row>
    <row r="1199" spans="1:3" x14ac:dyDescent="0.2">
      <c r="A1199" s="2">
        <v>45939</v>
      </c>
      <c r="B1199" s="1" t="s">
        <v>9</v>
      </c>
      <c r="C1199" s="1">
        <v>241.53</v>
      </c>
    </row>
    <row r="1200" spans="1:3" x14ac:dyDescent="0.2">
      <c r="A1200" s="2">
        <v>45940</v>
      </c>
      <c r="B1200" s="1" t="s">
        <v>9</v>
      </c>
      <c r="C1200" s="1">
        <v>236.57</v>
      </c>
    </row>
    <row r="1201" spans="1:3" x14ac:dyDescent="0.2">
      <c r="A1201" s="2">
        <v>45943</v>
      </c>
      <c r="B1201" s="1" t="s">
        <v>9</v>
      </c>
      <c r="C1201" s="1">
        <v>244.15</v>
      </c>
    </row>
    <row r="1202" spans="1:3" x14ac:dyDescent="0.2">
      <c r="A1202" s="2">
        <v>45944</v>
      </c>
      <c r="B1202" s="1" t="s">
        <v>9</v>
      </c>
      <c r="C1202" s="1">
        <v>245.45</v>
      </c>
    </row>
    <row r="1203" spans="1:3" x14ac:dyDescent="0.2">
      <c r="A1203" s="2">
        <v>45945</v>
      </c>
      <c r="B1203" s="1" t="s">
        <v>9</v>
      </c>
      <c r="C1203" s="1">
        <v>251.03</v>
      </c>
    </row>
    <row r="1204" spans="1:3" x14ac:dyDescent="0.2">
      <c r="A1204" s="2">
        <v>45946</v>
      </c>
      <c r="B1204" s="1" t="s">
        <v>9</v>
      </c>
      <c r="C1204" s="1">
        <v>251.46</v>
      </c>
    </row>
    <row r="1205" spans="1:3" x14ac:dyDescent="0.2">
      <c r="A1205" s="2">
        <v>45947</v>
      </c>
      <c r="B1205" s="1" t="s">
        <v>9</v>
      </c>
      <c r="C1205" s="1">
        <v>253.3</v>
      </c>
    </row>
    <row r="1206" spans="1:3" x14ac:dyDescent="0.2">
      <c r="A1206" s="2">
        <v>45950</v>
      </c>
      <c r="B1206" s="1" t="s">
        <v>9</v>
      </c>
      <c r="C1206" s="1">
        <v>256.55</v>
      </c>
    </row>
    <row r="1207" spans="1:3" x14ac:dyDescent="0.2">
      <c r="A1207" s="2">
        <v>45951</v>
      </c>
      <c r="B1207" s="1" t="s">
        <v>9</v>
      </c>
      <c r="C1207" s="1">
        <v>250.46</v>
      </c>
    </row>
    <row r="1208" spans="1:3" x14ac:dyDescent="0.2">
      <c r="A1208" s="2">
        <v>45952</v>
      </c>
      <c r="B1208" s="1" t="s">
        <v>9</v>
      </c>
      <c r="C1208" s="1">
        <v>251.69</v>
      </c>
    </row>
    <row r="1209" spans="1:3" x14ac:dyDescent="0.2">
      <c r="A1209" s="2">
        <v>45953</v>
      </c>
      <c r="B1209" s="1" t="s">
        <v>9</v>
      </c>
      <c r="C1209" s="1">
        <v>253.08</v>
      </c>
    </row>
    <row r="1210" spans="1:3" x14ac:dyDescent="0.2">
      <c r="A1210" s="2">
        <v>45954</v>
      </c>
      <c r="B1210" s="1" t="s">
        <v>9</v>
      </c>
      <c r="C1210" s="1">
        <v>259.92</v>
      </c>
    </row>
    <row r="1211" spans="1:3" x14ac:dyDescent="0.2">
      <c r="A1211" s="2">
        <v>45957</v>
      </c>
      <c r="B1211" s="1" t="s">
        <v>9</v>
      </c>
      <c r="C1211" s="1">
        <v>269.27</v>
      </c>
    </row>
    <row r="1212" spans="1:3" x14ac:dyDescent="0.2">
      <c r="A1212" s="2">
        <v>45958</v>
      </c>
      <c r="B1212" s="1" t="s">
        <v>9</v>
      </c>
      <c r="C1212" s="1">
        <v>267.47000000000003</v>
      </c>
    </row>
    <row r="1213" spans="1:3" x14ac:dyDescent="0.2">
      <c r="A1213" s="2">
        <v>45959</v>
      </c>
      <c r="B1213" s="1" t="s">
        <v>9</v>
      </c>
      <c r="C1213" s="1">
        <v>274.57</v>
      </c>
    </row>
    <row r="1214" spans="1:3" x14ac:dyDescent="0.2">
      <c r="A1214" s="2">
        <v>45960</v>
      </c>
      <c r="B1214" s="1" t="s">
        <v>9</v>
      </c>
      <c r="C1214" s="1">
        <v>281.48</v>
      </c>
    </row>
    <row r="1215" spans="1:3" x14ac:dyDescent="0.2">
      <c r="A1215" s="2">
        <v>45961</v>
      </c>
      <c r="B1215" s="1" t="s">
        <v>9</v>
      </c>
      <c r="C1215" s="1">
        <v>281.19</v>
      </c>
    </row>
    <row r="1216" spans="1:3" x14ac:dyDescent="0.2">
      <c r="A1216" s="2">
        <v>45964</v>
      </c>
      <c r="B1216" s="1" t="s">
        <v>9</v>
      </c>
      <c r="C1216" s="1">
        <v>283.72000000000003</v>
      </c>
    </row>
    <row r="1217" spans="1:3" x14ac:dyDescent="0.2">
      <c r="A1217" s="2">
        <v>45965</v>
      </c>
      <c r="B1217" s="1" t="s">
        <v>9</v>
      </c>
      <c r="C1217" s="1">
        <v>277.54000000000002</v>
      </c>
    </row>
    <row r="1218" spans="1:3" x14ac:dyDescent="0.2">
      <c r="A1218" s="2">
        <v>45966</v>
      </c>
      <c r="B1218" s="1" t="s">
        <v>9</v>
      </c>
      <c r="C1218" s="1">
        <v>284.31</v>
      </c>
    </row>
    <row r="1219" spans="1:3" x14ac:dyDescent="0.2">
      <c r="A1219" s="2">
        <v>45967</v>
      </c>
      <c r="B1219" s="1" t="s">
        <v>9</v>
      </c>
      <c r="C1219" s="1">
        <v>284.75</v>
      </c>
    </row>
    <row r="1220" spans="1:3" x14ac:dyDescent="0.2">
      <c r="A1220" s="2">
        <v>45968</v>
      </c>
      <c r="B1220" s="1" t="s">
        <v>9</v>
      </c>
      <c r="C1220" s="1">
        <v>278.83</v>
      </c>
    </row>
    <row r="1221" spans="1:3" x14ac:dyDescent="0.2">
      <c r="A1221" s="2">
        <v>45971</v>
      </c>
      <c r="B1221" s="1" t="s">
        <v>9</v>
      </c>
      <c r="C1221" s="1">
        <v>290.10000000000002</v>
      </c>
    </row>
    <row r="1222" spans="1:3" x14ac:dyDescent="0.2">
      <c r="A1222" s="2">
        <v>45972</v>
      </c>
      <c r="B1222" s="1" t="s">
        <v>9</v>
      </c>
      <c r="C1222" s="1">
        <v>291.31</v>
      </c>
    </row>
    <row r="1223" spans="1:3" x14ac:dyDescent="0.2">
      <c r="A1223" s="2">
        <v>45973</v>
      </c>
      <c r="B1223" s="1" t="s">
        <v>9</v>
      </c>
      <c r="C1223" s="1">
        <v>286.70999999999998</v>
      </c>
    </row>
    <row r="1224" spans="1:3" x14ac:dyDescent="0.2">
      <c r="A1224" s="2">
        <v>45974</v>
      </c>
      <c r="B1224" s="1" t="s">
        <v>9</v>
      </c>
      <c r="C1224" s="1">
        <v>278.57</v>
      </c>
    </row>
    <row r="1225" spans="1:3" x14ac:dyDescent="0.2">
      <c r="A1225" s="2">
        <v>45975</v>
      </c>
      <c r="B1225" s="1" t="s">
        <v>9</v>
      </c>
      <c r="C1225" s="1">
        <v>276.41000000000003</v>
      </c>
    </row>
    <row r="1226" spans="1:3" x14ac:dyDescent="0.2">
      <c r="A1226" s="2">
        <v>45978</v>
      </c>
      <c r="B1226" s="1" t="s">
        <v>9</v>
      </c>
      <c r="C1226" s="1">
        <v>285.02</v>
      </c>
    </row>
    <row r="1227" spans="1:3" x14ac:dyDescent="0.2">
      <c r="A1227" s="2">
        <v>45979</v>
      </c>
      <c r="B1227" s="1" t="s">
        <v>9</v>
      </c>
      <c r="C1227" s="1">
        <v>284.27999999999997</v>
      </c>
    </row>
    <row r="1228" spans="1:3" x14ac:dyDescent="0.2">
      <c r="A1228" s="2">
        <v>45980</v>
      </c>
      <c r="B1228" s="1" t="s">
        <v>9</v>
      </c>
      <c r="C1228" s="1">
        <v>292.81</v>
      </c>
    </row>
    <row r="1229" spans="1:3" x14ac:dyDescent="0.2">
      <c r="A1229" s="2">
        <v>45981</v>
      </c>
      <c r="B1229" s="1" t="s">
        <v>9</v>
      </c>
      <c r="C1229" s="1">
        <v>289.45</v>
      </c>
    </row>
    <row r="1230" spans="1:3" x14ac:dyDescent="0.2">
      <c r="A1230" s="2">
        <v>45982</v>
      </c>
      <c r="B1230" s="1" t="s">
        <v>9</v>
      </c>
      <c r="C1230" s="1">
        <v>299.66000000000003</v>
      </c>
    </row>
    <row r="1231" spans="1:3" x14ac:dyDescent="0.2">
      <c r="A1231" s="2">
        <v>45985</v>
      </c>
      <c r="B1231" s="1" t="s">
        <v>9</v>
      </c>
      <c r="C1231" s="1">
        <v>318.58</v>
      </c>
    </row>
    <row r="1232" spans="1:3" x14ac:dyDescent="0.2">
      <c r="A1232" s="2">
        <v>45986</v>
      </c>
      <c r="B1232" s="1" t="s">
        <v>9</v>
      </c>
      <c r="C1232" s="1">
        <v>323.44</v>
      </c>
    </row>
    <row r="1233" spans="1:3" x14ac:dyDescent="0.2">
      <c r="A1233" s="2">
        <v>45987</v>
      </c>
      <c r="B1233" s="1" t="s">
        <v>9</v>
      </c>
      <c r="C1233" s="1">
        <v>319.95</v>
      </c>
    </row>
    <row r="1234" spans="1:3" x14ac:dyDescent="0.2">
      <c r="A1234" s="2">
        <v>45989</v>
      </c>
      <c r="B1234" s="1" t="s">
        <v>9</v>
      </c>
      <c r="C1234" s="1">
        <v>320.18</v>
      </c>
    </row>
    <row r="1235" spans="1:3" x14ac:dyDescent="0.2">
      <c r="A1235" s="2">
        <v>45992</v>
      </c>
      <c r="B1235" s="1" t="s">
        <v>9</v>
      </c>
      <c r="C1235" s="1">
        <v>314.89</v>
      </c>
    </row>
    <row r="1236" spans="1:3" x14ac:dyDescent="0.2">
      <c r="A1236" s="2">
        <v>45993</v>
      </c>
      <c r="B1236" s="1" t="s">
        <v>9</v>
      </c>
      <c r="C1236" s="1">
        <v>315.81</v>
      </c>
    </row>
    <row r="1237" spans="1:3" x14ac:dyDescent="0.2">
      <c r="A1237" s="2">
        <v>45994</v>
      </c>
      <c r="B1237" s="1" t="s">
        <v>9</v>
      </c>
      <c r="C1237" s="1">
        <v>319.63</v>
      </c>
    </row>
    <row r="1238" spans="1:3" x14ac:dyDescent="0.2">
      <c r="A1238" s="2">
        <v>45995</v>
      </c>
      <c r="B1238" s="1" t="s">
        <v>9</v>
      </c>
      <c r="C1238" s="1">
        <v>317.62</v>
      </c>
    </row>
    <row r="1239" spans="1:3" x14ac:dyDescent="0.2">
      <c r="A1239" s="2">
        <v>45996</v>
      </c>
      <c r="B1239" s="1" t="s">
        <v>9</v>
      </c>
      <c r="C1239" s="1">
        <v>321.27</v>
      </c>
    </row>
    <row r="1240" spans="1:3" x14ac:dyDescent="0.2">
      <c r="A1240" s="2">
        <v>45999</v>
      </c>
      <c r="B1240" s="1" t="s">
        <v>9</v>
      </c>
      <c r="C1240" s="1">
        <v>313.72000000000003</v>
      </c>
    </row>
    <row r="1241" spans="1:3" x14ac:dyDescent="0.2">
      <c r="A1241" s="2">
        <v>46000</v>
      </c>
      <c r="B1241" s="1" t="s">
        <v>9</v>
      </c>
      <c r="C1241" s="1">
        <v>317.08</v>
      </c>
    </row>
    <row r="1242" spans="1:3" x14ac:dyDescent="0.2">
      <c r="A1242" s="2">
        <v>46001</v>
      </c>
      <c r="B1242" s="1" t="s">
        <v>9</v>
      </c>
      <c r="C1242" s="1">
        <v>320.20999999999998</v>
      </c>
    </row>
    <row r="1243" spans="1:3" x14ac:dyDescent="0.2">
      <c r="A1243" s="2">
        <v>46002</v>
      </c>
      <c r="B1243" s="1" t="s">
        <v>9</v>
      </c>
      <c r="C1243" s="1">
        <v>312.43</v>
      </c>
    </row>
    <row r="1244" spans="1:3" x14ac:dyDescent="0.2">
      <c r="A1244" s="2">
        <v>46003</v>
      </c>
      <c r="B1244" s="1" t="s">
        <v>9</v>
      </c>
      <c r="C1244" s="1">
        <v>309.29000000000002</v>
      </c>
    </row>
    <row r="1245" spans="1:3" x14ac:dyDescent="0.2">
      <c r="A1245" s="2">
        <v>46006</v>
      </c>
      <c r="B1245" s="1" t="s">
        <v>9</v>
      </c>
      <c r="C1245" s="1">
        <v>308.22000000000003</v>
      </c>
    </row>
    <row r="1246" spans="1:3" x14ac:dyDescent="0.2">
      <c r="A1246" s="2">
        <v>46007</v>
      </c>
      <c r="B1246" s="1" t="s">
        <v>9</v>
      </c>
      <c r="C1246" s="1">
        <v>306.57</v>
      </c>
    </row>
    <row r="1247" spans="1:3" x14ac:dyDescent="0.2">
      <c r="A1247" s="2">
        <v>46008</v>
      </c>
      <c r="B1247" s="1" t="s">
        <v>9</v>
      </c>
      <c r="C1247" s="1">
        <v>296.72000000000003</v>
      </c>
    </row>
    <row r="1248" spans="1:3" x14ac:dyDescent="0.2">
      <c r="A1248" s="2">
        <v>46009</v>
      </c>
      <c r="B1248" s="1" t="s">
        <v>9</v>
      </c>
      <c r="C1248" s="1">
        <v>302.45999999999998</v>
      </c>
    </row>
    <row r="1249" spans="1:3" x14ac:dyDescent="0.2">
      <c r="A1249" s="2">
        <v>46010</v>
      </c>
      <c r="B1249" s="1" t="s">
        <v>9</v>
      </c>
      <c r="C1249" s="1">
        <v>307.16000000000003</v>
      </c>
    </row>
    <row r="1250" spans="1:3" x14ac:dyDescent="0.2">
      <c r="A1250" s="2">
        <v>46013</v>
      </c>
      <c r="B1250" s="1" t="s">
        <v>9</v>
      </c>
      <c r="C1250" s="1">
        <v>309.77999999999997</v>
      </c>
    </row>
    <row r="1251" spans="1:3" x14ac:dyDescent="0.2">
      <c r="A1251" s="2">
        <v>46014</v>
      </c>
      <c r="B1251" s="1" t="s">
        <v>9</v>
      </c>
      <c r="C1251" s="1">
        <v>314.35000000000002</v>
      </c>
    </row>
    <row r="1252" spans="1:3" x14ac:dyDescent="0.2">
      <c r="A1252" s="2">
        <v>46015</v>
      </c>
      <c r="B1252" s="1" t="s">
        <v>9</v>
      </c>
      <c r="C1252" s="1">
        <v>314.08999999999997</v>
      </c>
    </row>
    <row r="1253" spans="1:3" x14ac:dyDescent="0.2">
      <c r="A1253" s="2">
        <v>46017</v>
      </c>
      <c r="B1253" s="1" t="s">
        <v>9</v>
      </c>
      <c r="C1253" s="1">
        <v>313.51</v>
      </c>
    </row>
    <row r="1254" spans="1:3" x14ac:dyDescent="0.2">
      <c r="A1254" s="2">
        <v>46020</v>
      </c>
      <c r="B1254" s="1" t="s">
        <v>9</v>
      </c>
      <c r="C1254" s="1">
        <v>313.56</v>
      </c>
    </row>
    <row r="1255" spans="1:3" x14ac:dyDescent="0.2">
      <c r="A1255" s="2">
        <v>46021</v>
      </c>
      <c r="B1255" s="1" t="s">
        <v>9</v>
      </c>
      <c r="C1255" s="1">
        <v>313.85000000000002</v>
      </c>
    </row>
    <row r="1256" spans="1:3" x14ac:dyDescent="0.2">
      <c r="A1256" s="2">
        <v>46022</v>
      </c>
      <c r="B1256" s="1" t="s">
        <v>9</v>
      </c>
      <c r="C1256" s="1">
        <v>313</v>
      </c>
    </row>
    <row r="1257" spans="1:3" x14ac:dyDescent="0.2">
      <c r="A1257" s="2"/>
    </row>
    <row r="1258" spans="1:3" x14ac:dyDescent="0.2">
      <c r="A1258" s="2"/>
    </row>
    <row r="1259" spans="1:3" x14ac:dyDescent="0.2">
      <c r="A1259" s="2"/>
    </row>
    <row r="1260" spans="1:3" x14ac:dyDescent="0.2">
      <c r="A1260" s="2"/>
    </row>
    <row r="1261" spans="1:3" x14ac:dyDescent="0.2">
      <c r="A1261" s="2"/>
    </row>
    <row r="1262" spans="1:3" x14ac:dyDescent="0.2">
      <c r="A1262" s="2"/>
    </row>
    <row r="1263" spans="1:3" x14ac:dyDescent="0.2">
      <c r="A1263" s="2"/>
    </row>
    <row r="1264" spans="1:3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C694-A17F-469A-B20C-EAF9447A72C3}">
  <sheetPr codeName="Sheet8"/>
  <dimension ref="A1:C2171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2" width="10.77734375" style="1" bestFit="1" customWidth="1"/>
    <col min="3" max="16384" width="8.88671875" style="1"/>
  </cols>
  <sheetData>
    <row r="1" spans="1:3" x14ac:dyDescent="0.2">
      <c r="A1" s="1" t="s">
        <v>1</v>
      </c>
      <c r="B1" s="1" t="s">
        <v>2</v>
      </c>
      <c r="C1" s="1" t="s">
        <v>3</v>
      </c>
    </row>
    <row r="2" spans="1:3" x14ac:dyDescent="0.2">
      <c r="A2" s="2">
        <v>44200</v>
      </c>
      <c r="B2" s="1" t="s">
        <v>10</v>
      </c>
      <c r="C2" s="1">
        <v>268.94</v>
      </c>
    </row>
    <row r="3" spans="1:3" x14ac:dyDescent="0.2">
      <c r="A3" s="2">
        <v>44201</v>
      </c>
      <c r="B3" s="1" t="s">
        <v>10</v>
      </c>
      <c r="C3" s="1">
        <v>270.97000000000003</v>
      </c>
    </row>
    <row r="4" spans="1:3" x14ac:dyDescent="0.2">
      <c r="A4" s="2">
        <v>44202</v>
      </c>
      <c r="B4" s="1" t="s">
        <v>10</v>
      </c>
      <c r="C4" s="1">
        <v>263.31</v>
      </c>
    </row>
    <row r="5" spans="1:3" x14ac:dyDescent="0.2">
      <c r="A5" s="2">
        <v>44203</v>
      </c>
      <c r="B5" s="1" t="s">
        <v>10</v>
      </c>
      <c r="C5" s="1">
        <v>268.74</v>
      </c>
    </row>
    <row r="6" spans="1:3" x14ac:dyDescent="0.2">
      <c r="A6" s="2">
        <v>44204</v>
      </c>
      <c r="B6" s="1" t="s">
        <v>10</v>
      </c>
      <c r="C6" s="1">
        <v>267.57</v>
      </c>
    </row>
    <row r="7" spans="1:3" x14ac:dyDescent="0.2">
      <c r="A7" s="2">
        <v>44207</v>
      </c>
      <c r="B7" s="1" t="s">
        <v>10</v>
      </c>
      <c r="C7" s="1">
        <v>256.83999999999997</v>
      </c>
    </row>
    <row r="8" spans="1:3" x14ac:dyDescent="0.2">
      <c r="A8" s="2">
        <v>44208</v>
      </c>
      <c r="B8" s="1" t="s">
        <v>10</v>
      </c>
      <c r="C8" s="1">
        <v>251.09</v>
      </c>
    </row>
    <row r="9" spans="1:3" x14ac:dyDescent="0.2">
      <c r="A9" s="2">
        <v>44209</v>
      </c>
      <c r="B9" s="1" t="s">
        <v>10</v>
      </c>
      <c r="C9" s="1">
        <v>251.64</v>
      </c>
    </row>
    <row r="10" spans="1:3" x14ac:dyDescent="0.2">
      <c r="A10" s="2">
        <v>44210</v>
      </c>
      <c r="B10" s="1" t="s">
        <v>10</v>
      </c>
      <c r="C10" s="1">
        <v>245.64</v>
      </c>
    </row>
    <row r="11" spans="1:3" x14ac:dyDescent="0.2">
      <c r="A11" s="2">
        <v>44211</v>
      </c>
      <c r="B11" s="1" t="s">
        <v>10</v>
      </c>
      <c r="C11" s="1">
        <v>251.36</v>
      </c>
    </row>
    <row r="12" spans="1:3" x14ac:dyDescent="0.2">
      <c r="A12" s="2">
        <v>44215</v>
      </c>
      <c r="B12" s="1" t="s">
        <v>10</v>
      </c>
      <c r="C12" s="1">
        <v>261.10000000000002</v>
      </c>
    </row>
    <row r="13" spans="1:3" x14ac:dyDescent="0.2">
      <c r="A13" s="2">
        <v>44216</v>
      </c>
      <c r="B13" s="1" t="s">
        <v>10</v>
      </c>
      <c r="C13" s="1">
        <v>267.48</v>
      </c>
    </row>
    <row r="14" spans="1:3" x14ac:dyDescent="0.2">
      <c r="A14" s="2">
        <v>44217</v>
      </c>
      <c r="B14" s="1" t="s">
        <v>10</v>
      </c>
      <c r="C14" s="1">
        <v>272.87</v>
      </c>
    </row>
    <row r="15" spans="1:3" x14ac:dyDescent="0.2">
      <c r="A15" s="2">
        <v>44218</v>
      </c>
      <c r="B15" s="1" t="s">
        <v>10</v>
      </c>
      <c r="C15" s="1">
        <v>274.5</v>
      </c>
    </row>
    <row r="16" spans="1:3" x14ac:dyDescent="0.2">
      <c r="A16" s="2">
        <v>44221</v>
      </c>
      <c r="B16" s="1" t="s">
        <v>10</v>
      </c>
      <c r="C16" s="1">
        <v>278.01</v>
      </c>
    </row>
    <row r="17" spans="1:3" x14ac:dyDescent="0.2">
      <c r="A17" s="2">
        <v>44222</v>
      </c>
      <c r="B17" s="1" t="s">
        <v>10</v>
      </c>
      <c r="C17" s="1">
        <v>282.05</v>
      </c>
    </row>
    <row r="18" spans="1:3" x14ac:dyDescent="0.2">
      <c r="A18" s="2">
        <v>44223</v>
      </c>
      <c r="B18" s="1" t="s">
        <v>10</v>
      </c>
      <c r="C18" s="1">
        <v>272.14</v>
      </c>
    </row>
    <row r="19" spans="1:3" x14ac:dyDescent="0.2">
      <c r="A19" s="2">
        <v>44224</v>
      </c>
      <c r="B19" s="1" t="s">
        <v>10</v>
      </c>
      <c r="C19" s="1">
        <v>265</v>
      </c>
    </row>
    <row r="20" spans="1:3" x14ac:dyDescent="0.2">
      <c r="A20" s="2">
        <v>44225</v>
      </c>
      <c r="B20" s="1" t="s">
        <v>10</v>
      </c>
      <c r="C20" s="1">
        <v>258.33</v>
      </c>
    </row>
    <row r="21" spans="1:3" x14ac:dyDescent="0.2">
      <c r="A21" s="2">
        <v>44228</v>
      </c>
      <c r="B21" s="1" t="s">
        <v>10</v>
      </c>
      <c r="C21" s="1">
        <v>262.01</v>
      </c>
    </row>
    <row r="22" spans="1:3" x14ac:dyDescent="0.2">
      <c r="A22" s="2">
        <v>44229</v>
      </c>
      <c r="B22" s="1" t="s">
        <v>10</v>
      </c>
      <c r="C22" s="1">
        <v>267.08</v>
      </c>
    </row>
    <row r="23" spans="1:3" x14ac:dyDescent="0.2">
      <c r="A23" s="2">
        <v>44230</v>
      </c>
      <c r="B23" s="1" t="s">
        <v>10</v>
      </c>
      <c r="C23" s="1">
        <v>266.64999999999998</v>
      </c>
    </row>
    <row r="24" spans="1:3" x14ac:dyDescent="0.2">
      <c r="A24" s="2">
        <v>44231</v>
      </c>
      <c r="B24" s="1" t="s">
        <v>10</v>
      </c>
      <c r="C24" s="1">
        <v>266.49</v>
      </c>
    </row>
    <row r="25" spans="1:3" x14ac:dyDescent="0.2">
      <c r="A25" s="2">
        <v>44232</v>
      </c>
      <c r="B25" s="1" t="s">
        <v>10</v>
      </c>
      <c r="C25" s="1">
        <v>268.10000000000002</v>
      </c>
    </row>
    <row r="26" spans="1:3" x14ac:dyDescent="0.2">
      <c r="A26" s="2">
        <v>44235</v>
      </c>
      <c r="B26" s="1" t="s">
        <v>10</v>
      </c>
      <c r="C26" s="1">
        <v>266.58</v>
      </c>
    </row>
    <row r="27" spans="1:3" x14ac:dyDescent="0.2">
      <c r="A27" s="2">
        <v>44236</v>
      </c>
      <c r="B27" s="1" t="s">
        <v>10</v>
      </c>
      <c r="C27" s="1">
        <v>269.45</v>
      </c>
    </row>
    <row r="28" spans="1:3" x14ac:dyDescent="0.2">
      <c r="A28" s="2">
        <v>44237</v>
      </c>
      <c r="B28" s="1" t="s">
        <v>10</v>
      </c>
      <c r="C28" s="1">
        <v>271.87</v>
      </c>
    </row>
    <row r="29" spans="1:3" x14ac:dyDescent="0.2">
      <c r="A29" s="2">
        <v>44238</v>
      </c>
      <c r="B29" s="1" t="s">
        <v>10</v>
      </c>
      <c r="C29" s="1">
        <v>270.39</v>
      </c>
    </row>
    <row r="30" spans="1:3" x14ac:dyDescent="0.2">
      <c r="A30" s="2">
        <v>44239</v>
      </c>
      <c r="B30" s="1" t="s">
        <v>10</v>
      </c>
      <c r="C30" s="1">
        <v>270.5</v>
      </c>
    </row>
    <row r="31" spans="1:3" x14ac:dyDescent="0.2">
      <c r="A31" s="2">
        <v>44243</v>
      </c>
      <c r="B31" s="1" t="s">
        <v>10</v>
      </c>
      <c r="C31" s="1">
        <v>273.97000000000003</v>
      </c>
    </row>
    <row r="32" spans="1:3" x14ac:dyDescent="0.2">
      <c r="A32" s="2">
        <v>44244</v>
      </c>
      <c r="B32" s="1" t="s">
        <v>10</v>
      </c>
      <c r="C32" s="1">
        <v>273.57</v>
      </c>
    </row>
    <row r="33" spans="1:3" x14ac:dyDescent="0.2">
      <c r="A33" s="2">
        <v>44245</v>
      </c>
      <c r="B33" s="1" t="s">
        <v>10</v>
      </c>
      <c r="C33" s="1">
        <v>269.39</v>
      </c>
    </row>
    <row r="34" spans="1:3" x14ac:dyDescent="0.2">
      <c r="A34" s="2">
        <v>44246</v>
      </c>
      <c r="B34" s="1" t="s">
        <v>10</v>
      </c>
      <c r="C34" s="1">
        <v>261.56</v>
      </c>
    </row>
    <row r="35" spans="1:3" x14ac:dyDescent="0.2">
      <c r="A35" s="2">
        <v>44249</v>
      </c>
      <c r="B35" s="1" t="s">
        <v>10</v>
      </c>
      <c r="C35" s="1">
        <v>260.33</v>
      </c>
    </row>
    <row r="36" spans="1:3" x14ac:dyDescent="0.2">
      <c r="A36" s="2">
        <v>44250</v>
      </c>
      <c r="B36" s="1" t="s">
        <v>10</v>
      </c>
      <c r="C36" s="1">
        <v>265.85500000000002</v>
      </c>
    </row>
    <row r="37" spans="1:3" x14ac:dyDescent="0.2">
      <c r="A37" s="2">
        <v>44251</v>
      </c>
      <c r="B37" s="1" t="s">
        <v>10</v>
      </c>
      <c r="C37" s="1">
        <v>264.31</v>
      </c>
    </row>
    <row r="38" spans="1:3" x14ac:dyDescent="0.2">
      <c r="A38" s="2">
        <v>44252</v>
      </c>
      <c r="B38" s="1" t="s">
        <v>10</v>
      </c>
      <c r="C38" s="1">
        <v>254.69</v>
      </c>
    </row>
    <row r="39" spans="1:3" x14ac:dyDescent="0.2">
      <c r="A39" s="2">
        <v>44253</v>
      </c>
      <c r="B39" s="1" t="s">
        <v>10</v>
      </c>
      <c r="C39" s="1">
        <v>257.62</v>
      </c>
    </row>
    <row r="40" spans="1:3" x14ac:dyDescent="0.2">
      <c r="A40" s="2">
        <v>44256</v>
      </c>
      <c r="B40" s="1" t="s">
        <v>10</v>
      </c>
      <c r="C40" s="1">
        <v>264.91000000000003</v>
      </c>
    </row>
    <row r="41" spans="1:3" x14ac:dyDescent="0.2">
      <c r="A41" s="2">
        <v>44257</v>
      </c>
      <c r="B41" s="1" t="s">
        <v>10</v>
      </c>
      <c r="C41" s="1">
        <v>259</v>
      </c>
    </row>
    <row r="42" spans="1:3" x14ac:dyDescent="0.2">
      <c r="A42" s="2">
        <v>44258</v>
      </c>
      <c r="B42" s="1" t="s">
        <v>10</v>
      </c>
      <c r="C42" s="1">
        <v>255.41</v>
      </c>
    </row>
    <row r="43" spans="1:3" x14ac:dyDescent="0.2">
      <c r="A43" s="2">
        <v>44259</v>
      </c>
      <c r="B43" s="1" t="s">
        <v>10</v>
      </c>
      <c r="C43" s="1">
        <v>257.64</v>
      </c>
    </row>
    <row r="44" spans="1:3" x14ac:dyDescent="0.2">
      <c r="A44" s="2">
        <v>44260</v>
      </c>
      <c r="B44" s="1" t="s">
        <v>10</v>
      </c>
      <c r="C44" s="1">
        <v>264.27999999999997</v>
      </c>
    </row>
    <row r="45" spans="1:3" x14ac:dyDescent="0.2">
      <c r="A45" s="2">
        <v>44263</v>
      </c>
      <c r="B45" s="1" t="s">
        <v>10</v>
      </c>
      <c r="C45" s="1">
        <v>255.31</v>
      </c>
    </row>
    <row r="46" spans="1:3" x14ac:dyDescent="0.2">
      <c r="A46" s="2">
        <v>44264</v>
      </c>
      <c r="B46" s="1" t="s">
        <v>10</v>
      </c>
      <c r="C46" s="1">
        <v>265.74</v>
      </c>
    </row>
    <row r="47" spans="1:3" x14ac:dyDescent="0.2">
      <c r="A47" s="2">
        <v>44265</v>
      </c>
      <c r="B47" s="1" t="s">
        <v>10</v>
      </c>
      <c r="C47" s="1">
        <v>264.89999999999998</v>
      </c>
    </row>
    <row r="48" spans="1:3" x14ac:dyDescent="0.2">
      <c r="A48" s="2">
        <v>44266</v>
      </c>
      <c r="B48" s="1" t="s">
        <v>10</v>
      </c>
      <c r="C48" s="1">
        <v>273.88</v>
      </c>
    </row>
    <row r="49" spans="1:3" x14ac:dyDescent="0.2">
      <c r="A49" s="2">
        <v>44267</v>
      </c>
      <c r="B49" s="1" t="s">
        <v>10</v>
      </c>
      <c r="C49" s="1">
        <v>268.39999999999998</v>
      </c>
    </row>
    <row r="50" spans="1:3" x14ac:dyDescent="0.2">
      <c r="A50" s="2">
        <v>44270</v>
      </c>
      <c r="B50" s="1" t="s">
        <v>10</v>
      </c>
      <c r="C50" s="1">
        <v>273.75</v>
      </c>
    </row>
    <row r="51" spans="1:3" x14ac:dyDescent="0.2">
      <c r="A51" s="2">
        <v>44271</v>
      </c>
      <c r="B51" s="1" t="s">
        <v>10</v>
      </c>
      <c r="C51" s="1">
        <v>279.27999999999997</v>
      </c>
    </row>
    <row r="52" spans="1:3" x14ac:dyDescent="0.2">
      <c r="A52" s="2">
        <v>44272</v>
      </c>
      <c r="B52" s="1" t="s">
        <v>10</v>
      </c>
      <c r="C52" s="1">
        <v>284.01</v>
      </c>
    </row>
    <row r="53" spans="1:3" x14ac:dyDescent="0.2">
      <c r="A53" s="2">
        <v>44273</v>
      </c>
      <c r="B53" s="1" t="s">
        <v>10</v>
      </c>
      <c r="C53" s="1">
        <v>278.62</v>
      </c>
    </row>
    <row r="54" spans="1:3" x14ac:dyDescent="0.2">
      <c r="A54" s="2">
        <v>44274</v>
      </c>
      <c r="B54" s="1" t="s">
        <v>10</v>
      </c>
      <c r="C54" s="1">
        <v>290.11</v>
      </c>
    </row>
    <row r="55" spans="1:3" x14ac:dyDescent="0.2">
      <c r="A55" s="2">
        <v>44277</v>
      </c>
      <c r="B55" s="1" t="s">
        <v>10</v>
      </c>
      <c r="C55" s="1">
        <v>293.54000000000002</v>
      </c>
    </row>
    <row r="56" spans="1:3" x14ac:dyDescent="0.2">
      <c r="A56" s="2">
        <v>44278</v>
      </c>
      <c r="B56" s="1" t="s">
        <v>10</v>
      </c>
      <c r="C56" s="1">
        <v>290.63</v>
      </c>
    </row>
    <row r="57" spans="1:3" x14ac:dyDescent="0.2">
      <c r="A57" s="2">
        <v>44279</v>
      </c>
      <c r="B57" s="1" t="s">
        <v>10</v>
      </c>
      <c r="C57" s="1">
        <v>282.14</v>
      </c>
    </row>
    <row r="58" spans="1:3" x14ac:dyDescent="0.2">
      <c r="A58" s="2">
        <v>44280</v>
      </c>
      <c r="B58" s="1" t="s">
        <v>10</v>
      </c>
      <c r="C58" s="1">
        <v>278.74</v>
      </c>
    </row>
    <row r="59" spans="1:3" x14ac:dyDescent="0.2">
      <c r="A59" s="2">
        <v>44281</v>
      </c>
      <c r="B59" s="1" t="s">
        <v>10</v>
      </c>
      <c r="C59" s="1">
        <v>283.02</v>
      </c>
    </row>
    <row r="60" spans="1:3" x14ac:dyDescent="0.2">
      <c r="A60" s="2">
        <v>44284</v>
      </c>
      <c r="B60" s="1" t="s">
        <v>10</v>
      </c>
      <c r="C60" s="1">
        <v>290.82</v>
      </c>
    </row>
    <row r="61" spans="1:3" x14ac:dyDescent="0.2">
      <c r="A61" s="2">
        <v>44285</v>
      </c>
      <c r="B61" s="1" t="s">
        <v>10</v>
      </c>
      <c r="C61" s="1">
        <v>288</v>
      </c>
    </row>
    <row r="62" spans="1:3" x14ac:dyDescent="0.2">
      <c r="A62" s="2">
        <v>44286</v>
      </c>
      <c r="B62" s="1" t="s">
        <v>10</v>
      </c>
      <c r="C62" s="1">
        <v>294.52999999999997</v>
      </c>
    </row>
    <row r="63" spans="1:3" x14ac:dyDescent="0.2">
      <c r="A63" s="2">
        <v>44287</v>
      </c>
      <c r="B63" s="1" t="s">
        <v>10</v>
      </c>
      <c r="C63" s="1">
        <v>298.66000000000003</v>
      </c>
    </row>
    <row r="64" spans="1:3" x14ac:dyDescent="0.2">
      <c r="A64" s="2">
        <v>44291</v>
      </c>
      <c r="B64" s="1" t="s">
        <v>10</v>
      </c>
      <c r="C64" s="1">
        <v>308.91000000000003</v>
      </c>
    </row>
    <row r="65" spans="1:3" x14ac:dyDescent="0.2">
      <c r="A65" s="2">
        <v>44292</v>
      </c>
      <c r="B65" s="1" t="s">
        <v>10</v>
      </c>
      <c r="C65" s="1">
        <v>306.26</v>
      </c>
    </row>
    <row r="66" spans="1:3" x14ac:dyDescent="0.2">
      <c r="A66" s="2">
        <v>44293</v>
      </c>
      <c r="B66" s="1" t="s">
        <v>10</v>
      </c>
      <c r="C66" s="1">
        <v>313.08999999999997</v>
      </c>
    </row>
    <row r="67" spans="1:3" x14ac:dyDescent="0.2">
      <c r="A67" s="2">
        <v>44294</v>
      </c>
      <c r="B67" s="1" t="s">
        <v>10</v>
      </c>
      <c r="C67" s="1">
        <v>313.02</v>
      </c>
    </row>
    <row r="68" spans="1:3" x14ac:dyDescent="0.2">
      <c r="A68" s="2">
        <v>44295</v>
      </c>
      <c r="B68" s="1" t="s">
        <v>10</v>
      </c>
      <c r="C68" s="1">
        <v>312.45999999999998</v>
      </c>
    </row>
    <row r="69" spans="1:3" x14ac:dyDescent="0.2">
      <c r="A69" s="2">
        <v>44298</v>
      </c>
      <c r="B69" s="1" t="s">
        <v>10</v>
      </c>
      <c r="C69" s="1">
        <v>311.54000000000002</v>
      </c>
    </row>
    <row r="70" spans="1:3" x14ac:dyDescent="0.2">
      <c r="A70" s="2">
        <v>44299</v>
      </c>
      <c r="B70" s="1" t="s">
        <v>10</v>
      </c>
      <c r="C70" s="1">
        <v>309.76</v>
      </c>
    </row>
    <row r="71" spans="1:3" x14ac:dyDescent="0.2">
      <c r="A71" s="2">
        <v>44300</v>
      </c>
      <c r="B71" s="1" t="s">
        <v>10</v>
      </c>
      <c r="C71" s="1">
        <v>302.82</v>
      </c>
    </row>
    <row r="72" spans="1:3" x14ac:dyDescent="0.2">
      <c r="A72" s="2">
        <v>44301</v>
      </c>
      <c r="B72" s="1" t="s">
        <v>10</v>
      </c>
      <c r="C72" s="1">
        <v>307.82</v>
      </c>
    </row>
    <row r="73" spans="1:3" x14ac:dyDescent="0.2">
      <c r="A73" s="2">
        <v>44302</v>
      </c>
      <c r="B73" s="1" t="s">
        <v>10</v>
      </c>
      <c r="C73" s="1">
        <v>306.18</v>
      </c>
    </row>
    <row r="74" spans="1:3" x14ac:dyDescent="0.2">
      <c r="A74" s="2">
        <v>44305</v>
      </c>
      <c r="B74" s="1" t="s">
        <v>10</v>
      </c>
      <c r="C74" s="1">
        <v>302.24</v>
      </c>
    </row>
    <row r="75" spans="1:3" x14ac:dyDescent="0.2">
      <c r="A75" s="2">
        <v>44306</v>
      </c>
      <c r="B75" s="1" t="s">
        <v>10</v>
      </c>
      <c r="C75" s="1">
        <v>302.64999999999998</v>
      </c>
    </row>
    <row r="76" spans="1:3" x14ac:dyDescent="0.2">
      <c r="A76" s="2">
        <v>44307</v>
      </c>
      <c r="B76" s="1" t="s">
        <v>10</v>
      </c>
      <c r="C76" s="1">
        <v>301.47000000000003</v>
      </c>
    </row>
    <row r="77" spans="1:3" x14ac:dyDescent="0.2">
      <c r="A77" s="2">
        <v>44308</v>
      </c>
      <c r="B77" s="1" t="s">
        <v>10</v>
      </c>
      <c r="C77" s="1">
        <v>296.52</v>
      </c>
    </row>
    <row r="78" spans="1:3" x14ac:dyDescent="0.2">
      <c r="A78" s="2">
        <v>44309</v>
      </c>
      <c r="B78" s="1" t="s">
        <v>10</v>
      </c>
      <c r="C78" s="1">
        <v>301.13</v>
      </c>
    </row>
    <row r="79" spans="1:3" x14ac:dyDescent="0.2">
      <c r="A79" s="2">
        <v>44312</v>
      </c>
      <c r="B79" s="1" t="s">
        <v>10</v>
      </c>
      <c r="C79" s="1">
        <v>303.04000000000002</v>
      </c>
    </row>
    <row r="80" spans="1:3" x14ac:dyDescent="0.2">
      <c r="A80" s="2">
        <v>44313</v>
      </c>
      <c r="B80" s="1" t="s">
        <v>10</v>
      </c>
      <c r="C80" s="1">
        <v>303.57</v>
      </c>
    </row>
    <row r="81" spans="1:3" x14ac:dyDescent="0.2">
      <c r="A81" s="2">
        <v>44314</v>
      </c>
      <c r="B81" s="1" t="s">
        <v>10</v>
      </c>
      <c r="C81" s="1">
        <v>307.10000000000002</v>
      </c>
    </row>
    <row r="82" spans="1:3" x14ac:dyDescent="0.2">
      <c r="A82" s="2">
        <v>44315</v>
      </c>
      <c r="B82" s="1" t="s">
        <v>10</v>
      </c>
      <c r="C82" s="1">
        <v>329.51</v>
      </c>
    </row>
    <row r="83" spans="1:3" x14ac:dyDescent="0.2">
      <c r="A83" s="2">
        <v>44316</v>
      </c>
      <c r="B83" s="1" t="s">
        <v>10</v>
      </c>
      <c r="C83" s="1">
        <v>325.08</v>
      </c>
    </row>
    <row r="84" spans="1:3" x14ac:dyDescent="0.2">
      <c r="A84" s="2">
        <v>44319</v>
      </c>
      <c r="B84" s="1" t="s">
        <v>10</v>
      </c>
      <c r="C84" s="1">
        <v>322.58</v>
      </c>
    </row>
    <row r="85" spans="1:3" x14ac:dyDescent="0.2">
      <c r="A85" s="2">
        <v>44320</v>
      </c>
      <c r="B85" s="1" t="s">
        <v>10</v>
      </c>
      <c r="C85" s="1">
        <v>318.36</v>
      </c>
    </row>
    <row r="86" spans="1:3" x14ac:dyDescent="0.2">
      <c r="A86" s="2">
        <v>44321</v>
      </c>
      <c r="B86" s="1" t="s">
        <v>10</v>
      </c>
      <c r="C86" s="1">
        <v>315.02</v>
      </c>
    </row>
    <row r="87" spans="1:3" x14ac:dyDescent="0.2">
      <c r="A87" s="2">
        <v>44322</v>
      </c>
      <c r="B87" s="1" t="s">
        <v>10</v>
      </c>
      <c r="C87" s="1">
        <v>320.02</v>
      </c>
    </row>
    <row r="88" spans="1:3" x14ac:dyDescent="0.2">
      <c r="A88" s="2">
        <v>44323</v>
      </c>
      <c r="B88" s="1" t="s">
        <v>10</v>
      </c>
      <c r="C88" s="1">
        <v>319.08</v>
      </c>
    </row>
    <row r="89" spans="1:3" x14ac:dyDescent="0.2">
      <c r="A89" s="2">
        <v>44326</v>
      </c>
      <c r="B89" s="1" t="s">
        <v>10</v>
      </c>
      <c r="C89" s="1">
        <v>305.97000000000003</v>
      </c>
    </row>
    <row r="90" spans="1:3" x14ac:dyDescent="0.2">
      <c r="A90" s="2">
        <v>44327</v>
      </c>
      <c r="B90" s="1" t="s">
        <v>10</v>
      </c>
      <c r="C90" s="1">
        <v>306.52999999999997</v>
      </c>
    </row>
    <row r="91" spans="1:3" x14ac:dyDescent="0.2">
      <c r="A91" s="2">
        <v>44328</v>
      </c>
      <c r="B91" s="1" t="s">
        <v>10</v>
      </c>
      <c r="C91" s="1">
        <v>302.55</v>
      </c>
    </row>
    <row r="92" spans="1:3" x14ac:dyDescent="0.2">
      <c r="A92" s="2">
        <v>44329</v>
      </c>
      <c r="B92" s="1" t="s">
        <v>10</v>
      </c>
      <c r="C92" s="1">
        <v>305.26</v>
      </c>
    </row>
    <row r="93" spans="1:3" x14ac:dyDescent="0.2">
      <c r="A93" s="2">
        <v>44330</v>
      </c>
      <c r="B93" s="1" t="s">
        <v>10</v>
      </c>
      <c r="C93" s="1">
        <v>315.94</v>
      </c>
    </row>
    <row r="94" spans="1:3" x14ac:dyDescent="0.2">
      <c r="A94" s="2">
        <v>44333</v>
      </c>
      <c r="B94" s="1" t="s">
        <v>10</v>
      </c>
      <c r="C94" s="1">
        <v>315.45999999999998</v>
      </c>
    </row>
    <row r="95" spans="1:3" x14ac:dyDescent="0.2">
      <c r="A95" s="2">
        <v>44334</v>
      </c>
      <c r="B95" s="1" t="s">
        <v>10</v>
      </c>
      <c r="C95" s="1">
        <v>309.95999999999998</v>
      </c>
    </row>
    <row r="96" spans="1:3" x14ac:dyDescent="0.2">
      <c r="A96" s="2">
        <v>44335</v>
      </c>
      <c r="B96" s="1" t="s">
        <v>10</v>
      </c>
      <c r="C96" s="1">
        <v>313.58999999999997</v>
      </c>
    </row>
    <row r="97" spans="1:3" x14ac:dyDescent="0.2">
      <c r="A97" s="2">
        <v>44336</v>
      </c>
      <c r="B97" s="1" t="s">
        <v>10</v>
      </c>
      <c r="C97" s="1">
        <v>318.61</v>
      </c>
    </row>
    <row r="98" spans="1:3" x14ac:dyDescent="0.2">
      <c r="A98" s="2">
        <v>44337</v>
      </c>
      <c r="B98" s="1" t="s">
        <v>10</v>
      </c>
      <c r="C98" s="1">
        <v>316.23</v>
      </c>
    </row>
    <row r="99" spans="1:3" x14ac:dyDescent="0.2">
      <c r="A99" s="2">
        <v>44340</v>
      </c>
      <c r="B99" s="1" t="s">
        <v>10</v>
      </c>
      <c r="C99" s="1">
        <v>324.63</v>
      </c>
    </row>
    <row r="100" spans="1:3" x14ac:dyDescent="0.2">
      <c r="A100" s="2">
        <v>44341</v>
      </c>
      <c r="B100" s="1" t="s">
        <v>10</v>
      </c>
      <c r="C100" s="1">
        <v>327.79</v>
      </c>
    </row>
    <row r="101" spans="1:3" x14ac:dyDescent="0.2">
      <c r="A101" s="2">
        <v>44342</v>
      </c>
      <c r="B101" s="1" t="s">
        <v>10</v>
      </c>
      <c r="C101" s="1">
        <v>327.66000000000003</v>
      </c>
    </row>
    <row r="102" spans="1:3" x14ac:dyDescent="0.2">
      <c r="A102" s="2">
        <v>44343</v>
      </c>
      <c r="B102" s="1" t="s">
        <v>10</v>
      </c>
      <c r="C102" s="1">
        <v>332.75</v>
      </c>
    </row>
    <row r="103" spans="1:3" x14ac:dyDescent="0.2">
      <c r="A103" s="2">
        <v>44344</v>
      </c>
      <c r="B103" s="1" t="s">
        <v>10</v>
      </c>
      <c r="C103" s="1">
        <v>328.73</v>
      </c>
    </row>
    <row r="104" spans="1:3" x14ac:dyDescent="0.2">
      <c r="A104" s="2">
        <v>44348</v>
      </c>
      <c r="B104" s="1" t="s">
        <v>10</v>
      </c>
      <c r="C104" s="1">
        <v>329.13</v>
      </c>
    </row>
    <row r="105" spans="1:3" x14ac:dyDescent="0.2">
      <c r="A105" s="2">
        <v>44349</v>
      </c>
      <c r="B105" s="1" t="s">
        <v>10</v>
      </c>
      <c r="C105" s="1">
        <v>329.15</v>
      </c>
    </row>
    <row r="106" spans="1:3" x14ac:dyDescent="0.2">
      <c r="A106" s="2">
        <v>44350</v>
      </c>
      <c r="B106" s="1" t="s">
        <v>10</v>
      </c>
      <c r="C106" s="1">
        <v>326.04000000000002</v>
      </c>
    </row>
    <row r="107" spans="1:3" x14ac:dyDescent="0.2">
      <c r="A107" s="2">
        <v>44351</v>
      </c>
      <c r="B107" s="1" t="s">
        <v>10</v>
      </c>
      <c r="C107" s="1">
        <v>330.35</v>
      </c>
    </row>
    <row r="108" spans="1:3" x14ac:dyDescent="0.2">
      <c r="A108" s="2">
        <v>44354</v>
      </c>
      <c r="B108" s="1" t="s">
        <v>10</v>
      </c>
      <c r="C108" s="1">
        <v>336.58</v>
      </c>
    </row>
    <row r="109" spans="1:3" x14ac:dyDescent="0.2">
      <c r="A109" s="2">
        <v>44355</v>
      </c>
      <c r="B109" s="1" t="s">
        <v>10</v>
      </c>
      <c r="C109" s="1">
        <v>333.68</v>
      </c>
    </row>
    <row r="110" spans="1:3" x14ac:dyDescent="0.2">
      <c r="A110" s="2">
        <v>44356</v>
      </c>
      <c r="B110" s="1" t="s">
        <v>10</v>
      </c>
      <c r="C110" s="1">
        <v>330.25</v>
      </c>
    </row>
    <row r="111" spans="1:3" x14ac:dyDescent="0.2">
      <c r="A111" s="2">
        <v>44357</v>
      </c>
      <c r="B111" s="1" t="s">
        <v>10</v>
      </c>
      <c r="C111" s="1">
        <v>332.46</v>
      </c>
    </row>
    <row r="112" spans="1:3" x14ac:dyDescent="0.2">
      <c r="A112" s="2">
        <v>44358</v>
      </c>
      <c r="B112" s="1" t="s">
        <v>10</v>
      </c>
      <c r="C112" s="1">
        <v>331.26</v>
      </c>
    </row>
    <row r="113" spans="1:3" x14ac:dyDescent="0.2">
      <c r="A113" s="2">
        <v>44361</v>
      </c>
      <c r="B113" s="1" t="s">
        <v>10</v>
      </c>
      <c r="C113" s="1">
        <v>336.77</v>
      </c>
    </row>
    <row r="114" spans="1:3" x14ac:dyDescent="0.2">
      <c r="A114" s="2">
        <v>44362</v>
      </c>
      <c r="B114" s="1" t="s">
        <v>10</v>
      </c>
      <c r="C114" s="1">
        <v>336.75</v>
      </c>
    </row>
    <row r="115" spans="1:3" x14ac:dyDescent="0.2">
      <c r="A115" s="2">
        <v>44363</v>
      </c>
      <c r="B115" s="1" t="s">
        <v>10</v>
      </c>
      <c r="C115" s="1">
        <v>331.08</v>
      </c>
    </row>
    <row r="116" spans="1:3" x14ac:dyDescent="0.2">
      <c r="A116" s="2">
        <v>44364</v>
      </c>
      <c r="B116" s="1" t="s">
        <v>10</v>
      </c>
      <c r="C116" s="1">
        <v>336.51</v>
      </c>
    </row>
    <row r="117" spans="1:3" x14ac:dyDescent="0.2">
      <c r="A117" s="2">
        <v>44365</v>
      </c>
      <c r="B117" s="1" t="s">
        <v>10</v>
      </c>
      <c r="C117" s="1">
        <v>329.66</v>
      </c>
    </row>
    <row r="118" spans="1:3" x14ac:dyDescent="0.2">
      <c r="A118" s="2">
        <v>44368</v>
      </c>
      <c r="B118" s="1" t="s">
        <v>10</v>
      </c>
      <c r="C118" s="1">
        <v>332.29</v>
      </c>
    </row>
    <row r="119" spans="1:3" x14ac:dyDescent="0.2">
      <c r="A119" s="2">
        <v>44369</v>
      </c>
      <c r="B119" s="1" t="s">
        <v>10</v>
      </c>
      <c r="C119" s="1">
        <v>339.03</v>
      </c>
    </row>
    <row r="120" spans="1:3" x14ac:dyDescent="0.2">
      <c r="A120" s="2">
        <v>44370</v>
      </c>
      <c r="B120" s="1" t="s">
        <v>10</v>
      </c>
      <c r="C120" s="1">
        <v>340.59</v>
      </c>
    </row>
    <row r="121" spans="1:3" x14ac:dyDescent="0.2">
      <c r="A121" s="2">
        <v>44371</v>
      </c>
      <c r="B121" s="1" t="s">
        <v>10</v>
      </c>
      <c r="C121" s="1">
        <v>343.18</v>
      </c>
    </row>
    <row r="122" spans="1:3" x14ac:dyDescent="0.2">
      <c r="A122" s="2">
        <v>44372</v>
      </c>
      <c r="B122" s="1" t="s">
        <v>10</v>
      </c>
      <c r="C122" s="1">
        <v>341.37</v>
      </c>
    </row>
    <row r="123" spans="1:3" x14ac:dyDescent="0.2">
      <c r="A123" s="2">
        <v>44375</v>
      </c>
      <c r="B123" s="1" t="s">
        <v>10</v>
      </c>
      <c r="C123" s="1">
        <v>355.64</v>
      </c>
    </row>
    <row r="124" spans="1:3" x14ac:dyDescent="0.2">
      <c r="A124" s="2">
        <v>44376</v>
      </c>
      <c r="B124" s="1" t="s">
        <v>10</v>
      </c>
      <c r="C124" s="1">
        <v>351.89</v>
      </c>
    </row>
    <row r="125" spans="1:3" x14ac:dyDescent="0.2">
      <c r="A125" s="2">
        <v>44377</v>
      </c>
      <c r="B125" s="1" t="s">
        <v>10</v>
      </c>
      <c r="C125" s="1">
        <v>347.71</v>
      </c>
    </row>
    <row r="126" spans="1:3" x14ac:dyDescent="0.2">
      <c r="A126" s="2">
        <v>44378</v>
      </c>
      <c r="B126" s="1" t="s">
        <v>10</v>
      </c>
      <c r="C126" s="1">
        <v>354.39</v>
      </c>
    </row>
    <row r="127" spans="1:3" x14ac:dyDescent="0.2">
      <c r="A127" s="2">
        <v>44379</v>
      </c>
      <c r="B127" s="1" t="s">
        <v>10</v>
      </c>
      <c r="C127" s="1">
        <v>354.7</v>
      </c>
    </row>
    <row r="128" spans="1:3" x14ac:dyDescent="0.2">
      <c r="A128" s="2">
        <v>44383</v>
      </c>
      <c r="B128" s="1" t="s">
        <v>10</v>
      </c>
      <c r="C128" s="1">
        <v>352.78</v>
      </c>
    </row>
    <row r="129" spans="1:3" x14ac:dyDescent="0.2">
      <c r="A129" s="2">
        <v>44384</v>
      </c>
      <c r="B129" s="1" t="s">
        <v>10</v>
      </c>
      <c r="C129" s="1">
        <v>350.49</v>
      </c>
    </row>
    <row r="130" spans="1:3" x14ac:dyDescent="0.2">
      <c r="A130" s="2">
        <v>44385</v>
      </c>
      <c r="B130" s="1" t="s">
        <v>10</v>
      </c>
      <c r="C130" s="1">
        <v>345.65</v>
      </c>
    </row>
    <row r="131" spans="1:3" x14ac:dyDescent="0.2">
      <c r="A131" s="2">
        <v>44386</v>
      </c>
      <c r="B131" s="1" t="s">
        <v>10</v>
      </c>
      <c r="C131" s="1">
        <v>350.42</v>
      </c>
    </row>
    <row r="132" spans="1:3" x14ac:dyDescent="0.2">
      <c r="A132" s="2">
        <v>44389</v>
      </c>
      <c r="B132" s="1" t="s">
        <v>10</v>
      </c>
      <c r="C132" s="1">
        <v>353.16</v>
      </c>
    </row>
    <row r="133" spans="1:3" x14ac:dyDescent="0.2">
      <c r="A133" s="2">
        <v>44390</v>
      </c>
      <c r="B133" s="1" t="s">
        <v>10</v>
      </c>
      <c r="C133" s="1">
        <v>352.09</v>
      </c>
    </row>
    <row r="134" spans="1:3" x14ac:dyDescent="0.2">
      <c r="A134" s="2">
        <v>44391</v>
      </c>
      <c r="B134" s="1" t="s">
        <v>10</v>
      </c>
      <c r="C134" s="1">
        <v>347.63</v>
      </c>
    </row>
    <row r="135" spans="1:3" x14ac:dyDescent="0.2">
      <c r="A135" s="2">
        <v>44392</v>
      </c>
      <c r="B135" s="1" t="s">
        <v>10</v>
      </c>
      <c r="C135" s="1">
        <v>344.46</v>
      </c>
    </row>
    <row r="136" spans="1:3" x14ac:dyDescent="0.2">
      <c r="A136" s="2">
        <v>44393</v>
      </c>
      <c r="B136" s="1" t="s">
        <v>10</v>
      </c>
      <c r="C136" s="1">
        <v>341.16</v>
      </c>
    </row>
    <row r="137" spans="1:3" x14ac:dyDescent="0.2">
      <c r="A137" s="2">
        <v>44396</v>
      </c>
      <c r="B137" s="1" t="s">
        <v>10</v>
      </c>
      <c r="C137" s="1">
        <v>336.95</v>
      </c>
    </row>
    <row r="138" spans="1:3" x14ac:dyDescent="0.2">
      <c r="A138" s="2">
        <v>44397</v>
      </c>
      <c r="B138" s="1" t="s">
        <v>10</v>
      </c>
      <c r="C138" s="1">
        <v>341.66</v>
      </c>
    </row>
    <row r="139" spans="1:3" x14ac:dyDescent="0.2">
      <c r="A139" s="2">
        <v>44398</v>
      </c>
      <c r="B139" s="1" t="s">
        <v>10</v>
      </c>
      <c r="C139" s="1">
        <v>346.23</v>
      </c>
    </row>
    <row r="140" spans="1:3" x14ac:dyDescent="0.2">
      <c r="A140" s="2">
        <v>44399</v>
      </c>
      <c r="B140" s="1" t="s">
        <v>10</v>
      </c>
      <c r="C140" s="1">
        <v>351.19</v>
      </c>
    </row>
    <row r="141" spans="1:3" x14ac:dyDescent="0.2">
      <c r="A141" s="2">
        <v>44400</v>
      </c>
      <c r="B141" s="1" t="s">
        <v>10</v>
      </c>
      <c r="C141" s="1">
        <v>369.79</v>
      </c>
    </row>
    <row r="142" spans="1:3" x14ac:dyDescent="0.2">
      <c r="A142" s="2">
        <v>44403</v>
      </c>
      <c r="B142" s="1" t="s">
        <v>10</v>
      </c>
      <c r="C142" s="1">
        <v>372.46</v>
      </c>
    </row>
    <row r="143" spans="1:3" x14ac:dyDescent="0.2">
      <c r="A143" s="2">
        <v>44404</v>
      </c>
      <c r="B143" s="1" t="s">
        <v>10</v>
      </c>
      <c r="C143" s="1">
        <v>367.81</v>
      </c>
    </row>
    <row r="144" spans="1:3" x14ac:dyDescent="0.2">
      <c r="A144" s="2">
        <v>44405</v>
      </c>
      <c r="B144" s="1" t="s">
        <v>10</v>
      </c>
      <c r="C144" s="1">
        <v>373.28</v>
      </c>
    </row>
    <row r="145" spans="1:3" x14ac:dyDescent="0.2">
      <c r="A145" s="2">
        <v>44406</v>
      </c>
      <c r="B145" s="1" t="s">
        <v>10</v>
      </c>
      <c r="C145" s="1">
        <v>358.32</v>
      </c>
    </row>
    <row r="146" spans="1:3" x14ac:dyDescent="0.2">
      <c r="A146" s="2">
        <v>44407</v>
      </c>
      <c r="B146" s="1" t="s">
        <v>10</v>
      </c>
      <c r="C146" s="1">
        <v>356.3</v>
      </c>
    </row>
    <row r="147" spans="1:3" x14ac:dyDescent="0.2">
      <c r="A147" s="2">
        <v>44410</v>
      </c>
      <c r="B147" s="1" t="s">
        <v>10</v>
      </c>
      <c r="C147" s="1">
        <v>351.95</v>
      </c>
    </row>
    <row r="148" spans="1:3" x14ac:dyDescent="0.2">
      <c r="A148" s="2">
        <v>44411</v>
      </c>
      <c r="B148" s="1" t="s">
        <v>10</v>
      </c>
      <c r="C148" s="1">
        <v>351.24</v>
      </c>
    </row>
    <row r="149" spans="1:3" x14ac:dyDescent="0.2">
      <c r="A149" s="2">
        <v>44412</v>
      </c>
      <c r="B149" s="1" t="s">
        <v>10</v>
      </c>
      <c r="C149" s="1">
        <v>358.92</v>
      </c>
    </row>
    <row r="150" spans="1:3" x14ac:dyDescent="0.2">
      <c r="A150" s="2">
        <v>44413</v>
      </c>
      <c r="B150" s="1" t="s">
        <v>10</v>
      </c>
      <c r="C150" s="1">
        <v>362.97</v>
      </c>
    </row>
    <row r="151" spans="1:3" x14ac:dyDescent="0.2">
      <c r="A151" s="2">
        <v>44414</v>
      </c>
      <c r="B151" s="1" t="s">
        <v>10</v>
      </c>
      <c r="C151" s="1">
        <v>363.51</v>
      </c>
    </row>
    <row r="152" spans="1:3" x14ac:dyDescent="0.2">
      <c r="A152" s="2">
        <v>44417</v>
      </c>
      <c r="B152" s="1" t="s">
        <v>10</v>
      </c>
      <c r="C152" s="1">
        <v>361.61</v>
      </c>
    </row>
    <row r="153" spans="1:3" x14ac:dyDescent="0.2">
      <c r="A153" s="2">
        <v>44418</v>
      </c>
      <c r="B153" s="1" t="s">
        <v>10</v>
      </c>
      <c r="C153" s="1">
        <v>361.13</v>
      </c>
    </row>
    <row r="154" spans="1:3" x14ac:dyDescent="0.2">
      <c r="A154" s="2">
        <v>44419</v>
      </c>
      <c r="B154" s="1" t="s">
        <v>10</v>
      </c>
      <c r="C154" s="1">
        <v>359.96</v>
      </c>
    </row>
    <row r="155" spans="1:3" x14ac:dyDescent="0.2">
      <c r="A155" s="2">
        <v>44420</v>
      </c>
      <c r="B155" s="1" t="s">
        <v>10</v>
      </c>
      <c r="C155" s="1">
        <v>362.65</v>
      </c>
    </row>
    <row r="156" spans="1:3" x14ac:dyDescent="0.2">
      <c r="A156" s="2">
        <v>44421</v>
      </c>
      <c r="B156" s="1" t="s">
        <v>10</v>
      </c>
      <c r="C156" s="1">
        <v>363.18</v>
      </c>
    </row>
    <row r="157" spans="1:3" x14ac:dyDescent="0.2">
      <c r="A157" s="2">
        <v>44424</v>
      </c>
      <c r="B157" s="1" t="s">
        <v>10</v>
      </c>
      <c r="C157" s="1">
        <v>366.56</v>
      </c>
    </row>
    <row r="158" spans="1:3" x14ac:dyDescent="0.2">
      <c r="A158" s="2">
        <v>44425</v>
      </c>
      <c r="B158" s="1" t="s">
        <v>10</v>
      </c>
      <c r="C158" s="1">
        <v>358.45</v>
      </c>
    </row>
    <row r="159" spans="1:3" x14ac:dyDescent="0.2">
      <c r="A159" s="2">
        <v>44426</v>
      </c>
      <c r="B159" s="1" t="s">
        <v>10</v>
      </c>
      <c r="C159" s="1">
        <v>355.45</v>
      </c>
    </row>
    <row r="160" spans="1:3" x14ac:dyDescent="0.2">
      <c r="A160" s="2">
        <v>44427</v>
      </c>
      <c r="B160" s="1" t="s">
        <v>10</v>
      </c>
      <c r="C160" s="1">
        <v>355.12</v>
      </c>
    </row>
    <row r="161" spans="1:3" x14ac:dyDescent="0.2">
      <c r="A161" s="2">
        <v>44428</v>
      </c>
      <c r="B161" s="1" t="s">
        <v>10</v>
      </c>
      <c r="C161" s="1">
        <v>359.37</v>
      </c>
    </row>
    <row r="162" spans="1:3" x14ac:dyDescent="0.2">
      <c r="A162" s="2">
        <v>44431</v>
      </c>
      <c r="B162" s="1" t="s">
        <v>10</v>
      </c>
      <c r="C162" s="1">
        <v>363.35</v>
      </c>
    </row>
    <row r="163" spans="1:3" x14ac:dyDescent="0.2">
      <c r="A163" s="2">
        <v>44432</v>
      </c>
      <c r="B163" s="1" t="s">
        <v>10</v>
      </c>
      <c r="C163" s="1">
        <v>365.51</v>
      </c>
    </row>
    <row r="164" spans="1:3" x14ac:dyDescent="0.2">
      <c r="A164" s="2">
        <v>44433</v>
      </c>
      <c r="B164" s="1" t="s">
        <v>10</v>
      </c>
      <c r="C164" s="1">
        <v>368.39</v>
      </c>
    </row>
    <row r="165" spans="1:3" x14ac:dyDescent="0.2">
      <c r="A165" s="2">
        <v>44434</v>
      </c>
      <c r="B165" s="1" t="s">
        <v>10</v>
      </c>
      <c r="C165" s="1">
        <v>364.38</v>
      </c>
    </row>
    <row r="166" spans="1:3" x14ac:dyDescent="0.2">
      <c r="A166" s="2">
        <v>44435</v>
      </c>
      <c r="B166" s="1" t="s">
        <v>10</v>
      </c>
      <c r="C166" s="1">
        <v>372.63</v>
      </c>
    </row>
    <row r="167" spans="1:3" x14ac:dyDescent="0.2">
      <c r="A167" s="2">
        <v>44438</v>
      </c>
      <c r="B167" s="1" t="s">
        <v>10</v>
      </c>
      <c r="C167" s="1">
        <v>380.66</v>
      </c>
    </row>
    <row r="168" spans="1:3" x14ac:dyDescent="0.2">
      <c r="A168" s="2">
        <v>44439</v>
      </c>
      <c r="B168" s="1" t="s">
        <v>10</v>
      </c>
      <c r="C168" s="1">
        <v>379.38</v>
      </c>
    </row>
    <row r="169" spans="1:3" x14ac:dyDescent="0.2">
      <c r="A169" s="2">
        <v>44440</v>
      </c>
      <c r="B169" s="1" t="s">
        <v>10</v>
      </c>
      <c r="C169" s="1">
        <v>382.05</v>
      </c>
    </row>
    <row r="170" spans="1:3" x14ac:dyDescent="0.2">
      <c r="A170" s="2">
        <v>44441</v>
      </c>
      <c r="B170" s="1" t="s">
        <v>10</v>
      </c>
      <c r="C170" s="1">
        <v>375.28</v>
      </c>
    </row>
    <row r="171" spans="1:3" x14ac:dyDescent="0.2">
      <c r="A171" s="2">
        <v>44442</v>
      </c>
      <c r="B171" s="1" t="s">
        <v>10</v>
      </c>
      <c r="C171" s="1">
        <v>376.26</v>
      </c>
    </row>
    <row r="172" spans="1:3" x14ac:dyDescent="0.2">
      <c r="A172" s="2">
        <v>44446</v>
      </c>
      <c r="B172" s="1" t="s">
        <v>10</v>
      </c>
      <c r="C172" s="1">
        <v>382.18</v>
      </c>
    </row>
    <row r="173" spans="1:3" x14ac:dyDescent="0.2">
      <c r="A173" s="2">
        <v>44447</v>
      </c>
      <c r="B173" s="1" t="s">
        <v>10</v>
      </c>
      <c r="C173" s="1">
        <v>377.57</v>
      </c>
    </row>
    <row r="174" spans="1:3" x14ac:dyDescent="0.2">
      <c r="A174" s="2">
        <v>44448</v>
      </c>
      <c r="B174" s="1" t="s">
        <v>10</v>
      </c>
      <c r="C174" s="1">
        <v>378</v>
      </c>
    </row>
    <row r="175" spans="1:3" x14ac:dyDescent="0.2">
      <c r="A175" s="2">
        <v>44449</v>
      </c>
      <c r="B175" s="1" t="s">
        <v>10</v>
      </c>
      <c r="C175" s="1">
        <v>378.69</v>
      </c>
    </row>
    <row r="176" spans="1:3" x14ac:dyDescent="0.2">
      <c r="A176" s="2">
        <v>44452</v>
      </c>
      <c r="B176" s="1" t="s">
        <v>10</v>
      </c>
      <c r="C176" s="1">
        <v>376.51</v>
      </c>
    </row>
    <row r="177" spans="1:3" x14ac:dyDescent="0.2">
      <c r="A177" s="2">
        <v>44453</v>
      </c>
      <c r="B177" s="1" t="s">
        <v>10</v>
      </c>
      <c r="C177" s="1">
        <v>376.53</v>
      </c>
    </row>
    <row r="178" spans="1:3" x14ac:dyDescent="0.2">
      <c r="A178" s="2">
        <v>44454</v>
      </c>
      <c r="B178" s="1" t="s">
        <v>10</v>
      </c>
      <c r="C178" s="1">
        <v>373.92</v>
      </c>
    </row>
    <row r="179" spans="1:3" x14ac:dyDescent="0.2">
      <c r="A179" s="2">
        <v>44455</v>
      </c>
      <c r="B179" s="1" t="s">
        <v>10</v>
      </c>
      <c r="C179" s="1">
        <v>373.06</v>
      </c>
    </row>
    <row r="180" spans="1:3" x14ac:dyDescent="0.2">
      <c r="A180" s="2">
        <v>44456</v>
      </c>
      <c r="B180" s="1" t="s">
        <v>10</v>
      </c>
      <c r="C180" s="1">
        <v>364.72</v>
      </c>
    </row>
    <row r="181" spans="1:3" x14ac:dyDescent="0.2">
      <c r="A181" s="2">
        <v>44459</v>
      </c>
      <c r="B181" s="1" t="s">
        <v>10</v>
      </c>
      <c r="C181" s="1">
        <v>355.7</v>
      </c>
    </row>
    <row r="182" spans="1:3" x14ac:dyDescent="0.2">
      <c r="A182" s="2">
        <v>44460</v>
      </c>
      <c r="B182" s="1" t="s">
        <v>10</v>
      </c>
      <c r="C182" s="1">
        <v>357.48</v>
      </c>
    </row>
    <row r="183" spans="1:3" x14ac:dyDescent="0.2">
      <c r="A183" s="2">
        <v>44461</v>
      </c>
      <c r="B183" s="1" t="s">
        <v>10</v>
      </c>
      <c r="C183" s="1">
        <v>343.21</v>
      </c>
    </row>
    <row r="184" spans="1:3" x14ac:dyDescent="0.2">
      <c r="A184" s="2">
        <v>44462</v>
      </c>
      <c r="B184" s="1" t="s">
        <v>10</v>
      </c>
      <c r="C184" s="1">
        <v>345.96</v>
      </c>
    </row>
    <row r="185" spans="1:3" x14ac:dyDescent="0.2">
      <c r="A185" s="2">
        <v>44463</v>
      </c>
      <c r="B185" s="1" t="s">
        <v>10</v>
      </c>
      <c r="C185" s="1">
        <v>352.96</v>
      </c>
    </row>
    <row r="186" spans="1:3" x14ac:dyDescent="0.2">
      <c r="A186" s="2">
        <v>44466</v>
      </c>
      <c r="B186" s="1" t="s">
        <v>10</v>
      </c>
      <c r="C186" s="1">
        <v>353.58</v>
      </c>
    </row>
    <row r="187" spans="1:3" x14ac:dyDescent="0.2">
      <c r="A187" s="2">
        <v>44467</v>
      </c>
      <c r="B187" s="1" t="s">
        <v>10</v>
      </c>
      <c r="C187" s="1">
        <v>340.65</v>
      </c>
    </row>
    <row r="188" spans="1:3" x14ac:dyDescent="0.2">
      <c r="A188" s="2">
        <v>44468</v>
      </c>
      <c r="B188" s="1" t="s">
        <v>10</v>
      </c>
      <c r="C188" s="1">
        <v>339.61</v>
      </c>
    </row>
    <row r="189" spans="1:3" x14ac:dyDescent="0.2">
      <c r="A189" s="2">
        <v>44469</v>
      </c>
      <c r="B189" s="1" t="s">
        <v>10</v>
      </c>
      <c r="C189" s="1">
        <v>339.39</v>
      </c>
    </row>
    <row r="190" spans="1:3" x14ac:dyDescent="0.2">
      <c r="A190" s="2">
        <v>44470</v>
      </c>
      <c r="B190" s="1" t="s">
        <v>10</v>
      </c>
      <c r="C190" s="1">
        <v>343.01</v>
      </c>
    </row>
    <row r="191" spans="1:3" x14ac:dyDescent="0.2">
      <c r="A191" s="2">
        <v>44473</v>
      </c>
      <c r="B191" s="1" t="s">
        <v>10</v>
      </c>
      <c r="C191" s="1">
        <v>326.23</v>
      </c>
    </row>
    <row r="192" spans="1:3" x14ac:dyDescent="0.2">
      <c r="A192" s="2">
        <v>44474</v>
      </c>
      <c r="B192" s="1" t="s">
        <v>10</v>
      </c>
      <c r="C192" s="1">
        <v>332.96</v>
      </c>
    </row>
    <row r="193" spans="1:3" x14ac:dyDescent="0.2">
      <c r="A193" s="2">
        <v>44475</v>
      </c>
      <c r="B193" s="1" t="s">
        <v>10</v>
      </c>
      <c r="C193" s="1">
        <v>333.64</v>
      </c>
    </row>
    <row r="194" spans="1:3" x14ac:dyDescent="0.2">
      <c r="A194" s="2">
        <v>44476</v>
      </c>
      <c r="B194" s="1" t="s">
        <v>10</v>
      </c>
      <c r="C194" s="1">
        <v>329.22</v>
      </c>
    </row>
    <row r="195" spans="1:3" x14ac:dyDescent="0.2">
      <c r="A195" s="2">
        <v>44477</v>
      </c>
      <c r="B195" s="1" t="s">
        <v>10</v>
      </c>
      <c r="C195" s="1">
        <v>330.05</v>
      </c>
    </row>
    <row r="196" spans="1:3" x14ac:dyDescent="0.2">
      <c r="A196" s="2">
        <v>44480</v>
      </c>
      <c r="B196" s="1" t="s">
        <v>10</v>
      </c>
      <c r="C196" s="1">
        <v>325.45</v>
      </c>
    </row>
    <row r="197" spans="1:3" x14ac:dyDescent="0.2">
      <c r="A197" s="2">
        <v>44481</v>
      </c>
      <c r="B197" s="1" t="s">
        <v>10</v>
      </c>
      <c r="C197" s="1">
        <v>323.77</v>
      </c>
    </row>
    <row r="198" spans="1:3" x14ac:dyDescent="0.2">
      <c r="A198" s="2">
        <v>44482</v>
      </c>
      <c r="B198" s="1" t="s">
        <v>10</v>
      </c>
      <c r="C198" s="1">
        <v>324.54000000000002</v>
      </c>
    </row>
    <row r="199" spans="1:3" x14ac:dyDescent="0.2">
      <c r="A199" s="2">
        <v>44483</v>
      </c>
      <c r="B199" s="1" t="s">
        <v>10</v>
      </c>
      <c r="C199" s="1">
        <v>328.53</v>
      </c>
    </row>
    <row r="200" spans="1:3" x14ac:dyDescent="0.2">
      <c r="A200" s="2">
        <v>44484</v>
      </c>
      <c r="B200" s="1" t="s">
        <v>10</v>
      </c>
      <c r="C200" s="1">
        <v>324.76</v>
      </c>
    </row>
    <row r="201" spans="1:3" x14ac:dyDescent="0.2">
      <c r="A201" s="2">
        <v>44487</v>
      </c>
      <c r="B201" s="1" t="s">
        <v>10</v>
      </c>
      <c r="C201" s="1">
        <v>335.34</v>
      </c>
    </row>
    <row r="202" spans="1:3" x14ac:dyDescent="0.2">
      <c r="A202" s="2">
        <v>44488</v>
      </c>
      <c r="B202" s="1" t="s">
        <v>10</v>
      </c>
      <c r="C202" s="1">
        <v>339.99</v>
      </c>
    </row>
    <row r="203" spans="1:3" x14ac:dyDescent="0.2">
      <c r="A203" s="2">
        <v>44489</v>
      </c>
      <c r="B203" s="1" t="s">
        <v>10</v>
      </c>
      <c r="C203" s="1">
        <v>340.78</v>
      </c>
    </row>
    <row r="204" spans="1:3" x14ac:dyDescent="0.2">
      <c r="A204" s="2">
        <v>44490</v>
      </c>
      <c r="B204" s="1" t="s">
        <v>10</v>
      </c>
      <c r="C204" s="1">
        <v>341.88</v>
      </c>
    </row>
    <row r="205" spans="1:3" x14ac:dyDescent="0.2">
      <c r="A205" s="2">
        <v>44491</v>
      </c>
      <c r="B205" s="1" t="s">
        <v>10</v>
      </c>
      <c r="C205" s="1">
        <v>324.61</v>
      </c>
    </row>
    <row r="206" spans="1:3" x14ac:dyDescent="0.2">
      <c r="A206" s="2">
        <v>44494</v>
      </c>
      <c r="B206" s="1" t="s">
        <v>10</v>
      </c>
      <c r="C206" s="1">
        <v>328.69</v>
      </c>
    </row>
    <row r="207" spans="1:3" x14ac:dyDescent="0.2">
      <c r="A207" s="2">
        <v>44495</v>
      </c>
      <c r="B207" s="1" t="s">
        <v>10</v>
      </c>
      <c r="C207" s="1">
        <v>315.81</v>
      </c>
    </row>
    <row r="208" spans="1:3" x14ac:dyDescent="0.2">
      <c r="A208" s="2">
        <v>44496</v>
      </c>
      <c r="B208" s="1" t="s">
        <v>10</v>
      </c>
      <c r="C208" s="1">
        <v>312.22000000000003</v>
      </c>
    </row>
    <row r="209" spans="1:3" x14ac:dyDescent="0.2">
      <c r="A209" s="2">
        <v>44497</v>
      </c>
      <c r="B209" s="1" t="s">
        <v>10</v>
      </c>
      <c r="C209" s="1">
        <v>316.92</v>
      </c>
    </row>
    <row r="210" spans="1:3" x14ac:dyDescent="0.2">
      <c r="A210" s="2">
        <v>44498</v>
      </c>
      <c r="B210" s="1" t="s">
        <v>10</v>
      </c>
      <c r="C210" s="1">
        <v>323.57</v>
      </c>
    </row>
    <row r="211" spans="1:3" x14ac:dyDescent="0.2">
      <c r="A211" s="2">
        <v>44501</v>
      </c>
      <c r="B211" s="1" t="s">
        <v>10</v>
      </c>
      <c r="C211" s="1">
        <v>329.98</v>
      </c>
    </row>
    <row r="212" spans="1:3" x14ac:dyDescent="0.2">
      <c r="A212" s="2">
        <v>44502</v>
      </c>
      <c r="B212" s="1" t="s">
        <v>10</v>
      </c>
      <c r="C212" s="1">
        <v>328.08</v>
      </c>
    </row>
    <row r="213" spans="1:3" x14ac:dyDescent="0.2">
      <c r="A213" s="2">
        <v>44503</v>
      </c>
      <c r="B213" s="1" t="s">
        <v>10</v>
      </c>
      <c r="C213" s="1">
        <v>331.62</v>
      </c>
    </row>
    <row r="214" spans="1:3" x14ac:dyDescent="0.2">
      <c r="A214" s="2">
        <v>44504</v>
      </c>
      <c r="B214" s="1" t="s">
        <v>10</v>
      </c>
      <c r="C214" s="1">
        <v>335.85</v>
      </c>
    </row>
    <row r="215" spans="1:3" x14ac:dyDescent="0.2">
      <c r="A215" s="2">
        <v>44505</v>
      </c>
      <c r="B215" s="1" t="s">
        <v>10</v>
      </c>
      <c r="C215" s="1">
        <v>341.13</v>
      </c>
    </row>
    <row r="216" spans="1:3" x14ac:dyDescent="0.2">
      <c r="A216" s="2">
        <v>44508</v>
      </c>
      <c r="B216" s="1" t="s">
        <v>10</v>
      </c>
      <c r="C216" s="1">
        <v>338.62</v>
      </c>
    </row>
    <row r="217" spans="1:3" x14ac:dyDescent="0.2">
      <c r="A217" s="2">
        <v>44509</v>
      </c>
      <c r="B217" s="1" t="s">
        <v>10</v>
      </c>
      <c r="C217" s="1">
        <v>335.37</v>
      </c>
    </row>
    <row r="218" spans="1:3" x14ac:dyDescent="0.2">
      <c r="A218" s="2">
        <v>44510</v>
      </c>
      <c r="B218" s="1" t="s">
        <v>10</v>
      </c>
      <c r="C218" s="1">
        <v>327.64</v>
      </c>
    </row>
    <row r="219" spans="1:3" x14ac:dyDescent="0.2">
      <c r="A219" s="2">
        <v>44511</v>
      </c>
      <c r="B219" s="1" t="s">
        <v>10</v>
      </c>
      <c r="C219" s="1">
        <v>327.74</v>
      </c>
    </row>
    <row r="220" spans="1:3" x14ac:dyDescent="0.2">
      <c r="A220" s="2">
        <v>44512</v>
      </c>
      <c r="B220" s="1" t="s">
        <v>10</v>
      </c>
      <c r="C220" s="1">
        <v>340.89</v>
      </c>
    </row>
    <row r="221" spans="1:3" x14ac:dyDescent="0.2">
      <c r="A221" s="2">
        <v>44515</v>
      </c>
      <c r="B221" s="1" t="s">
        <v>10</v>
      </c>
      <c r="C221" s="1">
        <v>347.56</v>
      </c>
    </row>
    <row r="222" spans="1:3" x14ac:dyDescent="0.2">
      <c r="A222" s="2">
        <v>44516</v>
      </c>
      <c r="B222" s="1" t="s">
        <v>10</v>
      </c>
      <c r="C222" s="1">
        <v>342.96</v>
      </c>
    </row>
    <row r="223" spans="1:3" x14ac:dyDescent="0.2">
      <c r="A223" s="2">
        <v>44517</v>
      </c>
      <c r="B223" s="1" t="s">
        <v>10</v>
      </c>
      <c r="C223" s="1">
        <v>340.77</v>
      </c>
    </row>
    <row r="224" spans="1:3" x14ac:dyDescent="0.2">
      <c r="A224" s="2">
        <v>44518</v>
      </c>
      <c r="B224" s="1" t="s">
        <v>10</v>
      </c>
      <c r="C224" s="1">
        <v>338.69</v>
      </c>
    </row>
    <row r="225" spans="1:3" x14ac:dyDescent="0.2">
      <c r="A225" s="2">
        <v>44519</v>
      </c>
      <c r="B225" s="1" t="s">
        <v>10</v>
      </c>
      <c r="C225" s="1">
        <v>345.3</v>
      </c>
    </row>
    <row r="226" spans="1:3" x14ac:dyDescent="0.2">
      <c r="A226" s="2">
        <v>44522</v>
      </c>
      <c r="B226" s="1" t="s">
        <v>10</v>
      </c>
      <c r="C226" s="1">
        <v>341.01</v>
      </c>
    </row>
    <row r="227" spans="1:3" x14ac:dyDescent="0.2">
      <c r="A227" s="2">
        <v>44523</v>
      </c>
      <c r="B227" s="1" t="s">
        <v>10</v>
      </c>
      <c r="C227" s="1">
        <v>337.25</v>
      </c>
    </row>
    <row r="228" spans="1:3" x14ac:dyDescent="0.2">
      <c r="A228" s="2">
        <v>44524</v>
      </c>
      <c r="B228" s="1" t="s">
        <v>10</v>
      </c>
      <c r="C228" s="1">
        <v>341.06</v>
      </c>
    </row>
    <row r="229" spans="1:3" x14ac:dyDescent="0.2">
      <c r="A229" s="2">
        <v>44526</v>
      </c>
      <c r="B229" s="1" t="s">
        <v>10</v>
      </c>
      <c r="C229" s="1">
        <v>333.12</v>
      </c>
    </row>
    <row r="230" spans="1:3" x14ac:dyDescent="0.2">
      <c r="A230" s="2">
        <v>44529</v>
      </c>
      <c r="B230" s="1" t="s">
        <v>10</v>
      </c>
      <c r="C230" s="1">
        <v>338.03</v>
      </c>
    </row>
    <row r="231" spans="1:3" x14ac:dyDescent="0.2">
      <c r="A231" s="2">
        <v>44530</v>
      </c>
      <c r="B231" s="1" t="s">
        <v>10</v>
      </c>
      <c r="C231" s="1">
        <v>324.45999999999998</v>
      </c>
    </row>
    <row r="232" spans="1:3" x14ac:dyDescent="0.2">
      <c r="A232" s="2">
        <v>44531</v>
      </c>
      <c r="B232" s="1" t="s">
        <v>10</v>
      </c>
      <c r="C232" s="1">
        <v>310.60000000000002</v>
      </c>
    </row>
    <row r="233" spans="1:3" x14ac:dyDescent="0.2">
      <c r="A233" s="2">
        <v>44532</v>
      </c>
      <c r="B233" s="1" t="s">
        <v>10</v>
      </c>
      <c r="C233" s="1">
        <v>310.39</v>
      </c>
    </row>
    <row r="234" spans="1:3" x14ac:dyDescent="0.2">
      <c r="A234" s="2">
        <v>44533</v>
      </c>
      <c r="B234" s="1" t="s">
        <v>10</v>
      </c>
      <c r="C234" s="1">
        <v>306.83999999999997</v>
      </c>
    </row>
    <row r="235" spans="1:3" x14ac:dyDescent="0.2">
      <c r="A235" s="2">
        <v>44536</v>
      </c>
      <c r="B235" s="1" t="s">
        <v>10</v>
      </c>
      <c r="C235" s="1">
        <v>317.87</v>
      </c>
    </row>
    <row r="236" spans="1:3" x14ac:dyDescent="0.2">
      <c r="A236" s="2">
        <v>44537</v>
      </c>
      <c r="B236" s="1" t="s">
        <v>10</v>
      </c>
      <c r="C236" s="1">
        <v>322.81</v>
      </c>
    </row>
    <row r="237" spans="1:3" x14ac:dyDescent="0.2">
      <c r="A237" s="2">
        <v>44538</v>
      </c>
      <c r="B237" s="1" t="s">
        <v>10</v>
      </c>
      <c r="C237" s="1">
        <v>330.56</v>
      </c>
    </row>
    <row r="238" spans="1:3" x14ac:dyDescent="0.2">
      <c r="A238" s="2">
        <v>44539</v>
      </c>
      <c r="B238" s="1" t="s">
        <v>10</v>
      </c>
      <c r="C238" s="1">
        <v>329.82</v>
      </c>
    </row>
    <row r="239" spans="1:3" x14ac:dyDescent="0.2">
      <c r="A239" s="2">
        <v>44540</v>
      </c>
      <c r="B239" s="1" t="s">
        <v>10</v>
      </c>
      <c r="C239" s="1">
        <v>329.75</v>
      </c>
    </row>
    <row r="240" spans="1:3" x14ac:dyDescent="0.2">
      <c r="A240" s="2">
        <v>44543</v>
      </c>
      <c r="B240" s="1" t="s">
        <v>10</v>
      </c>
      <c r="C240" s="1">
        <v>334.49</v>
      </c>
    </row>
    <row r="241" spans="1:3" x14ac:dyDescent="0.2">
      <c r="A241" s="2">
        <v>44544</v>
      </c>
      <c r="B241" s="1" t="s">
        <v>10</v>
      </c>
      <c r="C241" s="1">
        <v>333.74</v>
      </c>
    </row>
    <row r="242" spans="1:3" x14ac:dyDescent="0.2">
      <c r="A242" s="2">
        <v>44545</v>
      </c>
      <c r="B242" s="1" t="s">
        <v>10</v>
      </c>
      <c r="C242" s="1">
        <v>341.66</v>
      </c>
    </row>
    <row r="243" spans="1:3" x14ac:dyDescent="0.2">
      <c r="A243" s="2">
        <v>44546</v>
      </c>
      <c r="B243" s="1" t="s">
        <v>10</v>
      </c>
      <c r="C243" s="1">
        <v>334.9</v>
      </c>
    </row>
    <row r="244" spans="1:3" x14ac:dyDescent="0.2">
      <c r="A244" s="2">
        <v>44547</v>
      </c>
      <c r="B244" s="1" t="s">
        <v>10</v>
      </c>
      <c r="C244" s="1">
        <v>333.79</v>
      </c>
    </row>
    <row r="245" spans="1:3" x14ac:dyDescent="0.2">
      <c r="A245" s="2">
        <v>44550</v>
      </c>
      <c r="B245" s="1" t="s">
        <v>10</v>
      </c>
      <c r="C245" s="1">
        <v>325.45</v>
      </c>
    </row>
    <row r="246" spans="1:3" x14ac:dyDescent="0.2">
      <c r="A246" s="2">
        <v>44551</v>
      </c>
      <c r="B246" s="1" t="s">
        <v>10</v>
      </c>
      <c r="C246" s="1">
        <v>334.2</v>
      </c>
    </row>
    <row r="247" spans="1:3" x14ac:dyDescent="0.2">
      <c r="A247" s="2">
        <v>44552</v>
      </c>
      <c r="B247" s="1" t="s">
        <v>10</v>
      </c>
      <c r="C247" s="1">
        <v>330.45</v>
      </c>
    </row>
    <row r="248" spans="1:3" x14ac:dyDescent="0.2">
      <c r="A248" s="2">
        <v>44553</v>
      </c>
      <c r="B248" s="1" t="s">
        <v>10</v>
      </c>
      <c r="C248" s="1">
        <v>335.24</v>
      </c>
    </row>
    <row r="249" spans="1:3" x14ac:dyDescent="0.2">
      <c r="A249" s="2">
        <v>44557</v>
      </c>
      <c r="B249" s="1" t="s">
        <v>10</v>
      </c>
      <c r="C249" s="1">
        <v>346.18</v>
      </c>
    </row>
    <row r="250" spans="1:3" x14ac:dyDescent="0.2">
      <c r="A250" s="2">
        <v>44558</v>
      </c>
      <c r="B250" s="1" t="s">
        <v>10</v>
      </c>
      <c r="C250" s="1">
        <v>346.22</v>
      </c>
    </row>
    <row r="251" spans="1:3" x14ac:dyDescent="0.2">
      <c r="A251" s="2">
        <v>44559</v>
      </c>
      <c r="B251" s="1" t="s">
        <v>10</v>
      </c>
      <c r="C251" s="1">
        <v>342.94</v>
      </c>
    </row>
    <row r="252" spans="1:3" x14ac:dyDescent="0.2">
      <c r="A252" s="2">
        <v>44560</v>
      </c>
      <c r="B252" s="1" t="s">
        <v>10</v>
      </c>
      <c r="C252" s="1">
        <v>344.36</v>
      </c>
    </row>
    <row r="253" spans="1:3" x14ac:dyDescent="0.2">
      <c r="A253" s="2">
        <v>44561</v>
      </c>
      <c r="B253" s="1" t="s">
        <v>10</v>
      </c>
      <c r="C253" s="1">
        <v>336.35</v>
      </c>
    </row>
    <row r="254" spans="1:3" x14ac:dyDescent="0.2">
      <c r="A254" s="2">
        <v>44564</v>
      </c>
      <c r="B254" s="1" t="s">
        <v>10</v>
      </c>
      <c r="C254" s="1">
        <v>338.54</v>
      </c>
    </row>
    <row r="255" spans="1:3" x14ac:dyDescent="0.2">
      <c r="A255" s="2">
        <v>44565</v>
      </c>
      <c r="B255" s="1" t="s">
        <v>10</v>
      </c>
      <c r="C255" s="1">
        <v>336.53</v>
      </c>
    </row>
    <row r="256" spans="1:3" x14ac:dyDescent="0.2">
      <c r="A256" s="2">
        <v>44566</v>
      </c>
      <c r="B256" s="1" t="s">
        <v>10</v>
      </c>
      <c r="C256" s="1">
        <v>324.17</v>
      </c>
    </row>
    <row r="257" spans="1:3" x14ac:dyDescent="0.2">
      <c r="A257" s="2">
        <v>44567</v>
      </c>
      <c r="B257" s="1" t="s">
        <v>10</v>
      </c>
      <c r="C257" s="1">
        <v>332.46</v>
      </c>
    </row>
    <row r="258" spans="1:3" x14ac:dyDescent="0.2">
      <c r="A258" s="2">
        <v>44568</v>
      </c>
      <c r="B258" s="1" t="s">
        <v>10</v>
      </c>
      <c r="C258" s="1">
        <v>331.79</v>
      </c>
    </row>
    <row r="259" spans="1:3" x14ac:dyDescent="0.2">
      <c r="A259" s="2">
        <v>44571</v>
      </c>
      <c r="B259" s="1" t="s">
        <v>10</v>
      </c>
      <c r="C259" s="1">
        <v>328.07</v>
      </c>
    </row>
    <row r="260" spans="1:3" x14ac:dyDescent="0.2">
      <c r="A260" s="2">
        <v>44572</v>
      </c>
      <c r="B260" s="1" t="s">
        <v>10</v>
      </c>
      <c r="C260" s="1">
        <v>334.37</v>
      </c>
    </row>
    <row r="261" spans="1:3" x14ac:dyDescent="0.2">
      <c r="A261" s="2">
        <v>44573</v>
      </c>
      <c r="B261" s="1" t="s">
        <v>10</v>
      </c>
      <c r="C261" s="1">
        <v>333.26</v>
      </c>
    </row>
    <row r="262" spans="1:3" x14ac:dyDescent="0.2">
      <c r="A262" s="2">
        <v>44574</v>
      </c>
      <c r="B262" s="1" t="s">
        <v>10</v>
      </c>
      <c r="C262" s="1">
        <v>326.48</v>
      </c>
    </row>
    <row r="263" spans="1:3" x14ac:dyDescent="0.2">
      <c r="A263" s="2">
        <v>44575</v>
      </c>
      <c r="B263" s="1" t="s">
        <v>10</v>
      </c>
      <c r="C263" s="1">
        <v>331.9</v>
      </c>
    </row>
    <row r="264" spans="1:3" x14ac:dyDescent="0.2">
      <c r="A264" s="2">
        <v>44579</v>
      </c>
      <c r="B264" s="1" t="s">
        <v>10</v>
      </c>
      <c r="C264" s="1">
        <v>318.14999999999998</v>
      </c>
    </row>
    <row r="265" spans="1:3" x14ac:dyDescent="0.2">
      <c r="A265" s="2">
        <v>44580</v>
      </c>
      <c r="B265" s="1" t="s">
        <v>10</v>
      </c>
      <c r="C265" s="1">
        <v>319.58999999999997</v>
      </c>
    </row>
    <row r="266" spans="1:3" x14ac:dyDescent="0.2">
      <c r="A266" s="2">
        <v>44581</v>
      </c>
      <c r="B266" s="1" t="s">
        <v>10</v>
      </c>
      <c r="C266" s="1">
        <v>316.56</v>
      </c>
    </row>
    <row r="267" spans="1:3" x14ac:dyDescent="0.2">
      <c r="A267" s="2">
        <v>44582</v>
      </c>
      <c r="B267" s="1" t="s">
        <v>10</v>
      </c>
      <c r="C267" s="1">
        <v>303.17</v>
      </c>
    </row>
    <row r="268" spans="1:3" x14ac:dyDescent="0.2">
      <c r="A268" s="2">
        <v>44585</v>
      </c>
      <c r="B268" s="1" t="s">
        <v>10</v>
      </c>
      <c r="C268" s="1">
        <v>308.70999999999998</v>
      </c>
    </row>
    <row r="269" spans="1:3" x14ac:dyDescent="0.2">
      <c r="A269" s="2">
        <v>44586</v>
      </c>
      <c r="B269" s="1" t="s">
        <v>10</v>
      </c>
      <c r="C269" s="1">
        <v>300.14999999999998</v>
      </c>
    </row>
    <row r="270" spans="1:3" x14ac:dyDescent="0.2">
      <c r="A270" s="2">
        <v>44587</v>
      </c>
      <c r="B270" s="1" t="s">
        <v>10</v>
      </c>
      <c r="C270" s="1">
        <v>294.63</v>
      </c>
    </row>
    <row r="271" spans="1:3" x14ac:dyDescent="0.2">
      <c r="A271" s="2">
        <v>44588</v>
      </c>
      <c r="B271" s="1" t="s">
        <v>10</v>
      </c>
      <c r="C271" s="1">
        <v>294.64</v>
      </c>
    </row>
    <row r="272" spans="1:3" x14ac:dyDescent="0.2">
      <c r="A272" s="2">
        <v>44589</v>
      </c>
      <c r="B272" s="1" t="s">
        <v>10</v>
      </c>
      <c r="C272" s="1">
        <v>301.70999999999998</v>
      </c>
    </row>
    <row r="273" spans="1:3" x14ac:dyDescent="0.2">
      <c r="A273" s="2">
        <v>44592</v>
      </c>
      <c r="B273" s="1" t="s">
        <v>10</v>
      </c>
      <c r="C273" s="1">
        <v>313.26</v>
      </c>
    </row>
    <row r="274" spans="1:3" x14ac:dyDescent="0.2">
      <c r="A274" s="2">
        <v>44593</v>
      </c>
      <c r="B274" s="1" t="s">
        <v>10</v>
      </c>
      <c r="C274" s="1">
        <v>319</v>
      </c>
    </row>
    <row r="275" spans="1:3" x14ac:dyDescent="0.2">
      <c r="A275" s="2">
        <v>44594</v>
      </c>
      <c r="B275" s="1" t="s">
        <v>10</v>
      </c>
      <c r="C275" s="1">
        <v>323</v>
      </c>
    </row>
    <row r="276" spans="1:3" x14ac:dyDescent="0.2">
      <c r="A276" s="2">
        <v>44595</v>
      </c>
      <c r="B276" s="1" t="s">
        <v>10</v>
      </c>
      <c r="C276" s="1">
        <v>237.76</v>
      </c>
    </row>
    <row r="277" spans="1:3" x14ac:dyDescent="0.2">
      <c r="A277" s="2">
        <v>44596</v>
      </c>
      <c r="B277" s="1" t="s">
        <v>10</v>
      </c>
      <c r="C277" s="1">
        <v>237.09</v>
      </c>
    </row>
    <row r="278" spans="1:3" x14ac:dyDescent="0.2">
      <c r="A278" s="2">
        <v>44599</v>
      </c>
      <c r="B278" s="1" t="s">
        <v>10</v>
      </c>
      <c r="C278" s="1">
        <v>224.91</v>
      </c>
    </row>
    <row r="279" spans="1:3" x14ac:dyDescent="0.2">
      <c r="A279" s="2">
        <v>44600</v>
      </c>
      <c r="B279" s="1" t="s">
        <v>10</v>
      </c>
      <c r="C279" s="1">
        <v>220.18</v>
      </c>
    </row>
    <row r="280" spans="1:3" x14ac:dyDescent="0.2">
      <c r="A280" s="2">
        <v>44601</v>
      </c>
      <c r="B280" s="1" t="s">
        <v>10</v>
      </c>
      <c r="C280" s="1">
        <v>232</v>
      </c>
    </row>
    <row r="281" spans="1:3" x14ac:dyDescent="0.2">
      <c r="A281" s="2">
        <v>44602</v>
      </c>
      <c r="B281" s="1" t="s">
        <v>10</v>
      </c>
      <c r="C281" s="1">
        <v>228.07</v>
      </c>
    </row>
    <row r="282" spans="1:3" x14ac:dyDescent="0.2">
      <c r="A282" s="2">
        <v>44603</v>
      </c>
      <c r="B282" s="1" t="s">
        <v>10</v>
      </c>
      <c r="C282" s="1">
        <v>219.55</v>
      </c>
    </row>
    <row r="283" spans="1:3" x14ac:dyDescent="0.2">
      <c r="A283" s="2">
        <v>44606</v>
      </c>
      <c r="B283" s="1" t="s">
        <v>10</v>
      </c>
      <c r="C283" s="1">
        <v>217.7</v>
      </c>
    </row>
    <row r="284" spans="1:3" x14ac:dyDescent="0.2">
      <c r="A284" s="2">
        <v>44607</v>
      </c>
      <c r="B284" s="1" t="s">
        <v>10</v>
      </c>
      <c r="C284" s="1">
        <v>221</v>
      </c>
    </row>
    <row r="285" spans="1:3" x14ac:dyDescent="0.2">
      <c r="A285" s="2">
        <v>44608</v>
      </c>
      <c r="B285" s="1" t="s">
        <v>10</v>
      </c>
      <c r="C285" s="1">
        <v>216.54</v>
      </c>
    </row>
    <row r="286" spans="1:3" x14ac:dyDescent="0.2">
      <c r="A286" s="2">
        <v>44609</v>
      </c>
      <c r="B286" s="1" t="s">
        <v>10</v>
      </c>
      <c r="C286" s="1">
        <v>207.71</v>
      </c>
    </row>
    <row r="287" spans="1:3" x14ac:dyDescent="0.2">
      <c r="A287" s="2">
        <v>44610</v>
      </c>
      <c r="B287" s="1" t="s">
        <v>10</v>
      </c>
      <c r="C287" s="1">
        <v>206.16</v>
      </c>
    </row>
    <row r="288" spans="1:3" x14ac:dyDescent="0.2">
      <c r="A288" s="2">
        <v>44614</v>
      </c>
      <c r="B288" s="1" t="s">
        <v>10</v>
      </c>
      <c r="C288" s="1">
        <v>202.08</v>
      </c>
    </row>
    <row r="289" spans="1:3" x14ac:dyDescent="0.2">
      <c r="A289" s="2">
        <v>44615</v>
      </c>
      <c r="B289" s="1" t="s">
        <v>10</v>
      </c>
      <c r="C289" s="1">
        <v>198.45</v>
      </c>
    </row>
    <row r="290" spans="1:3" x14ac:dyDescent="0.2">
      <c r="A290" s="2">
        <v>44616</v>
      </c>
      <c r="B290" s="1" t="s">
        <v>10</v>
      </c>
      <c r="C290" s="1">
        <v>207.6</v>
      </c>
    </row>
    <row r="291" spans="1:3" x14ac:dyDescent="0.2">
      <c r="A291" s="2">
        <v>44617</v>
      </c>
      <c r="B291" s="1" t="s">
        <v>10</v>
      </c>
      <c r="C291" s="1">
        <v>210.48</v>
      </c>
    </row>
    <row r="292" spans="1:3" x14ac:dyDescent="0.2">
      <c r="A292" s="2">
        <v>44620</v>
      </c>
      <c r="B292" s="1" t="s">
        <v>10</v>
      </c>
      <c r="C292" s="1">
        <v>211.03</v>
      </c>
    </row>
    <row r="293" spans="1:3" x14ac:dyDescent="0.2">
      <c r="A293" s="2">
        <v>44621</v>
      </c>
      <c r="B293" s="1" t="s">
        <v>10</v>
      </c>
      <c r="C293" s="1">
        <v>203.49</v>
      </c>
    </row>
    <row r="294" spans="1:3" x14ac:dyDescent="0.2">
      <c r="A294" s="2">
        <v>44622</v>
      </c>
      <c r="B294" s="1" t="s">
        <v>10</v>
      </c>
      <c r="C294" s="1">
        <v>208.11</v>
      </c>
    </row>
    <row r="295" spans="1:3" x14ac:dyDescent="0.2">
      <c r="A295" s="2">
        <v>44623</v>
      </c>
      <c r="B295" s="1" t="s">
        <v>10</v>
      </c>
      <c r="C295" s="1">
        <v>202.97</v>
      </c>
    </row>
    <row r="296" spans="1:3" x14ac:dyDescent="0.2">
      <c r="A296" s="2">
        <v>44624</v>
      </c>
      <c r="B296" s="1" t="s">
        <v>10</v>
      </c>
      <c r="C296" s="1">
        <v>200.06</v>
      </c>
    </row>
    <row r="297" spans="1:3" x14ac:dyDescent="0.2">
      <c r="A297" s="2">
        <v>44627</v>
      </c>
      <c r="B297" s="1" t="s">
        <v>10</v>
      </c>
      <c r="C297" s="1">
        <v>187.47</v>
      </c>
    </row>
    <row r="298" spans="1:3" x14ac:dyDescent="0.2">
      <c r="A298" s="2">
        <v>44628</v>
      </c>
      <c r="B298" s="1" t="s">
        <v>10</v>
      </c>
      <c r="C298" s="1">
        <v>190.29</v>
      </c>
    </row>
    <row r="299" spans="1:3" x14ac:dyDescent="0.2">
      <c r="A299" s="2">
        <v>44629</v>
      </c>
      <c r="B299" s="1" t="s">
        <v>10</v>
      </c>
      <c r="C299" s="1">
        <v>198.5</v>
      </c>
    </row>
    <row r="300" spans="1:3" x14ac:dyDescent="0.2">
      <c r="A300" s="2">
        <v>44630</v>
      </c>
      <c r="B300" s="1" t="s">
        <v>10</v>
      </c>
      <c r="C300" s="1">
        <v>195.21</v>
      </c>
    </row>
    <row r="301" spans="1:3" x14ac:dyDescent="0.2">
      <c r="A301" s="2">
        <v>44631</v>
      </c>
      <c r="B301" s="1" t="s">
        <v>10</v>
      </c>
      <c r="C301" s="1">
        <v>187.61</v>
      </c>
    </row>
    <row r="302" spans="1:3" x14ac:dyDescent="0.2">
      <c r="A302" s="2">
        <v>44634</v>
      </c>
      <c r="B302" s="1" t="s">
        <v>10</v>
      </c>
      <c r="C302" s="1">
        <v>186.63</v>
      </c>
    </row>
    <row r="303" spans="1:3" x14ac:dyDescent="0.2">
      <c r="A303" s="2">
        <v>44635</v>
      </c>
      <c r="B303" s="1" t="s">
        <v>10</v>
      </c>
      <c r="C303" s="1">
        <v>192.03</v>
      </c>
    </row>
    <row r="304" spans="1:3" x14ac:dyDescent="0.2">
      <c r="A304" s="2">
        <v>44636</v>
      </c>
      <c r="B304" s="1" t="s">
        <v>10</v>
      </c>
      <c r="C304" s="1">
        <v>203.63</v>
      </c>
    </row>
    <row r="305" spans="1:3" x14ac:dyDescent="0.2">
      <c r="A305" s="2">
        <v>44637</v>
      </c>
      <c r="B305" s="1" t="s">
        <v>10</v>
      </c>
      <c r="C305" s="1">
        <v>207.84</v>
      </c>
    </row>
    <row r="306" spans="1:3" x14ac:dyDescent="0.2">
      <c r="A306" s="2">
        <v>44638</v>
      </c>
      <c r="B306" s="1" t="s">
        <v>10</v>
      </c>
      <c r="C306" s="1">
        <v>216.49</v>
      </c>
    </row>
    <row r="307" spans="1:3" x14ac:dyDescent="0.2">
      <c r="A307" s="2">
        <v>44641</v>
      </c>
      <c r="B307" s="1" t="s">
        <v>10</v>
      </c>
      <c r="C307" s="1">
        <v>211.49</v>
      </c>
    </row>
    <row r="308" spans="1:3" x14ac:dyDescent="0.2">
      <c r="A308" s="2">
        <v>44642</v>
      </c>
      <c r="B308" s="1" t="s">
        <v>10</v>
      </c>
      <c r="C308" s="1">
        <v>216.65</v>
      </c>
    </row>
    <row r="309" spans="1:3" x14ac:dyDescent="0.2">
      <c r="A309" s="2">
        <v>44643</v>
      </c>
      <c r="B309" s="1" t="s">
        <v>10</v>
      </c>
      <c r="C309" s="1">
        <v>213.46</v>
      </c>
    </row>
    <row r="310" spans="1:3" x14ac:dyDescent="0.2">
      <c r="A310" s="2">
        <v>44644</v>
      </c>
      <c r="B310" s="1" t="s">
        <v>10</v>
      </c>
      <c r="C310" s="1">
        <v>219.57</v>
      </c>
    </row>
    <row r="311" spans="1:3" x14ac:dyDescent="0.2">
      <c r="A311" s="2">
        <v>44645</v>
      </c>
      <c r="B311" s="1" t="s">
        <v>10</v>
      </c>
      <c r="C311" s="1">
        <v>221.82</v>
      </c>
    </row>
    <row r="312" spans="1:3" x14ac:dyDescent="0.2">
      <c r="A312" s="2">
        <v>44648</v>
      </c>
      <c r="B312" s="1" t="s">
        <v>10</v>
      </c>
      <c r="C312" s="1">
        <v>223.59</v>
      </c>
    </row>
    <row r="313" spans="1:3" x14ac:dyDescent="0.2">
      <c r="A313" s="2">
        <v>44649</v>
      </c>
      <c r="B313" s="1" t="s">
        <v>10</v>
      </c>
      <c r="C313" s="1">
        <v>229.86</v>
      </c>
    </row>
    <row r="314" spans="1:3" x14ac:dyDescent="0.2">
      <c r="A314" s="2">
        <v>44650</v>
      </c>
      <c r="B314" s="1" t="s">
        <v>10</v>
      </c>
      <c r="C314" s="1">
        <v>227.85</v>
      </c>
    </row>
    <row r="315" spans="1:3" x14ac:dyDescent="0.2">
      <c r="A315" s="2">
        <v>44651</v>
      </c>
      <c r="B315" s="1" t="s">
        <v>10</v>
      </c>
      <c r="C315" s="1">
        <v>222.36</v>
      </c>
    </row>
    <row r="316" spans="1:3" x14ac:dyDescent="0.2">
      <c r="A316" s="2">
        <v>44652</v>
      </c>
      <c r="B316" s="1" t="s">
        <v>10</v>
      </c>
      <c r="C316" s="1">
        <v>224.85</v>
      </c>
    </row>
    <row r="317" spans="1:3" x14ac:dyDescent="0.2">
      <c r="A317" s="2">
        <v>44655</v>
      </c>
      <c r="B317" s="1" t="s">
        <v>10</v>
      </c>
      <c r="C317" s="1">
        <v>233.89</v>
      </c>
    </row>
    <row r="318" spans="1:3" x14ac:dyDescent="0.2">
      <c r="A318" s="2">
        <v>44656</v>
      </c>
      <c r="B318" s="1" t="s">
        <v>10</v>
      </c>
      <c r="C318" s="1">
        <v>231.84</v>
      </c>
    </row>
    <row r="319" spans="1:3" x14ac:dyDescent="0.2">
      <c r="A319" s="2">
        <v>44657</v>
      </c>
      <c r="B319" s="1" t="s">
        <v>10</v>
      </c>
      <c r="C319" s="1">
        <v>223.3</v>
      </c>
    </row>
    <row r="320" spans="1:3" x14ac:dyDescent="0.2">
      <c r="A320" s="2">
        <v>44658</v>
      </c>
      <c r="B320" s="1" t="s">
        <v>10</v>
      </c>
      <c r="C320" s="1">
        <v>222.95</v>
      </c>
    </row>
    <row r="321" spans="1:3" x14ac:dyDescent="0.2">
      <c r="A321" s="2">
        <v>44659</v>
      </c>
      <c r="B321" s="1" t="s">
        <v>10</v>
      </c>
      <c r="C321" s="1">
        <v>222.33</v>
      </c>
    </row>
    <row r="322" spans="1:3" x14ac:dyDescent="0.2">
      <c r="A322" s="2">
        <v>44662</v>
      </c>
      <c r="B322" s="1" t="s">
        <v>10</v>
      </c>
      <c r="C322" s="1">
        <v>216.46</v>
      </c>
    </row>
    <row r="323" spans="1:3" x14ac:dyDescent="0.2">
      <c r="A323" s="2">
        <v>44663</v>
      </c>
      <c r="B323" s="1" t="s">
        <v>10</v>
      </c>
      <c r="C323" s="1">
        <v>214.14</v>
      </c>
    </row>
    <row r="324" spans="1:3" x14ac:dyDescent="0.2">
      <c r="A324" s="2">
        <v>44664</v>
      </c>
      <c r="B324" s="1" t="s">
        <v>10</v>
      </c>
      <c r="C324" s="1">
        <v>214.99</v>
      </c>
    </row>
    <row r="325" spans="1:3" x14ac:dyDescent="0.2">
      <c r="A325" s="2">
        <v>44665</v>
      </c>
      <c r="B325" s="1" t="s">
        <v>10</v>
      </c>
      <c r="C325" s="1">
        <v>210.18</v>
      </c>
    </row>
    <row r="326" spans="1:3" x14ac:dyDescent="0.2">
      <c r="A326" s="2">
        <v>44669</v>
      </c>
      <c r="B326" s="1" t="s">
        <v>10</v>
      </c>
      <c r="C326" s="1">
        <v>210.77</v>
      </c>
    </row>
    <row r="327" spans="1:3" x14ac:dyDescent="0.2">
      <c r="A327" s="2">
        <v>44670</v>
      </c>
      <c r="B327" s="1" t="s">
        <v>10</v>
      </c>
      <c r="C327" s="1">
        <v>217.31</v>
      </c>
    </row>
    <row r="328" spans="1:3" x14ac:dyDescent="0.2">
      <c r="A328" s="2">
        <v>44671</v>
      </c>
      <c r="B328" s="1" t="s">
        <v>10</v>
      </c>
      <c r="C328" s="1">
        <v>200.42</v>
      </c>
    </row>
    <row r="329" spans="1:3" x14ac:dyDescent="0.2">
      <c r="A329" s="2">
        <v>44672</v>
      </c>
      <c r="B329" s="1" t="s">
        <v>10</v>
      </c>
      <c r="C329" s="1">
        <v>188.07</v>
      </c>
    </row>
    <row r="330" spans="1:3" x14ac:dyDescent="0.2">
      <c r="A330" s="2">
        <v>44673</v>
      </c>
      <c r="B330" s="1" t="s">
        <v>10</v>
      </c>
      <c r="C330" s="1">
        <v>184.11</v>
      </c>
    </row>
    <row r="331" spans="1:3" x14ac:dyDescent="0.2">
      <c r="A331" s="2">
        <v>44676</v>
      </c>
      <c r="B331" s="1" t="s">
        <v>10</v>
      </c>
      <c r="C331" s="1">
        <v>186.99</v>
      </c>
    </row>
    <row r="332" spans="1:3" x14ac:dyDescent="0.2">
      <c r="A332" s="2">
        <v>44677</v>
      </c>
      <c r="B332" s="1" t="s">
        <v>10</v>
      </c>
      <c r="C332" s="1">
        <v>180.95</v>
      </c>
    </row>
    <row r="333" spans="1:3" x14ac:dyDescent="0.2">
      <c r="A333" s="2">
        <v>44678</v>
      </c>
      <c r="B333" s="1" t="s">
        <v>10</v>
      </c>
      <c r="C333" s="1">
        <v>174.95</v>
      </c>
    </row>
    <row r="334" spans="1:3" x14ac:dyDescent="0.2">
      <c r="A334" s="2">
        <v>44679</v>
      </c>
      <c r="B334" s="1" t="s">
        <v>10</v>
      </c>
      <c r="C334" s="1">
        <v>205.73</v>
      </c>
    </row>
    <row r="335" spans="1:3" x14ac:dyDescent="0.2">
      <c r="A335" s="2">
        <v>44680</v>
      </c>
      <c r="B335" s="1" t="s">
        <v>10</v>
      </c>
      <c r="C335" s="1">
        <v>200.47</v>
      </c>
    </row>
    <row r="336" spans="1:3" x14ac:dyDescent="0.2">
      <c r="A336" s="2">
        <v>44683</v>
      </c>
      <c r="B336" s="1" t="s">
        <v>10</v>
      </c>
      <c r="C336" s="1">
        <v>211.13</v>
      </c>
    </row>
    <row r="337" spans="1:3" x14ac:dyDescent="0.2">
      <c r="A337" s="2">
        <v>44684</v>
      </c>
      <c r="B337" s="1" t="s">
        <v>10</v>
      </c>
      <c r="C337" s="1">
        <v>212.03</v>
      </c>
    </row>
    <row r="338" spans="1:3" x14ac:dyDescent="0.2">
      <c r="A338" s="2">
        <v>44685</v>
      </c>
      <c r="B338" s="1" t="s">
        <v>10</v>
      </c>
      <c r="C338" s="1">
        <v>223.41</v>
      </c>
    </row>
    <row r="339" spans="1:3" x14ac:dyDescent="0.2">
      <c r="A339" s="2">
        <v>44686</v>
      </c>
      <c r="B339" s="1" t="s">
        <v>10</v>
      </c>
      <c r="C339" s="1">
        <v>208.28</v>
      </c>
    </row>
    <row r="340" spans="1:3" x14ac:dyDescent="0.2">
      <c r="A340" s="2">
        <v>44687</v>
      </c>
      <c r="B340" s="1" t="s">
        <v>10</v>
      </c>
      <c r="C340" s="1">
        <v>203.77</v>
      </c>
    </row>
    <row r="341" spans="1:3" x14ac:dyDescent="0.2">
      <c r="A341" s="2">
        <v>44690</v>
      </c>
      <c r="B341" s="1" t="s">
        <v>10</v>
      </c>
      <c r="C341" s="1">
        <v>196.21</v>
      </c>
    </row>
    <row r="342" spans="1:3" x14ac:dyDescent="0.2">
      <c r="A342" s="2">
        <v>44691</v>
      </c>
      <c r="B342" s="1" t="s">
        <v>10</v>
      </c>
      <c r="C342" s="1">
        <v>197.65</v>
      </c>
    </row>
    <row r="343" spans="1:3" x14ac:dyDescent="0.2">
      <c r="A343" s="2">
        <v>44692</v>
      </c>
      <c r="B343" s="1" t="s">
        <v>10</v>
      </c>
      <c r="C343" s="1">
        <v>188.74</v>
      </c>
    </row>
    <row r="344" spans="1:3" x14ac:dyDescent="0.2">
      <c r="A344" s="2">
        <v>44693</v>
      </c>
      <c r="B344" s="1" t="s">
        <v>10</v>
      </c>
      <c r="C344" s="1">
        <v>191.24</v>
      </c>
    </row>
    <row r="345" spans="1:3" x14ac:dyDescent="0.2">
      <c r="A345" s="2">
        <v>44694</v>
      </c>
      <c r="B345" s="1" t="s">
        <v>10</v>
      </c>
      <c r="C345" s="1">
        <v>198.62</v>
      </c>
    </row>
    <row r="346" spans="1:3" x14ac:dyDescent="0.2">
      <c r="A346" s="2">
        <v>44697</v>
      </c>
      <c r="B346" s="1" t="s">
        <v>10</v>
      </c>
      <c r="C346" s="1">
        <v>200.04</v>
      </c>
    </row>
    <row r="347" spans="1:3" x14ac:dyDescent="0.2">
      <c r="A347" s="2">
        <v>44698</v>
      </c>
      <c r="B347" s="1" t="s">
        <v>10</v>
      </c>
      <c r="C347" s="1">
        <v>202.62</v>
      </c>
    </row>
    <row r="348" spans="1:3" x14ac:dyDescent="0.2">
      <c r="A348" s="2">
        <v>44699</v>
      </c>
      <c r="B348" s="1" t="s">
        <v>10</v>
      </c>
      <c r="C348" s="1">
        <v>192.24</v>
      </c>
    </row>
    <row r="349" spans="1:3" x14ac:dyDescent="0.2">
      <c r="A349" s="2">
        <v>44700</v>
      </c>
      <c r="B349" s="1" t="s">
        <v>10</v>
      </c>
      <c r="C349" s="1">
        <v>191.29</v>
      </c>
    </row>
    <row r="350" spans="1:3" x14ac:dyDescent="0.2">
      <c r="A350" s="2">
        <v>44701</v>
      </c>
      <c r="B350" s="1" t="s">
        <v>10</v>
      </c>
      <c r="C350" s="1">
        <v>193.54</v>
      </c>
    </row>
    <row r="351" spans="1:3" x14ac:dyDescent="0.2">
      <c r="A351" s="2">
        <v>44704</v>
      </c>
      <c r="B351" s="1" t="s">
        <v>10</v>
      </c>
      <c r="C351" s="1">
        <v>196.23</v>
      </c>
    </row>
    <row r="352" spans="1:3" x14ac:dyDescent="0.2">
      <c r="A352" s="2">
        <v>44705</v>
      </c>
      <c r="B352" s="1" t="s">
        <v>10</v>
      </c>
      <c r="C352" s="1">
        <v>181.28</v>
      </c>
    </row>
    <row r="353" spans="1:3" x14ac:dyDescent="0.2">
      <c r="A353" s="2">
        <v>44706</v>
      </c>
      <c r="B353" s="1" t="s">
        <v>10</v>
      </c>
      <c r="C353" s="1">
        <v>183.83</v>
      </c>
    </row>
    <row r="354" spans="1:3" x14ac:dyDescent="0.2">
      <c r="A354" s="2">
        <v>44707</v>
      </c>
      <c r="B354" s="1" t="s">
        <v>10</v>
      </c>
      <c r="C354" s="1">
        <v>191.63</v>
      </c>
    </row>
    <row r="355" spans="1:3" x14ac:dyDescent="0.2">
      <c r="A355" s="2">
        <v>44708</v>
      </c>
      <c r="B355" s="1" t="s">
        <v>10</v>
      </c>
      <c r="C355" s="1">
        <v>195.13</v>
      </c>
    </row>
    <row r="356" spans="1:3" x14ac:dyDescent="0.2">
      <c r="A356" s="2">
        <v>44712</v>
      </c>
      <c r="B356" s="1" t="s">
        <v>10</v>
      </c>
      <c r="C356" s="1">
        <v>193.64</v>
      </c>
    </row>
    <row r="357" spans="1:3" x14ac:dyDescent="0.2">
      <c r="A357" s="2">
        <v>44713</v>
      </c>
      <c r="B357" s="1" t="s">
        <v>10</v>
      </c>
      <c r="C357" s="1">
        <v>188.64</v>
      </c>
    </row>
    <row r="358" spans="1:3" x14ac:dyDescent="0.2">
      <c r="A358" s="2">
        <v>44714</v>
      </c>
      <c r="B358" s="1" t="s">
        <v>10</v>
      </c>
      <c r="C358" s="1">
        <v>198.86</v>
      </c>
    </row>
    <row r="359" spans="1:3" x14ac:dyDescent="0.2">
      <c r="A359" s="2">
        <v>44715</v>
      </c>
      <c r="B359" s="1" t="s">
        <v>10</v>
      </c>
      <c r="C359" s="1">
        <v>190.78</v>
      </c>
    </row>
    <row r="360" spans="1:3" x14ac:dyDescent="0.2">
      <c r="A360" s="2">
        <v>44718</v>
      </c>
      <c r="B360" s="1" t="s">
        <v>10</v>
      </c>
      <c r="C360" s="1">
        <v>194.25</v>
      </c>
    </row>
    <row r="361" spans="1:3" x14ac:dyDescent="0.2">
      <c r="A361" s="2">
        <v>44719</v>
      </c>
      <c r="B361" s="1" t="s">
        <v>10</v>
      </c>
      <c r="C361" s="1">
        <v>195.65</v>
      </c>
    </row>
    <row r="362" spans="1:3" x14ac:dyDescent="0.2">
      <c r="A362" s="2">
        <v>44720</v>
      </c>
      <c r="B362" s="1" t="s">
        <v>10</v>
      </c>
      <c r="C362" s="1">
        <v>196.64</v>
      </c>
    </row>
    <row r="363" spans="1:3" x14ac:dyDescent="0.2">
      <c r="A363" s="2">
        <v>44721</v>
      </c>
      <c r="B363" s="1" t="s">
        <v>10</v>
      </c>
      <c r="C363" s="1">
        <v>184</v>
      </c>
    </row>
    <row r="364" spans="1:3" x14ac:dyDescent="0.2">
      <c r="A364" s="2">
        <v>44722</v>
      </c>
      <c r="B364" s="1" t="s">
        <v>10</v>
      </c>
      <c r="C364" s="1">
        <v>175.57</v>
      </c>
    </row>
    <row r="365" spans="1:3" x14ac:dyDescent="0.2">
      <c r="A365" s="2">
        <v>44725</v>
      </c>
      <c r="B365" s="1" t="s">
        <v>10</v>
      </c>
      <c r="C365" s="1">
        <v>164.26</v>
      </c>
    </row>
    <row r="366" spans="1:3" x14ac:dyDescent="0.2">
      <c r="A366" s="2">
        <v>44726</v>
      </c>
      <c r="B366" s="1" t="s">
        <v>10</v>
      </c>
      <c r="C366" s="1">
        <v>163.72999999999999</v>
      </c>
    </row>
    <row r="367" spans="1:3" x14ac:dyDescent="0.2">
      <c r="A367" s="2">
        <v>44727</v>
      </c>
      <c r="B367" s="1" t="s">
        <v>10</v>
      </c>
      <c r="C367" s="1">
        <v>169.35</v>
      </c>
    </row>
    <row r="368" spans="1:3" x14ac:dyDescent="0.2">
      <c r="A368" s="2">
        <v>44728</v>
      </c>
      <c r="B368" s="1" t="s">
        <v>10</v>
      </c>
      <c r="C368" s="1">
        <v>160.87</v>
      </c>
    </row>
    <row r="369" spans="1:3" x14ac:dyDescent="0.2">
      <c r="A369" s="2">
        <v>44729</v>
      </c>
      <c r="B369" s="1" t="s">
        <v>10</v>
      </c>
      <c r="C369" s="1">
        <v>163.74</v>
      </c>
    </row>
    <row r="370" spans="1:3" x14ac:dyDescent="0.2">
      <c r="A370" s="2">
        <v>44733</v>
      </c>
      <c r="B370" s="1" t="s">
        <v>10</v>
      </c>
      <c r="C370" s="1">
        <v>157.05000000000001</v>
      </c>
    </row>
    <row r="371" spans="1:3" x14ac:dyDescent="0.2">
      <c r="A371" s="2">
        <v>44734</v>
      </c>
      <c r="B371" s="1" t="s">
        <v>10</v>
      </c>
      <c r="C371" s="1">
        <v>155.85</v>
      </c>
    </row>
    <row r="372" spans="1:3" x14ac:dyDescent="0.2">
      <c r="A372" s="2">
        <v>44735</v>
      </c>
      <c r="B372" s="1" t="s">
        <v>10</v>
      </c>
      <c r="C372" s="1">
        <v>158.75</v>
      </c>
    </row>
    <row r="373" spans="1:3" x14ac:dyDescent="0.2">
      <c r="A373" s="2">
        <v>44736</v>
      </c>
      <c r="B373" s="1" t="s">
        <v>10</v>
      </c>
      <c r="C373" s="1">
        <v>170.16</v>
      </c>
    </row>
    <row r="374" spans="1:3" x14ac:dyDescent="0.2">
      <c r="A374" s="2">
        <v>44739</v>
      </c>
      <c r="B374" s="1" t="s">
        <v>10</v>
      </c>
      <c r="C374" s="1">
        <v>169.49</v>
      </c>
    </row>
    <row r="375" spans="1:3" x14ac:dyDescent="0.2">
      <c r="A375" s="2">
        <v>44740</v>
      </c>
      <c r="B375" s="1" t="s">
        <v>10</v>
      </c>
      <c r="C375" s="1">
        <v>160.68</v>
      </c>
    </row>
    <row r="376" spans="1:3" x14ac:dyDescent="0.2">
      <c r="A376" s="2">
        <v>44741</v>
      </c>
      <c r="B376" s="1" t="s">
        <v>10</v>
      </c>
      <c r="C376" s="1">
        <v>163.94</v>
      </c>
    </row>
    <row r="377" spans="1:3" x14ac:dyDescent="0.2">
      <c r="A377" s="2">
        <v>44742</v>
      </c>
      <c r="B377" s="1" t="s">
        <v>10</v>
      </c>
      <c r="C377" s="1">
        <v>161.25</v>
      </c>
    </row>
    <row r="378" spans="1:3" x14ac:dyDescent="0.2">
      <c r="A378" s="2">
        <v>44743</v>
      </c>
      <c r="B378" s="1" t="s">
        <v>10</v>
      </c>
      <c r="C378" s="1">
        <v>160.03</v>
      </c>
    </row>
    <row r="379" spans="1:3" x14ac:dyDescent="0.2">
      <c r="A379" s="2">
        <v>44747</v>
      </c>
      <c r="B379" s="1" t="s">
        <v>10</v>
      </c>
      <c r="C379" s="1">
        <v>168.19</v>
      </c>
    </row>
    <row r="380" spans="1:3" x14ac:dyDescent="0.2">
      <c r="A380" s="2">
        <v>44748</v>
      </c>
      <c r="B380" s="1" t="s">
        <v>10</v>
      </c>
      <c r="C380" s="1">
        <v>169.77</v>
      </c>
    </row>
    <row r="381" spans="1:3" x14ac:dyDescent="0.2">
      <c r="A381" s="2">
        <v>44749</v>
      </c>
      <c r="B381" s="1" t="s">
        <v>10</v>
      </c>
      <c r="C381" s="1">
        <v>172.19</v>
      </c>
    </row>
    <row r="382" spans="1:3" x14ac:dyDescent="0.2">
      <c r="A382" s="2">
        <v>44750</v>
      </c>
      <c r="B382" s="1" t="s">
        <v>10</v>
      </c>
      <c r="C382" s="1">
        <v>170.88</v>
      </c>
    </row>
    <row r="383" spans="1:3" x14ac:dyDescent="0.2">
      <c r="A383" s="2">
        <v>44753</v>
      </c>
      <c r="B383" s="1" t="s">
        <v>10</v>
      </c>
      <c r="C383" s="1">
        <v>162.88</v>
      </c>
    </row>
    <row r="384" spans="1:3" x14ac:dyDescent="0.2">
      <c r="A384" s="2">
        <v>44754</v>
      </c>
      <c r="B384" s="1" t="s">
        <v>10</v>
      </c>
      <c r="C384" s="1">
        <v>163.27000000000001</v>
      </c>
    </row>
    <row r="385" spans="1:3" x14ac:dyDescent="0.2">
      <c r="A385" s="2">
        <v>44755</v>
      </c>
      <c r="B385" s="1" t="s">
        <v>10</v>
      </c>
      <c r="C385" s="1">
        <v>163.49</v>
      </c>
    </row>
    <row r="386" spans="1:3" x14ac:dyDescent="0.2">
      <c r="A386" s="2">
        <v>44756</v>
      </c>
      <c r="B386" s="1" t="s">
        <v>10</v>
      </c>
      <c r="C386" s="1">
        <v>158.05000000000001</v>
      </c>
    </row>
    <row r="387" spans="1:3" x14ac:dyDescent="0.2">
      <c r="A387" s="2">
        <v>44757</v>
      </c>
      <c r="B387" s="1" t="s">
        <v>10</v>
      </c>
      <c r="C387" s="1">
        <v>164.7</v>
      </c>
    </row>
    <row r="388" spans="1:3" x14ac:dyDescent="0.2">
      <c r="A388" s="2">
        <v>44760</v>
      </c>
      <c r="B388" s="1" t="s">
        <v>10</v>
      </c>
      <c r="C388" s="1">
        <v>167.23</v>
      </c>
    </row>
    <row r="389" spans="1:3" x14ac:dyDescent="0.2">
      <c r="A389" s="2">
        <v>44761</v>
      </c>
      <c r="B389" s="1" t="s">
        <v>10</v>
      </c>
      <c r="C389" s="1">
        <v>175.78</v>
      </c>
    </row>
    <row r="390" spans="1:3" x14ac:dyDescent="0.2">
      <c r="A390" s="2">
        <v>44762</v>
      </c>
      <c r="B390" s="1" t="s">
        <v>10</v>
      </c>
      <c r="C390" s="1">
        <v>183.09</v>
      </c>
    </row>
    <row r="391" spans="1:3" x14ac:dyDescent="0.2">
      <c r="A391" s="2">
        <v>44763</v>
      </c>
      <c r="B391" s="1" t="s">
        <v>10</v>
      </c>
      <c r="C391" s="1">
        <v>183.17</v>
      </c>
    </row>
    <row r="392" spans="1:3" x14ac:dyDescent="0.2">
      <c r="A392" s="2">
        <v>44764</v>
      </c>
      <c r="B392" s="1" t="s">
        <v>10</v>
      </c>
      <c r="C392" s="1">
        <v>169.27</v>
      </c>
    </row>
    <row r="393" spans="1:3" x14ac:dyDescent="0.2">
      <c r="A393" s="2">
        <v>44767</v>
      </c>
      <c r="B393" s="1" t="s">
        <v>10</v>
      </c>
      <c r="C393" s="1">
        <v>166.65</v>
      </c>
    </row>
    <row r="394" spans="1:3" x14ac:dyDescent="0.2">
      <c r="A394" s="2">
        <v>44768</v>
      </c>
      <c r="B394" s="1" t="s">
        <v>10</v>
      </c>
      <c r="C394" s="1">
        <v>159.15</v>
      </c>
    </row>
    <row r="395" spans="1:3" x14ac:dyDescent="0.2">
      <c r="A395" s="2">
        <v>44769</v>
      </c>
      <c r="B395" s="1" t="s">
        <v>10</v>
      </c>
      <c r="C395" s="1">
        <v>169.58</v>
      </c>
    </row>
    <row r="396" spans="1:3" x14ac:dyDescent="0.2">
      <c r="A396" s="2">
        <v>44770</v>
      </c>
      <c r="B396" s="1" t="s">
        <v>10</v>
      </c>
      <c r="C396" s="1">
        <v>160.72</v>
      </c>
    </row>
    <row r="397" spans="1:3" x14ac:dyDescent="0.2">
      <c r="A397" s="2">
        <v>44771</v>
      </c>
      <c r="B397" s="1" t="s">
        <v>10</v>
      </c>
      <c r="C397" s="1">
        <v>159.1</v>
      </c>
    </row>
    <row r="398" spans="1:3" x14ac:dyDescent="0.2">
      <c r="A398" s="2">
        <v>44774</v>
      </c>
      <c r="B398" s="1" t="s">
        <v>10</v>
      </c>
      <c r="C398" s="1">
        <v>159.93</v>
      </c>
    </row>
    <row r="399" spans="1:3" x14ac:dyDescent="0.2">
      <c r="A399" s="2">
        <v>44775</v>
      </c>
      <c r="B399" s="1" t="s">
        <v>10</v>
      </c>
      <c r="C399" s="1">
        <v>160.19</v>
      </c>
    </row>
    <row r="400" spans="1:3" x14ac:dyDescent="0.2">
      <c r="A400" s="2">
        <v>44776</v>
      </c>
      <c r="B400" s="1" t="s">
        <v>10</v>
      </c>
      <c r="C400" s="1">
        <v>168.8</v>
      </c>
    </row>
    <row r="401" spans="1:3" x14ac:dyDescent="0.2">
      <c r="A401" s="2">
        <v>44777</v>
      </c>
      <c r="B401" s="1" t="s">
        <v>10</v>
      </c>
      <c r="C401" s="1">
        <v>170.57</v>
      </c>
    </row>
    <row r="402" spans="1:3" x14ac:dyDescent="0.2">
      <c r="A402" s="2">
        <v>44778</v>
      </c>
      <c r="B402" s="1" t="s">
        <v>10</v>
      </c>
      <c r="C402" s="1">
        <v>167.11</v>
      </c>
    </row>
    <row r="403" spans="1:3" x14ac:dyDescent="0.2">
      <c r="A403" s="2">
        <v>44781</v>
      </c>
      <c r="B403" s="1" t="s">
        <v>10</v>
      </c>
      <c r="C403" s="1">
        <v>170.25</v>
      </c>
    </row>
    <row r="404" spans="1:3" x14ac:dyDescent="0.2">
      <c r="A404" s="2">
        <v>44782</v>
      </c>
      <c r="B404" s="1" t="s">
        <v>10</v>
      </c>
      <c r="C404" s="1">
        <v>168.53</v>
      </c>
    </row>
    <row r="405" spans="1:3" x14ac:dyDescent="0.2">
      <c r="A405" s="2">
        <v>44783</v>
      </c>
      <c r="B405" s="1" t="s">
        <v>10</v>
      </c>
      <c r="C405" s="1">
        <v>178.34</v>
      </c>
    </row>
    <row r="406" spans="1:3" x14ac:dyDescent="0.2">
      <c r="A406" s="2">
        <v>44784</v>
      </c>
      <c r="B406" s="1" t="s">
        <v>10</v>
      </c>
      <c r="C406" s="1">
        <v>177.49</v>
      </c>
    </row>
    <row r="407" spans="1:3" x14ac:dyDescent="0.2">
      <c r="A407" s="2">
        <v>44785</v>
      </c>
      <c r="B407" s="1" t="s">
        <v>10</v>
      </c>
      <c r="C407" s="1">
        <v>180.5</v>
      </c>
    </row>
    <row r="408" spans="1:3" x14ac:dyDescent="0.2">
      <c r="A408" s="2">
        <v>44788</v>
      </c>
      <c r="B408" s="1" t="s">
        <v>10</v>
      </c>
      <c r="C408" s="1">
        <v>180.89</v>
      </c>
    </row>
    <row r="409" spans="1:3" x14ac:dyDescent="0.2">
      <c r="A409" s="2">
        <v>44789</v>
      </c>
      <c r="B409" s="1" t="s">
        <v>10</v>
      </c>
      <c r="C409" s="1">
        <v>179.47</v>
      </c>
    </row>
    <row r="410" spans="1:3" x14ac:dyDescent="0.2">
      <c r="A410" s="2">
        <v>44790</v>
      </c>
      <c r="B410" s="1" t="s">
        <v>10</v>
      </c>
      <c r="C410" s="1">
        <v>174.85</v>
      </c>
    </row>
    <row r="411" spans="1:3" x14ac:dyDescent="0.2">
      <c r="A411" s="2">
        <v>44791</v>
      </c>
      <c r="B411" s="1" t="s">
        <v>10</v>
      </c>
      <c r="C411" s="1">
        <v>174.66</v>
      </c>
    </row>
    <row r="412" spans="1:3" x14ac:dyDescent="0.2">
      <c r="A412" s="2">
        <v>44792</v>
      </c>
      <c r="B412" s="1" t="s">
        <v>10</v>
      </c>
      <c r="C412" s="1">
        <v>167.96</v>
      </c>
    </row>
    <row r="413" spans="1:3" x14ac:dyDescent="0.2">
      <c r="A413" s="2">
        <v>44795</v>
      </c>
      <c r="B413" s="1" t="s">
        <v>10</v>
      </c>
      <c r="C413" s="1">
        <v>163.05000000000001</v>
      </c>
    </row>
    <row r="414" spans="1:3" x14ac:dyDescent="0.2">
      <c r="A414" s="2">
        <v>44796</v>
      </c>
      <c r="B414" s="1" t="s">
        <v>10</v>
      </c>
      <c r="C414" s="1">
        <v>161.11000000000001</v>
      </c>
    </row>
    <row r="415" spans="1:3" x14ac:dyDescent="0.2">
      <c r="A415" s="2">
        <v>44797</v>
      </c>
      <c r="B415" s="1" t="s">
        <v>10</v>
      </c>
      <c r="C415" s="1">
        <v>163.26</v>
      </c>
    </row>
    <row r="416" spans="1:3" x14ac:dyDescent="0.2">
      <c r="A416" s="2">
        <v>44798</v>
      </c>
      <c r="B416" s="1" t="s">
        <v>10</v>
      </c>
      <c r="C416" s="1">
        <v>168.78</v>
      </c>
    </row>
    <row r="417" spans="1:3" x14ac:dyDescent="0.2">
      <c r="A417" s="2">
        <v>44799</v>
      </c>
      <c r="B417" s="1" t="s">
        <v>10</v>
      </c>
      <c r="C417" s="1">
        <v>161.78</v>
      </c>
    </row>
    <row r="418" spans="1:3" x14ac:dyDescent="0.2">
      <c r="A418" s="2">
        <v>44802</v>
      </c>
      <c r="B418" s="1" t="s">
        <v>10</v>
      </c>
      <c r="C418" s="1">
        <v>159.16999999999999</v>
      </c>
    </row>
    <row r="419" spans="1:3" x14ac:dyDescent="0.2">
      <c r="A419" s="2">
        <v>44803</v>
      </c>
      <c r="B419" s="1" t="s">
        <v>10</v>
      </c>
      <c r="C419" s="1">
        <v>157.16</v>
      </c>
    </row>
    <row r="420" spans="1:3" x14ac:dyDescent="0.2">
      <c r="A420" s="2">
        <v>44804</v>
      </c>
      <c r="B420" s="1" t="s">
        <v>10</v>
      </c>
      <c r="C420" s="1">
        <v>162.93</v>
      </c>
    </row>
    <row r="421" spans="1:3" x14ac:dyDescent="0.2">
      <c r="A421" s="2">
        <v>44805</v>
      </c>
      <c r="B421" s="1" t="s">
        <v>10</v>
      </c>
      <c r="C421" s="1">
        <v>165.36</v>
      </c>
    </row>
    <row r="422" spans="1:3" x14ac:dyDescent="0.2">
      <c r="A422" s="2">
        <v>44806</v>
      </c>
      <c r="B422" s="1" t="s">
        <v>10</v>
      </c>
      <c r="C422" s="1">
        <v>160.32</v>
      </c>
    </row>
    <row r="423" spans="1:3" x14ac:dyDescent="0.2">
      <c r="A423" s="2">
        <v>44810</v>
      </c>
      <c r="B423" s="1" t="s">
        <v>10</v>
      </c>
      <c r="C423" s="1">
        <v>158.54</v>
      </c>
    </row>
    <row r="424" spans="1:3" x14ac:dyDescent="0.2">
      <c r="A424" s="2">
        <v>44811</v>
      </c>
      <c r="B424" s="1" t="s">
        <v>10</v>
      </c>
      <c r="C424" s="1">
        <v>160.38999999999999</v>
      </c>
    </row>
    <row r="425" spans="1:3" x14ac:dyDescent="0.2">
      <c r="A425" s="2">
        <v>44812</v>
      </c>
      <c r="B425" s="1" t="s">
        <v>10</v>
      </c>
      <c r="C425" s="1">
        <v>162.06</v>
      </c>
    </row>
    <row r="426" spans="1:3" x14ac:dyDescent="0.2">
      <c r="A426" s="2">
        <v>44813</v>
      </c>
      <c r="B426" s="1" t="s">
        <v>10</v>
      </c>
      <c r="C426" s="1">
        <v>169.15</v>
      </c>
    </row>
    <row r="427" spans="1:3" x14ac:dyDescent="0.2">
      <c r="A427" s="2">
        <v>44816</v>
      </c>
      <c r="B427" s="1" t="s">
        <v>10</v>
      </c>
      <c r="C427" s="1">
        <v>168.96</v>
      </c>
    </row>
    <row r="428" spans="1:3" x14ac:dyDescent="0.2">
      <c r="A428" s="2">
        <v>44817</v>
      </c>
      <c r="B428" s="1" t="s">
        <v>10</v>
      </c>
      <c r="C428" s="1">
        <v>153.13</v>
      </c>
    </row>
    <row r="429" spans="1:3" x14ac:dyDescent="0.2">
      <c r="A429" s="2">
        <v>44818</v>
      </c>
      <c r="B429" s="1" t="s">
        <v>10</v>
      </c>
      <c r="C429" s="1">
        <v>151.47</v>
      </c>
    </row>
    <row r="430" spans="1:3" x14ac:dyDescent="0.2">
      <c r="A430" s="2">
        <v>44819</v>
      </c>
      <c r="B430" s="1" t="s">
        <v>10</v>
      </c>
      <c r="C430" s="1">
        <v>149.55000000000001</v>
      </c>
    </row>
    <row r="431" spans="1:3" x14ac:dyDescent="0.2">
      <c r="A431" s="2">
        <v>44820</v>
      </c>
      <c r="B431" s="1" t="s">
        <v>10</v>
      </c>
      <c r="C431" s="1">
        <v>146.29</v>
      </c>
    </row>
    <row r="432" spans="1:3" x14ac:dyDescent="0.2">
      <c r="A432" s="2">
        <v>44823</v>
      </c>
      <c r="B432" s="1" t="s">
        <v>10</v>
      </c>
      <c r="C432" s="1">
        <v>148.02000000000001</v>
      </c>
    </row>
    <row r="433" spans="1:3" x14ac:dyDescent="0.2">
      <c r="A433" s="2">
        <v>44824</v>
      </c>
      <c r="B433" s="1" t="s">
        <v>10</v>
      </c>
      <c r="C433" s="1">
        <v>146.09</v>
      </c>
    </row>
    <row r="434" spans="1:3" x14ac:dyDescent="0.2">
      <c r="A434" s="2">
        <v>44825</v>
      </c>
      <c r="B434" s="1" t="s">
        <v>10</v>
      </c>
      <c r="C434" s="1">
        <v>142.12</v>
      </c>
    </row>
    <row r="435" spans="1:3" x14ac:dyDescent="0.2">
      <c r="A435" s="2">
        <v>44826</v>
      </c>
      <c r="B435" s="1" t="s">
        <v>10</v>
      </c>
      <c r="C435" s="1">
        <v>142.82</v>
      </c>
    </row>
    <row r="436" spans="1:3" x14ac:dyDescent="0.2">
      <c r="A436" s="2">
        <v>44827</v>
      </c>
      <c r="B436" s="1" t="s">
        <v>10</v>
      </c>
      <c r="C436" s="1">
        <v>140.41</v>
      </c>
    </row>
    <row r="437" spans="1:3" x14ac:dyDescent="0.2">
      <c r="A437" s="2">
        <v>44830</v>
      </c>
      <c r="B437" s="1" t="s">
        <v>10</v>
      </c>
      <c r="C437" s="1">
        <v>136.37</v>
      </c>
    </row>
    <row r="438" spans="1:3" x14ac:dyDescent="0.2">
      <c r="A438" s="2">
        <v>44831</v>
      </c>
      <c r="B438" s="1" t="s">
        <v>10</v>
      </c>
      <c r="C438" s="1">
        <v>134.4</v>
      </c>
    </row>
    <row r="439" spans="1:3" x14ac:dyDescent="0.2">
      <c r="A439" s="2">
        <v>44832</v>
      </c>
      <c r="B439" s="1" t="s">
        <v>10</v>
      </c>
      <c r="C439" s="1">
        <v>141.61000000000001</v>
      </c>
    </row>
    <row r="440" spans="1:3" x14ac:dyDescent="0.2">
      <c r="A440" s="2">
        <v>44833</v>
      </c>
      <c r="B440" s="1" t="s">
        <v>10</v>
      </c>
      <c r="C440" s="1">
        <v>136.41</v>
      </c>
    </row>
    <row r="441" spans="1:3" x14ac:dyDescent="0.2">
      <c r="A441" s="2">
        <v>44834</v>
      </c>
      <c r="B441" s="1" t="s">
        <v>10</v>
      </c>
      <c r="C441" s="1">
        <v>135.68</v>
      </c>
    </row>
    <row r="442" spans="1:3" x14ac:dyDescent="0.2">
      <c r="A442" s="2">
        <v>44837</v>
      </c>
      <c r="B442" s="1" t="s">
        <v>10</v>
      </c>
      <c r="C442" s="1">
        <v>138.61000000000001</v>
      </c>
    </row>
    <row r="443" spans="1:3" x14ac:dyDescent="0.2">
      <c r="A443" s="2">
        <v>44838</v>
      </c>
      <c r="B443" s="1" t="s">
        <v>10</v>
      </c>
      <c r="C443" s="1">
        <v>140.28</v>
      </c>
    </row>
    <row r="444" spans="1:3" x14ac:dyDescent="0.2">
      <c r="A444" s="2">
        <v>44839</v>
      </c>
      <c r="B444" s="1" t="s">
        <v>10</v>
      </c>
      <c r="C444" s="1">
        <v>138.97999999999999</v>
      </c>
    </row>
    <row r="445" spans="1:3" x14ac:dyDescent="0.2">
      <c r="A445" s="2">
        <v>44840</v>
      </c>
      <c r="B445" s="1" t="s">
        <v>10</v>
      </c>
      <c r="C445" s="1">
        <v>139.07</v>
      </c>
    </row>
    <row r="446" spans="1:3" x14ac:dyDescent="0.2">
      <c r="A446" s="2">
        <v>44841</v>
      </c>
      <c r="B446" s="1" t="s">
        <v>10</v>
      </c>
      <c r="C446" s="1">
        <v>133.44999999999999</v>
      </c>
    </row>
    <row r="447" spans="1:3" x14ac:dyDescent="0.2">
      <c r="A447" s="2">
        <v>44844</v>
      </c>
      <c r="B447" s="1" t="s">
        <v>10</v>
      </c>
      <c r="C447" s="1">
        <v>133.79</v>
      </c>
    </row>
    <row r="448" spans="1:3" x14ac:dyDescent="0.2">
      <c r="A448" s="2">
        <v>44845</v>
      </c>
      <c r="B448" s="1" t="s">
        <v>10</v>
      </c>
      <c r="C448" s="1">
        <v>128.54</v>
      </c>
    </row>
    <row r="449" spans="1:3" x14ac:dyDescent="0.2">
      <c r="A449" s="2">
        <v>44846</v>
      </c>
      <c r="B449" s="1" t="s">
        <v>10</v>
      </c>
      <c r="C449" s="1">
        <v>127.5</v>
      </c>
    </row>
    <row r="450" spans="1:3" x14ac:dyDescent="0.2">
      <c r="A450" s="2">
        <v>44847</v>
      </c>
      <c r="B450" s="1" t="s">
        <v>10</v>
      </c>
      <c r="C450" s="1">
        <v>130.29</v>
      </c>
    </row>
    <row r="451" spans="1:3" x14ac:dyDescent="0.2">
      <c r="A451" s="2">
        <v>44848</v>
      </c>
      <c r="B451" s="1" t="s">
        <v>10</v>
      </c>
      <c r="C451" s="1">
        <v>126.76</v>
      </c>
    </row>
    <row r="452" spans="1:3" x14ac:dyDescent="0.2">
      <c r="A452" s="2">
        <v>44851</v>
      </c>
      <c r="B452" s="1" t="s">
        <v>10</v>
      </c>
      <c r="C452" s="1">
        <v>134.04</v>
      </c>
    </row>
    <row r="453" spans="1:3" x14ac:dyDescent="0.2">
      <c r="A453" s="2">
        <v>44852</v>
      </c>
      <c r="B453" s="1" t="s">
        <v>10</v>
      </c>
      <c r="C453" s="1">
        <v>132.80000000000001</v>
      </c>
    </row>
    <row r="454" spans="1:3" x14ac:dyDescent="0.2">
      <c r="A454" s="2">
        <v>44853</v>
      </c>
      <c r="B454" s="1" t="s">
        <v>10</v>
      </c>
      <c r="C454" s="1">
        <v>133.22999999999999</v>
      </c>
    </row>
    <row r="455" spans="1:3" x14ac:dyDescent="0.2">
      <c r="A455" s="2">
        <v>44854</v>
      </c>
      <c r="B455" s="1" t="s">
        <v>10</v>
      </c>
      <c r="C455" s="1">
        <v>131.53</v>
      </c>
    </row>
    <row r="456" spans="1:3" x14ac:dyDescent="0.2">
      <c r="A456" s="2">
        <v>44855</v>
      </c>
      <c r="B456" s="1" t="s">
        <v>10</v>
      </c>
      <c r="C456" s="1">
        <v>130.01</v>
      </c>
    </row>
    <row r="457" spans="1:3" x14ac:dyDescent="0.2">
      <c r="A457" s="2">
        <v>44858</v>
      </c>
      <c r="B457" s="1" t="s">
        <v>10</v>
      </c>
      <c r="C457" s="1">
        <v>129.72</v>
      </c>
    </row>
    <row r="458" spans="1:3" x14ac:dyDescent="0.2">
      <c r="A458" s="2">
        <v>44859</v>
      </c>
      <c r="B458" s="1" t="s">
        <v>10</v>
      </c>
      <c r="C458" s="1">
        <v>137.51</v>
      </c>
    </row>
    <row r="459" spans="1:3" x14ac:dyDescent="0.2">
      <c r="A459" s="2">
        <v>44860</v>
      </c>
      <c r="B459" s="1" t="s">
        <v>10</v>
      </c>
      <c r="C459" s="1">
        <v>129.82</v>
      </c>
    </row>
    <row r="460" spans="1:3" x14ac:dyDescent="0.2">
      <c r="A460" s="2">
        <v>44861</v>
      </c>
      <c r="B460" s="1" t="s">
        <v>10</v>
      </c>
      <c r="C460" s="1">
        <v>97.94</v>
      </c>
    </row>
    <row r="461" spans="1:3" x14ac:dyDescent="0.2">
      <c r="A461" s="2">
        <v>44862</v>
      </c>
      <c r="B461" s="1" t="s">
        <v>10</v>
      </c>
      <c r="C461" s="1">
        <v>99.2</v>
      </c>
    </row>
    <row r="462" spans="1:3" x14ac:dyDescent="0.2">
      <c r="A462" s="2">
        <v>44865</v>
      </c>
      <c r="B462" s="1" t="s">
        <v>10</v>
      </c>
      <c r="C462" s="1">
        <v>93.16</v>
      </c>
    </row>
    <row r="463" spans="1:3" x14ac:dyDescent="0.2">
      <c r="A463" s="2">
        <v>44866</v>
      </c>
      <c r="B463" s="1" t="s">
        <v>10</v>
      </c>
      <c r="C463" s="1">
        <v>95.2</v>
      </c>
    </row>
    <row r="464" spans="1:3" x14ac:dyDescent="0.2">
      <c r="A464" s="2">
        <v>44867</v>
      </c>
      <c r="B464" s="1" t="s">
        <v>10</v>
      </c>
      <c r="C464" s="1">
        <v>90.54</v>
      </c>
    </row>
    <row r="465" spans="1:3" x14ac:dyDescent="0.2">
      <c r="A465" s="2">
        <v>44868</v>
      </c>
      <c r="B465" s="1" t="s">
        <v>10</v>
      </c>
      <c r="C465" s="1">
        <v>88.91</v>
      </c>
    </row>
    <row r="466" spans="1:3" x14ac:dyDescent="0.2">
      <c r="A466" s="2">
        <v>44869</v>
      </c>
      <c r="B466" s="1" t="s">
        <v>10</v>
      </c>
      <c r="C466" s="1">
        <v>90.79</v>
      </c>
    </row>
    <row r="467" spans="1:3" x14ac:dyDescent="0.2">
      <c r="A467" s="2">
        <v>44872</v>
      </c>
      <c r="B467" s="1" t="s">
        <v>10</v>
      </c>
      <c r="C467" s="1">
        <v>96.72</v>
      </c>
    </row>
    <row r="468" spans="1:3" x14ac:dyDescent="0.2">
      <c r="A468" s="2">
        <v>44873</v>
      </c>
      <c r="B468" s="1" t="s">
        <v>10</v>
      </c>
      <c r="C468" s="1">
        <v>96.47</v>
      </c>
    </row>
    <row r="469" spans="1:3" x14ac:dyDescent="0.2">
      <c r="A469" s="2">
        <v>44874</v>
      </c>
      <c r="B469" s="1" t="s">
        <v>10</v>
      </c>
      <c r="C469" s="1">
        <v>101.47</v>
      </c>
    </row>
    <row r="470" spans="1:3" x14ac:dyDescent="0.2">
      <c r="A470" s="2">
        <v>44875</v>
      </c>
      <c r="B470" s="1" t="s">
        <v>10</v>
      </c>
      <c r="C470" s="1">
        <v>111.87</v>
      </c>
    </row>
    <row r="471" spans="1:3" x14ac:dyDescent="0.2">
      <c r="A471" s="2">
        <v>44876</v>
      </c>
      <c r="B471" s="1" t="s">
        <v>10</v>
      </c>
      <c r="C471" s="1">
        <v>113.02</v>
      </c>
    </row>
    <row r="472" spans="1:3" x14ac:dyDescent="0.2">
      <c r="A472" s="2">
        <v>44879</v>
      </c>
      <c r="B472" s="1" t="s">
        <v>10</v>
      </c>
      <c r="C472" s="1">
        <v>114.22</v>
      </c>
    </row>
    <row r="473" spans="1:3" x14ac:dyDescent="0.2">
      <c r="A473" s="2">
        <v>44880</v>
      </c>
      <c r="B473" s="1" t="s">
        <v>10</v>
      </c>
      <c r="C473" s="1">
        <v>117.08</v>
      </c>
    </row>
    <row r="474" spans="1:3" x14ac:dyDescent="0.2">
      <c r="A474" s="2">
        <v>44881</v>
      </c>
      <c r="B474" s="1" t="s">
        <v>10</v>
      </c>
      <c r="C474" s="1">
        <v>113.23</v>
      </c>
    </row>
    <row r="475" spans="1:3" x14ac:dyDescent="0.2">
      <c r="A475" s="2">
        <v>44882</v>
      </c>
      <c r="B475" s="1" t="s">
        <v>10</v>
      </c>
      <c r="C475" s="1">
        <v>111.45</v>
      </c>
    </row>
    <row r="476" spans="1:3" x14ac:dyDescent="0.2">
      <c r="A476" s="2">
        <v>44883</v>
      </c>
      <c r="B476" s="1" t="s">
        <v>10</v>
      </c>
      <c r="C476" s="1">
        <v>112.05</v>
      </c>
    </row>
    <row r="477" spans="1:3" x14ac:dyDescent="0.2">
      <c r="A477" s="2">
        <v>44886</v>
      </c>
      <c r="B477" s="1" t="s">
        <v>10</v>
      </c>
      <c r="C477" s="1">
        <v>109.86</v>
      </c>
    </row>
    <row r="478" spans="1:3" x14ac:dyDescent="0.2">
      <c r="A478" s="2">
        <v>44887</v>
      </c>
      <c r="B478" s="1" t="s">
        <v>10</v>
      </c>
      <c r="C478" s="1">
        <v>111.44</v>
      </c>
    </row>
    <row r="479" spans="1:3" x14ac:dyDescent="0.2">
      <c r="A479" s="2">
        <v>44888</v>
      </c>
      <c r="B479" s="1" t="s">
        <v>10</v>
      </c>
      <c r="C479" s="1">
        <v>112.24</v>
      </c>
    </row>
    <row r="480" spans="1:3" x14ac:dyDescent="0.2">
      <c r="A480" s="2">
        <v>44890</v>
      </c>
      <c r="B480" s="1" t="s">
        <v>10</v>
      </c>
      <c r="C480" s="1">
        <v>111.41</v>
      </c>
    </row>
    <row r="481" spans="1:3" x14ac:dyDescent="0.2">
      <c r="A481" s="2">
        <v>44893</v>
      </c>
      <c r="B481" s="1" t="s">
        <v>10</v>
      </c>
      <c r="C481" s="1">
        <v>108.78</v>
      </c>
    </row>
    <row r="482" spans="1:3" x14ac:dyDescent="0.2">
      <c r="A482" s="2">
        <v>44894</v>
      </c>
      <c r="B482" s="1" t="s">
        <v>10</v>
      </c>
      <c r="C482" s="1">
        <v>109.46</v>
      </c>
    </row>
    <row r="483" spans="1:3" x14ac:dyDescent="0.2">
      <c r="A483" s="2">
        <v>44895</v>
      </c>
      <c r="B483" s="1" t="s">
        <v>10</v>
      </c>
      <c r="C483" s="1">
        <v>118.1</v>
      </c>
    </row>
    <row r="484" spans="1:3" x14ac:dyDescent="0.2">
      <c r="A484" s="2">
        <v>44896</v>
      </c>
      <c r="B484" s="1" t="s">
        <v>10</v>
      </c>
      <c r="C484" s="1">
        <v>120.44</v>
      </c>
    </row>
    <row r="485" spans="1:3" x14ac:dyDescent="0.2">
      <c r="A485" s="2">
        <v>44897</v>
      </c>
      <c r="B485" s="1" t="s">
        <v>10</v>
      </c>
      <c r="C485" s="1">
        <v>123.49</v>
      </c>
    </row>
    <row r="486" spans="1:3" x14ac:dyDescent="0.2">
      <c r="A486" s="2">
        <v>44900</v>
      </c>
      <c r="B486" s="1" t="s">
        <v>10</v>
      </c>
      <c r="C486" s="1">
        <v>122.43</v>
      </c>
    </row>
    <row r="487" spans="1:3" x14ac:dyDescent="0.2">
      <c r="A487" s="2">
        <v>44901</v>
      </c>
      <c r="B487" s="1" t="s">
        <v>10</v>
      </c>
      <c r="C487" s="1">
        <v>114.12</v>
      </c>
    </row>
    <row r="488" spans="1:3" x14ac:dyDescent="0.2">
      <c r="A488" s="2">
        <v>44902</v>
      </c>
      <c r="B488" s="1" t="s">
        <v>10</v>
      </c>
      <c r="C488" s="1">
        <v>113.93</v>
      </c>
    </row>
    <row r="489" spans="1:3" x14ac:dyDescent="0.2">
      <c r="A489" s="2">
        <v>44903</v>
      </c>
      <c r="B489" s="1" t="s">
        <v>10</v>
      </c>
      <c r="C489" s="1">
        <v>115.33</v>
      </c>
    </row>
    <row r="490" spans="1:3" x14ac:dyDescent="0.2">
      <c r="A490" s="2">
        <v>44904</v>
      </c>
      <c r="B490" s="1" t="s">
        <v>10</v>
      </c>
      <c r="C490" s="1">
        <v>115.9</v>
      </c>
    </row>
    <row r="491" spans="1:3" x14ac:dyDescent="0.2">
      <c r="A491" s="2">
        <v>44907</v>
      </c>
      <c r="B491" s="1" t="s">
        <v>10</v>
      </c>
      <c r="C491" s="1">
        <v>114.71</v>
      </c>
    </row>
    <row r="492" spans="1:3" x14ac:dyDescent="0.2">
      <c r="A492" s="2">
        <v>44908</v>
      </c>
      <c r="B492" s="1" t="s">
        <v>10</v>
      </c>
      <c r="C492" s="1">
        <v>120.15</v>
      </c>
    </row>
    <row r="493" spans="1:3" x14ac:dyDescent="0.2">
      <c r="A493" s="2">
        <v>44909</v>
      </c>
      <c r="B493" s="1" t="s">
        <v>10</v>
      </c>
      <c r="C493" s="1">
        <v>121.59</v>
      </c>
    </row>
    <row r="494" spans="1:3" x14ac:dyDescent="0.2">
      <c r="A494" s="2">
        <v>44910</v>
      </c>
      <c r="B494" s="1" t="s">
        <v>10</v>
      </c>
      <c r="C494" s="1">
        <v>116.15</v>
      </c>
    </row>
    <row r="495" spans="1:3" x14ac:dyDescent="0.2">
      <c r="A495" s="2">
        <v>44911</v>
      </c>
      <c r="B495" s="1" t="s">
        <v>10</v>
      </c>
      <c r="C495" s="1">
        <v>119.43</v>
      </c>
    </row>
    <row r="496" spans="1:3" x14ac:dyDescent="0.2">
      <c r="A496" s="2">
        <v>44914</v>
      </c>
      <c r="B496" s="1" t="s">
        <v>10</v>
      </c>
      <c r="C496" s="1">
        <v>114.48</v>
      </c>
    </row>
    <row r="497" spans="1:3" x14ac:dyDescent="0.2">
      <c r="A497" s="2">
        <v>44915</v>
      </c>
      <c r="B497" s="1" t="s">
        <v>10</v>
      </c>
      <c r="C497" s="1">
        <v>117.09</v>
      </c>
    </row>
    <row r="498" spans="1:3" x14ac:dyDescent="0.2">
      <c r="A498" s="2">
        <v>44916</v>
      </c>
      <c r="B498" s="1" t="s">
        <v>10</v>
      </c>
      <c r="C498" s="1">
        <v>119.76</v>
      </c>
    </row>
    <row r="499" spans="1:3" x14ac:dyDescent="0.2">
      <c r="A499" s="2">
        <v>44917</v>
      </c>
      <c r="B499" s="1" t="s">
        <v>10</v>
      </c>
      <c r="C499" s="1">
        <v>117.12</v>
      </c>
    </row>
    <row r="500" spans="1:3" x14ac:dyDescent="0.2">
      <c r="A500" s="2">
        <v>44918</v>
      </c>
      <c r="B500" s="1" t="s">
        <v>10</v>
      </c>
      <c r="C500" s="1">
        <v>118.04</v>
      </c>
    </row>
    <row r="501" spans="1:3" x14ac:dyDescent="0.2">
      <c r="A501" s="2">
        <v>44922</v>
      </c>
      <c r="B501" s="1" t="s">
        <v>10</v>
      </c>
      <c r="C501" s="1">
        <v>116.88</v>
      </c>
    </row>
    <row r="502" spans="1:3" x14ac:dyDescent="0.2">
      <c r="A502" s="2">
        <v>44923</v>
      </c>
      <c r="B502" s="1" t="s">
        <v>10</v>
      </c>
      <c r="C502" s="1">
        <v>115.62</v>
      </c>
    </row>
    <row r="503" spans="1:3" x14ac:dyDescent="0.2">
      <c r="A503" s="2">
        <v>44924</v>
      </c>
      <c r="B503" s="1" t="s">
        <v>10</v>
      </c>
      <c r="C503" s="1">
        <v>120.26</v>
      </c>
    </row>
    <row r="504" spans="1:3" x14ac:dyDescent="0.2">
      <c r="A504" s="2">
        <v>44925</v>
      </c>
      <c r="B504" s="1" t="s">
        <v>10</v>
      </c>
      <c r="C504" s="1">
        <v>120.34</v>
      </c>
    </row>
    <row r="505" spans="1:3" x14ac:dyDescent="0.2">
      <c r="A505" s="2">
        <v>44929</v>
      </c>
      <c r="B505" s="1" t="s">
        <v>10</v>
      </c>
      <c r="C505" s="1">
        <v>124.74</v>
      </c>
    </row>
    <row r="506" spans="1:3" x14ac:dyDescent="0.2">
      <c r="A506" s="2">
        <v>44930</v>
      </c>
      <c r="B506" s="1" t="s">
        <v>10</v>
      </c>
      <c r="C506" s="1">
        <v>127.37</v>
      </c>
    </row>
    <row r="507" spans="1:3" x14ac:dyDescent="0.2">
      <c r="A507" s="2">
        <v>44931</v>
      </c>
      <c r="B507" s="1" t="s">
        <v>10</v>
      </c>
      <c r="C507" s="1">
        <v>126.94</v>
      </c>
    </row>
    <row r="508" spans="1:3" x14ac:dyDescent="0.2">
      <c r="A508" s="2">
        <v>44932</v>
      </c>
      <c r="B508" s="1" t="s">
        <v>10</v>
      </c>
      <c r="C508" s="1">
        <v>130.02000000000001</v>
      </c>
    </row>
    <row r="509" spans="1:3" x14ac:dyDescent="0.2">
      <c r="A509" s="2">
        <v>44935</v>
      </c>
      <c r="B509" s="1" t="s">
        <v>10</v>
      </c>
      <c r="C509" s="1">
        <v>129.47</v>
      </c>
    </row>
    <row r="510" spans="1:3" x14ac:dyDescent="0.2">
      <c r="A510" s="2">
        <v>44936</v>
      </c>
      <c r="B510" s="1" t="s">
        <v>10</v>
      </c>
      <c r="C510" s="1">
        <v>132.99</v>
      </c>
    </row>
    <row r="511" spans="1:3" x14ac:dyDescent="0.2">
      <c r="A511" s="2">
        <v>44937</v>
      </c>
      <c r="B511" s="1" t="s">
        <v>10</v>
      </c>
      <c r="C511" s="1">
        <v>132.88999999999999</v>
      </c>
    </row>
    <row r="512" spans="1:3" x14ac:dyDescent="0.2">
      <c r="A512" s="2">
        <v>44938</v>
      </c>
      <c r="B512" s="1" t="s">
        <v>10</v>
      </c>
      <c r="C512" s="1">
        <v>136.71</v>
      </c>
    </row>
    <row r="513" spans="1:3" x14ac:dyDescent="0.2">
      <c r="A513" s="2">
        <v>44939</v>
      </c>
      <c r="B513" s="1" t="s">
        <v>10</v>
      </c>
      <c r="C513" s="1">
        <v>136.97999999999999</v>
      </c>
    </row>
    <row r="514" spans="1:3" x14ac:dyDescent="0.2">
      <c r="A514" s="2">
        <v>44943</v>
      </c>
      <c r="B514" s="1" t="s">
        <v>10</v>
      </c>
      <c r="C514" s="1">
        <v>135.36000000000001</v>
      </c>
    </row>
    <row r="515" spans="1:3" x14ac:dyDescent="0.2">
      <c r="A515" s="2">
        <v>44944</v>
      </c>
      <c r="B515" s="1" t="s">
        <v>10</v>
      </c>
      <c r="C515" s="1">
        <v>133.02000000000001</v>
      </c>
    </row>
    <row r="516" spans="1:3" x14ac:dyDescent="0.2">
      <c r="A516" s="2">
        <v>44945</v>
      </c>
      <c r="B516" s="1" t="s">
        <v>10</v>
      </c>
      <c r="C516" s="1">
        <v>136.15</v>
      </c>
    </row>
    <row r="517" spans="1:3" x14ac:dyDescent="0.2">
      <c r="A517" s="2">
        <v>44946</v>
      </c>
      <c r="B517" s="1" t="s">
        <v>10</v>
      </c>
      <c r="C517" s="1">
        <v>139.37</v>
      </c>
    </row>
    <row r="518" spans="1:3" x14ac:dyDescent="0.2">
      <c r="A518" s="2">
        <v>44949</v>
      </c>
      <c r="B518" s="1" t="s">
        <v>10</v>
      </c>
      <c r="C518" s="1">
        <v>143.27000000000001</v>
      </c>
    </row>
    <row r="519" spans="1:3" x14ac:dyDescent="0.2">
      <c r="A519" s="2">
        <v>44950</v>
      </c>
      <c r="B519" s="1" t="s">
        <v>10</v>
      </c>
      <c r="C519" s="1">
        <v>143.13999999999999</v>
      </c>
    </row>
    <row r="520" spans="1:3" x14ac:dyDescent="0.2">
      <c r="A520" s="2">
        <v>44951</v>
      </c>
      <c r="B520" s="1" t="s">
        <v>10</v>
      </c>
      <c r="C520" s="1">
        <v>141.5</v>
      </c>
    </row>
    <row r="521" spans="1:3" x14ac:dyDescent="0.2">
      <c r="A521" s="2">
        <v>44952</v>
      </c>
      <c r="B521" s="1" t="s">
        <v>10</v>
      </c>
      <c r="C521" s="1">
        <v>147.30000000000001</v>
      </c>
    </row>
    <row r="522" spans="1:3" x14ac:dyDescent="0.2">
      <c r="A522" s="2">
        <v>44953</v>
      </c>
      <c r="B522" s="1" t="s">
        <v>10</v>
      </c>
      <c r="C522" s="1">
        <v>151.74</v>
      </c>
    </row>
    <row r="523" spans="1:3" x14ac:dyDescent="0.2">
      <c r="A523" s="2">
        <v>44956</v>
      </c>
      <c r="B523" s="1" t="s">
        <v>10</v>
      </c>
      <c r="C523" s="1">
        <v>147.06</v>
      </c>
    </row>
    <row r="524" spans="1:3" x14ac:dyDescent="0.2">
      <c r="A524" s="2">
        <v>44957</v>
      </c>
      <c r="B524" s="1" t="s">
        <v>10</v>
      </c>
      <c r="C524" s="1">
        <v>148.97</v>
      </c>
    </row>
    <row r="525" spans="1:3" x14ac:dyDescent="0.2">
      <c r="A525" s="2">
        <v>44958</v>
      </c>
      <c r="B525" s="1" t="s">
        <v>10</v>
      </c>
      <c r="C525" s="1">
        <v>153.12</v>
      </c>
    </row>
    <row r="526" spans="1:3" x14ac:dyDescent="0.2">
      <c r="A526" s="2">
        <v>44959</v>
      </c>
      <c r="B526" s="1" t="s">
        <v>10</v>
      </c>
      <c r="C526" s="1">
        <v>188.77</v>
      </c>
    </row>
    <row r="527" spans="1:3" x14ac:dyDescent="0.2">
      <c r="A527" s="2">
        <v>44960</v>
      </c>
      <c r="B527" s="1" t="s">
        <v>10</v>
      </c>
      <c r="C527" s="1">
        <v>186.53</v>
      </c>
    </row>
    <row r="528" spans="1:3" x14ac:dyDescent="0.2">
      <c r="A528" s="2">
        <v>44963</v>
      </c>
      <c r="B528" s="1" t="s">
        <v>10</v>
      </c>
      <c r="C528" s="1">
        <v>186.06</v>
      </c>
    </row>
    <row r="529" spans="1:3" x14ac:dyDescent="0.2">
      <c r="A529" s="2">
        <v>44964</v>
      </c>
      <c r="B529" s="1" t="s">
        <v>10</v>
      </c>
      <c r="C529" s="1">
        <v>191.62</v>
      </c>
    </row>
    <row r="530" spans="1:3" x14ac:dyDescent="0.2">
      <c r="A530" s="2">
        <v>44965</v>
      </c>
      <c r="B530" s="1" t="s">
        <v>10</v>
      </c>
      <c r="C530" s="1">
        <v>183.43</v>
      </c>
    </row>
    <row r="531" spans="1:3" x14ac:dyDescent="0.2">
      <c r="A531" s="2">
        <v>44966</v>
      </c>
      <c r="B531" s="1" t="s">
        <v>10</v>
      </c>
      <c r="C531" s="1">
        <v>177.92</v>
      </c>
    </row>
    <row r="532" spans="1:3" x14ac:dyDescent="0.2">
      <c r="A532" s="2">
        <v>44967</v>
      </c>
      <c r="B532" s="1" t="s">
        <v>10</v>
      </c>
      <c r="C532" s="1">
        <v>174.15</v>
      </c>
    </row>
    <row r="533" spans="1:3" x14ac:dyDescent="0.2">
      <c r="A533" s="2">
        <v>44970</v>
      </c>
      <c r="B533" s="1" t="s">
        <v>10</v>
      </c>
      <c r="C533" s="1">
        <v>179.43</v>
      </c>
    </row>
    <row r="534" spans="1:3" x14ac:dyDescent="0.2">
      <c r="A534" s="2">
        <v>44971</v>
      </c>
      <c r="B534" s="1" t="s">
        <v>10</v>
      </c>
      <c r="C534" s="1">
        <v>179.48</v>
      </c>
    </row>
    <row r="535" spans="1:3" x14ac:dyDescent="0.2">
      <c r="A535" s="2">
        <v>44972</v>
      </c>
      <c r="B535" s="1" t="s">
        <v>10</v>
      </c>
      <c r="C535" s="1">
        <v>177.16</v>
      </c>
    </row>
    <row r="536" spans="1:3" x14ac:dyDescent="0.2">
      <c r="A536" s="2">
        <v>44973</v>
      </c>
      <c r="B536" s="1" t="s">
        <v>10</v>
      </c>
      <c r="C536" s="1">
        <v>172.44</v>
      </c>
    </row>
    <row r="537" spans="1:3" x14ac:dyDescent="0.2">
      <c r="A537" s="2">
        <v>44974</v>
      </c>
      <c r="B537" s="1" t="s">
        <v>10</v>
      </c>
      <c r="C537" s="1">
        <v>172.88</v>
      </c>
    </row>
    <row r="538" spans="1:3" x14ac:dyDescent="0.2">
      <c r="A538" s="2">
        <v>44978</v>
      </c>
      <c r="B538" s="1" t="s">
        <v>10</v>
      </c>
      <c r="C538" s="1">
        <v>172.08</v>
      </c>
    </row>
    <row r="539" spans="1:3" x14ac:dyDescent="0.2">
      <c r="A539" s="2">
        <v>44979</v>
      </c>
      <c r="B539" s="1" t="s">
        <v>10</v>
      </c>
      <c r="C539" s="1">
        <v>171.12</v>
      </c>
    </row>
    <row r="540" spans="1:3" x14ac:dyDescent="0.2">
      <c r="A540" s="2">
        <v>44980</v>
      </c>
      <c r="B540" s="1" t="s">
        <v>10</v>
      </c>
      <c r="C540" s="1">
        <v>172.04</v>
      </c>
    </row>
    <row r="541" spans="1:3" x14ac:dyDescent="0.2">
      <c r="A541" s="2">
        <v>44981</v>
      </c>
      <c r="B541" s="1" t="s">
        <v>10</v>
      </c>
      <c r="C541" s="1">
        <v>170.39</v>
      </c>
    </row>
    <row r="542" spans="1:3" x14ac:dyDescent="0.2">
      <c r="A542" s="2">
        <v>44984</v>
      </c>
      <c r="B542" s="1" t="s">
        <v>10</v>
      </c>
      <c r="C542" s="1">
        <v>169.54</v>
      </c>
    </row>
    <row r="543" spans="1:3" x14ac:dyDescent="0.2">
      <c r="A543" s="2">
        <v>44985</v>
      </c>
      <c r="B543" s="1" t="s">
        <v>10</v>
      </c>
      <c r="C543" s="1">
        <v>174.94</v>
      </c>
    </row>
    <row r="544" spans="1:3" x14ac:dyDescent="0.2">
      <c r="A544" s="2">
        <v>44986</v>
      </c>
      <c r="B544" s="1" t="s">
        <v>10</v>
      </c>
      <c r="C544" s="1">
        <v>173.42</v>
      </c>
    </row>
    <row r="545" spans="1:3" x14ac:dyDescent="0.2">
      <c r="A545" s="2">
        <v>44987</v>
      </c>
      <c r="B545" s="1" t="s">
        <v>10</v>
      </c>
      <c r="C545" s="1">
        <v>174.53</v>
      </c>
    </row>
    <row r="546" spans="1:3" x14ac:dyDescent="0.2">
      <c r="A546" s="2">
        <v>44988</v>
      </c>
      <c r="B546" s="1" t="s">
        <v>10</v>
      </c>
      <c r="C546" s="1">
        <v>185.25</v>
      </c>
    </row>
    <row r="547" spans="1:3" x14ac:dyDescent="0.2">
      <c r="A547" s="2">
        <v>44991</v>
      </c>
      <c r="B547" s="1" t="s">
        <v>10</v>
      </c>
      <c r="C547" s="1">
        <v>184.9</v>
      </c>
    </row>
    <row r="548" spans="1:3" x14ac:dyDescent="0.2">
      <c r="A548" s="2">
        <v>44992</v>
      </c>
      <c r="B548" s="1" t="s">
        <v>10</v>
      </c>
      <c r="C548" s="1">
        <v>184.51</v>
      </c>
    </row>
    <row r="549" spans="1:3" x14ac:dyDescent="0.2">
      <c r="A549" s="2">
        <v>44993</v>
      </c>
      <c r="B549" s="1" t="s">
        <v>10</v>
      </c>
      <c r="C549" s="1">
        <v>184.97</v>
      </c>
    </row>
    <row r="550" spans="1:3" x14ac:dyDescent="0.2">
      <c r="A550" s="2">
        <v>44994</v>
      </c>
      <c r="B550" s="1" t="s">
        <v>10</v>
      </c>
      <c r="C550" s="1">
        <v>181.69</v>
      </c>
    </row>
    <row r="551" spans="1:3" x14ac:dyDescent="0.2">
      <c r="A551" s="2">
        <v>44995</v>
      </c>
      <c r="B551" s="1" t="s">
        <v>10</v>
      </c>
      <c r="C551" s="1">
        <v>179.51</v>
      </c>
    </row>
    <row r="552" spans="1:3" x14ac:dyDescent="0.2">
      <c r="A552" s="2">
        <v>44998</v>
      </c>
      <c r="B552" s="1" t="s">
        <v>10</v>
      </c>
      <c r="C552" s="1">
        <v>180.9</v>
      </c>
    </row>
    <row r="553" spans="1:3" x14ac:dyDescent="0.2">
      <c r="A553" s="2">
        <v>44999</v>
      </c>
      <c r="B553" s="1" t="s">
        <v>10</v>
      </c>
      <c r="C553" s="1">
        <v>194.02</v>
      </c>
    </row>
    <row r="554" spans="1:3" x14ac:dyDescent="0.2">
      <c r="A554" s="2">
        <v>45000</v>
      </c>
      <c r="B554" s="1" t="s">
        <v>10</v>
      </c>
      <c r="C554" s="1">
        <v>197.75</v>
      </c>
    </row>
    <row r="555" spans="1:3" x14ac:dyDescent="0.2">
      <c r="A555" s="2">
        <v>45001</v>
      </c>
      <c r="B555" s="1" t="s">
        <v>10</v>
      </c>
      <c r="C555" s="1">
        <v>204.93</v>
      </c>
    </row>
    <row r="556" spans="1:3" x14ac:dyDescent="0.2">
      <c r="A556" s="2">
        <v>45002</v>
      </c>
      <c r="B556" s="1" t="s">
        <v>10</v>
      </c>
      <c r="C556" s="1">
        <v>195.61</v>
      </c>
    </row>
    <row r="557" spans="1:3" x14ac:dyDescent="0.2">
      <c r="A557" s="2">
        <v>45005</v>
      </c>
      <c r="B557" s="1" t="s">
        <v>10</v>
      </c>
      <c r="C557" s="1">
        <v>197.81</v>
      </c>
    </row>
    <row r="558" spans="1:3" x14ac:dyDescent="0.2">
      <c r="A558" s="2">
        <v>45006</v>
      </c>
      <c r="B558" s="1" t="s">
        <v>10</v>
      </c>
      <c r="C558" s="1">
        <v>202.16</v>
      </c>
    </row>
    <row r="559" spans="1:3" x14ac:dyDescent="0.2">
      <c r="A559" s="2">
        <v>45007</v>
      </c>
      <c r="B559" s="1" t="s">
        <v>10</v>
      </c>
      <c r="C559" s="1">
        <v>199.81</v>
      </c>
    </row>
    <row r="560" spans="1:3" x14ac:dyDescent="0.2">
      <c r="A560" s="2">
        <v>45008</v>
      </c>
      <c r="B560" s="1" t="s">
        <v>10</v>
      </c>
      <c r="C560" s="1">
        <v>204.28</v>
      </c>
    </row>
    <row r="561" spans="1:3" x14ac:dyDescent="0.2">
      <c r="A561" s="2">
        <v>45009</v>
      </c>
      <c r="B561" s="1" t="s">
        <v>10</v>
      </c>
      <c r="C561" s="1">
        <v>206.01</v>
      </c>
    </row>
    <row r="562" spans="1:3" x14ac:dyDescent="0.2">
      <c r="A562" s="2">
        <v>45012</v>
      </c>
      <c r="B562" s="1" t="s">
        <v>10</v>
      </c>
      <c r="C562" s="1">
        <v>202.84</v>
      </c>
    </row>
    <row r="563" spans="1:3" x14ac:dyDescent="0.2">
      <c r="A563" s="2">
        <v>45013</v>
      </c>
      <c r="B563" s="1" t="s">
        <v>10</v>
      </c>
      <c r="C563" s="1">
        <v>200.68</v>
      </c>
    </row>
    <row r="564" spans="1:3" x14ac:dyDescent="0.2">
      <c r="A564" s="2">
        <v>45014</v>
      </c>
      <c r="B564" s="1" t="s">
        <v>10</v>
      </c>
      <c r="C564" s="1">
        <v>205.35</v>
      </c>
    </row>
    <row r="565" spans="1:3" x14ac:dyDescent="0.2">
      <c r="A565" s="2">
        <v>45015</v>
      </c>
      <c r="B565" s="1" t="s">
        <v>10</v>
      </c>
      <c r="C565" s="1">
        <v>207.84</v>
      </c>
    </row>
    <row r="566" spans="1:3" x14ac:dyDescent="0.2">
      <c r="A566" s="2">
        <v>45016</v>
      </c>
      <c r="B566" s="1" t="s">
        <v>10</v>
      </c>
      <c r="C566" s="1">
        <v>211.94</v>
      </c>
    </row>
    <row r="567" spans="1:3" x14ac:dyDescent="0.2">
      <c r="A567" s="2">
        <v>45019</v>
      </c>
      <c r="B567" s="1" t="s">
        <v>10</v>
      </c>
      <c r="C567" s="1">
        <v>213.07</v>
      </c>
    </row>
    <row r="568" spans="1:3" x14ac:dyDescent="0.2">
      <c r="A568" s="2">
        <v>45020</v>
      </c>
      <c r="B568" s="1" t="s">
        <v>10</v>
      </c>
      <c r="C568" s="1">
        <v>214.72</v>
      </c>
    </row>
    <row r="569" spans="1:3" x14ac:dyDescent="0.2">
      <c r="A569" s="2">
        <v>45021</v>
      </c>
      <c r="B569" s="1" t="s">
        <v>10</v>
      </c>
      <c r="C569" s="1">
        <v>211.48</v>
      </c>
    </row>
    <row r="570" spans="1:3" x14ac:dyDescent="0.2">
      <c r="A570" s="2">
        <v>45022</v>
      </c>
      <c r="B570" s="1" t="s">
        <v>10</v>
      </c>
      <c r="C570" s="1">
        <v>216.1</v>
      </c>
    </row>
    <row r="571" spans="1:3" x14ac:dyDescent="0.2">
      <c r="A571" s="2">
        <v>45026</v>
      </c>
      <c r="B571" s="1" t="s">
        <v>10</v>
      </c>
      <c r="C571" s="1">
        <v>214.75</v>
      </c>
    </row>
    <row r="572" spans="1:3" x14ac:dyDescent="0.2">
      <c r="A572" s="2">
        <v>45027</v>
      </c>
      <c r="B572" s="1" t="s">
        <v>10</v>
      </c>
      <c r="C572" s="1">
        <v>213.85</v>
      </c>
    </row>
    <row r="573" spans="1:3" x14ac:dyDescent="0.2">
      <c r="A573" s="2">
        <v>45028</v>
      </c>
      <c r="B573" s="1" t="s">
        <v>10</v>
      </c>
      <c r="C573" s="1">
        <v>214</v>
      </c>
    </row>
    <row r="574" spans="1:3" x14ac:dyDescent="0.2">
      <c r="A574" s="2">
        <v>45029</v>
      </c>
      <c r="B574" s="1" t="s">
        <v>10</v>
      </c>
      <c r="C574" s="1">
        <v>220.35</v>
      </c>
    </row>
    <row r="575" spans="1:3" x14ac:dyDescent="0.2">
      <c r="A575" s="2">
        <v>45030</v>
      </c>
      <c r="B575" s="1" t="s">
        <v>10</v>
      </c>
      <c r="C575" s="1">
        <v>221.49</v>
      </c>
    </row>
    <row r="576" spans="1:3" x14ac:dyDescent="0.2">
      <c r="A576" s="2">
        <v>45033</v>
      </c>
      <c r="B576" s="1" t="s">
        <v>10</v>
      </c>
      <c r="C576" s="1">
        <v>218.86</v>
      </c>
    </row>
    <row r="577" spans="1:3" x14ac:dyDescent="0.2">
      <c r="A577" s="2">
        <v>45034</v>
      </c>
      <c r="B577" s="1" t="s">
        <v>10</v>
      </c>
      <c r="C577" s="1">
        <v>217.89</v>
      </c>
    </row>
    <row r="578" spans="1:3" x14ac:dyDescent="0.2">
      <c r="A578" s="2">
        <v>45035</v>
      </c>
      <c r="B578" s="1" t="s">
        <v>10</v>
      </c>
      <c r="C578" s="1">
        <v>215.7</v>
      </c>
    </row>
    <row r="579" spans="1:3" x14ac:dyDescent="0.2">
      <c r="A579" s="2">
        <v>45036</v>
      </c>
      <c r="B579" s="1" t="s">
        <v>10</v>
      </c>
      <c r="C579" s="1">
        <v>213.07</v>
      </c>
    </row>
    <row r="580" spans="1:3" x14ac:dyDescent="0.2">
      <c r="A580" s="2">
        <v>45037</v>
      </c>
      <c r="B580" s="1" t="s">
        <v>10</v>
      </c>
      <c r="C580" s="1">
        <v>212.89</v>
      </c>
    </row>
    <row r="581" spans="1:3" x14ac:dyDescent="0.2">
      <c r="A581" s="2">
        <v>45040</v>
      </c>
      <c r="B581" s="1" t="s">
        <v>10</v>
      </c>
      <c r="C581" s="1">
        <v>212.79</v>
      </c>
    </row>
    <row r="582" spans="1:3" x14ac:dyDescent="0.2">
      <c r="A582" s="2">
        <v>45041</v>
      </c>
      <c r="B582" s="1" t="s">
        <v>10</v>
      </c>
      <c r="C582" s="1">
        <v>207.55</v>
      </c>
    </row>
    <row r="583" spans="1:3" x14ac:dyDescent="0.2">
      <c r="A583" s="2">
        <v>45042</v>
      </c>
      <c r="B583" s="1" t="s">
        <v>10</v>
      </c>
      <c r="C583" s="1">
        <v>209.4</v>
      </c>
    </row>
    <row r="584" spans="1:3" x14ac:dyDescent="0.2">
      <c r="A584" s="2">
        <v>45043</v>
      </c>
      <c r="B584" s="1" t="s">
        <v>10</v>
      </c>
      <c r="C584" s="1">
        <v>238.56</v>
      </c>
    </row>
    <row r="585" spans="1:3" x14ac:dyDescent="0.2">
      <c r="A585" s="2">
        <v>45044</v>
      </c>
      <c r="B585" s="1" t="s">
        <v>10</v>
      </c>
      <c r="C585" s="1">
        <v>240.32</v>
      </c>
    </row>
    <row r="586" spans="1:3" x14ac:dyDescent="0.2">
      <c r="A586" s="2">
        <v>45047</v>
      </c>
      <c r="B586" s="1" t="s">
        <v>10</v>
      </c>
      <c r="C586" s="1">
        <v>243.18</v>
      </c>
    </row>
    <row r="587" spans="1:3" x14ac:dyDescent="0.2">
      <c r="A587" s="2">
        <v>45048</v>
      </c>
      <c r="B587" s="1" t="s">
        <v>10</v>
      </c>
      <c r="C587" s="1">
        <v>239.24</v>
      </c>
    </row>
    <row r="588" spans="1:3" x14ac:dyDescent="0.2">
      <c r="A588" s="2">
        <v>45049</v>
      </c>
      <c r="B588" s="1" t="s">
        <v>10</v>
      </c>
      <c r="C588" s="1">
        <v>237.03</v>
      </c>
    </row>
    <row r="589" spans="1:3" x14ac:dyDescent="0.2">
      <c r="A589" s="2">
        <v>45050</v>
      </c>
      <c r="B589" s="1" t="s">
        <v>10</v>
      </c>
      <c r="C589" s="1">
        <v>233.52</v>
      </c>
    </row>
    <row r="590" spans="1:3" x14ac:dyDescent="0.2">
      <c r="A590" s="2">
        <v>45051</v>
      </c>
      <c r="B590" s="1" t="s">
        <v>10</v>
      </c>
      <c r="C590" s="1">
        <v>232.78</v>
      </c>
    </row>
    <row r="591" spans="1:3" x14ac:dyDescent="0.2">
      <c r="A591" s="2">
        <v>45054</v>
      </c>
      <c r="B591" s="1" t="s">
        <v>10</v>
      </c>
      <c r="C591" s="1">
        <v>233.27</v>
      </c>
    </row>
    <row r="592" spans="1:3" x14ac:dyDescent="0.2">
      <c r="A592" s="2">
        <v>45055</v>
      </c>
      <c r="B592" s="1" t="s">
        <v>10</v>
      </c>
      <c r="C592" s="1">
        <v>233.37</v>
      </c>
    </row>
    <row r="593" spans="1:3" x14ac:dyDescent="0.2">
      <c r="A593" s="2">
        <v>45056</v>
      </c>
      <c r="B593" s="1" t="s">
        <v>10</v>
      </c>
      <c r="C593" s="1">
        <v>233.08</v>
      </c>
    </row>
    <row r="594" spans="1:3" x14ac:dyDescent="0.2">
      <c r="A594" s="2">
        <v>45057</v>
      </c>
      <c r="B594" s="1" t="s">
        <v>10</v>
      </c>
      <c r="C594" s="1">
        <v>235.79</v>
      </c>
    </row>
    <row r="595" spans="1:3" x14ac:dyDescent="0.2">
      <c r="A595" s="2">
        <v>45058</v>
      </c>
      <c r="B595" s="1" t="s">
        <v>10</v>
      </c>
      <c r="C595" s="1">
        <v>233.81</v>
      </c>
    </row>
    <row r="596" spans="1:3" x14ac:dyDescent="0.2">
      <c r="A596" s="2">
        <v>45061</v>
      </c>
      <c r="B596" s="1" t="s">
        <v>10</v>
      </c>
      <c r="C596" s="1">
        <v>238.86</v>
      </c>
    </row>
    <row r="597" spans="1:3" x14ac:dyDescent="0.2">
      <c r="A597" s="2">
        <v>45062</v>
      </c>
      <c r="B597" s="1" t="s">
        <v>10</v>
      </c>
      <c r="C597" s="1">
        <v>238.82</v>
      </c>
    </row>
    <row r="598" spans="1:3" x14ac:dyDescent="0.2">
      <c r="A598" s="2">
        <v>45063</v>
      </c>
      <c r="B598" s="1" t="s">
        <v>10</v>
      </c>
      <c r="C598" s="1">
        <v>242.48500000000001</v>
      </c>
    </row>
    <row r="599" spans="1:3" x14ac:dyDescent="0.2">
      <c r="A599" s="2">
        <v>45064</v>
      </c>
      <c r="B599" s="1" t="s">
        <v>10</v>
      </c>
      <c r="C599" s="1">
        <v>246.85</v>
      </c>
    </row>
    <row r="600" spans="1:3" x14ac:dyDescent="0.2">
      <c r="A600" s="2">
        <v>45065</v>
      </c>
      <c r="B600" s="1" t="s">
        <v>10</v>
      </c>
      <c r="C600" s="1">
        <v>245.64</v>
      </c>
    </row>
    <row r="601" spans="1:3" x14ac:dyDescent="0.2">
      <c r="A601" s="2">
        <v>45068</v>
      </c>
      <c r="B601" s="1" t="s">
        <v>10</v>
      </c>
      <c r="C601" s="1">
        <v>248.32</v>
      </c>
    </row>
    <row r="602" spans="1:3" x14ac:dyDescent="0.2">
      <c r="A602" s="2">
        <v>45069</v>
      </c>
      <c r="B602" s="1" t="s">
        <v>10</v>
      </c>
      <c r="C602" s="1">
        <v>246.74</v>
      </c>
    </row>
    <row r="603" spans="1:3" x14ac:dyDescent="0.2">
      <c r="A603" s="2">
        <v>45070</v>
      </c>
      <c r="B603" s="1" t="s">
        <v>10</v>
      </c>
      <c r="C603" s="1">
        <v>249.21</v>
      </c>
    </row>
    <row r="604" spans="1:3" x14ac:dyDescent="0.2">
      <c r="A604" s="2">
        <v>45071</v>
      </c>
      <c r="B604" s="1" t="s">
        <v>10</v>
      </c>
      <c r="C604" s="1">
        <v>252.69</v>
      </c>
    </row>
    <row r="605" spans="1:3" x14ac:dyDescent="0.2">
      <c r="A605" s="2">
        <v>45072</v>
      </c>
      <c r="B605" s="1" t="s">
        <v>10</v>
      </c>
      <c r="C605" s="1">
        <v>262.04000000000002</v>
      </c>
    </row>
    <row r="606" spans="1:3" x14ac:dyDescent="0.2">
      <c r="A606" s="2">
        <v>45076</v>
      </c>
      <c r="B606" s="1" t="s">
        <v>10</v>
      </c>
      <c r="C606" s="1">
        <v>262.52</v>
      </c>
    </row>
    <row r="607" spans="1:3" x14ac:dyDescent="0.2">
      <c r="A607" s="2">
        <v>45077</v>
      </c>
      <c r="B607" s="1" t="s">
        <v>10</v>
      </c>
      <c r="C607" s="1">
        <v>264.72000000000003</v>
      </c>
    </row>
    <row r="608" spans="1:3" x14ac:dyDescent="0.2">
      <c r="A608" s="2">
        <v>45078</v>
      </c>
      <c r="B608" s="1" t="s">
        <v>10</v>
      </c>
      <c r="C608" s="1">
        <v>272.61</v>
      </c>
    </row>
    <row r="609" spans="1:3" x14ac:dyDescent="0.2">
      <c r="A609" s="2">
        <v>45079</v>
      </c>
      <c r="B609" s="1" t="s">
        <v>10</v>
      </c>
      <c r="C609" s="1">
        <v>272.61</v>
      </c>
    </row>
    <row r="610" spans="1:3" x14ac:dyDescent="0.2">
      <c r="A610" s="2">
        <v>45082</v>
      </c>
      <c r="B610" s="1" t="s">
        <v>10</v>
      </c>
      <c r="C610" s="1">
        <v>271.39</v>
      </c>
    </row>
    <row r="611" spans="1:3" x14ac:dyDescent="0.2">
      <c r="A611" s="2">
        <v>45083</v>
      </c>
      <c r="B611" s="1" t="s">
        <v>10</v>
      </c>
      <c r="C611" s="1">
        <v>271.12</v>
      </c>
    </row>
    <row r="612" spans="1:3" x14ac:dyDescent="0.2">
      <c r="A612" s="2">
        <v>45084</v>
      </c>
      <c r="B612" s="1" t="s">
        <v>10</v>
      </c>
      <c r="C612" s="1">
        <v>263.60000000000002</v>
      </c>
    </row>
    <row r="613" spans="1:3" x14ac:dyDescent="0.2">
      <c r="A613" s="2">
        <v>45085</v>
      </c>
      <c r="B613" s="1" t="s">
        <v>10</v>
      </c>
      <c r="C613" s="1">
        <v>264.58</v>
      </c>
    </row>
    <row r="614" spans="1:3" x14ac:dyDescent="0.2">
      <c r="A614" s="2">
        <v>45086</v>
      </c>
      <c r="B614" s="1" t="s">
        <v>10</v>
      </c>
      <c r="C614" s="1">
        <v>264.95</v>
      </c>
    </row>
    <row r="615" spans="1:3" x14ac:dyDescent="0.2">
      <c r="A615" s="2">
        <v>45089</v>
      </c>
      <c r="B615" s="1" t="s">
        <v>10</v>
      </c>
      <c r="C615" s="1">
        <v>271.05</v>
      </c>
    </row>
    <row r="616" spans="1:3" x14ac:dyDescent="0.2">
      <c r="A616" s="2">
        <v>45090</v>
      </c>
      <c r="B616" s="1" t="s">
        <v>10</v>
      </c>
      <c r="C616" s="1">
        <v>271.32</v>
      </c>
    </row>
    <row r="617" spans="1:3" x14ac:dyDescent="0.2">
      <c r="A617" s="2">
        <v>45091</v>
      </c>
      <c r="B617" s="1" t="s">
        <v>10</v>
      </c>
      <c r="C617" s="1">
        <v>273.35000000000002</v>
      </c>
    </row>
    <row r="618" spans="1:3" x14ac:dyDescent="0.2">
      <c r="A618" s="2">
        <v>45092</v>
      </c>
      <c r="B618" s="1" t="s">
        <v>10</v>
      </c>
      <c r="C618" s="1">
        <v>281.83</v>
      </c>
    </row>
    <row r="619" spans="1:3" x14ac:dyDescent="0.2">
      <c r="A619" s="2">
        <v>45093</v>
      </c>
      <c r="B619" s="1" t="s">
        <v>10</v>
      </c>
      <c r="C619" s="1">
        <v>281</v>
      </c>
    </row>
    <row r="620" spans="1:3" x14ac:dyDescent="0.2">
      <c r="A620" s="2">
        <v>45097</v>
      </c>
      <c r="B620" s="1" t="s">
        <v>10</v>
      </c>
      <c r="C620" s="1">
        <v>284.33</v>
      </c>
    </row>
    <row r="621" spans="1:3" x14ac:dyDescent="0.2">
      <c r="A621" s="2">
        <v>45098</v>
      </c>
      <c r="B621" s="1" t="s">
        <v>10</v>
      </c>
      <c r="C621" s="1">
        <v>281.64</v>
      </c>
    </row>
    <row r="622" spans="1:3" x14ac:dyDescent="0.2">
      <c r="A622" s="2">
        <v>45099</v>
      </c>
      <c r="B622" s="1" t="s">
        <v>10</v>
      </c>
      <c r="C622" s="1">
        <v>284.88</v>
      </c>
    </row>
    <row r="623" spans="1:3" x14ac:dyDescent="0.2">
      <c r="A623" s="2">
        <v>45100</v>
      </c>
      <c r="B623" s="1" t="s">
        <v>10</v>
      </c>
      <c r="C623" s="1">
        <v>288.73</v>
      </c>
    </row>
    <row r="624" spans="1:3" x14ac:dyDescent="0.2">
      <c r="A624" s="2">
        <v>45103</v>
      </c>
      <c r="B624" s="1" t="s">
        <v>10</v>
      </c>
      <c r="C624" s="1">
        <v>278.47000000000003</v>
      </c>
    </row>
    <row r="625" spans="1:3" x14ac:dyDescent="0.2">
      <c r="A625" s="2">
        <v>45104</v>
      </c>
      <c r="B625" s="1" t="s">
        <v>10</v>
      </c>
      <c r="C625" s="1">
        <v>287.05</v>
      </c>
    </row>
    <row r="626" spans="1:3" x14ac:dyDescent="0.2">
      <c r="A626" s="2">
        <v>45105</v>
      </c>
      <c r="B626" s="1" t="s">
        <v>10</v>
      </c>
      <c r="C626" s="1">
        <v>285.29000000000002</v>
      </c>
    </row>
    <row r="627" spans="1:3" x14ac:dyDescent="0.2">
      <c r="A627" s="2">
        <v>45106</v>
      </c>
      <c r="B627" s="1" t="s">
        <v>10</v>
      </c>
      <c r="C627" s="1">
        <v>281.52999999999997</v>
      </c>
    </row>
    <row r="628" spans="1:3" x14ac:dyDescent="0.2">
      <c r="A628" s="2">
        <v>45107</v>
      </c>
      <c r="B628" s="1" t="s">
        <v>10</v>
      </c>
      <c r="C628" s="1">
        <v>286.98</v>
      </c>
    </row>
    <row r="629" spans="1:3" x14ac:dyDescent="0.2">
      <c r="A629" s="2">
        <v>45110</v>
      </c>
      <c r="B629" s="1" t="s">
        <v>10</v>
      </c>
      <c r="C629" s="1">
        <v>286.02</v>
      </c>
    </row>
    <row r="630" spans="1:3" x14ac:dyDescent="0.2">
      <c r="A630" s="2">
        <v>45112</v>
      </c>
      <c r="B630" s="1" t="s">
        <v>10</v>
      </c>
      <c r="C630" s="1">
        <v>294.37</v>
      </c>
    </row>
    <row r="631" spans="1:3" x14ac:dyDescent="0.2">
      <c r="A631" s="2">
        <v>45113</v>
      </c>
      <c r="B631" s="1" t="s">
        <v>10</v>
      </c>
      <c r="C631" s="1">
        <v>291.99</v>
      </c>
    </row>
    <row r="632" spans="1:3" x14ac:dyDescent="0.2">
      <c r="A632" s="2">
        <v>45114</v>
      </c>
      <c r="B632" s="1" t="s">
        <v>10</v>
      </c>
      <c r="C632" s="1">
        <v>290.52999999999997</v>
      </c>
    </row>
    <row r="633" spans="1:3" x14ac:dyDescent="0.2">
      <c r="A633" s="2">
        <v>45117</v>
      </c>
      <c r="B633" s="1" t="s">
        <v>10</v>
      </c>
      <c r="C633" s="1">
        <v>294.10000000000002</v>
      </c>
    </row>
    <row r="634" spans="1:3" x14ac:dyDescent="0.2">
      <c r="A634" s="2">
        <v>45118</v>
      </c>
      <c r="B634" s="1" t="s">
        <v>10</v>
      </c>
      <c r="C634" s="1">
        <v>298.29000000000002</v>
      </c>
    </row>
    <row r="635" spans="1:3" x14ac:dyDescent="0.2">
      <c r="A635" s="2">
        <v>45119</v>
      </c>
      <c r="B635" s="1" t="s">
        <v>10</v>
      </c>
      <c r="C635" s="1">
        <v>309.33999999999997</v>
      </c>
    </row>
    <row r="636" spans="1:3" x14ac:dyDescent="0.2">
      <c r="A636" s="2">
        <v>45120</v>
      </c>
      <c r="B636" s="1" t="s">
        <v>10</v>
      </c>
      <c r="C636" s="1">
        <v>313.41000000000003</v>
      </c>
    </row>
    <row r="637" spans="1:3" x14ac:dyDescent="0.2">
      <c r="A637" s="2">
        <v>45121</v>
      </c>
      <c r="B637" s="1" t="s">
        <v>10</v>
      </c>
      <c r="C637" s="1">
        <v>308.87</v>
      </c>
    </row>
    <row r="638" spans="1:3" x14ac:dyDescent="0.2">
      <c r="A638" s="2">
        <v>45124</v>
      </c>
      <c r="B638" s="1" t="s">
        <v>10</v>
      </c>
      <c r="C638" s="1">
        <v>310.62</v>
      </c>
    </row>
    <row r="639" spans="1:3" x14ac:dyDescent="0.2">
      <c r="A639" s="2">
        <v>45125</v>
      </c>
      <c r="B639" s="1" t="s">
        <v>10</v>
      </c>
      <c r="C639" s="1">
        <v>312.05</v>
      </c>
    </row>
    <row r="640" spans="1:3" x14ac:dyDescent="0.2">
      <c r="A640" s="2">
        <v>45126</v>
      </c>
      <c r="B640" s="1" t="s">
        <v>10</v>
      </c>
      <c r="C640" s="1">
        <v>316.01</v>
      </c>
    </row>
    <row r="641" spans="1:3" x14ac:dyDescent="0.2">
      <c r="A641" s="2">
        <v>45127</v>
      </c>
      <c r="B641" s="1" t="s">
        <v>10</v>
      </c>
      <c r="C641" s="1">
        <v>302.52</v>
      </c>
    </row>
    <row r="642" spans="1:3" x14ac:dyDescent="0.2">
      <c r="A642" s="2">
        <v>45128</v>
      </c>
      <c r="B642" s="1" t="s">
        <v>10</v>
      </c>
      <c r="C642" s="1">
        <v>294.26</v>
      </c>
    </row>
    <row r="643" spans="1:3" x14ac:dyDescent="0.2">
      <c r="A643" s="2">
        <v>45131</v>
      </c>
      <c r="B643" s="1" t="s">
        <v>10</v>
      </c>
      <c r="C643" s="1">
        <v>291.61</v>
      </c>
    </row>
    <row r="644" spans="1:3" x14ac:dyDescent="0.2">
      <c r="A644" s="2">
        <v>45132</v>
      </c>
      <c r="B644" s="1" t="s">
        <v>10</v>
      </c>
      <c r="C644" s="1">
        <v>294.47000000000003</v>
      </c>
    </row>
    <row r="645" spans="1:3" x14ac:dyDescent="0.2">
      <c r="A645" s="2">
        <v>45133</v>
      </c>
      <c r="B645" s="1" t="s">
        <v>10</v>
      </c>
      <c r="C645" s="1">
        <v>298.57</v>
      </c>
    </row>
    <row r="646" spans="1:3" x14ac:dyDescent="0.2">
      <c r="A646" s="2">
        <v>45134</v>
      </c>
      <c r="B646" s="1" t="s">
        <v>10</v>
      </c>
      <c r="C646" s="1">
        <v>311.70999999999998</v>
      </c>
    </row>
    <row r="647" spans="1:3" x14ac:dyDescent="0.2">
      <c r="A647" s="2">
        <v>45135</v>
      </c>
      <c r="B647" s="1" t="s">
        <v>10</v>
      </c>
      <c r="C647" s="1">
        <v>325.48</v>
      </c>
    </row>
    <row r="648" spans="1:3" x14ac:dyDescent="0.2">
      <c r="A648" s="2">
        <v>45138</v>
      </c>
      <c r="B648" s="1" t="s">
        <v>10</v>
      </c>
      <c r="C648" s="1">
        <v>318.60000000000002</v>
      </c>
    </row>
    <row r="649" spans="1:3" x14ac:dyDescent="0.2">
      <c r="A649" s="2">
        <v>45139</v>
      </c>
      <c r="B649" s="1" t="s">
        <v>10</v>
      </c>
      <c r="C649" s="1">
        <v>322.70999999999998</v>
      </c>
    </row>
    <row r="650" spans="1:3" x14ac:dyDescent="0.2">
      <c r="A650" s="2">
        <v>45140</v>
      </c>
      <c r="B650" s="1" t="s">
        <v>10</v>
      </c>
      <c r="C650" s="1">
        <v>314.31</v>
      </c>
    </row>
    <row r="651" spans="1:3" x14ac:dyDescent="0.2">
      <c r="A651" s="2">
        <v>45141</v>
      </c>
      <c r="B651" s="1" t="s">
        <v>10</v>
      </c>
      <c r="C651" s="1">
        <v>313.19</v>
      </c>
    </row>
    <row r="652" spans="1:3" x14ac:dyDescent="0.2">
      <c r="A652" s="2">
        <v>45142</v>
      </c>
      <c r="B652" s="1" t="s">
        <v>10</v>
      </c>
      <c r="C652" s="1">
        <v>310.73</v>
      </c>
    </row>
    <row r="653" spans="1:3" x14ac:dyDescent="0.2">
      <c r="A653" s="2">
        <v>45145</v>
      </c>
      <c r="B653" s="1" t="s">
        <v>10</v>
      </c>
      <c r="C653" s="1">
        <v>316.56</v>
      </c>
    </row>
    <row r="654" spans="1:3" x14ac:dyDescent="0.2">
      <c r="A654" s="2">
        <v>45146</v>
      </c>
      <c r="B654" s="1" t="s">
        <v>10</v>
      </c>
      <c r="C654" s="1">
        <v>312.64</v>
      </c>
    </row>
    <row r="655" spans="1:3" x14ac:dyDescent="0.2">
      <c r="A655" s="2">
        <v>45147</v>
      </c>
      <c r="B655" s="1" t="s">
        <v>10</v>
      </c>
      <c r="C655" s="1">
        <v>305.20999999999998</v>
      </c>
    </row>
    <row r="656" spans="1:3" x14ac:dyDescent="0.2">
      <c r="A656" s="2">
        <v>45148</v>
      </c>
      <c r="B656" s="1" t="s">
        <v>10</v>
      </c>
      <c r="C656" s="1">
        <v>305.74</v>
      </c>
    </row>
    <row r="657" spans="1:3" x14ac:dyDescent="0.2">
      <c r="A657" s="2">
        <v>45149</v>
      </c>
      <c r="B657" s="1" t="s">
        <v>10</v>
      </c>
      <c r="C657" s="1">
        <v>301.64</v>
      </c>
    </row>
    <row r="658" spans="1:3" x14ac:dyDescent="0.2">
      <c r="A658" s="2">
        <v>45152</v>
      </c>
      <c r="B658" s="1" t="s">
        <v>10</v>
      </c>
      <c r="C658" s="1">
        <v>306.19</v>
      </c>
    </row>
    <row r="659" spans="1:3" x14ac:dyDescent="0.2">
      <c r="A659" s="2">
        <v>45153</v>
      </c>
      <c r="B659" s="1" t="s">
        <v>10</v>
      </c>
      <c r="C659" s="1">
        <v>301.95</v>
      </c>
    </row>
    <row r="660" spans="1:3" x14ac:dyDescent="0.2">
      <c r="A660" s="2">
        <v>45154</v>
      </c>
      <c r="B660" s="1" t="s">
        <v>10</v>
      </c>
      <c r="C660" s="1">
        <v>294.29000000000002</v>
      </c>
    </row>
    <row r="661" spans="1:3" x14ac:dyDescent="0.2">
      <c r="A661" s="2">
        <v>45155</v>
      </c>
      <c r="B661" s="1" t="s">
        <v>10</v>
      </c>
      <c r="C661" s="1">
        <v>285.08999999999997</v>
      </c>
    </row>
    <row r="662" spans="1:3" x14ac:dyDescent="0.2">
      <c r="A662" s="2">
        <v>45156</v>
      </c>
      <c r="B662" s="1" t="s">
        <v>10</v>
      </c>
      <c r="C662" s="1">
        <v>283.25</v>
      </c>
    </row>
    <row r="663" spans="1:3" x14ac:dyDescent="0.2">
      <c r="A663" s="2">
        <v>45159</v>
      </c>
      <c r="B663" s="1" t="s">
        <v>10</v>
      </c>
      <c r="C663" s="1">
        <v>289.89999999999998</v>
      </c>
    </row>
    <row r="664" spans="1:3" x14ac:dyDescent="0.2">
      <c r="A664" s="2">
        <v>45160</v>
      </c>
      <c r="B664" s="1" t="s">
        <v>10</v>
      </c>
      <c r="C664" s="1">
        <v>287.60000000000002</v>
      </c>
    </row>
    <row r="665" spans="1:3" x14ac:dyDescent="0.2">
      <c r="A665" s="2">
        <v>45161</v>
      </c>
      <c r="B665" s="1" t="s">
        <v>10</v>
      </c>
      <c r="C665" s="1">
        <v>294.24</v>
      </c>
    </row>
    <row r="666" spans="1:3" x14ac:dyDescent="0.2">
      <c r="A666" s="2">
        <v>45162</v>
      </c>
      <c r="B666" s="1" t="s">
        <v>10</v>
      </c>
      <c r="C666" s="1">
        <v>286.75</v>
      </c>
    </row>
    <row r="667" spans="1:3" x14ac:dyDescent="0.2">
      <c r="A667" s="2">
        <v>45163</v>
      </c>
      <c r="B667" s="1" t="s">
        <v>10</v>
      </c>
      <c r="C667" s="1">
        <v>285.5</v>
      </c>
    </row>
    <row r="668" spans="1:3" x14ac:dyDescent="0.2">
      <c r="A668" s="2">
        <v>45166</v>
      </c>
      <c r="B668" s="1" t="s">
        <v>10</v>
      </c>
      <c r="C668" s="1">
        <v>290.26</v>
      </c>
    </row>
    <row r="669" spans="1:3" x14ac:dyDescent="0.2">
      <c r="A669" s="2">
        <v>45167</v>
      </c>
      <c r="B669" s="1" t="s">
        <v>10</v>
      </c>
      <c r="C669" s="1">
        <v>297.99</v>
      </c>
    </row>
    <row r="670" spans="1:3" x14ac:dyDescent="0.2">
      <c r="A670" s="2">
        <v>45168</v>
      </c>
      <c r="B670" s="1" t="s">
        <v>10</v>
      </c>
      <c r="C670" s="1">
        <v>295.10000000000002</v>
      </c>
    </row>
    <row r="671" spans="1:3" x14ac:dyDescent="0.2">
      <c r="A671" s="2">
        <v>45169</v>
      </c>
      <c r="B671" s="1" t="s">
        <v>10</v>
      </c>
      <c r="C671" s="1">
        <v>295.89</v>
      </c>
    </row>
    <row r="672" spans="1:3" x14ac:dyDescent="0.2">
      <c r="A672" s="2">
        <v>45170</v>
      </c>
      <c r="B672" s="1" t="s">
        <v>10</v>
      </c>
      <c r="C672" s="1">
        <v>296.38</v>
      </c>
    </row>
    <row r="673" spans="1:3" x14ac:dyDescent="0.2">
      <c r="A673" s="2">
        <v>45174</v>
      </c>
      <c r="B673" s="1" t="s">
        <v>10</v>
      </c>
      <c r="C673" s="1">
        <v>300.14999999999998</v>
      </c>
    </row>
    <row r="674" spans="1:3" x14ac:dyDescent="0.2">
      <c r="A674" s="2">
        <v>45175</v>
      </c>
      <c r="B674" s="1" t="s">
        <v>10</v>
      </c>
      <c r="C674" s="1">
        <v>299.17</v>
      </c>
    </row>
    <row r="675" spans="1:3" x14ac:dyDescent="0.2">
      <c r="A675" s="2">
        <v>45176</v>
      </c>
      <c r="B675" s="1" t="s">
        <v>10</v>
      </c>
      <c r="C675" s="1">
        <v>298.67</v>
      </c>
    </row>
    <row r="676" spans="1:3" x14ac:dyDescent="0.2">
      <c r="A676" s="2">
        <v>45177</v>
      </c>
      <c r="B676" s="1" t="s">
        <v>10</v>
      </c>
      <c r="C676" s="1">
        <v>297.89</v>
      </c>
    </row>
    <row r="677" spans="1:3" x14ac:dyDescent="0.2">
      <c r="A677" s="2">
        <v>45180</v>
      </c>
      <c r="B677" s="1" t="s">
        <v>10</v>
      </c>
      <c r="C677" s="1">
        <v>307.56</v>
      </c>
    </row>
    <row r="678" spans="1:3" x14ac:dyDescent="0.2">
      <c r="A678" s="2">
        <v>45181</v>
      </c>
      <c r="B678" s="1" t="s">
        <v>10</v>
      </c>
      <c r="C678" s="1">
        <v>301.66000000000003</v>
      </c>
    </row>
    <row r="679" spans="1:3" x14ac:dyDescent="0.2">
      <c r="A679" s="2">
        <v>45182</v>
      </c>
      <c r="B679" s="1" t="s">
        <v>10</v>
      </c>
      <c r="C679" s="1">
        <v>305.06</v>
      </c>
    </row>
    <row r="680" spans="1:3" x14ac:dyDescent="0.2">
      <c r="A680" s="2">
        <v>45183</v>
      </c>
      <c r="B680" s="1" t="s">
        <v>10</v>
      </c>
      <c r="C680" s="1">
        <v>311.72000000000003</v>
      </c>
    </row>
    <row r="681" spans="1:3" x14ac:dyDescent="0.2">
      <c r="A681" s="2">
        <v>45184</v>
      </c>
      <c r="B681" s="1" t="s">
        <v>10</v>
      </c>
      <c r="C681" s="1">
        <v>300.31</v>
      </c>
    </row>
    <row r="682" spans="1:3" x14ac:dyDescent="0.2">
      <c r="A682" s="2">
        <v>45187</v>
      </c>
      <c r="B682" s="1" t="s">
        <v>10</v>
      </c>
      <c r="C682" s="1">
        <v>302.55</v>
      </c>
    </row>
    <row r="683" spans="1:3" x14ac:dyDescent="0.2">
      <c r="A683" s="2">
        <v>45188</v>
      </c>
      <c r="B683" s="1" t="s">
        <v>10</v>
      </c>
      <c r="C683" s="1">
        <v>305.07</v>
      </c>
    </row>
    <row r="684" spans="1:3" x14ac:dyDescent="0.2">
      <c r="A684" s="2">
        <v>45189</v>
      </c>
      <c r="B684" s="1" t="s">
        <v>10</v>
      </c>
      <c r="C684" s="1">
        <v>299.67</v>
      </c>
    </row>
    <row r="685" spans="1:3" x14ac:dyDescent="0.2">
      <c r="A685" s="2">
        <v>45190</v>
      </c>
      <c r="B685" s="1" t="s">
        <v>10</v>
      </c>
      <c r="C685" s="1">
        <v>295.73</v>
      </c>
    </row>
    <row r="686" spans="1:3" x14ac:dyDescent="0.2">
      <c r="A686" s="2">
        <v>45191</v>
      </c>
      <c r="B686" s="1" t="s">
        <v>10</v>
      </c>
      <c r="C686" s="1">
        <v>299.08</v>
      </c>
    </row>
    <row r="687" spans="1:3" x14ac:dyDescent="0.2">
      <c r="A687" s="2">
        <v>45194</v>
      </c>
      <c r="B687" s="1" t="s">
        <v>10</v>
      </c>
      <c r="C687" s="1">
        <v>300.83</v>
      </c>
    </row>
    <row r="688" spans="1:3" x14ac:dyDescent="0.2">
      <c r="A688" s="2">
        <v>45195</v>
      </c>
      <c r="B688" s="1" t="s">
        <v>10</v>
      </c>
      <c r="C688" s="1">
        <v>298.95999999999998</v>
      </c>
    </row>
    <row r="689" spans="1:3" x14ac:dyDescent="0.2">
      <c r="A689" s="2">
        <v>45196</v>
      </c>
      <c r="B689" s="1" t="s">
        <v>10</v>
      </c>
      <c r="C689" s="1">
        <v>297.74</v>
      </c>
    </row>
    <row r="690" spans="1:3" x14ac:dyDescent="0.2">
      <c r="A690" s="2">
        <v>45197</v>
      </c>
      <c r="B690" s="1" t="s">
        <v>10</v>
      </c>
      <c r="C690" s="1">
        <v>303.95999999999998</v>
      </c>
    </row>
    <row r="691" spans="1:3" x14ac:dyDescent="0.2">
      <c r="A691" s="2">
        <v>45198</v>
      </c>
      <c r="B691" s="1" t="s">
        <v>10</v>
      </c>
      <c r="C691" s="1">
        <v>300.20999999999998</v>
      </c>
    </row>
    <row r="692" spans="1:3" x14ac:dyDescent="0.2">
      <c r="A692" s="2">
        <v>45201</v>
      </c>
      <c r="B692" s="1" t="s">
        <v>10</v>
      </c>
      <c r="C692" s="1">
        <v>306.82</v>
      </c>
    </row>
    <row r="693" spans="1:3" x14ac:dyDescent="0.2">
      <c r="A693" s="2">
        <v>45202</v>
      </c>
      <c r="B693" s="1" t="s">
        <v>10</v>
      </c>
      <c r="C693" s="1">
        <v>300.94</v>
      </c>
    </row>
    <row r="694" spans="1:3" x14ac:dyDescent="0.2">
      <c r="A694" s="2">
        <v>45203</v>
      </c>
      <c r="B694" s="1" t="s">
        <v>10</v>
      </c>
      <c r="C694" s="1">
        <v>305.58</v>
      </c>
    </row>
    <row r="695" spans="1:3" x14ac:dyDescent="0.2">
      <c r="A695" s="2">
        <v>45204</v>
      </c>
      <c r="B695" s="1" t="s">
        <v>10</v>
      </c>
      <c r="C695" s="1">
        <v>304.79000000000002</v>
      </c>
    </row>
    <row r="696" spans="1:3" x14ac:dyDescent="0.2">
      <c r="A696" s="2">
        <v>45205</v>
      </c>
      <c r="B696" s="1" t="s">
        <v>10</v>
      </c>
      <c r="C696" s="1">
        <v>315.43</v>
      </c>
    </row>
    <row r="697" spans="1:3" x14ac:dyDescent="0.2">
      <c r="A697" s="2">
        <v>45208</v>
      </c>
      <c r="B697" s="1" t="s">
        <v>10</v>
      </c>
      <c r="C697" s="1">
        <v>318.36</v>
      </c>
    </row>
    <row r="698" spans="1:3" x14ac:dyDescent="0.2">
      <c r="A698" s="2">
        <v>45209</v>
      </c>
      <c r="B698" s="1" t="s">
        <v>10</v>
      </c>
      <c r="C698" s="1">
        <v>321.83999999999997</v>
      </c>
    </row>
    <row r="699" spans="1:3" x14ac:dyDescent="0.2">
      <c r="A699" s="2">
        <v>45210</v>
      </c>
      <c r="B699" s="1" t="s">
        <v>10</v>
      </c>
      <c r="C699" s="1">
        <v>327.82</v>
      </c>
    </row>
    <row r="700" spans="1:3" x14ac:dyDescent="0.2">
      <c r="A700" s="2">
        <v>45211</v>
      </c>
      <c r="B700" s="1" t="s">
        <v>10</v>
      </c>
      <c r="C700" s="1">
        <v>324.16000000000003</v>
      </c>
    </row>
    <row r="701" spans="1:3" x14ac:dyDescent="0.2">
      <c r="A701" s="2">
        <v>45212</v>
      </c>
      <c r="B701" s="1" t="s">
        <v>10</v>
      </c>
      <c r="C701" s="1">
        <v>314.69</v>
      </c>
    </row>
    <row r="702" spans="1:3" x14ac:dyDescent="0.2">
      <c r="A702" s="2">
        <v>45215</v>
      </c>
      <c r="B702" s="1" t="s">
        <v>10</v>
      </c>
      <c r="C702" s="1">
        <v>321.14999999999998</v>
      </c>
    </row>
    <row r="703" spans="1:3" x14ac:dyDescent="0.2">
      <c r="A703" s="2">
        <v>45216</v>
      </c>
      <c r="B703" s="1" t="s">
        <v>10</v>
      </c>
      <c r="C703" s="1">
        <v>324</v>
      </c>
    </row>
    <row r="704" spans="1:3" x14ac:dyDescent="0.2">
      <c r="A704" s="2">
        <v>45217</v>
      </c>
      <c r="B704" s="1" t="s">
        <v>10</v>
      </c>
      <c r="C704" s="1">
        <v>316.97000000000003</v>
      </c>
    </row>
    <row r="705" spans="1:3" x14ac:dyDescent="0.2">
      <c r="A705" s="2">
        <v>45218</v>
      </c>
      <c r="B705" s="1" t="s">
        <v>10</v>
      </c>
      <c r="C705" s="1">
        <v>312.81</v>
      </c>
    </row>
    <row r="706" spans="1:3" x14ac:dyDescent="0.2">
      <c r="A706" s="2">
        <v>45219</v>
      </c>
      <c r="B706" s="1" t="s">
        <v>10</v>
      </c>
      <c r="C706" s="1">
        <v>308.64999999999998</v>
      </c>
    </row>
    <row r="707" spans="1:3" x14ac:dyDescent="0.2">
      <c r="A707" s="2">
        <v>45222</v>
      </c>
      <c r="B707" s="1" t="s">
        <v>10</v>
      </c>
      <c r="C707" s="1">
        <v>314.01</v>
      </c>
    </row>
    <row r="708" spans="1:3" x14ac:dyDescent="0.2">
      <c r="A708" s="2">
        <v>45223</v>
      </c>
      <c r="B708" s="1" t="s">
        <v>10</v>
      </c>
      <c r="C708" s="1">
        <v>312.55</v>
      </c>
    </row>
    <row r="709" spans="1:3" x14ac:dyDescent="0.2">
      <c r="A709" s="2">
        <v>45224</v>
      </c>
      <c r="B709" s="1" t="s">
        <v>10</v>
      </c>
      <c r="C709" s="1">
        <v>299.52999999999997</v>
      </c>
    </row>
    <row r="710" spans="1:3" x14ac:dyDescent="0.2">
      <c r="A710" s="2">
        <v>45225</v>
      </c>
      <c r="B710" s="1" t="s">
        <v>10</v>
      </c>
      <c r="C710" s="1">
        <v>288.35000000000002</v>
      </c>
    </row>
    <row r="711" spans="1:3" x14ac:dyDescent="0.2">
      <c r="A711" s="2">
        <v>45226</v>
      </c>
      <c r="B711" s="1" t="s">
        <v>10</v>
      </c>
      <c r="C711" s="1">
        <v>296.73</v>
      </c>
    </row>
    <row r="712" spans="1:3" x14ac:dyDescent="0.2">
      <c r="A712" s="2">
        <v>45229</v>
      </c>
      <c r="B712" s="1" t="s">
        <v>10</v>
      </c>
      <c r="C712" s="1">
        <v>302.66000000000003</v>
      </c>
    </row>
    <row r="713" spans="1:3" x14ac:dyDescent="0.2">
      <c r="A713" s="2">
        <v>45230</v>
      </c>
      <c r="B713" s="1" t="s">
        <v>10</v>
      </c>
      <c r="C713" s="1">
        <v>301.27</v>
      </c>
    </row>
    <row r="714" spans="1:3" x14ac:dyDescent="0.2">
      <c r="A714" s="2">
        <v>45231</v>
      </c>
      <c r="B714" s="1" t="s">
        <v>10</v>
      </c>
      <c r="C714" s="1">
        <v>311.85000000000002</v>
      </c>
    </row>
    <row r="715" spans="1:3" x14ac:dyDescent="0.2">
      <c r="A715" s="2">
        <v>45232</v>
      </c>
      <c r="B715" s="1" t="s">
        <v>10</v>
      </c>
      <c r="C715" s="1">
        <v>310.87</v>
      </c>
    </row>
    <row r="716" spans="1:3" x14ac:dyDescent="0.2">
      <c r="A716" s="2">
        <v>45233</v>
      </c>
      <c r="B716" s="1" t="s">
        <v>10</v>
      </c>
      <c r="C716" s="1">
        <v>314.60000000000002</v>
      </c>
    </row>
    <row r="717" spans="1:3" x14ac:dyDescent="0.2">
      <c r="A717" s="2">
        <v>45236</v>
      </c>
      <c r="B717" s="1" t="s">
        <v>10</v>
      </c>
      <c r="C717" s="1">
        <v>315.8</v>
      </c>
    </row>
    <row r="718" spans="1:3" x14ac:dyDescent="0.2">
      <c r="A718" s="2">
        <v>45237</v>
      </c>
      <c r="B718" s="1" t="s">
        <v>10</v>
      </c>
      <c r="C718" s="1">
        <v>318.82</v>
      </c>
    </row>
    <row r="719" spans="1:3" x14ac:dyDescent="0.2">
      <c r="A719" s="2">
        <v>45238</v>
      </c>
      <c r="B719" s="1" t="s">
        <v>10</v>
      </c>
      <c r="C719" s="1">
        <v>319.77999999999997</v>
      </c>
    </row>
    <row r="720" spans="1:3" x14ac:dyDescent="0.2">
      <c r="A720" s="2">
        <v>45239</v>
      </c>
      <c r="B720" s="1" t="s">
        <v>10</v>
      </c>
      <c r="C720" s="1">
        <v>320.55</v>
      </c>
    </row>
    <row r="721" spans="1:3" x14ac:dyDescent="0.2">
      <c r="A721" s="2">
        <v>45240</v>
      </c>
      <c r="B721" s="1" t="s">
        <v>10</v>
      </c>
      <c r="C721" s="1">
        <v>328.77</v>
      </c>
    </row>
    <row r="722" spans="1:3" x14ac:dyDescent="0.2">
      <c r="A722" s="2">
        <v>45243</v>
      </c>
      <c r="B722" s="1" t="s">
        <v>10</v>
      </c>
      <c r="C722" s="1">
        <v>329.19</v>
      </c>
    </row>
    <row r="723" spans="1:3" x14ac:dyDescent="0.2">
      <c r="A723" s="2">
        <v>45244</v>
      </c>
      <c r="B723" s="1" t="s">
        <v>10</v>
      </c>
      <c r="C723" s="1">
        <v>336.31</v>
      </c>
    </row>
    <row r="724" spans="1:3" x14ac:dyDescent="0.2">
      <c r="A724" s="2">
        <v>45245</v>
      </c>
      <c r="B724" s="1" t="s">
        <v>10</v>
      </c>
      <c r="C724" s="1">
        <v>332.71</v>
      </c>
    </row>
    <row r="725" spans="1:3" x14ac:dyDescent="0.2">
      <c r="A725" s="2">
        <v>45246</v>
      </c>
      <c r="B725" s="1" t="s">
        <v>10</v>
      </c>
      <c r="C725" s="1">
        <v>334.19</v>
      </c>
    </row>
    <row r="726" spans="1:3" x14ac:dyDescent="0.2">
      <c r="A726" s="2">
        <v>45247</v>
      </c>
      <c r="B726" s="1" t="s">
        <v>10</v>
      </c>
      <c r="C726" s="1">
        <v>335.04</v>
      </c>
    </row>
    <row r="727" spans="1:3" x14ac:dyDescent="0.2">
      <c r="A727" s="2">
        <v>45250</v>
      </c>
      <c r="B727" s="1" t="s">
        <v>10</v>
      </c>
      <c r="C727" s="1">
        <v>339.97</v>
      </c>
    </row>
    <row r="728" spans="1:3" x14ac:dyDescent="0.2">
      <c r="A728" s="2">
        <v>45251</v>
      </c>
      <c r="B728" s="1" t="s">
        <v>10</v>
      </c>
      <c r="C728" s="1">
        <v>336.98</v>
      </c>
    </row>
    <row r="729" spans="1:3" x14ac:dyDescent="0.2">
      <c r="A729" s="2">
        <v>45252</v>
      </c>
      <c r="B729" s="1" t="s">
        <v>10</v>
      </c>
      <c r="C729" s="1">
        <v>341.49</v>
      </c>
    </row>
    <row r="730" spans="1:3" x14ac:dyDescent="0.2">
      <c r="A730" s="2">
        <v>45254</v>
      </c>
      <c r="B730" s="1" t="s">
        <v>10</v>
      </c>
      <c r="C730" s="1">
        <v>338.23</v>
      </c>
    </row>
    <row r="731" spans="1:3" x14ac:dyDescent="0.2">
      <c r="A731" s="2">
        <v>45257</v>
      </c>
      <c r="B731" s="1" t="s">
        <v>10</v>
      </c>
      <c r="C731" s="1">
        <v>334.7</v>
      </c>
    </row>
    <row r="732" spans="1:3" x14ac:dyDescent="0.2">
      <c r="A732" s="2">
        <v>45258</v>
      </c>
      <c r="B732" s="1" t="s">
        <v>10</v>
      </c>
      <c r="C732" s="1">
        <v>338.99</v>
      </c>
    </row>
    <row r="733" spans="1:3" x14ac:dyDescent="0.2">
      <c r="A733" s="2">
        <v>45259</v>
      </c>
      <c r="B733" s="1" t="s">
        <v>10</v>
      </c>
      <c r="C733" s="1">
        <v>332.2</v>
      </c>
    </row>
    <row r="734" spans="1:3" x14ac:dyDescent="0.2">
      <c r="A734" s="2">
        <v>45260</v>
      </c>
      <c r="B734" s="1" t="s">
        <v>10</v>
      </c>
      <c r="C734" s="1">
        <v>327.14999999999998</v>
      </c>
    </row>
    <row r="735" spans="1:3" x14ac:dyDescent="0.2">
      <c r="A735" s="2">
        <v>45261</v>
      </c>
      <c r="B735" s="1" t="s">
        <v>10</v>
      </c>
      <c r="C735" s="1">
        <v>324.82</v>
      </c>
    </row>
    <row r="736" spans="1:3" x14ac:dyDescent="0.2">
      <c r="A736" s="2">
        <v>45264</v>
      </c>
      <c r="B736" s="1" t="s">
        <v>10</v>
      </c>
      <c r="C736" s="1">
        <v>320.02</v>
      </c>
    </row>
    <row r="737" spans="1:3" x14ac:dyDescent="0.2">
      <c r="A737" s="2">
        <v>45265</v>
      </c>
      <c r="B737" s="1" t="s">
        <v>10</v>
      </c>
      <c r="C737" s="1">
        <v>318.29000000000002</v>
      </c>
    </row>
    <row r="738" spans="1:3" x14ac:dyDescent="0.2">
      <c r="A738" s="2">
        <v>45266</v>
      </c>
      <c r="B738" s="1" t="s">
        <v>10</v>
      </c>
      <c r="C738" s="1">
        <v>317.45</v>
      </c>
    </row>
    <row r="739" spans="1:3" x14ac:dyDescent="0.2">
      <c r="A739" s="2">
        <v>45267</v>
      </c>
      <c r="B739" s="1" t="s">
        <v>10</v>
      </c>
      <c r="C739" s="1">
        <v>326.58999999999997</v>
      </c>
    </row>
    <row r="740" spans="1:3" x14ac:dyDescent="0.2">
      <c r="A740" s="2">
        <v>45268</v>
      </c>
      <c r="B740" s="1" t="s">
        <v>10</v>
      </c>
      <c r="C740" s="1">
        <v>332.75</v>
      </c>
    </row>
    <row r="741" spans="1:3" x14ac:dyDescent="0.2">
      <c r="A741" s="2">
        <v>45271</v>
      </c>
      <c r="B741" s="1" t="s">
        <v>10</v>
      </c>
      <c r="C741" s="1">
        <v>325.27999999999997</v>
      </c>
    </row>
    <row r="742" spans="1:3" x14ac:dyDescent="0.2">
      <c r="A742" s="2">
        <v>45272</v>
      </c>
      <c r="B742" s="1" t="s">
        <v>10</v>
      </c>
      <c r="C742" s="1">
        <v>334.22</v>
      </c>
    </row>
    <row r="743" spans="1:3" x14ac:dyDescent="0.2">
      <c r="A743" s="2">
        <v>45273</v>
      </c>
      <c r="B743" s="1" t="s">
        <v>10</v>
      </c>
      <c r="C743" s="1">
        <v>334.74</v>
      </c>
    </row>
    <row r="744" spans="1:3" x14ac:dyDescent="0.2">
      <c r="A744" s="2">
        <v>45274</v>
      </c>
      <c r="B744" s="1" t="s">
        <v>10</v>
      </c>
      <c r="C744" s="1">
        <v>333.17</v>
      </c>
    </row>
    <row r="745" spans="1:3" x14ac:dyDescent="0.2">
      <c r="A745" s="2">
        <v>45275</v>
      </c>
      <c r="B745" s="1" t="s">
        <v>10</v>
      </c>
      <c r="C745" s="1">
        <v>334.92</v>
      </c>
    </row>
    <row r="746" spans="1:3" x14ac:dyDescent="0.2">
      <c r="A746" s="2">
        <v>45278</v>
      </c>
      <c r="B746" s="1" t="s">
        <v>10</v>
      </c>
      <c r="C746" s="1">
        <v>344.62</v>
      </c>
    </row>
    <row r="747" spans="1:3" x14ac:dyDescent="0.2">
      <c r="A747" s="2">
        <v>45279</v>
      </c>
      <c r="B747" s="1" t="s">
        <v>10</v>
      </c>
      <c r="C747" s="1">
        <v>350.36</v>
      </c>
    </row>
    <row r="748" spans="1:3" x14ac:dyDescent="0.2">
      <c r="A748" s="2">
        <v>45280</v>
      </c>
      <c r="B748" s="1" t="s">
        <v>10</v>
      </c>
      <c r="C748" s="1">
        <v>349.28</v>
      </c>
    </row>
    <row r="749" spans="1:3" x14ac:dyDescent="0.2">
      <c r="A749" s="2">
        <v>45281</v>
      </c>
      <c r="B749" s="1" t="s">
        <v>10</v>
      </c>
      <c r="C749" s="1">
        <v>354.09</v>
      </c>
    </row>
    <row r="750" spans="1:3" x14ac:dyDescent="0.2">
      <c r="A750" s="2">
        <v>45282</v>
      </c>
      <c r="B750" s="1" t="s">
        <v>10</v>
      </c>
      <c r="C750" s="1">
        <v>353.39</v>
      </c>
    </row>
    <row r="751" spans="1:3" x14ac:dyDescent="0.2">
      <c r="A751" s="2">
        <v>45286</v>
      </c>
      <c r="B751" s="1" t="s">
        <v>10</v>
      </c>
      <c r="C751" s="1">
        <v>354.83</v>
      </c>
    </row>
    <row r="752" spans="1:3" x14ac:dyDescent="0.2">
      <c r="A752" s="2">
        <v>45287</v>
      </c>
      <c r="B752" s="1" t="s">
        <v>10</v>
      </c>
      <c r="C752" s="1">
        <v>357.83</v>
      </c>
    </row>
    <row r="753" spans="1:3" x14ac:dyDescent="0.2">
      <c r="A753" s="2">
        <v>45288</v>
      </c>
      <c r="B753" s="1" t="s">
        <v>10</v>
      </c>
      <c r="C753" s="1">
        <v>358.32</v>
      </c>
    </row>
    <row r="754" spans="1:3" x14ac:dyDescent="0.2">
      <c r="A754" s="2">
        <v>45289</v>
      </c>
      <c r="B754" s="1" t="s">
        <v>10</v>
      </c>
      <c r="C754" s="1">
        <v>353.96</v>
      </c>
    </row>
    <row r="755" spans="1:3" x14ac:dyDescent="0.2">
      <c r="A755" s="2">
        <v>45293</v>
      </c>
      <c r="B755" s="1" t="s">
        <v>10</v>
      </c>
      <c r="C755" s="1">
        <v>346.29</v>
      </c>
    </row>
    <row r="756" spans="1:3" x14ac:dyDescent="0.2">
      <c r="A756" s="2">
        <v>45294</v>
      </c>
      <c r="B756" s="1" t="s">
        <v>10</v>
      </c>
      <c r="C756" s="1">
        <v>344.47</v>
      </c>
    </row>
    <row r="757" spans="1:3" x14ac:dyDescent="0.2">
      <c r="A757" s="2">
        <v>45295</v>
      </c>
      <c r="B757" s="1" t="s">
        <v>10</v>
      </c>
      <c r="C757" s="1">
        <v>347.12</v>
      </c>
    </row>
    <row r="758" spans="1:3" x14ac:dyDescent="0.2">
      <c r="A758" s="2">
        <v>45296</v>
      </c>
      <c r="B758" s="1" t="s">
        <v>10</v>
      </c>
      <c r="C758" s="1">
        <v>351.95</v>
      </c>
    </row>
    <row r="759" spans="1:3" x14ac:dyDescent="0.2">
      <c r="A759" s="2">
        <v>45299</v>
      </c>
      <c r="B759" s="1" t="s">
        <v>10</v>
      </c>
      <c r="C759" s="1">
        <v>358.66</v>
      </c>
    </row>
    <row r="760" spans="1:3" x14ac:dyDescent="0.2">
      <c r="A760" s="2">
        <v>45300</v>
      </c>
      <c r="B760" s="1" t="s">
        <v>10</v>
      </c>
      <c r="C760" s="1">
        <v>357.43</v>
      </c>
    </row>
    <row r="761" spans="1:3" x14ac:dyDescent="0.2">
      <c r="A761" s="2">
        <v>45301</v>
      </c>
      <c r="B761" s="1" t="s">
        <v>10</v>
      </c>
      <c r="C761" s="1">
        <v>370.47</v>
      </c>
    </row>
    <row r="762" spans="1:3" x14ac:dyDescent="0.2">
      <c r="A762" s="2">
        <v>45302</v>
      </c>
      <c r="B762" s="1" t="s">
        <v>10</v>
      </c>
      <c r="C762" s="1">
        <v>369.67</v>
      </c>
    </row>
    <row r="763" spans="1:3" x14ac:dyDescent="0.2">
      <c r="A763" s="2">
        <v>45303</v>
      </c>
      <c r="B763" s="1" t="s">
        <v>10</v>
      </c>
      <c r="C763" s="1">
        <v>374.49</v>
      </c>
    </row>
    <row r="764" spans="1:3" x14ac:dyDescent="0.2">
      <c r="A764" s="2">
        <v>45307</v>
      </c>
      <c r="B764" s="1" t="s">
        <v>10</v>
      </c>
      <c r="C764" s="1">
        <v>367.46</v>
      </c>
    </row>
    <row r="765" spans="1:3" x14ac:dyDescent="0.2">
      <c r="A765" s="2">
        <v>45308</v>
      </c>
      <c r="B765" s="1" t="s">
        <v>10</v>
      </c>
      <c r="C765" s="1">
        <v>368.37</v>
      </c>
    </row>
    <row r="766" spans="1:3" x14ac:dyDescent="0.2">
      <c r="A766" s="2">
        <v>45309</v>
      </c>
      <c r="B766" s="1" t="s">
        <v>10</v>
      </c>
      <c r="C766" s="1">
        <v>376.13</v>
      </c>
    </row>
    <row r="767" spans="1:3" x14ac:dyDescent="0.2">
      <c r="A767" s="2">
        <v>45310</v>
      </c>
      <c r="B767" s="1" t="s">
        <v>10</v>
      </c>
      <c r="C767" s="1">
        <v>383.45</v>
      </c>
    </row>
    <row r="768" spans="1:3" x14ac:dyDescent="0.2">
      <c r="A768" s="2">
        <v>45313</v>
      </c>
      <c r="B768" s="1" t="s">
        <v>10</v>
      </c>
      <c r="C768" s="1">
        <v>381.78</v>
      </c>
    </row>
    <row r="769" spans="1:3" x14ac:dyDescent="0.2">
      <c r="A769" s="2">
        <v>45314</v>
      </c>
      <c r="B769" s="1" t="s">
        <v>10</v>
      </c>
      <c r="C769" s="1">
        <v>385.2</v>
      </c>
    </row>
    <row r="770" spans="1:3" x14ac:dyDescent="0.2">
      <c r="A770" s="2">
        <v>45315</v>
      </c>
      <c r="B770" s="1" t="s">
        <v>10</v>
      </c>
      <c r="C770" s="1">
        <v>390.7</v>
      </c>
    </row>
    <row r="771" spans="1:3" x14ac:dyDescent="0.2">
      <c r="A771" s="2">
        <v>45316</v>
      </c>
      <c r="B771" s="1" t="s">
        <v>10</v>
      </c>
      <c r="C771" s="1">
        <v>393.18</v>
      </c>
    </row>
    <row r="772" spans="1:3" x14ac:dyDescent="0.2">
      <c r="A772" s="2">
        <v>45317</v>
      </c>
      <c r="B772" s="1" t="s">
        <v>10</v>
      </c>
      <c r="C772" s="1">
        <v>394.14</v>
      </c>
    </row>
    <row r="773" spans="1:3" x14ac:dyDescent="0.2">
      <c r="A773" s="2">
        <v>45320</v>
      </c>
      <c r="B773" s="1" t="s">
        <v>10</v>
      </c>
      <c r="C773" s="1">
        <v>401.02</v>
      </c>
    </row>
    <row r="774" spans="1:3" x14ac:dyDescent="0.2">
      <c r="A774" s="2">
        <v>45321</v>
      </c>
      <c r="B774" s="1" t="s">
        <v>10</v>
      </c>
      <c r="C774" s="1">
        <v>400.06</v>
      </c>
    </row>
    <row r="775" spans="1:3" x14ac:dyDescent="0.2">
      <c r="A775" s="2">
        <v>45322</v>
      </c>
      <c r="B775" s="1" t="s">
        <v>10</v>
      </c>
      <c r="C775" s="1">
        <v>390.14</v>
      </c>
    </row>
    <row r="776" spans="1:3" x14ac:dyDescent="0.2">
      <c r="A776" s="2">
        <v>45323</v>
      </c>
      <c r="B776" s="1" t="s">
        <v>10</v>
      </c>
      <c r="C776" s="1">
        <v>394.78</v>
      </c>
    </row>
    <row r="777" spans="1:3" x14ac:dyDescent="0.2">
      <c r="A777" s="2">
        <v>45324</v>
      </c>
      <c r="B777" s="1" t="s">
        <v>10</v>
      </c>
      <c r="C777" s="1">
        <v>474.99</v>
      </c>
    </row>
    <row r="778" spans="1:3" x14ac:dyDescent="0.2">
      <c r="A778" s="2">
        <v>45327</v>
      </c>
      <c r="B778" s="1" t="s">
        <v>10</v>
      </c>
      <c r="C778" s="1">
        <v>459.41</v>
      </c>
    </row>
    <row r="779" spans="1:3" x14ac:dyDescent="0.2">
      <c r="A779" s="2">
        <v>45328</v>
      </c>
      <c r="B779" s="1" t="s">
        <v>10</v>
      </c>
      <c r="C779" s="1">
        <v>454.72</v>
      </c>
    </row>
    <row r="780" spans="1:3" x14ac:dyDescent="0.2">
      <c r="A780" s="2">
        <v>45329</v>
      </c>
      <c r="B780" s="1" t="s">
        <v>10</v>
      </c>
      <c r="C780" s="1">
        <v>469.59</v>
      </c>
    </row>
    <row r="781" spans="1:3" x14ac:dyDescent="0.2">
      <c r="A781" s="2">
        <v>45330</v>
      </c>
      <c r="B781" s="1" t="s">
        <v>10</v>
      </c>
      <c r="C781" s="1">
        <v>470</v>
      </c>
    </row>
    <row r="782" spans="1:3" x14ac:dyDescent="0.2">
      <c r="A782" s="2">
        <v>45331</v>
      </c>
      <c r="B782" s="1" t="s">
        <v>10</v>
      </c>
      <c r="C782" s="1">
        <v>468.11</v>
      </c>
    </row>
    <row r="783" spans="1:3" x14ac:dyDescent="0.2">
      <c r="A783" s="2">
        <v>45334</v>
      </c>
      <c r="B783" s="1" t="s">
        <v>10</v>
      </c>
      <c r="C783" s="1">
        <v>468.9</v>
      </c>
    </row>
    <row r="784" spans="1:3" x14ac:dyDescent="0.2">
      <c r="A784" s="2">
        <v>45335</v>
      </c>
      <c r="B784" s="1" t="s">
        <v>10</v>
      </c>
      <c r="C784" s="1">
        <v>460.12</v>
      </c>
    </row>
    <row r="785" spans="1:3" x14ac:dyDescent="0.2">
      <c r="A785" s="2">
        <v>45336</v>
      </c>
      <c r="B785" s="1" t="s">
        <v>10</v>
      </c>
      <c r="C785" s="1">
        <v>473.28</v>
      </c>
    </row>
    <row r="786" spans="1:3" x14ac:dyDescent="0.2">
      <c r="A786" s="2">
        <v>45337</v>
      </c>
      <c r="B786" s="1" t="s">
        <v>10</v>
      </c>
      <c r="C786" s="1">
        <v>484.03</v>
      </c>
    </row>
    <row r="787" spans="1:3" x14ac:dyDescent="0.2">
      <c r="A787" s="2">
        <v>45338</v>
      </c>
      <c r="B787" s="1" t="s">
        <v>10</v>
      </c>
      <c r="C787" s="1">
        <v>473.32</v>
      </c>
    </row>
    <row r="788" spans="1:3" x14ac:dyDescent="0.2">
      <c r="A788" s="2">
        <v>45342</v>
      </c>
      <c r="B788" s="1" t="s">
        <v>10</v>
      </c>
      <c r="C788" s="1">
        <v>471.75</v>
      </c>
    </row>
    <row r="789" spans="1:3" x14ac:dyDescent="0.2">
      <c r="A789" s="2">
        <v>45343</v>
      </c>
      <c r="B789" s="1" t="s">
        <v>10</v>
      </c>
      <c r="C789" s="1">
        <v>468.03</v>
      </c>
    </row>
    <row r="790" spans="1:3" x14ac:dyDescent="0.2">
      <c r="A790" s="2">
        <v>45344</v>
      </c>
      <c r="B790" s="1" t="s">
        <v>10</v>
      </c>
      <c r="C790" s="1">
        <v>486.13</v>
      </c>
    </row>
    <row r="791" spans="1:3" x14ac:dyDescent="0.2">
      <c r="A791" s="2">
        <v>45345</v>
      </c>
      <c r="B791" s="1" t="s">
        <v>10</v>
      </c>
      <c r="C791" s="1">
        <v>484.03</v>
      </c>
    </row>
    <row r="792" spans="1:3" x14ac:dyDescent="0.2">
      <c r="A792" s="2">
        <v>45348</v>
      </c>
      <c r="B792" s="1" t="s">
        <v>10</v>
      </c>
      <c r="C792" s="1">
        <v>481.74</v>
      </c>
    </row>
    <row r="793" spans="1:3" x14ac:dyDescent="0.2">
      <c r="A793" s="2">
        <v>45349</v>
      </c>
      <c r="B793" s="1" t="s">
        <v>10</v>
      </c>
      <c r="C793" s="1">
        <v>487.05</v>
      </c>
    </row>
    <row r="794" spans="1:3" x14ac:dyDescent="0.2">
      <c r="A794" s="2">
        <v>45350</v>
      </c>
      <c r="B794" s="1" t="s">
        <v>10</v>
      </c>
      <c r="C794" s="1">
        <v>484.02</v>
      </c>
    </row>
    <row r="795" spans="1:3" x14ac:dyDescent="0.2">
      <c r="A795" s="2">
        <v>45351</v>
      </c>
      <c r="B795" s="1" t="s">
        <v>10</v>
      </c>
      <c r="C795" s="1">
        <v>490.13</v>
      </c>
    </row>
    <row r="796" spans="1:3" x14ac:dyDescent="0.2">
      <c r="A796" s="2">
        <v>45352</v>
      </c>
      <c r="B796" s="1" t="s">
        <v>10</v>
      </c>
      <c r="C796" s="1">
        <v>502.3</v>
      </c>
    </row>
    <row r="797" spans="1:3" x14ac:dyDescent="0.2">
      <c r="A797" s="2">
        <v>45355</v>
      </c>
      <c r="B797" s="1" t="s">
        <v>10</v>
      </c>
      <c r="C797" s="1">
        <v>498.19</v>
      </c>
    </row>
    <row r="798" spans="1:3" x14ac:dyDescent="0.2">
      <c r="A798" s="2">
        <v>45356</v>
      </c>
      <c r="B798" s="1" t="s">
        <v>10</v>
      </c>
      <c r="C798" s="1">
        <v>490.22</v>
      </c>
    </row>
    <row r="799" spans="1:3" x14ac:dyDescent="0.2">
      <c r="A799" s="2">
        <v>45357</v>
      </c>
      <c r="B799" s="1" t="s">
        <v>10</v>
      </c>
      <c r="C799" s="1">
        <v>496.09</v>
      </c>
    </row>
    <row r="800" spans="1:3" x14ac:dyDescent="0.2">
      <c r="A800" s="2">
        <v>45358</v>
      </c>
      <c r="B800" s="1" t="s">
        <v>10</v>
      </c>
      <c r="C800" s="1">
        <v>512.19000000000005</v>
      </c>
    </row>
    <row r="801" spans="1:3" x14ac:dyDescent="0.2">
      <c r="A801" s="2">
        <v>45359</v>
      </c>
      <c r="B801" s="1" t="s">
        <v>10</v>
      </c>
      <c r="C801" s="1">
        <v>505.95</v>
      </c>
    </row>
    <row r="802" spans="1:3" x14ac:dyDescent="0.2">
      <c r="A802" s="2">
        <v>45362</v>
      </c>
      <c r="B802" s="1" t="s">
        <v>10</v>
      </c>
      <c r="C802" s="1">
        <v>483.59</v>
      </c>
    </row>
    <row r="803" spans="1:3" x14ac:dyDescent="0.2">
      <c r="A803" s="2">
        <v>45363</v>
      </c>
      <c r="B803" s="1" t="s">
        <v>10</v>
      </c>
      <c r="C803" s="1">
        <v>499.75</v>
      </c>
    </row>
    <row r="804" spans="1:3" x14ac:dyDescent="0.2">
      <c r="A804" s="2">
        <v>45364</v>
      </c>
      <c r="B804" s="1" t="s">
        <v>10</v>
      </c>
      <c r="C804" s="1">
        <v>495.57</v>
      </c>
    </row>
    <row r="805" spans="1:3" x14ac:dyDescent="0.2">
      <c r="A805" s="2">
        <v>45365</v>
      </c>
      <c r="B805" s="1" t="s">
        <v>10</v>
      </c>
      <c r="C805" s="1">
        <v>491.83</v>
      </c>
    </row>
    <row r="806" spans="1:3" x14ac:dyDescent="0.2">
      <c r="A806" s="2">
        <v>45366</v>
      </c>
      <c r="B806" s="1" t="s">
        <v>10</v>
      </c>
      <c r="C806" s="1">
        <v>484.1</v>
      </c>
    </row>
    <row r="807" spans="1:3" x14ac:dyDescent="0.2">
      <c r="A807" s="2">
        <v>45369</v>
      </c>
      <c r="B807" s="1" t="s">
        <v>10</v>
      </c>
      <c r="C807" s="1">
        <v>496.98</v>
      </c>
    </row>
    <row r="808" spans="1:3" x14ac:dyDescent="0.2">
      <c r="A808" s="2">
        <v>45370</v>
      </c>
      <c r="B808" s="1" t="s">
        <v>10</v>
      </c>
      <c r="C808" s="1">
        <v>496.24</v>
      </c>
    </row>
    <row r="809" spans="1:3" x14ac:dyDescent="0.2">
      <c r="A809" s="2">
        <v>45371</v>
      </c>
      <c r="B809" s="1" t="s">
        <v>10</v>
      </c>
      <c r="C809" s="1">
        <v>505.52</v>
      </c>
    </row>
    <row r="810" spans="1:3" x14ac:dyDescent="0.2">
      <c r="A810" s="2">
        <v>45372</v>
      </c>
      <c r="B810" s="1" t="s">
        <v>10</v>
      </c>
      <c r="C810" s="1">
        <v>507.76</v>
      </c>
    </row>
    <row r="811" spans="1:3" x14ac:dyDescent="0.2">
      <c r="A811" s="2">
        <v>45373</v>
      </c>
      <c r="B811" s="1" t="s">
        <v>10</v>
      </c>
      <c r="C811" s="1">
        <v>509.58</v>
      </c>
    </row>
    <row r="812" spans="1:3" x14ac:dyDescent="0.2">
      <c r="A812" s="2">
        <v>45376</v>
      </c>
      <c r="B812" s="1" t="s">
        <v>10</v>
      </c>
      <c r="C812" s="1">
        <v>503.02</v>
      </c>
    </row>
    <row r="813" spans="1:3" x14ac:dyDescent="0.2">
      <c r="A813" s="2">
        <v>45377</v>
      </c>
      <c r="B813" s="1" t="s">
        <v>10</v>
      </c>
      <c r="C813" s="1">
        <v>495.89</v>
      </c>
    </row>
    <row r="814" spans="1:3" x14ac:dyDescent="0.2">
      <c r="A814" s="2">
        <v>45378</v>
      </c>
      <c r="B814" s="1" t="s">
        <v>10</v>
      </c>
      <c r="C814" s="1">
        <v>493.86</v>
      </c>
    </row>
    <row r="815" spans="1:3" x14ac:dyDescent="0.2">
      <c r="A815" s="2">
        <v>45379</v>
      </c>
      <c r="B815" s="1" t="s">
        <v>10</v>
      </c>
      <c r="C815" s="1">
        <v>485.58</v>
      </c>
    </row>
    <row r="816" spans="1:3" x14ac:dyDescent="0.2">
      <c r="A816" s="2">
        <v>45383</v>
      </c>
      <c r="B816" s="1" t="s">
        <v>10</v>
      </c>
      <c r="C816" s="1">
        <v>491.35</v>
      </c>
    </row>
    <row r="817" spans="1:3" x14ac:dyDescent="0.2">
      <c r="A817" s="2">
        <v>45384</v>
      </c>
      <c r="B817" s="1" t="s">
        <v>10</v>
      </c>
      <c r="C817" s="1">
        <v>497.37</v>
      </c>
    </row>
    <row r="818" spans="1:3" x14ac:dyDescent="0.2">
      <c r="A818" s="2">
        <v>45385</v>
      </c>
      <c r="B818" s="1" t="s">
        <v>10</v>
      </c>
      <c r="C818" s="1">
        <v>506.74</v>
      </c>
    </row>
    <row r="819" spans="1:3" x14ac:dyDescent="0.2">
      <c r="A819" s="2">
        <v>45386</v>
      </c>
      <c r="B819" s="1" t="s">
        <v>10</v>
      </c>
      <c r="C819" s="1">
        <v>510.92</v>
      </c>
    </row>
    <row r="820" spans="1:3" x14ac:dyDescent="0.2">
      <c r="A820" s="2">
        <v>45387</v>
      </c>
      <c r="B820" s="1" t="s">
        <v>10</v>
      </c>
      <c r="C820" s="1">
        <v>527.34</v>
      </c>
    </row>
    <row r="821" spans="1:3" x14ac:dyDescent="0.2">
      <c r="A821" s="2">
        <v>45390</v>
      </c>
      <c r="B821" s="1" t="s">
        <v>10</v>
      </c>
      <c r="C821" s="1">
        <v>519.25</v>
      </c>
    </row>
    <row r="822" spans="1:3" x14ac:dyDescent="0.2">
      <c r="A822" s="2">
        <v>45391</v>
      </c>
      <c r="B822" s="1" t="s">
        <v>10</v>
      </c>
      <c r="C822" s="1">
        <v>516.9</v>
      </c>
    </row>
    <row r="823" spans="1:3" x14ac:dyDescent="0.2">
      <c r="A823" s="2">
        <v>45392</v>
      </c>
      <c r="B823" s="1" t="s">
        <v>10</v>
      </c>
      <c r="C823" s="1">
        <v>519.83000000000004</v>
      </c>
    </row>
    <row r="824" spans="1:3" x14ac:dyDescent="0.2">
      <c r="A824" s="2">
        <v>45393</v>
      </c>
      <c r="B824" s="1" t="s">
        <v>10</v>
      </c>
      <c r="C824" s="1">
        <v>523.16</v>
      </c>
    </row>
    <row r="825" spans="1:3" x14ac:dyDescent="0.2">
      <c r="A825" s="2">
        <v>45394</v>
      </c>
      <c r="B825" s="1" t="s">
        <v>10</v>
      </c>
      <c r="C825" s="1">
        <v>511.9</v>
      </c>
    </row>
    <row r="826" spans="1:3" x14ac:dyDescent="0.2">
      <c r="A826" s="2">
        <v>45397</v>
      </c>
      <c r="B826" s="1" t="s">
        <v>10</v>
      </c>
      <c r="C826" s="1">
        <v>500.23</v>
      </c>
    </row>
    <row r="827" spans="1:3" x14ac:dyDescent="0.2">
      <c r="A827" s="2">
        <v>45398</v>
      </c>
      <c r="B827" s="1" t="s">
        <v>10</v>
      </c>
      <c r="C827" s="1">
        <v>499.76</v>
      </c>
    </row>
    <row r="828" spans="1:3" x14ac:dyDescent="0.2">
      <c r="A828" s="2">
        <v>45399</v>
      </c>
      <c r="B828" s="1" t="s">
        <v>10</v>
      </c>
      <c r="C828" s="1">
        <v>494.17</v>
      </c>
    </row>
    <row r="829" spans="1:3" x14ac:dyDescent="0.2">
      <c r="A829" s="2">
        <v>45400</v>
      </c>
      <c r="B829" s="1" t="s">
        <v>10</v>
      </c>
      <c r="C829" s="1">
        <v>501.8</v>
      </c>
    </row>
    <row r="830" spans="1:3" x14ac:dyDescent="0.2">
      <c r="A830" s="2">
        <v>45401</v>
      </c>
      <c r="B830" s="1" t="s">
        <v>10</v>
      </c>
      <c r="C830" s="1">
        <v>481.06</v>
      </c>
    </row>
    <row r="831" spans="1:3" x14ac:dyDescent="0.2">
      <c r="A831" s="2">
        <v>45404</v>
      </c>
      <c r="B831" s="1" t="s">
        <v>10</v>
      </c>
      <c r="C831" s="1">
        <v>481.73</v>
      </c>
    </row>
    <row r="832" spans="1:3" x14ac:dyDescent="0.2">
      <c r="A832" s="2">
        <v>45405</v>
      </c>
      <c r="B832" s="1" t="s">
        <v>10</v>
      </c>
      <c r="C832" s="1">
        <v>496.1</v>
      </c>
    </row>
    <row r="833" spans="1:3" x14ac:dyDescent="0.2">
      <c r="A833" s="2">
        <v>45406</v>
      </c>
      <c r="B833" s="1" t="s">
        <v>10</v>
      </c>
      <c r="C833" s="1">
        <v>493.5</v>
      </c>
    </row>
    <row r="834" spans="1:3" x14ac:dyDescent="0.2">
      <c r="A834" s="2">
        <v>45407</v>
      </c>
      <c r="B834" s="1" t="s">
        <v>10</v>
      </c>
      <c r="C834" s="1">
        <v>441.38</v>
      </c>
    </row>
    <row r="835" spans="1:3" x14ac:dyDescent="0.2">
      <c r="A835" s="2">
        <v>45408</v>
      </c>
      <c r="B835" s="1" t="s">
        <v>10</v>
      </c>
      <c r="C835" s="1">
        <v>443.29</v>
      </c>
    </row>
    <row r="836" spans="1:3" x14ac:dyDescent="0.2">
      <c r="A836" s="2">
        <v>45411</v>
      </c>
      <c r="B836" s="1" t="s">
        <v>10</v>
      </c>
      <c r="C836" s="1">
        <v>432.62</v>
      </c>
    </row>
    <row r="837" spans="1:3" x14ac:dyDescent="0.2">
      <c r="A837" s="2">
        <v>45412</v>
      </c>
      <c r="B837" s="1" t="s">
        <v>10</v>
      </c>
      <c r="C837" s="1">
        <v>430.17</v>
      </c>
    </row>
    <row r="838" spans="1:3" x14ac:dyDescent="0.2">
      <c r="A838" s="2">
        <v>45413</v>
      </c>
      <c r="B838" s="1" t="s">
        <v>10</v>
      </c>
      <c r="C838" s="1">
        <v>439.19</v>
      </c>
    </row>
    <row r="839" spans="1:3" x14ac:dyDescent="0.2">
      <c r="A839" s="2">
        <v>45414</v>
      </c>
      <c r="B839" s="1" t="s">
        <v>10</v>
      </c>
      <c r="C839" s="1">
        <v>441.68</v>
      </c>
    </row>
    <row r="840" spans="1:3" x14ac:dyDescent="0.2">
      <c r="A840" s="2">
        <v>45415</v>
      </c>
      <c r="B840" s="1" t="s">
        <v>10</v>
      </c>
      <c r="C840" s="1">
        <v>451.96</v>
      </c>
    </row>
    <row r="841" spans="1:3" x14ac:dyDescent="0.2">
      <c r="A841" s="2">
        <v>45418</v>
      </c>
      <c r="B841" s="1" t="s">
        <v>10</v>
      </c>
      <c r="C841" s="1">
        <v>465.68</v>
      </c>
    </row>
    <row r="842" spans="1:3" x14ac:dyDescent="0.2">
      <c r="A842" s="2">
        <v>45419</v>
      </c>
      <c r="B842" s="1" t="s">
        <v>10</v>
      </c>
      <c r="C842" s="1">
        <v>468.24</v>
      </c>
    </row>
    <row r="843" spans="1:3" x14ac:dyDescent="0.2">
      <c r="A843" s="2">
        <v>45420</v>
      </c>
      <c r="B843" s="1" t="s">
        <v>10</v>
      </c>
      <c r="C843" s="1">
        <v>472.6</v>
      </c>
    </row>
    <row r="844" spans="1:3" x14ac:dyDescent="0.2">
      <c r="A844" s="2">
        <v>45421</v>
      </c>
      <c r="B844" s="1" t="s">
        <v>10</v>
      </c>
      <c r="C844" s="1">
        <v>475.42</v>
      </c>
    </row>
    <row r="845" spans="1:3" x14ac:dyDescent="0.2">
      <c r="A845" s="2">
        <v>45422</v>
      </c>
      <c r="B845" s="1" t="s">
        <v>10</v>
      </c>
      <c r="C845" s="1">
        <v>476.2</v>
      </c>
    </row>
    <row r="846" spans="1:3" x14ac:dyDescent="0.2">
      <c r="A846" s="2">
        <v>45425</v>
      </c>
      <c r="B846" s="1" t="s">
        <v>10</v>
      </c>
      <c r="C846" s="1">
        <v>468.01</v>
      </c>
    </row>
    <row r="847" spans="1:3" x14ac:dyDescent="0.2">
      <c r="A847" s="2">
        <v>45426</v>
      </c>
      <c r="B847" s="1" t="s">
        <v>10</v>
      </c>
      <c r="C847" s="1">
        <v>471.85</v>
      </c>
    </row>
    <row r="848" spans="1:3" x14ac:dyDescent="0.2">
      <c r="A848" s="2">
        <v>45427</v>
      </c>
      <c r="B848" s="1" t="s">
        <v>10</v>
      </c>
      <c r="C848" s="1">
        <v>481.54</v>
      </c>
    </row>
    <row r="849" spans="1:3" x14ac:dyDescent="0.2">
      <c r="A849" s="2">
        <v>45428</v>
      </c>
      <c r="B849" s="1" t="s">
        <v>10</v>
      </c>
      <c r="C849" s="1">
        <v>473.23</v>
      </c>
    </row>
    <row r="850" spans="1:3" x14ac:dyDescent="0.2">
      <c r="A850" s="2">
        <v>45429</v>
      </c>
      <c r="B850" s="1" t="s">
        <v>10</v>
      </c>
      <c r="C850" s="1">
        <v>471.91</v>
      </c>
    </row>
    <row r="851" spans="1:3" x14ac:dyDescent="0.2">
      <c r="A851" s="2">
        <v>45432</v>
      </c>
      <c r="B851" s="1" t="s">
        <v>10</v>
      </c>
      <c r="C851" s="1">
        <v>468.84</v>
      </c>
    </row>
    <row r="852" spans="1:3" x14ac:dyDescent="0.2">
      <c r="A852" s="2">
        <v>45433</v>
      </c>
      <c r="B852" s="1" t="s">
        <v>10</v>
      </c>
      <c r="C852" s="1">
        <v>464.63</v>
      </c>
    </row>
    <row r="853" spans="1:3" x14ac:dyDescent="0.2">
      <c r="A853" s="2">
        <v>45434</v>
      </c>
      <c r="B853" s="1" t="s">
        <v>10</v>
      </c>
      <c r="C853" s="1">
        <v>467.78</v>
      </c>
    </row>
    <row r="854" spans="1:3" x14ac:dyDescent="0.2">
      <c r="A854" s="2">
        <v>45435</v>
      </c>
      <c r="B854" s="1" t="s">
        <v>10</v>
      </c>
      <c r="C854" s="1">
        <v>465.78</v>
      </c>
    </row>
    <row r="855" spans="1:3" x14ac:dyDescent="0.2">
      <c r="A855" s="2">
        <v>45436</v>
      </c>
      <c r="B855" s="1" t="s">
        <v>10</v>
      </c>
      <c r="C855" s="1">
        <v>478.22</v>
      </c>
    </row>
    <row r="856" spans="1:3" x14ac:dyDescent="0.2">
      <c r="A856" s="2">
        <v>45440</v>
      </c>
      <c r="B856" s="1" t="s">
        <v>10</v>
      </c>
      <c r="C856" s="1">
        <v>479.92</v>
      </c>
    </row>
    <row r="857" spans="1:3" x14ac:dyDescent="0.2">
      <c r="A857" s="2">
        <v>45441</v>
      </c>
      <c r="B857" s="1" t="s">
        <v>10</v>
      </c>
      <c r="C857" s="1">
        <v>474.36</v>
      </c>
    </row>
    <row r="858" spans="1:3" x14ac:dyDescent="0.2">
      <c r="A858" s="2">
        <v>45442</v>
      </c>
      <c r="B858" s="1" t="s">
        <v>10</v>
      </c>
      <c r="C858" s="1">
        <v>467.05</v>
      </c>
    </row>
    <row r="859" spans="1:3" x14ac:dyDescent="0.2">
      <c r="A859" s="2">
        <v>45443</v>
      </c>
      <c r="B859" s="1" t="s">
        <v>10</v>
      </c>
      <c r="C859" s="1">
        <v>466.83</v>
      </c>
    </row>
    <row r="860" spans="1:3" x14ac:dyDescent="0.2">
      <c r="A860" s="2">
        <v>45446</v>
      </c>
      <c r="B860" s="1" t="s">
        <v>10</v>
      </c>
      <c r="C860" s="1">
        <v>477.49</v>
      </c>
    </row>
    <row r="861" spans="1:3" x14ac:dyDescent="0.2">
      <c r="A861" s="2">
        <v>45447</v>
      </c>
      <c r="B861" s="1" t="s">
        <v>10</v>
      </c>
      <c r="C861" s="1">
        <v>476.99</v>
      </c>
    </row>
    <row r="862" spans="1:3" x14ac:dyDescent="0.2">
      <c r="A862" s="2">
        <v>45448</v>
      </c>
      <c r="B862" s="1" t="s">
        <v>10</v>
      </c>
      <c r="C862" s="1">
        <v>495.06</v>
      </c>
    </row>
    <row r="863" spans="1:3" x14ac:dyDescent="0.2">
      <c r="A863" s="2">
        <v>45449</v>
      </c>
      <c r="B863" s="1" t="s">
        <v>10</v>
      </c>
      <c r="C863" s="1">
        <v>493.76</v>
      </c>
    </row>
    <row r="864" spans="1:3" x14ac:dyDescent="0.2">
      <c r="A864" s="2">
        <v>45450</v>
      </c>
      <c r="B864" s="1" t="s">
        <v>10</v>
      </c>
      <c r="C864" s="1">
        <v>492.96</v>
      </c>
    </row>
    <row r="865" spans="1:3" x14ac:dyDescent="0.2">
      <c r="A865" s="2">
        <v>45453</v>
      </c>
      <c r="B865" s="1" t="s">
        <v>10</v>
      </c>
      <c r="C865" s="1">
        <v>502.6</v>
      </c>
    </row>
    <row r="866" spans="1:3" x14ac:dyDescent="0.2">
      <c r="A866" s="2">
        <v>45454</v>
      </c>
      <c r="B866" s="1" t="s">
        <v>10</v>
      </c>
      <c r="C866" s="1">
        <v>507.47</v>
      </c>
    </row>
    <row r="867" spans="1:3" x14ac:dyDescent="0.2">
      <c r="A867" s="2">
        <v>45455</v>
      </c>
      <c r="B867" s="1" t="s">
        <v>10</v>
      </c>
      <c r="C867" s="1">
        <v>508.84</v>
      </c>
    </row>
    <row r="868" spans="1:3" x14ac:dyDescent="0.2">
      <c r="A868" s="2">
        <v>45456</v>
      </c>
      <c r="B868" s="1" t="s">
        <v>10</v>
      </c>
      <c r="C868" s="1">
        <v>504.1</v>
      </c>
    </row>
    <row r="869" spans="1:3" x14ac:dyDescent="0.2">
      <c r="A869" s="2">
        <v>45457</v>
      </c>
      <c r="B869" s="1" t="s">
        <v>10</v>
      </c>
      <c r="C869" s="1">
        <v>504.16</v>
      </c>
    </row>
    <row r="870" spans="1:3" x14ac:dyDescent="0.2">
      <c r="A870" s="2">
        <v>45460</v>
      </c>
      <c r="B870" s="1" t="s">
        <v>10</v>
      </c>
      <c r="C870" s="1">
        <v>506.63</v>
      </c>
    </row>
    <row r="871" spans="1:3" x14ac:dyDescent="0.2">
      <c r="A871" s="2">
        <v>45461</v>
      </c>
      <c r="B871" s="1" t="s">
        <v>10</v>
      </c>
      <c r="C871" s="1">
        <v>499.49</v>
      </c>
    </row>
    <row r="872" spans="1:3" x14ac:dyDescent="0.2">
      <c r="A872" s="2">
        <v>45463</v>
      </c>
      <c r="B872" s="1" t="s">
        <v>10</v>
      </c>
      <c r="C872" s="1">
        <v>501.7</v>
      </c>
    </row>
    <row r="873" spans="1:3" x14ac:dyDescent="0.2">
      <c r="A873" s="2">
        <v>45464</v>
      </c>
      <c r="B873" s="1" t="s">
        <v>10</v>
      </c>
      <c r="C873" s="1">
        <v>494.78</v>
      </c>
    </row>
    <row r="874" spans="1:3" x14ac:dyDescent="0.2">
      <c r="A874" s="2">
        <v>45467</v>
      </c>
      <c r="B874" s="1" t="s">
        <v>10</v>
      </c>
      <c r="C874" s="1">
        <v>498.91</v>
      </c>
    </row>
    <row r="875" spans="1:3" x14ac:dyDescent="0.2">
      <c r="A875" s="2">
        <v>45468</v>
      </c>
      <c r="B875" s="1" t="s">
        <v>10</v>
      </c>
      <c r="C875" s="1">
        <v>510.6</v>
      </c>
    </row>
    <row r="876" spans="1:3" x14ac:dyDescent="0.2">
      <c r="A876" s="2">
        <v>45469</v>
      </c>
      <c r="B876" s="1" t="s">
        <v>10</v>
      </c>
      <c r="C876" s="1">
        <v>513.12</v>
      </c>
    </row>
    <row r="877" spans="1:3" x14ac:dyDescent="0.2">
      <c r="A877" s="2">
        <v>45470</v>
      </c>
      <c r="B877" s="1" t="s">
        <v>10</v>
      </c>
      <c r="C877" s="1">
        <v>519.55999999999995</v>
      </c>
    </row>
    <row r="878" spans="1:3" x14ac:dyDescent="0.2">
      <c r="A878" s="2">
        <v>45471</v>
      </c>
      <c r="B878" s="1" t="s">
        <v>10</v>
      </c>
      <c r="C878" s="1">
        <v>504.22</v>
      </c>
    </row>
    <row r="879" spans="1:3" x14ac:dyDescent="0.2">
      <c r="A879" s="2">
        <v>45474</v>
      </c>
      <c r="B879" s="1" t="s">
        <v>10</v>
      </c>
      <c r="C879" s="1">
        <v>504.68</v>
      </c>
    </row>
    <row r="880" spans="1:3" x14ac:dyDescent="0.2">
      <c r="A880" s="2">
        <v>45475</v>
      </c>
      <c r="B880" s="1" t="s">
        <v>10</v>
      </c>
      <c r="C880" s="1">
        <v>509.5</v>
      </c>
    </row>
    <row r="881" spans="1:3" x14ac:dyDescent="0.2">
      <c r="A881" s="2">
        <v>45476</v>
      </c>
      <c r="B881" s="1" t="s">
        <v>10</v>
      </c>
      <c r="C881" s="1">
        <v>509.96</v>
      </c>
    </row>
    <row r="882" spans="1:3" x14ac:dyDescent="0.2">
      <c r="A882" s="2">
        <v>45478</v>
      </c>
      <c r="B882" s="1" t="s">
        <v>10</v>
      </c>
      <c r="C882" s="1">
        <v>539.91</v>
      </c>
    </row>
    <row r="883" spans="1:3" x14ac:dyDescent="0.2">
      <c r="A883" s="2">
        <v>45481</v>
      </c>
      <c r="B883" s="1" t="s">
        <v>10</v>
      </c>
      <c r="C883" s="1">
        <v>529.32000000000005</v>
      </c>
    </row>
    <row r="884" spans="1:3" x14ac:dyDescent="0.2">
      <c r="A884" s="2">
        <v>45482</v>
      </c>
      <c r="B884" s="1" t="s">
        <v>10</v>
      </c>
      <c r="C884" s="1">
        <v>530</v>
      </c>
    </row>
    <row r="885" spans="1:3" x14ac:dyDescent="0.2">
      <c r="A885" s="2">
        <v>45483</v>
      </c>
      <c r="B885" s="1" t="s">
        <v>10</v>
      </c>
      <c r="C885" s="1">
        <v>534.69000000000005</v>
      </c>
    </row>
    <row r="886" spans="1:3" x14ac:dyDescent="0.2">
      <c r="A886" s="2">
        <v>45484</v>
      </c>
      <c r="B886" s="1" t="s">
        <v>10</v>
      </c>
      <c r="C886" s="1">
        <v>512.70000000000005</v>
      </c>
    </row>
    <row r="887" spans="1:3" x14ac:dyDescent="0.2">
      <c r="A887" s="2">
        <v>45485</v>
      </c>
      <c r="B887" s="1" t="s">
        <v>10</v>
      </c>
      <c r="C887" s="1">
        <v>498.87</v>
      </c>
    </row>
    <row r="888" spans="1:3" x14ac:dyDescent="0.2">
      <c r="A888" s="2">
        <v>45488</v>
      </c>
      <c r="B888" s="1" t="s">
        <v>10</v>
      </c>
      <c r="C888" s="1">
        <v>496.16</v>
      </c>
    </row>
    <row r="889" spans="1:3" x14ac:dyDescent="0.2">
      <c r="A889" s="2">
        <v>45489</v>
      </c>
      <c r="B889" s="1" t="s">
        <v>10</v>
      </c>
      <c r="C889" s="1">
        <v>489.79</v>
      </c>
    </row>
    <row r="890" spans="1:3" x14ac:dyDescent="0.2">
      <c r="A890" s="2">
        <v>45490</v>
      </c>
      <c r="B890" s="1" t="s">
        <v>10</v>
      </c>
      <c r="C890" s="1">
        <v>461.99</v>
      </c>
    </row>
    <row r="891" spans="1:3" x14ac:dyDescent="0.2">
      <c r="A891" s="2">
        <v>45491</v>
      </c>
      <c r="B891" s="1" t="s">
        <v>10</v>
      </c>
      <c r="C891" s="1">
        <v>475.85</v>
      </c>
    </row>
    <row r="892" spans="1:3" x14ac:dyDescent="0.2">
      <c r="A892" s="2">
        <v>45492</v>
      </c>
      <c r="B892" s="1" t="s">
        <v>10</v>
      </c>
      <c r="C892" s="1">
        <v>476.79</v>
      </c>
    </row>
    <row r="893" spans="1:3" x14ac:dyDescent="0.2">
      <c r="A893" s="2">
        <v>45495</v>
      </c>
      <c r="B893" s="1" t="s">
        <v>10</v>
      </c>
      <c r="C893" s="1">
        <v>487.4</v>
      </c>
    </row>
    <row r="894" spans="1:3" x14ac:dyDescent="0.2">
      <c r="A894" s="2">
        <v>45496</v>
      </c>
      <c r="B894" s="1" t="s">
        <v>10</v>
      </c>
      <c r="C894" s="1">
        <v>488.69</v>
      </c>
    </row>
    <row r="895" spans="1:3" x14ac:dyDescent="0.2">
      <c r="A895" s="2">
        <v>45497</v>
      </c>
      <c r="B895" s="1" t="s">
        <v>10</v>
      </c>
      <c r="C895" s="1">
        <v>461.27</v>
      </c>
    </row>
    <row r="896" spans="1:3" x14ac:dyDescent="0.2">
      <c r="A896" s="2">
        <v>45498</v>
      </c>
      <c r="B896" s="1" t="s">
        <v>10</v>
      </c>
      <c r="C896" s="1">
        <v>453.41</v>
      </c>
    </row>
    <row r="897" spans="1:3" x14ac:dyDescent="0.2">
      <c r="A897" s="2">
        <v>45499</v>
      </c>
      <c r="B897" s="1" t="s">
        <v>10</v>
      </c>
      <c r="C897" s="1">
        <v>465.7</v>
      </c>
    </row>
    <row r="898" spans="1:3" x14ac:dyDescent="0.2">
      <c r="A898" s="2">
        <v>45502</v>
      </c>
      <c r="B898" s="1" t="s">
        <v>10</v>
      </c>
      <c r="C898" s="1">
        <v>465.71</v>
      </c>
    </row>
    <row r="899" spans="1:3" x14ac:dyDescent="0.2">
      <c r="A899" s="2">
        <v>45503</v>
      </c>
      <c r="B899" s="1" t="s">
        <v>10</v>
      </c>
      <c r="C899" s="1">
        <v>463.19</v>
      </c>
    </row>
    <row r="900" spans="1:3" x14ac:dyDescent="0.2">
      <c r="A900" s="2">
        <v>45504</v>
      </c>
      <c r="B900" s="1" t="s">
        <v>10</v>
      </c>
      <c r="C900" s="1">
        <v>474.83</v>
      </c>
    </row>
    <row r="901" spans="1:3" x14ac:dyDescent="0.2">
      <c r="A901" s="2">
        <v>45505</v>
      </c>
      <c r="B901" s="1" t="s">
        <v>10</v>
      </c>
      <c r="C901" s="1">
        <v>497.74</v>
      </c>
    </row>
    <row r="902" spans="1:3" x14ac:dyDescent="0.2">
      <c r="A902" s="2">
        <v>45506</v>
      </c>
      <c r="B902" s="1" t="s">
        <v>10</v>
      </c>
      <c r="C902" s="1">
        <v>488.14</v>
      </c>
    </row>
    <row r="903" spans="1:3" x14ac:dyDescent="0.2">
      <c r="A903" s="2">
        <v>45509</v>
      </c>
      <c r="B903" s="1" t="s">
        <v>10</v>
      </c>
      <c r="C903" s="1">
        <v>475.73</v>
      </c>
    </row>
    <row r="904" spans="1:3" x14ac:dyDescent="0.2">
      <c r="A904" s="2">
        <v>45510</v>
      </c>
      <c r="B904" s="1" t="s">
        <v>10</v>
      </c>
      <c r="C904" s="1">
        <v>494.09</v>
      </c>
    </row>
    <row r="905" spans="1:3" x14ac:dyDescent="0.2">
      <c r="A905" s="2">
        <v>45511</v>
      </c>
      <c r="B905" s="1" t="s">
        <v>10</v>
      </c>
      <c r="C905" s="1">
        <v>488.92</v>
      </c>
    </row>
    <row r="906" spans="1:3" x14ac:dyDescent="0.2">
      <c r="A906" s="2">
        <v>45512</v>
      </c>
      <c r="B906" s="1" t="s">
        <v>10</v>
      </c>
      <c r="C906" s="1">
        <v>509.63</v>
      </c>
    </row>
    <row r="907" spans="1:3" x14ac:dyDescent="0.2">
      <c r="A907" s="2">
        <v>45513</v>
      </c>
      <c r="B907" s="1" t="s">
        <v>10</v>
      </c>
      <c r="C907" s="1">
        <v>517.77</v>
      </c>
    </row>
    <row r="908" spans="1:3" x14ac:dyDescent="0.2">
      <c r="A908" s="2">
        <v>45516</v>
      </c>
      <c r="B908" s="1" t="s">
        <v>10</v>
      </c>
      <c r="C908" s="1">
        <v>515.95000000000005</v>
      </c>
    </row>
    <row r="909" spans="1:3" x14ac:dyDescent="0.2">
      <c r="A909" s="2">
        <v>45517</v>
      </c>
      <c r="B909" s="1" t="s">
        <v>10</v>
      </c>
      <c r="C909" s="1">
        <v>528.54</v>
      </c>
    </row>
    <row r="910" spans="1:3" x14ac:dyDescent="0.2">
      <c r="A910" s="2">
        <v>45518</v>
      </c>
      <c r="B910" s="1" t="s">
        <v>10</v>
      </c>
      <c r="C910" s="1">
        <v>526.76</v>
      </c>
    </row>
    <row r="911" spans="1:3" x14ac:dyDescent="0.2">
      <c r="A911" s="2">
        <v>45519</v>
      </c>
      <c r="B911" s="1" t="s">
        <v>10</v>
      </c>
      <c r="C911" s="1">
        <v>537.33000000000004</v>
      </c>
    </row>
    <row r="912" spans="1:3" x14ac:dyDescent="0.2">
      <c r="A912" s="2">
        <v>45520</v>
      </c>
      <c r="B912" s="1" t="s">
        <v>10</v>
      </c>
      <c r="C912" s="1">
        <v>527.41999999999996</v>
      </c>
    </row>
    <row r="913" spans="1:3" x14ac:dyDescent="0.2">
      <c r="A913" s="2">
        <v>45523</v>
      </c>
      <c r="B913" s="1" t="s">
        <v>10</v>
      </c>
      <c r="C913" s="1">
        <v>529.28</v>
      </c>
    </row>
    <row r="914" spans="1:3" x14ac:dyDescent="0.2">
      <c r="A914" s="2">
        <v>45524</v>
      </c>
      <c r="B914" s="1" t="s">
        <v>10</v>
      </c>
      <c r="C914" s="1">
        <v>526.73</v>
      </c>
    </row>
    <row r="915" spans="1:3" x14ac:dyDescent="0.2">
      <c r="A915" s="2">
        <v>45525</v>
      </c>
      <c r="B915" s="1" t="s">
        <v>10</v>
      </c>
      <c r="C915" s="1">
        <v>535.16</v>
      </c>
    </row>
    <row r="916" spans="1:3" x14ac:dyDescent="0.2">
      <c r="A916" s="2">
        <v>45526</v>
      </c>
      <c r="B916" s="1" t="s">
        <v>10</v>
      </c>
      <c r="C916" s="1">
        <v>531.92999999999995</v>
      </c>
    </row>
    <row r="917" spans="1:3" x14ac:dyDescent="0.2">
      <c r="A917" s="2">
        <v>45527</v>
      </c>
      <c r="B917" s="1" t="s">
        <v>10</v>
      </c>
      <c r="C917" s="1">
        <v>528</v>
      </c>
    </row>
    <row r="918" spans="1:3" x14ac:dyDescent="0.2">
      <c r="A918" s="2">
        <v>45530</v>
      </c>
      <c r="B918" s="1" t="s">
        <v>10</v>
      </c>
      <c r="C918" s="1">
        <v>521.12</v>
      </c>
    </row>
    <row r="919" spans="1:3" x14ac:dyDescent="0.2">
      <c r="A919" s="2">
        <v>45531</v>
      </c>
      <c r="B919" s="1" t="s">
        <v>10</v>
      </c>
      <c r="C919" s="1">
        <v>519.1</v>
      </c>
    </row>
    <row r="920" spans="1:3" x14ac:dyDescent="0.2">
      <c r="A920" s="2">
        <v>45532</v>
      </c>
      <c r="B920" s="1" t="s">
        <v>10</v>
      </c>
      <c r="C920" s="1">
        <v>516.78</v>
      </c>
    </row>
    <row r="921" spans="1:3" x14ac:dyDescent="0.2">
      <c r="A921" s="2">
        <v>45533</v>
      </c>
      <c r="B921" s="1" t="s">
        <v>10</v>
      </c>
      <c r="C921" s="1">
        <v>518.22</v>
      </c>
    </row>
    <row r="922" spans="1:3" x14ac:dyDescent="0.2">
      <c r="A922" s="2">
        <v>45534</v>
      </c>
      <c r="B922" s="1" t="s">
        <v>10</v>
      </c>
      <c r="C922" s="1">
        <v>521.30999999999995</v>
      </c>
    </row>
    <row r="923" spans="1:3" x14ac:dyDescent="0.2">
      <c r="A923" s="2">
        <v>45538</v>
      </c>
      <c r="B923" s="1" t="s">
        <v>10</v>
      </c>
      <c r="C923" s="1">
        <v>511.76</v>
      </c>
    </row>
    <row r="924" spans="1:3" x14ac:dyDescent="0.2">
      <c r="A924" s="2">
        <v>45539</v>
      </c>
      <c r="B924" s="1" t="s">
        <v>10</v>
      </c>
      <c r="C924" s="1">
        <v>512.74</v>
      </c>
    </row>
    <row r="925" spans="1:3" x14ac:dyDescent="0.2">
      <c r="A925" s="2">
        <v>45540</v>
      </c>
      <c r="B925" s="1" t="s">
        <v>10</v>
      </c>
      <c r="C925" s="1">
        <v>516.86</v>
      </c>
    </row>
    <row r="926" spans="1:3" x14ac:dyDescent="0.2">
      <c r="A926" s="2">
        <v>45541</v>
      </c>
      <c r="B926" s="1" t="s">
        <v>10</v>
      </c>
      <c r="C926" s="1">
        <v>500.27</v>
      </c>
    </row>
    <row r="927" spans="1:3" x14ac:dyDescent="0.2">
      <c r="A927" s="2">
        <v>45544</v>
      </c>
      <c r="B927" s="1" t="s">
        <v>10</v>
      </c>
      <c r="C927" s="1">
        <v>504.79</v>
      </c>
    </row>
    <row r="928" spans="1:3" x14ac:dyDescent="0.2">
      <c r="A928" s="2">
        <v>45545</v>
      </c>
      <c r="B928" s="1" t="s">
        <v>10</v>
      </c>
      <c r="C928" s="1">
        <v>504.79</v>
      </c>
    </row>
    <row r="929" spans="1:3" x14ac:dyDescent="0.2">
      <c r="A929" s="2">
        <v>45546</v>
      </c>
      <c r="B929" s="1" t="s">
        <v>10</v>
      </c>
      <c r="C929" s="1">
        <v>511.83</v>
      </c>
    </row>
    <row r="930" spans="1:3" x14ac:dyDescent="0.2">
      <c r="A930" s="2">
        <v>45547</v>
      </c>
      <c r="B930" s="1" t="s">
        <v>10</v>
      </c>
      <c r="C930" s="1">
        <v>525.6</v>
      </c>
    </row>
    <row r="931" spans="1:3" x14ac:dyDescent="0.2">
      <c r="A931" s="2">
        <v>45548</v>
      </c>
      <c r="B931" s="1" t="s">
        <v>10</v>
      </c>
      <c r="C931" s="1">
        <v>524.62</v>
      </c>
    </row>
    <row r="932" spans="1:3" x14ac:dyDescent="0.2">
      <c r="A932" s="2">
        <v>45551</v>
      </c>
      <c r="B932" s="1" t="s">
        <v>10</v>
      </c>
      <c r="C932" s="1">
        <v>533.28</v>
      </c>
    </row>
    <row r="933" spans="1:3" x14ac:dyDescent="0.2">
      <c r="A933" s="2">
        <v>45552</v>
      </c>
      <c r="B933" s="1" t="s">
        <v>10</v>
      </c>
      <c r="C933" s="1">
        <v>536.31500000000005</v>
      </c>
    </row>
    <row r="934" spans="1:3" x14ac:dyDescent="0.2">
      <c r="A934" s="2">
        <v>45553</v>
      </c>
      <c r="B934" s="1" t="s">
        <v>10</v>
      </c>
      <c r="C934" s="1">
        <v>537.95000000000005</v>
      </c>
    </row>
    <row r="935" spans="1:3" x14ac:dyDescent="0.2">
      <c r="A935" s="2">
        <v>45554</v>
      </c>
      <c r="B935" s="1" t="s">
        <v>10</v>
      </c>
      <c r="C935" s="1">
        <v>559.1</v>
      </c>
    </row>
    <row r="936" spans="1:3" x14ac:dyDescent="0.2">
      <c r="A936" s="2">
        <v>45555</v>
      </c>
      <c r="B936" s="1" t="s">
        <v>10</v>
      </c>
      <c r="C936" s="1">
        <v>561.35</v>
      </c>
    </row>
    <row r="937" spans="1:3" x14ac:dyDescent="0.2">
      <c r="A937" s="2">
        <v>45558</v>
      </c>
      <c r="B937" s="1" t="s">
        <v>10</v>
      </c>
      <c r="C937" s="1">
        <v>564.41</v>
      </c>
    </row>
    <row r="938" spans="1:3" x14ac:dyDescent="0.2">
      <c r="A938" s="2">
        <v>45559</v>
      </c>
      <c r="B938" s="1" t="s">
        <v>10</v>
      </c>
      <c r="C938" s="1">
        <v>563.33000000000004</v>
      </c>
    </row>
    <row r="939" spans="1:3" x14ac:dyDescent="0.2">
      <c r="A939" s="2">
        <v>45560</v>
      </c>
      <c r="B939" s="1" t="s">
        <v>10</v>
      </c>
      <c r="C939" s="1">
        <v>568.30999999999995</v>
      </c>
    </row>
    <row r="940" spans="1:3" x14ac:dyDescent="0.2">
      <c r="A940" s="2">
        <v>45561</v>
      </c>
      <c r="B940" s="1" t="s">
        <v>10</v>
      </c>
      <c r="C940" s="1">
        <v>567.84</v>
      </c>
    </row>
    <row r="941" spans="1:3" x14ac:dyDescent="0.2">
      <c r="A941" s="2">
        <v>45562</v>
      </c>
      <c r="B941" s="1" t="s">
        <v>10</v>
      </c>
      <c r="C941" s="1">
        <v>567.36</v>
      </c>
    </row>
    <row r="942" spans="1:3" x14ac:dyDescent="0.2">
      <c r="A942" s="2">
        <v>45565</v>
      </c>
      <c r="B942" s="1" t="s">
        <v>10</v>
      </c>
      <c r="C942" s="1">
        <v>572.44000000000005</v>
      </c>
    </row>
    <row r="943" spans="1:3" x14ac:dyDescent="0.2">
      <c r="A943" s="2">
        <v>45566</v>
      </c>
      <c r="B943" s="1" t="s">
        <v>10</v>
      </c>
      <c r="C943" s="1">
        <v>576.47</v>
      </c>
    </row>
    <row r="944" spans="1:3" x14ac:dyDescent="0.2">
      <c r="A944" s="2">
        <v>45567</v>
      </c>
      <c r="B944" s="1" t="s">
        <v>10</v>
      </c>
      <c r="C944" s="1">
        <v>572.80999999999995</v>
      </c>
    </row>
    <row r="945" spans="1:3" x14ac:dyDescent="0.2">
      <c r="A945" s="2">
        <v>45568</v>
      </c>
      <c r="B945" s="1" t="s">
        <v>10</v>
      </c>
      <c r="C945" s="1">
        <v>582.77</v>
      </c>
    </row>
    <row r="946" spans="1:3" x14ac:dyDescent="0.2">
      <c r="A946" s="2">
        <v>45569</v>
      </c>
      <c r="B946" s="1" t="s">
        <v>10</v>
      </c>
      <c r="C946" s="1">
        <v>595.94000000000005</v>
      </c>
    </row>
    <row r="947" spans="1:3" x14ac:dyDescent="0.2">
      <c r="A947" s="2">
        <v>45572</v>
      </c>
      <c r="B947" s="1" t="s">
        <v>10</v>
      </c>
      <c r="C947" s="1">
        <v>584.78</v>
      </c>
    </row>
    <row r="948" spans="1:3" x14ac:dyDescent="0.2">
      <c r="A948" s="2">
        <v>45573</v>
      </c>
      <c r="B948" s="1" t="s">
        <v>10</v>
      </c>
      <c r="C948" s="1">
        <v>592.89</v>
      </c>
    </row>
    <row r="949" spans="1:3" x14ac:dyDescent="0.2">
      <c r="A949" s="2">
        <v>45574</v>
      </c>
      <c r="B949" s="1" t="s">
        <v>10</v>
      </c>
      <c r="C949" s="1">
        <v>590.51</v>
      </c>
    </row>
    <row r="950" spans="1:3" x14ac:dyDescent="0.2">
      <c r="A950" s="2">
        <v>45575</v>
      </c>
      <c r="B950" s="1" t="s">
        <v>10</v>
      </c>
      <c r="C950" s="1">
        <v>583.83000000000004</v>
      </c>
    </row>
    <row r="951" spans="1:3" x14ac:dyDescent="0.2">
      <c r="A951" s="2">
        <v>45576</v>
      </c>
      <c r="B951" s="1" t="s">
        <v>10</v>
      </c>
      <c r="C951" s="1">
        <v>589.95000000000005</v>
      </c>
    </row>
    <row r="952" spans="1:3" x14ac:dyDescent="0.2">
      <c r="A952" s="2">
        <v>45579</v>
      </c>
      <c r="B952" s="1" t="s">
        <v>10</v>
      </c>
      <c r="C952" s="1">
        <v>590.41999999999996</v>
      </c>
    </row>
    <row r="953" spans="1:3" x14ac:dyDescent="0.2">
      <c r="A953" s="2">
        <v>45580</v>
      </c>
      <c r="B953" s="1" t="s">
        <v>10</v>
      </c>
      <c r="C953" s="1">
        <v>586.27</v>
      </c>
    </row>
    <row r="954" spans="1:3" x14ac:dyDescent="0.2">
      <c r="A954" s="2">
        <v>45581</v>
      </c>
      <c r="B954" s="1" t="s">
        <v>10</v>
      </c>
      <c r="C954" s="1">
        <v>576.79</v>
      </c>
    </row>
    <row r="955" spans="1:3" x14ac:dyDescent="0.2">
      <c r="A955" s="2">
        <v>45582</v>
      </c>
      <c r="B955" s="1" t="s">
        <v>10</v>
      </c>
      <c r="C955" s="1">
        <v>576.92999999999995</v>
      </c>
    </row>
    <row r="956" spans="1:3" x14ac:dyDescent="0.2">
      <c r="A956" s="2">
        <v>45583</v>
      </c>
      <c r="B956" s="1" t="s">
        <v>10</v>
      </c>
      <c r="C956" s="1">
        <v>576.47</v>
      </c>
    </row>
    <row r="957" spans="1:3" x14ac:dyDescent="0.2">
      <c r="A957" s="2">
        <v>45586</v>
      </c>
      <c r="B957" s="1" t="s">
        <v>10</v>
      </c>
      <c r="C957" s="1">
        <v>575.16</v>
      </c>
    </row>
    <row r="958" spans="1:3" x14ac:dyDescent="0.2">
      <c r="A958" s="2">
        <v>45587</v>
      </c>
      <c r="B958" s="1" t="s">
        <v>10</v>
      </c>
      <c r="C958" s="1">
        <v>582.01</v>
      </c>
    </row>
    <row r="959" spans="1:3" x14ac:dyDescent="0.2">
      <c r="A959" s="2">
        <v>45588</v>
      </c>
      <c r="B959" s="1" t="s">
        <v>10</v>
      </c>
      <c r="C959" s="1">
        <v>563.69000000000005</v>
      </c>
    </row>
    <row r="960" spans="1:3" x14ac:dyDescent="0.2">
      <c r="A960" s="2">
        <v>45589</v>
      </c>
      <c r="B960" s="1" t="s">
        <v>10</v>
      </c>
      <c r="C960" s="1">
        <v>567.78</v>
      </c>
    </row>
    <row r="961" spans="1:3" x14ac:dyDescent="0.2">
      <c r="A961" s="2">
        <v>45590</v>
      </c>
      <c r="B961" s="1" t="s">
        <v>10</v>
      </c>
      <c r="C961" s="1">
        <v>573.25</v>
      </c>
    </row>
    <row r="962" spans="1:3" x14ac:dyDescent="0.2">
      <c r="A962" s="2">
        <v>45593</v>
      </c>
      <c r="B962" s="1" t="s">
        <v>10</v>
      </c>
      <c r="C962" s="1">
        <v>578.16</v>
      </c>
    </row>
    <row r="963" spans="1:3" x14ac:dyDescent="0.2">
      <c r="A963" s="2">
        <v>45594</v>
      </c>
      <c r="B963" s="1" t="s">
        <v>10</v>
      </c>
      <c r="C963" s="1">
        <v>593.28</v>
      </c>
    </row>
    <row r="964" spans="1:3" x14ac:dyDescent="0.2">
      <c r="A964" s="2">
        <v>45595</v>
      </c>
      <c r="B964" s="1" t="s">
        <v>10</v>
      </c>
      <c r="C964" s="1">
        <v>591.79999999999995</v>
      </c>
    </row>
    <row r="965" spans="1:3" x14ac:dyDescent="0.2">
      <c r="A965" s="2">
        <v>45596</v>
      </c>
      <c r="B965" s="1" t="s">
        <v>10</v>
      </c>
      <c r="C965" s="1">
        <v>567.58000000000004</v>
      </c>
    </row>
    <row r="966" spans="1:3" x14ac:dyDescent="0.2">
      <c r="A966" s="2">
        <v>45597</v>
      </c>
      <c r="B966" s="1" t="s">
        <v>10</v>
      </c>
      <c r="C966" s="1">
        <v>567.16</v>
      </c>
    </row>
    <row r="967" spans="1:3" x14ac:dyDescent="0.2">
      <c r="A967" s="2">
        <v>45600</v>
      </c>
      <c r="B967" s="1" t="s">
        <v>10</v>
      </c>
      <c r="C967" s="1">
        <v>560.67999999999995</v>
      </c>
    </row>
    <row r="968" spans="1:3" x14ac:dyDescent="0.2">
      <c r="A968" s="2">
        <v>45601</v>
      </c>
      <c r="B968" s="1" t="s">
        <v>10</v>
      </c>
      <c r="C968" s="1">
        <v>572.42999999999995</v>
      </c>
    </row>
    <row r="969" spans="1:3" x14ac:dyDescent="0.2">
      <c r="A969" s="2">
        <v>45602</v>
      </c>
      <c r="B969" s="1" t="s">
        <v>10</v>
      </c>
      <c r="C969" s="1">
        <v>572.04999999999995</v>
      </c>
    </row>
    <row r="970" spans="1:3" x14ac:dyDescent="0.2">
      <c r="A970" s="2">
        <v>45603</v>
      </c>
      <c r="B970" s="1" t="s">
        <v>10</v>
      </c>
      <c r="C970" s="1">
        <v>591.70000000000005</v>
      </c>
    </row>
    <row r="971" spans="1:3" x14ac:dyDescent="0.2">
      <c r="A971" s="2">
        <v>45604</v>
      </c>
      <c r="B971" s="1" t="s">
        <v>10</v>
      </c>
      <c r="C971" s="1">
        <v>589.34</v>
      </c>
    </row>
    <row r="972" spans="1:3" x14ac:dyDescent="0.2">
      <c r="A972" s="2">
        <v>45607</v>
      </c>
      <c r="B972" s="1" t="s">
        <v>10</v>
      </c>
      <c r="C972" s="1">
        <v>583.16999999999996</v>
      </c>
    </row>
    <row r="973" spans="1:3" x14ac:dyDescent="0.2">
      <c r="A973" s="2">
        <v>45608</v>
      </c>
      <c r="B973" s="1" t="s">
        <v>10</v>
      </c>
      <c r="C973" s="1">
        <v>584.82000000000005</v>
      </c>
    </row>
    <row r="974" spans="1:3" x14ac:dyDescent="0.2">
      <c r="A974" s="2">
        <v>45609</v>
      </c>
      <c r="B974" s="1" t="s">
        <v>10</v>
      </c>
      <c r="C974" s="1">
        <v>580</v>
      </c>
    </row>
    <row r="975" spans="1:3" x14ac:dyDescent="0.2">
      <c r="A975" s="2">
        <v>45610</v>
      </c>
      <c r="B975" s="1" t="s">
        <v>10</v>
      </c>
      <c r="C975" s="1">
        <v>577.16</v>
      </c>
    </row>
    <row r="976" spans="1:3" x14ac:dyDescent="0.2">
      <c r="A976" s="2">
        <v>45611</v>
      </c>
      <c r="B976" s="1" t="s">
        <v>10</v>
      </c>
      <c r="C976" s="1">
        <v>554.08000000000004</v>
      </c>
    </row>
    <row r="977" spans="1:3" x14ac:dyDescent="0.2">
      <c r="A977" s="2">
        <v>45614</v>
      </c>
      <c r="B977" s="1" t="s">
        <v>10</v>
      </c>
      <c r="C977" s="1">
        <v>554.4</v>
      </c>
    </row>
    <row r="978" spans="1:3" x14ac:dyDescent="0.2">
      <c r="A978" s="2">
        <v>45615</v>
      </c>
      <c r="B978" s="1" t="s">
        <v>10</v>
      </c>
      <c r="C978" s="1">
        <v>561.09</v>
      </c>
    </row>
    <row r="979" spans="1:3" x14ac:dyDescent="0.2">
      <c r="A979" s="2">
        <v>45616</v>
      </c>
      <c r="B979" s="1" t="s">
        <v>10</v>
      </c>
      <c r="C979" s="1">
        <v>565.52</v>
      </c>
    </row>
    <row r="980" spans="1:3" x14ac:dyDescent="0.2">
      <c r="A980" s="2">
        <v>45617</v>
      </c>
      <c r="B980" s="1" t="s">
        <v>10</v>
      </c>
      <c r="C980" s="1">
        <v>563.09</v>
      </c>
    </row>
    <row r="981" spans="1:3" x14ac:dyDescent="0.2">
      <c r="A981" s="2">
        <v>45618</v>
      </c>
      <c r="B981" s="1" t="s">
        <v>10</v>
      </c>
      <c r="C981" s="1">
        <v>559.14</v>
      </c>
    </row>
    <row r="982" spans="1:3" x14ac:dyDescent="0.2">
      <c r="A982" s="2">
        <v>45621</v>
      </c>
      <c r="B982" s="1" t="s">
        <v>10</v>
      </c>
      <c r="C982" s="1">
        <v>565.11</v>
      </c>
    </row>
    <row r="983" spans="1:3" x14ac:dyDescent="0.2">
      <c r="A983" s="2">
        <v>45622</v>
      </c>
      <c r="B983" s="1" t="s">
        <v>10</v>
      </c>
      <c r="C983" s="1">
        <v>573.54</v>
      </c>
    </row>
    <row r="984" spans="1:3" x14ac:dyDescent="0.2">
      <c r="A984" s="2">
        <v>45623</v>
      </c>
      <c r="B984" s="1" t="s">
        <v>10</v>
      </c>
      <c r="C984" s="1">
        <v>569.20000000000005</v>
      </c>
    </row>
    <row r="985" spans="1:3" x14ac:dyDescent="0.2">
      <c r="A985" s="2">
        <v>45625</v>
      </c>
      <c r="B985" s="1" t="s">
        <v>10</v>
      </c>
      <c r="C985" s="1">
        <v>574.32000000000005</v>
      </c>
    </row>
    <row r="986" spans="1:3" x14ac:dyDescent="0.2">
      <c r="A986" s="2">
        <v>45628</v>
      </c>
      <c r="B986" s="1" t="s">
        <v>10</v>
      </c>
      <c r="C986" s="1">
        <v>592.83000000000004</v>
      </c>
    </row>
    <row r="987" spans="1:3" x14ac:dyDescent="0.2">
      <c r="A987" s="2">
        <v>45629</v>
      </c>
      <c r="B987" s="1" t="s">
        <v>10</v>
      </c>
      <c r="C987" s="1">
        <v>613.65</v>
      </c>
    </row>
    <row r="988" spans="1:3" x14ac:dyDescent="0.2">
      <c r="A988" s="2">
        <v>45630</v>
      </c>
      <c r="B988" s="1" t="s">
        <v>10</v>
      </c>
      <c r="C988" s="1">
        <v>613.78</v>
      </c>
    </row>
    <row r="989" spans="1:3" x14ac:dyDescent="0.2">
      <c r="A989" s="2">
        <v>45631</v>
      </c>
      <c r="B989" s="1" t="s">
        <v>10</v>
      </c>
      <c r="C989" s="1">
        <v>608.92999999999995</v>
      </c>
    </row>
    <row r="990" spans="1:3" x14ac:dyDescent="0.2">
      <c r="A990" s="2">
        <v>45632</v>
      </c>
      <c r="B990" s="1" t="s">
        <v>10</v>
      </c>
      <c r="C990" s="1">
        <v>623.77</v>
      </c>
    </row>
    <row r="991" spans="1:3" x14ac:dyDescent="0.2">
      <c r="A991" s="2">
        <v>45635</v>
      </c>
      <c r="B991" s="1" t="s">
        <v>10</v>
      </c>
      <c r="C991" s="1">
        <v>613.57000000000005</v>
      </c>
    </row>
    <row r="992" spans="1:3" x14ac:dyDescent="0.2">
      <c r="A992" s="2">
        <v>45636</v>
      </c>
      <c r="B992" s="1" t="s">
        <v>10</v>
      </c>
      <c r="C992" s="1">
        <v>619.32000000000005</v>
      </c>
    </row>
    <row r="993" spans="1:3" x14ac:dyDescent="0.2">
      <c r="A993" s="2">
        <v>45637</v>
      </c>
      <c r="B993" s="1" t="s">
        <v>10</v>
      </c>
      <c r="C993" s="1">
        <v>632.67999999999995</v>
      </c>
    </row>
    <row r="994" spans="1:3" x14ac:dyDescent="0.2">
      <c r="A994" s="2">
        <v>45638</v>
      </c>
      <c r="B994" s="1" t="s">
        <v>10</v>
      </c>
      <c r="C994" s="1">
        <v>630.79</v>
      </c>
    </row>
    <row r="995" spans="1:3" x14ac:dyDescent="0.2">
      <c r="A995" s="2">
        <v>45639</v>
      </c>
      <c r="B995" s="1" t="s">
        <v>10</v>
      </c>
      <c r="C995" s="1">
        <v>620.35</v>
      </c>
    </row>
    <row r="996" spans="1:3" x14ac:dyDescent="0.2">
      <c r="A996" s="2">
        <v>45642</v>
      </c>
      <c r="B996" s="1" t="s">
        <v>10</v>
      </c>
      <c r="C996" s="1">
        <v>624.24</v>
      </c>
    </row>
    <row r="997" spans="1:3" x14ac:dyDescent="0.2">
      <c r="A997" s="2">
        <v>45643</v>
      </c>
      <c r="B997" s="1" t="s">
        <v>10</v>
      </c>
      <c r="C997" s="1">
        <v>619.44000000000005</v>
      </c>
    </row>
    <row r="998" spans="1:3" x14ac:dyDescent="0.2">
      <c r="A998" s="2">
        <v>45644</v>
      </c>
      <c r="B998" s="1" t="s">
        <v>10</v>
      </c>
      <c r="C998" s="1">
        <v>597.19000000000005</v>
      </c>
    </row>
    <row r="999" spans="1:3" x14ac:dyDescent="0.2">
      <c r="A999" s="2">
        <v>45645</v>
      </c>
      <c r="B999" s="1" t="s">
        <v>10</v>
      </c>
      <c r="C999" s="1">
        <v>595.57000000000005</v>
      </c>
    </row>
    <row r="1000" spans="1:3" x14ac:dyDescent="0.2">
      <c r="A1000" s="2">
        <v>45646</v>
      </c>
      <c r="B1000" s="1" t="s">
        <v>10</v>
      </c>
      <c r="C1000" s="1">
        <v>585.25</v>
      </c>
    </row>
    <row r="1001" spans="1:3" x14ac:dyDescent="0.2">
      <c r="A1001" s="2">
        <v>45649</v>
      </c>
      <c r="B1001" s="1" t="s">
        <v>10</v>
      </c>
      <c r="C1001" s="1">
        <v>599.85</v>
      </c>
    </row>
    <row r="1002" spans="1:3" x14ac:dyDescent="0.2">
      <c r="A1002" s="2">
        <v>45650</v>
      </c>
      <c r="B1002" s="1" t="s">
        <v>10</v>
      </c>
      <c r="C1002" s="1">
        <v>607.75</v>
      </c>
    </row>
    <row r="1003" spans="1:3" x14ac:dyDescent="0.2">
      <c r="A1003" s="2">
        <v>45652</v>
      </c>
      <c r="B1003" s="1" t="s">
        <v>10</v>
      </c>
      <c r="C1003" s="1">
        <v>603.35</v>
      </c>
    </row>
    <row r="1004" spans="1:3" x14ac:dyDescent="0.2">
      <c r="A1004" s="2">
        <v>45653</v>
      </c>
      <c r="B1004" s="1" t="s">
        <v>10</v>
      </c>
      <c r="C1004" s="1">
        <v>599.80999999999995</v>
      </c>
    </row>
    <row r="1005" spans="1:3" x14ac:dyDescent="0.2">
      <c r="A1005" s="2">
        <v>45656</v>
      </c>
      <c r="B1005" s="1" t="s">
        <v>10</v>
      </c>
      <c r="C1005" s="1">
        <v>591.24</v>
      </c>
    </row>
    <row r="1006" spans="1:3" x14ac:dyDescent="0.2">
      <c r="A1006" s="2">
        <v>45657</v>
      </c>
      <c r="B1006" s="1" t="s">
        <v>10</v>
      </c>
      <c r="C1006" s="1">
        <v>585.51</v>
      </c>
    </row>
    <row r="1007" spans="1:3" x14ac:dyDescent="0.2">
      <c r="A1007" s="2">
        <v>45659</v>
      </c>
      <c r="B1007" s="1" t="s">
        <v>10</v>
      </c>
      <c r="C1007" s="1">
        <v>599.24</v>
      </c>
    </row>
    <row r="1008" spans="1:3" x14ac:dyDescent="0.2">
      <c r="A1008" s="2">
        <v>45660</v>
      </c>
      <c r="B1008" s="1" t="s">
        <v>10</v>
      </c>
      <c r="C1008" s="1">
        <v>604.63</v>
      </c>
    </row>
    <row r="1009" spans="1:3" x14ac:dyDescent="0.2">
      <c r="A1009" s="2">
        <v>45663</v>
      </c>
      <c r="B1009" s="1" t="s">
        <v>10</v>
      </c>
      <c r="C1009" s="1">
        <v>630.20000000000005</v>
      </c>
    </row>
    <row r="1010" spans="1:3" x14ac:dyDescent="0.2">
      <c r="A1010" s="2">
        <v>45664</v>
      </c>
      <c r="B1010" s="1" t="s">
        <v>10</v>
      </c>
      <c r="C1010" s="1">
        <v>617.89</v>
      </c>
    </row>
    <row r="1011" spans="1:3" x14ac:dyDescent="0.2">
      <c r="A1011" s="2">
        <v>45665</v>
      </c>
      <c r="B1011" s="1" t="s">
        <v>10</v>
      </c>
      <c r="C1011" s="1">
        <v>610.72</v>
      </c>
    </row>
    <row r="1012" spans="1:3" x14ac:dyDescent="0.2">
      <c r="A1012" s="2">
        <v>45667</v>
      </c>
      <c r="B1012" s="1" t="s">
        <v>10</v>
      </c>
      <c r="C1012" s="1">
        <v>615.86</v>
      </c>
    </row>
    <row r="1013" spans="1:3" x14ac:dyDescent="0.2">
      <c r="A1013" s="2">
        <v>45670</v>
      </c>
      <c r="B1013" s="1" t="s">
        <v>10</v>
      </c>
      <c r="C1013" s="1">
        <v>608.33000000000004</v>
      </c>
    </row>
    <row r="1014" spans="1:3" x14ac:dyDescent="0.2">
      <c r="A1014" s="2">
        <v>45671</v>
      </c>
      <c r="B1014" s="1" t="s">
        <v>10</v>
      </c>
      <c r="C1014" s="1">
        <v>594.25</v>
      </c>
    </row>
    <row r="1015" spans="1:3" x14ac:dyDescent="0.2">
      <c r="A1015" s="2">
        <v>45672</v>
      </c>
      <c r="B1015" s="1" t="s">
        <v>10</v>
      </c>
      <c r="C1015" s="1">
        <v>617.12</v>
      </c>
    </row>
    <row r="1016" spans="1:3" x14ac:dyDescent="0.2">
      <c r="A1016" s="2">
        <v>45673</v>
      </c>
      <c r="B1016" s="1" t="s">
        <v>10</v>
      </c>
      <c r="C1016" s="1">
        <v>611.29999999999995</v>
      </c>
    </row>
    <row r="1017" spans="1:3" x14ac:dyDescent="0.2">
      <c r="A1017" s="2">
        <v>45674</v>
      </c>
      <c r="B1017" s="1" t="s">
        <v>10</v>
      </c>
      <c r="C1017" s="1">
        <v>612.77</v>
      </c>
    </row>
    <row r="1018" spans="1:3" x14ac:dyDescent="0.2">
      <c r="A1018" s="2">
        <v>45678</v>
      </c>
      <c r="B1018" s="1" t="s">
        <v>10</v>
      </c>
      <c r="C1018" s="1">
        <v>616.46</v>
      </c>
    </row>
    <row r="1019" spans="1:3" x14ac:dyDescent="0.2">
      <c r="A1019" s="2">
        <v>45679</v>
      </c>
      <c r="B1019" s="1" t="s">
        <v>10</v>
      </c>
      <c r="C1019" s="1">
        <v>623.5</v>
      </c>
    </row>
    <row r="1020" spans="1:3" x14ac:dyDescent="0.2">
      <c r="A1020" s="2">
        <v>45680</v>
      </c>
      <c r="B1020" s="1" t="s">
        <v>10</v>
      </c>
      <c r="C1020" s="1">
        <v>636.45000000000005</v>
      </c>
    </row>
    <row r="1021" spans="1:3" x14ac:dyDescent="0.2">
      <c r="A1021" s="2">
        <v>45681</v>
      </c>
      <c r="B1021" s="1" t="s">
        <v>10</v>
      </c>
      <c r="C1021" s="1">
        <v>647.49</v>
      </c>
    </row>
    <row r="1022" spans="1:3" x14ac:dyDescent="0.2">
      <c r="A1022" s="2">
        <v>45684</v>
      </c>
      <c r="B1022" s="1" t="s">
        <v>10</v>
      </c>
      <c r="C1022" s="1">
        <v>659.88</v>
      </c>
    </row>
    <row r="1023" spans="1:3" x14ac:dyDescent="0.2">
      <c r="A1023" s="2">
        <v>45685</v>
      </c>
      <c r="B1023" s="1" t="s">
        <v>10</v>
      </c>
      <c r="C1023" s="1">
        <v>674.33</v>
      </c>
    </row>
    <row r="1024" spans="1:3" x14ac:dyDescent="0.2">
      <c r="A1024" s="2">
        <v>45686</v>
      </c>
      <c r="B1024" s="1" t="s">
        <v>10</v>
      </c>
      <c r="C1024" s="1">
        <v>676.49</v>
      </c>
    </row>
    <row r="1025" spans="1:3" x14ac:dyDescent="0.2">
      <c r="A1025" s="2">
        <v>45687</v>
      </c>
      <c r="B1025" s="1" t="s">
        <v>10</v>
      </c>
      <c r="C1025" s="1">
        <v>687</v>
      </c>
    </row>
    <row r="1026" spans="1:3" x14ac:dyDescent="0.2">
      <c r="A1026" s="2">
        <v>45688</v>
      </c>
      <c r="B1026" s="1" t="s">
        <v>10</v>
      </c>
      <c r="C1026" s="1">
        <v>689.18</v>
      </c>
    </row>
    <row r="1027" spans="1:3" x14ac:dyDescent="0.2">
      <c r="A1027" s="2">
        <v>45691</v>
      </c>
      <c r="B1027" s="1" t="s">
        <v>10</v>
      </c>
      <c r="C1027" s="1">
        <v>697.46</v>
      </c>
    </row>
    <row r="1028" spans="1:3" x14ac:dyDescent="0.2">
      <c r="A1028" s="2">
        <v>45692</v>
      </c>
      <c r="B1028" s="1" t="s">
        <v>10</v>
      </c>
      <c r="C1028" s="1">
        <v>704.19</v>
      </c>
    </row>
    <row r="1029" spans="1:3" x14ac:dyDescent="0.2">
      <c r="A1029" s="2">
        <v>45693</v>
      </c>
      <c r="B1029" s="1" t="s">
        <v>10</v>
      </c>
      <c r="C1029" s="1">
        <v>704.87</v>
      </c>
    </row>
    <row r="1030" spans="1:3" x14ac:dyDescent="0.2">
      <c r="A1030" s="2">
        <v>45694</v>
      </c>
      <c r="B1030" s="1" t="s">
        <v>10</v>
      </c>
      <c r="C1030" s="1">
        <v>711.99</v>
      </c>
    </row>
    <row r="1031" spans="1:3" x14ac:dyDescent="0.2">
      <c r="A1031" s="2">
        <v>45695</v>
      </c>
      <c r="B1031" s="1" t="s">
        <v>10</v>
      </c>
      <c r="C1031" s="1">
        <v>714.52</v>
      </c>
    </row>
    <row r="1032" spans="1:3" x14ac:dyDescent="0.2">
      <c r="A1032" s="2">
        <v>45698</v>
      </c>
      <c r="B1032" s="1" t="s">
        <v>10</v>
      </c>
      <c r="C1032" s="1">
        <v>717.4</v>
      </c>
    </row>
    <row r="1033" spans="1:3" x14ac:dyDescent="0.2">
      <c r="A1033" s="2">
        <v>45699</v>
      </c>
      <c r="B1033" s="1" t="s">
        <v>10</v>
      </c>
      <c r="C1033" s="1">
        <v>719.8</v>
      </c>
    </row>
    <row r="1034" spans="1:3" x14ac:dyDescent="0.2">
      <c r="A1034" s="2">
        <v>45700</v>
      </c>
      <c r="B1034" s="1" t="s">
        <v>10</v>
      </c>
      <c r="C1034" s="1">
        <v>725.38</v>
      </c>
    </row>
    <row r="1035" spans="1:3" x14ac:dyDescent="0.2">
      <c r="A1035" s="2">
        <v>45701</v>
      </c>
      <c r="B1035" s="1" t="s">
        <v>10</v>
      </c>
      <c r="C1035" s="1">
        <v>728.56</v>
      </c>
    </row>
    <row r="1036" spans="1:3" x14ac:dyDescent="0.2">
      <c r="A1036" s="2">
        <v>45702</v>
      </c>
      <c r="B1036" s="1" t="s">
        <v>10</v>
      </c>
      <c r="C1036" s="1">
        <v>736.67</v>
      </c>
    </row>
    <row r="1037" spans="1:3" x14ac:dyDescent="0.2">
      <c r="A1037" s="2">
        <v>45706</v>
      </c>
      <c r="B1037" s="1" t="s">
        <v>10</v>
      </c>
      <c r="C1037" s="1">
        <v>716.37</v>
      </c>
    </row>
    <row r="1038" spans="1:3" x14ac:dyDescent="0.2">
      <c r="A1038" s="2">
        <v>45707</v>
      </c>
      <c r="B1038" s="1" t="s">
        <v>10</v>
      </c>
      <c r="C1038" s="1">
        <v>703.77</v>
      </c>
    </row>
    <row r="1039" spans="1:3" x14ac:dyDescent="0.2">
      <c r="A1039" s="2">
        <v>45708</v>
      </c>
      <c r="B1039" s="1" t="s">
        <v>10</v>
      </c>
      <c r="C1039" s="1">
        <v>694.84</v>
      </c>
    </row>
    <row r="1040" spans="1:3" x14ac:dyDescent="0.2">
      <c r="A1040" s="2">
        <v>45709</v>
      </c>
      <c r="B1040" s="1" t="s">
        <v>10</v>
      </c>
      <c r="C1040" s="1">
        <v>683.55</v>
      </c>
    </row>
    <row r="1041" spans="1:3" x14ac:dyDescent="0.2">
      <c r="A1041" s="2">
        <v>45712</v>
      </c>
      <c r="B1041" s="1" t="s">
        <v>10</v>
      </c>
      <c r="C1041" s="1">
        <v>668.12750000000005</v>
      </c>
    </row>
    <row r="1042" spans="1:3" x14ac:dyDescent="0.2">
      <c r="A1042" s="2">
        <v>45713</v>
      </c>
      <c r="B1042" s="1" t="s">
        <v>10</v>
      </c>
      <c r="C1042" s="1">
        <v>657.5</v>
      </c>
    </row>
    <row r="1043" spans="1:3" x14ac:dyDescent="0.2">
      <c r="A1043" s="2">
        <v>45714</v>
      </c>
      <c r="B1043" s="1" t="s">
        <v>10</v>
      </c>
      <c r="C1043" s="1">
        <v>673.7</v>
      </c>
    </row>
    <row r="1044" spans="1:3" x14ac:dyDescent="0.2">
      <c r="A1044" s="2">
        <v>45715</v>
      </c>
      <c r="B1044" s="1" t="s">
        <v>10</v>
      </c>
      <c r="C1044" s="1">
        <v>658.24</v>
      </c>
    </row>
    <row r="1045" spans="1:3" x14ac:dyDescent="0.2">
      <c r="A1045" s="2">
        <v>45716</v>
      </c>
      <c r="B1045" s="1" t="s">
        <v>10</v>
      </c>
      <c r="C1045" s="1">
        <v>668.2</v>
      </c>
    </row>
    <row r="1046" spans="1:3" x14ac:dyDescent="0.2">
      <c r="A1046" s="2">
        <v>45719</v>
      </c>
      <c r="B1046" s="1" t="s">
        <v>10</v>
      </c>
      <c r="C1046" s="1">
        <v>655.04999999999995</v>
      </c>
    </row>
    <row r="1047" spans="1:3" x14ac:dyDescent="0.2">
      <c r="A1047" s="2">
        <v>45720</v>
      </c>
      <c r="B1047" s="1" t="s">
        <v>10</v>
      </c>
      <c r="C1047" s="1">
        <v>640</v>
      </c>
    </row>
    <row r="1048" spans="1:3" x14ac:dyDescent="0.2">
      <c r="A1048" s="2">
        <v>45721</v>
      </c>
      <c r="B1048" s="1" t="s">
        <v>10</v>
      </c>
      <c r="C1048" s="1">
        <v>656.47</v>
      </c>
    </row>
    <row r="1049" spans="1:3" x14ac:dyDescent="0.2">
      <c r="A1049" s="2">
        <v>45722</v>
      </c>
      <c r="B1049" s="1" t="s">
        <v>10</v>
      </c>
      <c r="C1049" s="1">
        <v>627.92999999999995</v>
      </c>
    </row>
    <row r="1050" spans="1:3" x14ac:dyDescent="0.2">
      <c r="A1050" s="2">
        <v>45723</v>
      </c>
      <c r="B1050" s="1" t="s">
        <v>10</v>
      </c>
      <c r="C1050" s="1">
        <v>625.66</v>
      </c>
    </row>
    <row r="1051" spans="1:3" x14ac:dyDescent="0.2">
      <c r="A1051" s="2">
        <v>45726</v>
      </c>
      <c r="B1051" s="1" t="s">
        <v>10</v>
      </c>
      <c r="C1051" s="1">
        <v>597.99</v>
      </c>
    </row>
    <row r="1052" spans="1:3" x14ac:dyDescent="0.2">
      <c r="A1052" s="2">
        <v>45727</v>
      </c>
      <c r="B1052" s="1" t="s">
        <v>10</v>
      </c>
      <c r="C1052" s="1">
        <v>605.71</v>
      </c>
    </row>
    <row r="1053" spans="1:3" x14ac:dyDescent="0.2">
      <c r="A1053" s="2">
        <v>45728</v>
      </c>
      <c r="B1053" s="1" t="s">
        <v>10</v>
      </c>
      <c r="C1053" s="1">
        <v>619.55999999999995</v>
      </c>
    </row>
    <row r="1054" spans="1:3" x14ac:dyDescent="0.2">
      <c r="A1054" s="2">
        <v>45729</v>
      </c>
      <c r="B1054" s="1" t="s">
        <v>10</v>
      </c>
      <c r="C1054" s="1">
        <v>590.64</v>
      </c>
    </row>
    <row r="1055" spans="1:3" x14ac:dyDescent="0.2">
      <c r="A1055" s="2">
        <v>45730</v>
      </c>
      <c r="B1055" s="1" t="s">
        <v>10</v>
      </c>
      <c r="C1055" s="1">
        <v>607.6</v>
      </c>
    </row>
    <row r="1056" spans="1:3" x14ac:dyDescent="0.2">
      <c r="A1056" s="2">
        <v>45733</v>
      </c>
      <c r="B1056" s="1" t="s">
        <v>10</v>
      </c>
      <c r="C1056" s="1">
        <v>604.9</v>
      </c>
    </row>
    <row r="1057" spans="1:3" x14ac:dyDescent="0.2">
      <c r="A1057" s="2">
        <v>45734</v>
      </c>
      <c r="B1057" s="1" t="s">
        <v>10</v>
      </c>
      <c r="C1057" s="1">
        <v>582.36</v>
      </c>
    </row>
    <row r="1058" spans="1:3" x14ac:dyDescent="0.2">
      <c r="A1058" s="2">
        <v>45735</v>
      </c>
      <c r="B1058" s="1" t="s">
        <v>10</v>
      </c>
      <c r="C1058" s="1">
        <v>584.05999999999995</v>
      </c>
    </row>
    <row r="1059" spans="1:3" x14ac:dyDescent="0.2">
      <c r="A1059" s="2">
        <v>45736</v>
      </c>
      <c r="B1059" s="1" t="s">
        <v>10</v>
      </c>
      <c r="C1059" s="1">
        <v>586</v>
      </c>
    </row>
    <row r="1060" spans="1:3" x14ac:dyDescent="0.2">
      <c r="A1060" s="2">
        <v>45737</v>
      </c>
      <c r="B1060" s="1" t="s">
        <v>10</v>
      </c>
      <c r="C1060" s="1">
        <v>596.25</v>
      </c>
    </row>
    <row r="1061" spans="1:3" x14ac:dyDescent="0.2">
      <c r="A1061" s="2">
        <v>45740</v>
      </c>
      <c r="B1061" s="1" t="s">
        <v>10</v>
      </c>
      <c r="C1061" s="1">
        <v>618.85</v>
      </c>
    </row>
    <row r="1062" spans="1:3" x14ac:dyDescent="0.2">
      <c r="A1062" s="2">
        <v>45741</v>
      </c>
      <c r="B1062" s="1" t="s">
        <v>10</v>
      </c>
      <c r="C1062" s="1">
        <v>626.30999999999995</v>
      </c>
    </row>
    <row r="1063" spans="1:3" x14ac:dyDescent="0.2">
      <c r="A1063" s="2">
        <v>45742</v>
      </c>
      <c r="B1063" s="1" t="s">
        <v>10</v>
      </c>
      <c r="C1063" s="1">
        <v>610.98</v>
      </c>
    </row>
    <row r="1064" spans="1:3" x14ac:dyDescent="0.2">
      <c r="A1064" s="2">
        <v>45743</v>
      </c>
      <c r="B1064" s="1" t="s">
        <v>10</v>
      </c>
      <c r="C1064" s="1">
        <v>602.58000000000004</v>
      </c>
    </row>
    <row r="1065" spans="1:3" x14ac:dyDescent="0.2">
      <c r="A1065" s="2">
        <v>45744</v>
      </c>
      <c r="B1065" s="1" t="s">
        <v>10</v>
      </c>
      <c r="C1065" s="1">
        <v>576.74</v>
      </c>
    </row>
    <row r="1066" spans="1:3" x14ac:dyDescent="0.2">
      <c r="A1066" s="2">
        <v>45747</v>
      </c>
      <c r="B1066" s="1" t="s">
        <v>10</v>
      </c>
      <c r="C1066" s="1">
        <v>576.36</v>
      </c>
    </row>
    <row r="1067" spans="1:3" x14ac:dyDescent="0.2">
      <c r="A1067" s="2">
        <v>45748</v>
      </c>
      <c r="B1067" s="1" t="s">
        <v>10</v>
      </c>
      <c r="C1067" s="1">
        <v>586</v>
      </c>
    </row>
    <row r="1068" spans="1:3" x14ac:dyDescent="0.2">
      <c r="A1068" s="2">
        <v>45749</v>
      </c>
      <c r="B1068" s="1" t="s">
        <v>10</v>
      </c>
      <c r="C1068" s="1">
        <v>583.92999999999995</v>
      </c>
    </row>
    <row r="1069" spans="1:3" x14ac:dyDescent="0.2">
      <c r="A1069" s="2">
        <v>45750</v>
      </c>
      <c r="B1069" s="1" t="s">
        <v>10</v>
      </c>
      <c r="C1069" s="1">
        <v>531.62</v>
      </c>
    </row>
    <row r="1070" spans="1:3" x14ac:dyDescent="0.2">
      <c r="A1070" s="2">
        <v>45751</v>
      </c>
      <c r="B1070" s="1" t="s">
        <v>10</v>
      </c>
      <c r="C1070" s="1">
        <v>504.73</v>
      </c>
    </row>
    <row r="1071" spans="1:3" x14ac:dyDescent="0.2">
      <c r="A1071" s="2">
        <v>45754</v>
      </c>
      <c r="B1071" s="1" t="s">
        <v>10</v>
      </c>
      <c r="C1071" s="1">
        <v>516.25</v>
      </c>
    </row>
    <row r="1072" spans="1:3" x14ac:dyDescent="0.2">
      <c r="A1072" s="2">
        <v>45755</v>
      </c>
      <c r="B1072" s="1" t="s">
        <v>10</v>
      </c>
      <c r="C1072" s="1">
        <v>510.45</v>
      </c>
    </row>
    <row r="1073" spans="1:3" x14ac:dyDescent="0.2">
      <c r="A1073" s="2">
        <v>45756</v>
      </c>
      <c r="B1073" s="1" t="s">
        <v>10</v>
      </c>
      <c r="C1073" s="1">
        <v>585.77</v>
      </c>
    </row>
    <row r="1074" spans="1:3" x14ac:dyDescent="0.2">
      <c r="A1074" s="2">
        <v>45757</v>
      </c>
      <c r="B1074" s="1" t="s">
        <v>10</v>
      </c>
      <c r="C1074" s="1">
        <v>546.29</v>
      </c>
    </row>
    <row r="1075" spans="1:3" x14ac:dyDescent="0.2">
      <c r="A1075" s="2">
        <v>45758</v>
      </c>
      <c r="B1075" s="1" t="s">
        <v>10</v>
      </c>
      <c r="C1075" s="1">
        <v>543.57000000000005</v>
      </c>
    </row>
    <row r="1076" spans="1:3" x14ac:dyDescent="0.2">
      <c r="A1076" s="2">
        <v>45761</v>
      </c>
      <c r="B1076" s="1" t="s">
        <v>10</v>
      </c>
      <c r="C1076" s="1">
        <v>531.48</v>
      </c>
    </row>
    <row r="1077" spans="1:3" x14ac:dyDescent="0.2">
      <c r="A1077" s="2">
        <v>45762</v>
      </c>
      <c r="B1077" s="1" t="s">
        <v>10</v>
      </c>
      <c r="C1077" s="1">
        <v>521.52</v>
      </c>
    </row>
    <row r="1078" spans="1:3" x14ac:dyDescent="0.2">
      <c r="A1078" s="2">
        <v>45763</v>
      </c>
      <c r="B1078" s="1" t="s">
        <v>10</v>
      </c>
      <c r="C1078" s="1">
        <v>502.31</v>
      </c>
    </row>
    <row r="1079" spans="1:3" x14ac:dyDescent="0.2">
      <c r="A1079" s="2">
        <v>45764</v>
      </c>
      <c r="B1079" s="1" t="s">
        <v>10</v>
      </c>
      <c r="C1079" s="1">
        <v>501.48</v>
      </c>
    </row>
    <row r="1080" spans="1:3" x14ac:dyDescent="0.2">
      <c r="A1080" s="2">
        <v>45768</v>
      </c>
      <c r="B1080" s="1" t="s">
        <v>10</v>
      </c>
      <c r="C1080" s="1">
        <v>484.66</v>
      </c>
    </row>
    <row r="1081" spans="1:3" x14ac:dyDescent="0.2">
      <c r="A1081" s="2">
        <v>45769</v>
      </c>
      <c r="B1081" s="1" t="s">
        <v>10</v>
      </c>
      <c r="C1081" s="1">
        <v>500.28</v>
      </c>
    </row>
    <row r="1082" spans="1:3" x14ac:dyDescent="0.2">
      <c r="A1082" s="2">
        <v>45770</v>
      </c>
      <c r="B1082" s="1" t="s">
        <v>10</v>
      </c>
      <c r="C1082" s="1">
        <v>520.27</v>
      </c>
    </row>
    <row r="1083" spans="1:3" x14ac:dyDescent="0.2">
      <c r="A1083" s="2">
        <v>45771</v>
      </c>
      <c r="B1083" s="1" t="s">
        <v>10</v>
      </c>
      <c r="C1083" s="1">
        <v>533.15</v>
      </c>
    </row>
    <row r="1084" spans="1:3" x14ac:dyDescent="0.2">
      <c r="A1084" s="2">
        <v>45772</v>
      </c>
      <c r="B1084" s="1" t="s">
        <v>10</v>
      </c>
      <c r="C1084" s="1">
        <v>547.27</v>
      </c>
    </row>
    <row r="1085" spans="1:3" x14ac:dyDescent="0.2">
      <c r="A1085" s="2">
        <v>45775</v>
      </c>
      <c r="B1085" s="1" t="s">
        <v>10</v>
      </c>
      <c r="C1085" s="1">
        <v>549.74</v>
      </c>
    </row>
    <row r="1086" spans="1:3" x14ac:dyDescent="0.2">
      <c r="A1086" s="2">
        <v>45776</v>
      </c>
      <c r="B1086" s="1" t="s">
        <v>10</v>
      </c>
      <c r="C1086" s="1">
        <v>554.44000000000005</v>
      </c>
    </row>
    <row r="1087" spans="1:3" x14ac:dyDescent="0.2">
      <c r="A1087" s="2">
        <v>45777</v>
      </c>
      <c r="B1087" s="1" t="s">
        <v>10</v>
      </c>
      <c r="C1087" s="1">
        <v>549</v>
      </c>
    </row>
    <row r="1088" spans="1:3" x14ac:dyDescent="0.2">
      <c r="A1088" s="2">
        <v>45778</v>
      </c>
      <c r="B1088" s="1" t="s">
        <v>10</v>
      </c>
      <c r="C1088" s="1">
        <v>572.21</v>
      </c>
    </row>
    <row r="1089" spans="1:3" x14ac:dyDescent="0.2">
      <c r="A1089" s="2">
        <v>45779</v>
      </c>
      <c r="B1089" s="1" t="s">
        <v>10</v>
      </c>
      <c r="C1089" s="1">
        <v>597.02</v>
      </c>
    </row>
    <row r="1090" spans="1:3" x14ac:dyDescent="0.2">
      <c r="A1090" s="2">
        <v>45782</v>
      </c>
      <c r="B1090" s="1" t="s">
        <v>10</v>
      </c>
      <c r="C1090" s="1">
        <v>599.27</v>
      </c>
    </row>
    <row r="1091" spans="1:3" x14ac:dyDescent="0.2">
      <c r="A1091" s="2">
        <v>45783</v>
      </c>
      <c r="B1091" s="1" t="s">
        <v>10</v>
      </c>
      <c r="C1091" s="1">
        <v>587.30999999999995</v>
      </c>
    </row>
    <row r="1092" spans="1:3" x14ac:dyDescent="0.2">
      <c r="A1092" s="2">
        <v>45784</v>
      </c>
      <c r="B1092" s="1" t="s">
        <v>10</v>
      </c>
      <c r="C1092" s="1">
        <v>596.80999999999995</v>
      </c>
    </row>
    <row r="1093" spans="1:3" x14ac:dyDescent="0.2">
      <c r="A1093" s="2">
        <v>45785</v>
      </c>
      <c r="B1093" s="1" t="s">
        <v>10</v>
      </c>
      <c r="C1093" s="1">
        <v>598.01</v>
      </c>
    </row>
    <row r="1094" spans="1:3" x14ac:dyDescent="0.2">
      <c r="A1094" s="2">
        <v>45786</v>
      </c>
      <c r="B1094" s="1" t="s">
        <v>10</v>
      </c>
      <c r="C1094" s="1">
        <v>592.49</v>
      </c>
    </row>
    <row r="1095" spans="1:3" x14ac:dyDescent="0.2">
      <c r="A1095" s="2">
        <v>45789</v>
      </c>
      <c r="B1095" s="1" t="s">
        <v>10</v>
      </c>
      <c r="C1095" s="1">
        <v>639.42999999999995</v>
      </c>
    </row>
    <row r="1096" spans="1:3" x14ac:dyDescent="0.2">
      <c r="A1096" s="2">
        <v>45790</v>
      </c>
      <c r="B1096" s="1" t="s">
        <v>10</v>
      </c>
      <c r="C1096" s="1">
        <v>656.03</v>
      </c>
    </row>
    <row r="1097" spans="1:3" x14ac:dyDescent="0.2">
      <c r="A1097" s="2">
        <v>45791</v>
      </c>
      <c r="B1097" s="1" t="s">
        <v>10</v>
      </c>
      <c r="C1097" s="1">
        <v>659.36</v>
      </c>
    </row>
    <row r="1098" spans="1:3" x14ac:dyDescent="0.2">
      <c r="A1098" s="2">
        <v>45792</v>
      </c>
      <c r="B1098" s="1" t="s">
        <v>10</v>
      </c>
      <c r="C1098" s="1">
        <v>643.88</v>
      </c>
    </row>
    <row r="1099" spans="1:3" x14ac:dyDescent="0.2">
      <c r="A1099" s="2">
        <v>45793</v>
      </c>
      <c r="B1099" s="1" t="s">
        <v>10</v>
      </c>
      <c r="C1099" s="1">
        <v>640.34</v>
      </c>
    </row>
    <row r="1100" spans="1:3" x14ac:dyDescent="0.2">
      <c r="A1100" s="2">
        <v>45796</v>
      </c>
      <c r="B1100" s="1" t="s">
        <v>10</v>
      </c>
      <c r="C1100" s="1">
        <v>640.42999999999995</v>
      </c>
    </row>
    <row r="1101" spans="1:3" x14ac:dyDescent="0.2">
      <c r="A1101" s="2">
        <v>45797</v>
      </c>
      <c r="B1101" s="1" t="s">
        <v>10</v>
      </c>
      <c r="C1101" s="1">
        <v>637.1</v>
      </c>
    </row>
    <row r="1102" spans="1:3" x14ac:dyDescent="0.2">
      <c r="A1102" s="2">
        <v>45798</v>
      </c>
      <c r="B1102" s="1" t="s">
        <v>10</v>
      </c>
      <c r="C1102" s="1">
        <v>635.5</v>
      </c>
    </row>
    <row r="1103" spans="1:3" x14ac:dyDescent="0.2">
      <c r="A1103" s="2">
        <v>45799</v>
      </c>
      <c r="B1103" s="1" t="s">
        <v>10</v>
      </c>
      <c r="C1103" s="1">
        <v>636.57000000000005</v>
      </c>
    </row>
    <row r="1104" spans="1:3" x14ac:dyDescent="0.2">
      <c r="A1104" s="2">
        <v>45800</v>
      </c>
      <c r="B1104" s="1" t="s">
        <v>10</v>
      </c>
      <c r="C1104" s="1">
        <v>627.05999999999995</v>
      </c>
    </row>
    <row r="1105" spans="1:3" x14ac:dyDescent="0.2">
      <c r="A1105" s="2">
        <v>45804</v>
      </c>
      <c r="B1105" s="1" t="s">
        <v>10</v>
      </c>
      <c r="C1105" s="1">
        <v>642.32000000000005</v>
      </c>
    </row>
    <row r="1106" spans="1:3" x14ac:dyDescent="0.2">
      <c r="A1106" s="2">
        <v>45805</v>
      </c>
      <c r="B1106" s="1" t="s">
        <v>10</v>
      </c>
      <c r="C1106" s="1">
        <v>643.58000000000004</v>
      </c>
    </row>
    <row r="1107" spans="1:3" x14ac:dyDescent="0.2">
      <c r="A1107" s="2">
        <v>45806</v>
      </c>
      <c r="B1107" s="1" t="s">
        <v>10</v>
      </c>
      <c r="C1107" s="1">
        <v>645.04999999999995</v>
      </c>
    </row>
    <row r="1108" spans="1:3" x14ac:dyDescent="0.2">
      <c r="A1108" s="2">
        <v>45807</v>
      </c>
      <c r="B1108" s="1" t="s">
        <v>10</v>
      </c>
      <c r="C1108" s="1">
        <v>647.49</v>
      </c>
    </row>
    <row r="1109" spans="1:3" x14ac:dyDescent="0.2">
      <c r="A1109" s="2">
        <v>45810</v>
      </c>
      <c r="B1109" s="1" t="s">
        <v>10</v>
      </c>
      <c r="C1109" s="1">
        <v>670.9</v>
      </c>
    </row>
    <row r="1110" spans="1:3" x14ac:dyDescent="0.2">
      <c r="A1110" s="2">
        <v>45811</v>
      </c>
      <c r="B1110" s="1" t="s">
        <v>10</v>
      </c>
      <c r="C1110" s="1">
        <v>666.85</v>
      </c>
    </row>
    <row r="1111" spans="1:3" x14ac:dyDescent="0.2">
      <c r="A1111" s="2">
        <v>45812</v>
      </c>
      <c r="B1111" s="1" t="s">
        <v>10</v>
      </c>
      <c r="C1111" s="1">
        <v>687.95</v>
      </c>
    </row>
    <row r="1112" spans="1:3" x14ac:dyDescent="0.2">
      <c r="A1112" s="2">
        <v>45813</v>
      </c>
      <c r="B1112" s="1" t="s">
        <v>10</v>
      </c>
      <c r="C1112" s="1">
        <v>684.62</v>
      </c>
    </row>
    <row r="1113" spans="1:3" x14ac:dyDescent="0.2">
      <c r="A1113" s="2">
        <v>45814</v>
      </c>
      <c r="B1113" s="1" t="s">
        <v>10</v>
      </c>
      <c r="C1113" s="1">
        <v>697.71</v>
      </c>
    </row>
    <row r="1114" spans="1:3" x14ac:dyDescent="0.2">
      <c r="A1114" s="2">
        <v>45817</v>
      </c>
      <c r="B1114" s="1" t="s">
        <v>10</v>
      </c>
      <c r="C1114" s="1">
        <v>694.06</v>
      </c>
    </row>
    <row r="1115" spans="1:3" x14ac:dyDescent="0.2">
      <c r="A1115" s="2">
        <v>45818</v>
      </c>
      <c r="B1115" s="1" t="s">
        <v>10</v>
      </c>
      <c r="C1115" s="1">
        <v>702.4</v>
      </c>
    </row>
    <row r="1116" spans="1:3" x14ac:dyDescent="0.2">
      <c r="A1116" s="2">
        <v>45819</v>
      </c>
      <c r="B1116" s="1" t="s">
        <v>10</v>
      </c>
      <c r="C1116" s="1">
        <v>694.14</v>
      </c>
    </row>
    <row r="1117" spans="1:3" x14ac:dyDescent="0.2">
      <c r="A1117" s="2">
        <v>45820</v>
      </c>
      <c r="B1117" s="1" t="s">
        <v>10</v>
      </c>
      <c r="C1117" s="1">
        <v>693.36</v>
      </c>
    </row>
    <row r="1118" spans="1:3" x14ac:dyDescent="0.2">
      <c r="A1118" s="2">
        <v>45821</v>
      </c>
      <c r="B1118" s="1" t="s">
        <v>10</v>
      </c>
      <c r="C1118" s="1">
        <v>682.87</v>
      </c>
    </row>
    <row r="1119" spans="1:3" x14ac:dyDescent="0.2">
      <c r="A1119" s="2">
        <v>45824</v>
      </c>
      <c r="B1119" s="1" t="s">
        <v>10</v>
      </c>
      <c r="C1119" s="1">
        <v>702.12</v>
      </c>
    </row>
    <row r="1120" spans="1:3" x14ac:dyDescent="0.2">
      <c r="A1120" s="2">
        <v>45825</v>
      </c>
      <c r="B1120" s="1" t="s">
        <v>10</v>
      </c>
      <c r="C1120" s="1">
        <v>697.23</v>
      </c>
    </row>
    <row r="1121" spans="1:3" x14ac:dyDescent="0.2">
      <c r="A1121" s="2">
        <v>45826</v>
      </c>
      <c r="B1121" s="1" t="s">
        <v>10</v>
      </c>
      <c r="C1121" s="1">
        <v>695.77</v>
      </c>
    </row>
    <row r="1122" spans="1:3" x14ac:dyDescent="0.2">
      <c r="A1122" s="2">
        <v>45828</v>
      </c>
      <c r="B1122" s="1" t="s">
        <v>10</v>
      </c>
      <c r="C1122" s="1">
        <v>682.35</v>
      </c>
    </row>
    <row r="1123" spans="1:3" x14ac:dyDescent="0.2">
      <c r="A1123" s="2">
        <v>45831</v>
      </c>
      <c r="B1123" s="1" t="s">
        <v>10</v>
      </c>
      <c r="C1123" s="1">
        <v>698.53</v>
      </c>
    </row>
    <row r="1124" spans="1:3" x14ac:dyDescent="0.2">
      <c r="A1124" s="2">
        <v>45832</v>
      </c>
      <c r="B1124" s="1" t="s">
        <v>10</v>
      </c>
      <c r="C1124" s="1">
        <v>712.2</v>
      </c>
    </row>
    <row r="1125" spans="1:3" x14ac:dyDescent="0.2">
      <c r="A1125" s="2">
        <v>45833</v>
      </c>
      <c r="B1125" s="1" t="s">
        <v>10</v>
      </c>
      <c r="C1125" s="1">
        <v>708.68</v>
      </c>
    </row>
    <row r="1126" spans="1:3" x14ac:dyDescent="0.2">
      <c r="A1126" s="2">
        <v>45834</v>
      </c>
      <c r="B1126" s="1" t="s">
        <v>10</v>
      </c>
      <c r="C1126" s="1">
        <v>726.09</v>
      </c>
    </row>
    <row r="1127" spans="1:3" x14ac:dyDescent="0.2">
      <c r="A1127" s="2">
        <v>45835</v>
      </c>
      <c r="B1127" s="1" t="s">
        <v>10</v>
      </c>
      <c r="C1127" s="1">
        <v>733.63</v>
      </c>
    </row>
    <row r="1128" spans="1:3" x14ac:dyDescent="0.2">
      <c r="A1128" s="2">
        <v>45838</v>
      </c>
      <c r="B1128" s="1" t="s">
        <v>10</v>
      </c>
      <c r="C1128" s="1">
        <v>738.09</v>
      </c>
    </row>
    <row r="1129" spans="1:3" x14ac:dyDescent="0.2">
      <c r="A1129" s="2">
        <v>45839</v>
      </c>
      <c r="B1129" s="1" t="s">
        <v>10</v>
      </c>
      <c r="C1129" s="1">
        <v>719.22</v>
      </c>
    </row>
    <row r="1130" spans="1:3" x14ac:dyDescent="0.2">
      <c r="A1130" s="2">
        <v>45840</v>
      </c>
      <c r="B1130" s="1" t="s">
        <v>10</v>
      </c>
      <c r="C1130" s="1">
        <v>713.57</v>
      </c>
    </row>
    <row r="1131" spans="1:3" x14ac:dyDescent="0.2">
      <c r="A1131" s="2">
        <v>45841</v>
      </c>
      <c r="B1131" s="1" t="s">
        <v>10</v>
      </c>
      <c r="C1131" s="1">
        <v>719.01</v>
      </c>
    </row>
    <row r="1132" spans="1:3" x14ac:dyDescent="0.2">
      <c r="A1132" s="2">
        <v>45845</v>
      </c>
      <c r="B1132" s="1" t="s">
        <v>10</v>
      </c>
      <c r="C1132" s="1">
        <v>718.35</v>
      </c>
    </row>
    <row r="1133" spans="1:3" x14ac:dyDescent="0.2">
      <c r="A1133" s="2">
        <v>45846</v>
      </c>
      <c r="B1133" s="1" t="s">
        <v>10</v>
      </c>
      <c r="C1133" s="1">
        <v>720.67</v>
      </c>
    </row>
    <row r="1134" spans="1:3" x14ac:dyDescent="0.2">
      <c r="A1134" s="2">
        <v>45847</v>
      </c>
      <c r="B1134" s="1" t="s">
        <v>10</v>
      </c>
      <c r="C1134" s="1">
        <v>732.78</v>
      </c>
    </row>
    <row r="1135" spans="1:3" x14ac:dyDescent="0.2">
      <c r="A1135" s="2">
        <v>45848</v>
      </c>
      <c r="B1135" s="1" t="s">
        <v>10</v>
      </c>
      <c r="C1135" s="1">
        <v>727.24</v>
      </c>
    </row>
    <row r="1136" spans="1:3" x14ac:dyDescent="0.2">
      <c r="A1136" s="2">
        <v>45849</v>
      </c>
      <c r="B1136" s="1" t="s">
        <v>10</v>
      </c>
      <c r="C1136" s="1">
        <v>717.51</v>
      </c>
    </row>
    <row r="1137" spans="1:3" x14ac:dyDescent="0.2">
      <c r="A1137" s="2">
        <v>45852</v>
      </c>
      <c r="B1137" s="1" t="s">
        <v>10</v>
      </c>
      <c r="C1137" s="1">
        <v>720.92</v>
      </c>
    </row>
    <row r="1138" spans="1:3" x14ac:dyDescent="0.2">
      <c r="A1138" s="2">
        <v>45853</v>
      </c>
      <c r="B1138" s="1" t="s">
        <v>10</v>
      </c>
      <c r="C1138" s="1">
        <v>710.39</v>
      </c>
    </row>
    <row r="1139" spans="1:3" x14ac:dyDescent="0.2">
      <c r="A1139" s="2">
        <v>45854</v>
      </c>
      <c r="B1139" s="1" t="s">
        <v>10</v>
      </c>
      <c r="C1139" s="1">
        <v>702.91</v>
      </c>
    </row>
    <row r="1140" spans="1:3" x14ac:dyDescent="0.2">
      <c r="A1140" s="2">
        <v>45855</v>
      </c>
      <c r="B1140" s="1" t="s">
        <v>10</v>
      </c>
      <c r="C1140" s="1">
        <v>701.41</v>
      </c>
    </row>
    <row r="1141" spans="1:3" x14ac:dyDescent="0.2">
      <c r="A1141" s="2">
        <v>45856</v>
      </c>
      <c r="B1141" s="1" t="s">
        <v>10</v>
      </c>
      <c r="C1141" s="1">
        <v>704.28</v>
      </c>
    </row>
    <row r="1142" spans="1:3" x14ac:dyDescent="0.2">
      <c r="A1142" s="2">
        <v>45859</v>
      </c>
      <c r="B1142" s="1" t="s">
        <v>10</v>
      </c>
      <c r="C1142" s="1">
        <v>712.96500000000003</v>
      </c>
    </row>
    <row r="1143" spans="1:3" x14ac:dyDescent="0.2">
      <c r="A1143" s="2">
        <v>45860</v>
      </c>
      <c r="B1143" s="1" t="s">
        <v>10</v>
      </c>
      <c r="C1143" s="1">
        <v>704.81</v>
      </c>
    </row>
    <row r="1144" spans="1:3" x14ac:dyDescent="0.2">
      <c r="A1144" s="2">
        <v>45861</v>
      </c>
      <c r="B1144" s="1" t="s">
        <v>10</v>
      </c>
      <c r="C1144" s="1">
        <v>713.58</v>
      </c>
    </row>
    <row r="1145" spans="1:3" x14ac:dyDescent="0.2">
      <c r="A1145" s="2">
        <v>45862</v>
      </c>
      <c r="B1145" s="1" t="s">
        <v>10</v>
      </c>
      <c r="C1145" s="1">
        <v>714.8</v>
      </c>
    </row>
    <row r="1146" spans="1:3" x14ac:dyDescent="0.2">
      <c r="A1146" s="2">
        <v>45863</v>
      </c>
      <c r="B1146" s="1" t="s">
        <v>10</v>
      </c>
      <c r="C1146" s="1">
        <v>712.68</v>
      </c>
    </row>
    <row r="1147" spans="1:3" x14ac:dyDescent="0.2">
      <c r="A1147" s="2">
        <v>45866</v>
      </c>
      <c r="B1147" s="1" t="s">
        <v>10</v>
      </c>
      <c r="C1147" s="1">
        <v>717.63</v>
      </c>
    </row>
    <row r="1148" spans="1:3" x14ac:dyDescent="0.2">
      <c r="A1148" s="2">
        <v>45867</v>
      </c>
      <c r="B1148" s="1" t="s">
        <v>10</v>
      </c>
      <c r="C1148" s="1">
        <v>700</v>
      </c>
    </row>
    <row r="1149" spans="1:3" x14ac:dyDescent="0.2">
      <c r="A1149" s="2">
        <v>45868</v>
      </c>
      <c r="B1149" s="1" t="s">
        <v>10</v>
      </c>
      <c r="C1149" s="1">
        <v>695.21</v>
      </c>
    </row>
    <row r="1150" spans="1:3" x14ac:dyDescent="0.2">
      <c r="A1150" s="2">
        <v>45869</v>
      </c>
      <c r="B1150" s="1" t="s">
        <v>10</v>
      </c>
      <c r="C1150" s="1">
        <v>773.44</v>
      </c>
    </row>
    <row r="1151" spans="1:3" x14ac:dyDescent="0.2">
      <c r="A1151" s="2">
        <v>45870</v>
      </c>
      <c r="B1151" s="1" t="s">
        <v>10</v>
      </c>
      <c r="C1151" s="1">
        <v>750.01</v>
      </c>
    </row>
    <row r="1152" spans="1:3" x14ac:dyDescent="0.2">
      <c r="A1152" s="2">
        <v>45873</v>
      </c>
      <c r="B1152" s="1" t="s">
        <v>10</v>
      </c>
      <c r="C1152" s="1">
        <v>776.37</v>
      </c>
    </row>
    <row r="1153" spans="1:3" x14ac:dyDescent="0.2">
      <c r="A1153" s="2">
        <v>45874</v>
      </c>
      <c r="B1153" s="1" t="s">
        <v>10</v>
      </c>
      <c r="C1153" s="1">
        <v>763.46</v>
      </c>
    </row>
    <row r="1154" spans="1:3" x14ac:dyDescent="0.2">
      <c r="A1154" s="2">
        <v>45875</v>
      </c>
      <c r="B1154" s="1" t="s">
        <v>10</v>
      </c>
      <c r="C1154" s="1">
        <v>771.99</v>
      </c>
    </row>
    <row r="1155" spans="1:3" x14ac:dyDescent="0.2">
      <c r="A1155" s="2">
        <v>45876</v>
      </c>
      <c r="B1155" s="1" t="s">
        <v>10</v>
      </c>
      <c r="C1155" s="1">
        <v>761.83</v>
      </c>
    </row>
    <row r="1156" spans="1:3" x14ac:dyDescent="0.2">
      <c r="A1156" s="2">
        <v>45877</v>
      </c>
      <c r="B1156" s="1" t="s">
        <v>10</v>
      </c>
      <c r="C1156" s="1">
        <v>769.3</v>
      </c>
    </row>
    <row r="1157" spans="1:3" x14ac:dyDescent="0.2">
      <c r="A1157" s="2">
        <v>45880</v>
      </c>
      <c r="B1157" s="1" t="s">
        <v>10</v>
      </c>
      <c r="C1157" s="1">
        <v>765.87</v>
      </c>
    </row>
    <row r="1158" spans="1:3" x14ac:dyDescent="0.2">
      <c r="A1158" s="2">
        <v>45881</v>
      </c>
      <c r="B1158" s="1" t="s">
        <v>10</v>
      </c>
      <c r="C1158" s="1">
        <v>790</v>
      </c>
    </row>
    <row r="1159" spans="1:3" x14ac:dyDescent="0.2">
      <c r="A1159" s="2">
        <v>45882</v>
      </c>
      <c r="B1159" s="1" t="s">
        <v>10</v>
      </c>
      <c r="C1159" s="1">
        <v>780.08</v>
      </c>
    </row>
    <row r="1160" spans="1:3" x14ac:dyDescent="0.2">
      <c r="A1160" s="2">
        <v>45883</v>
      </c>
      <c r="B1160" s="1" t="s">
        <v>10</v>
      </c>
      <c r="C1160" s="1">
        <v>782.13</v>
      </c>
    </row>
    <row r="1161" spans="1:3" x14ac:dyDescent="0.2">
      <c r="A1161" s="2">
        <v>45884</v>
      </c>
      <c r="B1161" s="1" t="s">
        <v>10</v>
      </c>
      <c r="C1161" s="1">
        <v>785.23</v>
      </c>
    </row>
    <row r="1162" spans="1:3" x14ac:dyDescent="0.2">
      <c r="A1162" s="2">
        <v>45887</v>
      </c>
      <c r="B1162" s="1" t="s">
        <v>10</v>
      </c>
      <c r="C1162" s="1">
        <v>767.37</v>
      </c>
    </row>
    <row r="1163" spans="1:3" x14ac:dyDescent="0.2">
      <c r="A1163" s="2">
        <v>45888</v>
      </c>
      <c r="B1163" s="1" t="s">
        <v>10</v>
      </c>
      <c r="C1163" s="1">
        <v>751.48</v>
      </c>
    </row>
    <row r="1164" spans="1:3" x14ac:dyDescent="0.2">
      <c r="A1164" s="2">
        <v>45889</v>
      </c>
      <c r="B1164" s="1" t="s">
        <v>10</v>
      </c>
      <c r="C1164" s="1">
        <v>747.72</v>
      </c>
    </row>
    <row r="1165" spans="1:3" x14ac:dyDescent="0.2">
      <c r="A1165" s="2">
        <v>45890</v>
      </c>
      <c r="B1165" s="1" t="s">
        <v>10</v>
      </c>
      <c r="C1165" s="1">
        <v>739.1</v>
      </c>
    </row>
    <row r="1166" spans="1:3" x14ac:dyDescent="0.2">
      <c r="A1166" s="2">
        <v>45891</v>
      </c>
      <c r="B1166" s="1" t="s">
        <v>10</v>
      </c>
      <c r="C1166" s="1">
        <v>754.79</v>
      </c>
    </row>
    <row r="1167" spans="1:3" x14ac:dyDescent="0.2">
      <c r="A1167" s="2">
        <v>45894</v>
      </c>
      <c r="B1167" s="1" t="s">
        <v>10</v>
      </c>
      <c r="C1167" s="1">
        <v>753.3</v>
      </c>
    </row>
    <row r="1168" spans="1:3" x14ac:dyDescent="0.2">
      <c r="A1168" s="2">
        <v>45895</v>
      </c>
      <c r="B1168" s="1" t="s">
        <v>10</v>
      </c>
      <c r="C1168" s="1">
        <v>754.1</v>
      </c>
    </row>
    <row r="1169" spans="1:3" x14ac:dyDescent="0.2">
      <c r="A1169" s="2">
        <v>45896</v>
      </c>
      <c r="B1169" s="1" t="s">
        <v>10</v>
      </c>
      <c r="C1169" s="1">
        <v>747.38</v>
      </c>
    </row>
    <row r="1170" spans="1:3" x14ac:dyDescent="0.2">
      <c r="A1170" s="2">
        <v>45897</v>
      </c>
      <c r="B1170" s="1" t="s">
        <v>10</v>
      </c>
      <c r="C1170" s="1">
        <v>751.11</v>
      </c>
    </row>
    <row r="1171" spans="1:3" x14ac:dyDescent="0.2">
      <c r="A1171" s="2">
        <v>45898</v>
      </c>
      <c r="B1171" s="1" t="s">
        <v>10</v>
      </c>
      <c r="C1171" s="1">
        <v>738.7</v>
      </c>
    </row>
    <row r="1172" spans="1:3" x14ac:dyDescent="0.2">
      <c r="A1172" s="2">
        <v>45902</v>
      </c>
      <c r="B1172" s="1" t="s">
        <v>10</v>
      </c>
      <c r="C1172" s="1">
        <v>735.11</v>
      </c>
    </row>
    <row r="1173" spans="1:3" x14ac:dyDescent="0.2">
      <c r="A1173" s="2">
        <v>45903</v>
      </c>
      <c r="B1173" s="1" t="s">
        <v>10</v>
      </c>
      <c r="C1173" s="1">
        <v>737.05</v>
      </c>
    </row>
    <row r="1174" spans="1:3" x14ac:dyDescent="0.2">
      <c r="A1174" s="2">
        <v>45904</v>
      </c>
      <c r="B1174" s="1" t="s">
        <v>10</v>
      </c>
      <c r="C1174" s="1">
        <v>748.65</v>
      </c>
    </row>
    <row r="1175" spans="1:3" x14ac:dyDescent="0.2">
      <c r="A1175" s="2">
        <v>45905</v>
      </c>
      <c r="B1175" s="1" t="s">
        <v>10</v>
      </c>
      <c r="C1175" s="1">
        <v>752.45</v>
      </c>
    </row>
    <row r="1176" spans="1:3" x14ac:dyDescent="0.2">
      <c r="A1176" s="2">
        <v>45908</v>
      </c>
      <c r="B1176" s="1" t="s">
        <v>10</v>
      </c>
      <c r="C1176" s="1">
        <v>752.3</v>
      </c>
    </row>
    <row r="1177" spans="1:3" x14ac:dyDescent="0.2">
      <c r="A1177" s="2">
        <v>45909</v>
      </c>
      <c r="B1177" s="1" t="s">
        <v>10</v>
      </c>
      <c r="C1177" s="1">
        <v>765.7</v>
      </c>
    </row>
    <row r="1178" spans="1:3" x14ac:dyDescent="0.2">
      <c r="A1178" s="2">
        <v>45910</v>
      </c>
      <c r="B1178" s="1" t="s">
        <v>10</v>
      </c>
      <c r="C1178" s="1">
        <v>751.98</v>
      </c>
    </row>
    <row r="1179" spans="1:3" x14ac:dyDescent="0.2">
      <c r="A1179" s="2">
        <v>45911</v>
      </c>
      <c r="B1179" s="1" t="s">
        <v>10</v>
      </c>
      <c r="C1179" s="1">
        <v>750.9</v>
      </c>
    </row>
    <row r="1180" spans="1:3" x14ac:dyDescent="0.2">
      <c r="A1180" s="2">
        <v>45912</v>
      </c>
      <c r="B1180" s="1" t="s">
        <v>10</v>
      </c>
      <c r="C1180" s="1">
        <v>755.59</v>
      </c>
    </row>
    <row r="1181" spans="1:3" x14ac:dyDescent="0.2">
      <c r="A1181" s="2">
        <v>45915</v>
      </c>
      <c r="B1181" s="1" t="s">
        <v>10</v>
      </c>
      <c r="C1181" s="1">
        <v>764.7</v>
      </c>
    </row>
    <row r="1182" spans="1:3" x14ac:dyDescent="0.2">
      <c r="A1182" s="2">
        <v>45916</v>
      </c>
      <c r="B1182" s="1" t="s">
        <v>10</v>
      </c>
      <c r="C1182" s="1">
        <v>779</v>
      </c>
    </row>
    <row r="1183" spans="1:3" x14ac:dyDescent="0.2">
      <c r="A1183" s="2">
        <v>45917</v>
      </c>
      <c r="B1183" s="1" t="s">
        <v>10</v>
      </c>
      <c r="C1183" s="1">
        <v>775.71500000000003</v>
      </c>
    </row>
    <row r="1184" spans="1:3" x14ac:dyDescent="0.2">
      <c r="A1184" s="2">
        <v>45918</v>
      </c>
      <c r="B1184" s="1" t="s">
        <v>10</v>
      </c>
      <c r="C1184" s="1">
        <v>780.25</v>
      </c>
    </row>
    <row r="1185" spans="1:3" x14ac:dyDescent="0.2">
      <c r="A1185" s="2">
        <v>45919</v>
      </c>
      <c r="B1185" s="1" t="s">
        <v>10</v>
      </c>
      <c r="C1185" s="1">
        <v>778.38</v>
      </c>
    </row>
    <row r="1186" spans="1:3" x14ac:dyDescent="0.2">
      <c r="A1186" s="2">
        <v>45922</v>
      </c>
      <c r="B1186" s="1" t="s">
        <v>10</v>
      </c>
      <c r="C1186" s="1">
        <v>765.16</v>
      </c>
    </row>
    <row r="1187" spans="1:3" x14ac:dyDescent="0.2">
      <c r="A1187" s="2">
        <v>45923</v>
      </c>
      <c r="B1187" s="1" t="s">
        <v>10</v>
      </c>
      <c r="C1187" s="1">
        <v>755.4</v>
      </c>
    </row>
    <row r="1188" spans="1:3" x14ac:dyDescent="0.2">
      <c r="A1188" s="2">
        <v>45924</v>
      </c>
      <c r="B1188" s="1" t="s">
        <v>10</v>
      </c>
      <c r="C1188" s="1">
        <v>760.66</v>
      </c>
    </row>
    <row r="1189" spans="1:3" x14ac:dyDescent="0.2">
      <c r="A1189" s="2">
        <v>45925</v>
      </c>
      <c r="B1189" s="1" t="s">
        <v>10</v>
      </c>
      <c r="C1189" s="1">
        <v>748.91</v>
      </c>
    </row>
    <row r="1190" spans="1:3" x14ac:dyDescent="0.2">
      <c r="A1190" s="2">
        <v>45926</v>
      </c>
      <c r="B1190" s="1" t="s">
        <v>10</v>
      </c>
      <c r="C1190" s="1">
        <v>743.75</v>
      </c>
    </row>
    <row r="1191" spans="1:3" x14ac:dyDescent="0.2">
      <c r="A1191" s="2">
        <v>45929</v>
      </c>
      <c r="B1191" s="1" t="s">
        <v>10</v>
      </c>
      <c r="C1191" s="1">
        <v>743.4</v>
      </c>
    </row>
    <row r="1192" spans="1:3" x14ac:dyDescent="0.2">
      <c r="A1192" s="2">
        <v>45930</v>
      </c>
      <c r="B1192" s="1" t="s">
        <v>10</v>
      </c>
      <c r="C1192" s="1">
        <v>734.38</v>
      </c>
    </row>
    <row r="1193" spans="1:3" x14ac:dyDescent="0.2">
      <c r="A1193" s="2">
        <v>45931</v>
      </c>
      <c r="B1193" s="1" t="s">
        <v>10</v>
      </c>
      <c r="C1193" s="1">
        <v>717.34</v>
      </c>
    </row>
    <row r="1194" spans="1:3" x14ac:dyDescent="0.2">
      <c r="A1194" s="2">
        <v>45932</v>
      </c>
      <c r="B1194" s="1" t="s">
        <v>10</v>
      </c>
      <c r="C1194" s="1">
        <v>727.05</v>
      </c>
    </row>
    <row r="1195" spans="1:3" x14ac:dyDescent="0.2">
      <c r="A1195" s="2">
        <v>45933</v>
      </c>
      <c r="B1195" s="1" t="s">
        <v>10</v>
      </c>
      <c r="C1195" s="1">
        <v>710.56</v>
      </c>
    </row>
    <row r="1196" spans="1:3" x14ac:dyDescent="0.2">
      <c r="A1196" s="2">
        <v>45936</v>
      </c>
      <c r="B1196" s="1" t="s">
        <v>10</v>
      </c>
      <c r="C1196" s="1">
        <v>715.66</v>
      </c>
    </row>
    <row r="1197" spans="1:3" x14ac:dyDescent="0.2">
      <c r="A1197" s="2">
        <v>45937</v>
      </c>
      <c r="B1197" s="1" t="s">
        <v>10</v>
      </c>
      <c r="C1197" s="1">
        <v>713.08</v>
      </c>
    </row>
    <row r="1198" spans="1:3" x14ac:dyDescent="0.2">
      <c r="A1198" s="2">
        <v>45938</v>
      </c>
      <c r="B1198" s="1" t="s">
        <v>10</v>
      </c>
      <c r="C1198" s="1">
        <v>717.84</v>
      </c>
    </row>
    <row r="1199" spans="1:3" x14ac:dyDescent="0.2">
      <c r="A1199" s="2">
        <v>45939</v>
      </c>
      <c r="B1199" s="1" t="s">
        <v>10</v>
      </c>
      <c r="C1199" s="1">
        <v>733.51</v>
      </c>
    </row>
    <row r="1200" spans="1:3" x14ac:dyDescent="0.2">
      <c r="A1200" s="2">
        <v>45940</v>
      </c>
      <c r="B1200" s="1" t="s">
        <v>10</v>
      </c>
      <c r="C1200" s="1">
        <v>705.3</v>
      </c>
    </row>
    <row r="1201" spans="1:3" x14ac:dyDescent="0.2">
      <c r="A1201" s="2">
        <v>45943</v>
      </c>
      <c r="B1201" s="1" t="s">
        <v>10</v>
      </c>
      <c r="C1201" s="1">
        <v>715.7</v>
      </c>
    </row>
    <row r="1202" spans="1:3" x14ac:dyDescent="0.2">
      <c r="A1202" s="2">
        <v>45944</v>
      </c>
      <c r="B1202" s="1" t="s">
        <v>10</v>
      </c>
      <c r="C1202" s="1">
        <v>708.65</v>
      </c>
    </row>
    <row r="1203" spans="1:3" x14ac:dyDescent="0.2">
      <c r="A1203" s="2">
        <v>45945</v>
      </c>
      <c r="B1203" s="1" t="s">
        <v>10</v>
      </c>
      <c r="C1203" s="1">
        <v>717.55</v>
      </c>
    </row>
    <row r="1204" spans="1:3" x14ac:dyDescent="0.2">
      <c r="A1204" s="2">
        <v>45946</v>
      </c>
      <c r="B1204" s="1" t="s">
        <v>10</v>
      </c>
      <c r="C1204" s="1">
        <v>712.07</v>
      </c>
    </row>
    <row r="1205" spans="1:3" x14ac:dyDescent="0.2">
      <c r="A1205" s="2">
        <v>45947</v>
      </c>
      <c r="B1205" s="1" t="s">
        <v>10</v>
      </c>
      <c r="C1205" s="1">
        <v>716.91499999999996</v>
      </c>
    </row>
    <row r="1206" spans="1:3" x14ac:dyDescent="0.2">
      <c r="A1206" s="2">
        <v>45950</v>
      </c>
      <c r="B1206" s="1" t="s">
        <v>10</v>
      </c>
      <c r="C1206" s="1">
        <v>732.17</v>
      </c>
    </row>
    <row r="1207" spans="1:3" x14ac:dyDescent="0.2">
      <c r="A1207" s="2">
        <v>45951</v>
      </c>
      <c r="B1207" s="1" t="s">
        <v>10</v>
      </c>
      <c r="C1207" s="1">
        <v>733.27</v>
      </c>
    </row>
    <row r="1208" spans="1:3" x14ac:dyDescent="0.2">
      <c r="A1208" s="2">
        <v>45952</v>
      </c>
      <c r="B1208" s="1" t="s">
        <v>10</v>
      </c>
      <c r="C1208" s="1">
        <v>733.41</v>
      </c>
    </row>
    <row r="1209" spans="1:3" x14ac:dyDescent="0.2">
      <c r="A1209" s="2">
        <v>45953</v>
      </c>
      <c r="B1209" s="1" t="s">
        <v>10</v>
      </c>
      <c r="C1209" s="1">
        <v>734</v>
      </c>
    </row>
    <row r="1210" spans="1:3" x14ac:dyDescent="0.2">
      <c r="A1210" s="2">
        <v>45954</v>
      </c>
      <c r="B1210" s="1" t="s">
        <v>10</v>
      </c>
      <c r="C1210" s="1">
        <v>738.36</v>
      </c>
    </row>
    <row r="1211" spans="1:3" x14ac:dyDescent="0.2">
      <c r="A1211" s="2">
        <v>45957</v>
      </c>
      <c r="B1211" s="1" t="s">
        <v>10</v>
      </c>
      <c r="C1211" s="1">
        <v>750.82</v>
      </c>
    </row>
    <row r="1212" spans="1:3" x14ac:dyDescent="0.2">
      <c r="A1212" s="2">
        <v>45958</v>
      </c>
      <c r="B1212" s="1" t="s">
        <v>10</v>
      </c>
      <c r="C1212" s="1">
        <v>751.44</v>
      </c>
    </row>
    <row r="1213" spans="1:3" x14ac:dyDescent="0.2">
      <c r="A1213" s="2">
        <v>45959</v>
      </c>
      <c r="B1213" s="1" t="s">
        <v>10</v>
      </c>
      <c r="C1213" s="1">
        <v>751.67</v>
      </c>
    </row>
    <row r="1214" spans="1:3" x14ac:dyDescent="0.2">
      <c r="A1214" s="2">
        <v>45960</v>
      </c>
      <c r="B1214" s="1" t="s">
        <v>10</v>
      </c>
      <c r="C1214" s="1">
        <v>666.47</v>
      </c>
    </row>
    <row r="1215" spans="1:3" x14ac:dyDescent="0.2">
      <c r="A1215" s="2">
        <v>45961</v>
      </c>
      <c r="B1215" s="1" t="s">
        <v>10</v>
      </c>
      <c r="C1215" s="1">
        <v>648.35</v>
      </c>
    </row>
    <row r="1216" spans="1:3" x14ac:dyDescent="0.2">
      <c r="A1216" s="2">
        <v>45964</v>
      </c>
      <c r="B1216" s="1" t="s">
        <v>10</v>
      </c>
      <c r="C1216" s="1">
        <v>637.71</v>
      </c>
    </row>
    <row r="1217" spans="1:3" x14ac:dyDescent="0.2">
      <c r="A1217" s="2">
        <v>45965</v>
      </c>
      <c r="B1217" s="1" t="s">
        <v>10</v>
      </c>
      <c r="C1217" s="1">
        <v>627.32000000000005</v>
      </c>
    </row>
    <row r="1218" spans="1:3" x14ac:dyDescent="0.2">
      <c r="A1218" s="2">
        <v>45966</v>
      </c>
      <c r="B1218" s="1" t="s">
        <v>10</v>
      </c>
      <c r="C1218" s="1">
        <v>635.95000000000005</v>
      </c>
    </row>
    <row r="1219" spans="1:3" x14ac:dyDescent="0.2">
      <c r="A1219" s="2">
        <v>45967</v>
      </c>
      <c r="B1219" s="1" t="s">
        <v>10</v>
      </c>
      <c r="C1219" s="1">
        <v>618.94000000000005</v>
      </c>
    </row>
    <row r="1220" spans="1:3" x14ac:dyDescent="0.2">
      <c r="A1220" s="2">
        <v>45968</v>
      </c>
      <c r="B1220" s="1" t="s">
        <v>10</v>
      </c>
      <c r="C1220" s="1">
        <v>621.71</v>
      </c>
    </row>
    <row r="1221" spans="1:3" x14ac:dyDescent="0.2">
      <c r="A1221" s="2">
        <v>45971</v>
      </c>
      <c r="B1221" s="1" t="s">
        <v>10</v>
      </c>
      <c r="C1221" s="1">
        <v>631.76</v>
      </c>
    </row>
    <row r="1222" spans="1:3" x14ac:dyDescent="0.2">
      <c r="A1222" s="2">
        <v>45972</v>
      </c>
      <c r="B1222" s="1" t="s">
        <v>10</v>
      </c>
      <c r="C1222" s="1">
        <v>627.08000000000004</v>
      </c>
    </row>
    <row r="1223" spans="1:3" x14ac:dyDescent="0.2">
      <c r="A1223" s="2">
        <v>45973</v>
      </c>
      <c r="B1223" s="1" t="s">
        <v>10</v>
      </c>
      <c r="C1223" s="1">
        <v>609.01</v>
      </c>
    </row>
    <row r="1224" spans="1:3" x14ac:dyDescent="0.2">
      <c r="A1224" s="2">
        <v>45974</v>
      </c>
      <c r="B1224" s="1" t="s">
        <v>10</v>
      </c>
      <c r="C1224" s="1">
        <v>609.89</v>
      </c>
    </row>
    <row r="1225" spans="1:3" x14ac:dyDescent="0.2">
      <c r="A1225" s="2">
        <v>45975</v>
      </c>
      <c r="B1225" s="1" t="s">
        <v>10</v>
      </c>
      <c r="C1225" s="1">
        <v>609.46</v>
      </c>
    </row>
    <row r="1226" spans="1:3" x14ac:dyDescent="0.2">
      <c r="A1226" s="2">
        <v>45978</v>
      </c>
      <c r="B1226" s="1" t="s">
        <v>10</v>
      </c>
      <c r="C1226" s="1">
        <v>602.01</v>
      </c>
    </row>
    <row r="1227" spans="1:3" x14ac:dyDescent="0.2">
      <c r="A1227" s="2">
        <v>45979</v>
      </c>
      <c r="B1227" s="1" t="s">
        <v>10</v>
      </c>
      <c r="C1227" s="1">
        <v>597.69000000000005</v>
      </c>
    </row>
    <row r="1228" spans="1:3" x14ac:dyDescent="0.2">
      <c r="A1228" s="2">
        <v>45980</v>
      </c>
      <c r="B1228" s="1" t="s">
        <v>10</v>
      </c>
      <c r="C1228" s="1">
        <v>590.32000000000005</v>
      </c>
    </row>
    <row r="1229" spans="1:3" x14ac:dyDescent="0.2">
      <c r="A1229" s="2">
        <v>45981</v>
      </c>
      <c r="B1229" s="1" t="s">
        <v>10</v>
      </c>
      <c r="C1229" s="1">
        <v>589.15</v>
      </c>
    </row>
    <row r="1230" spans="1:3" x14ac:dyDescent="0.2">
      <c r="A1230" s="2">
        <v>45982</v>
      </c>
      <c r="B1230" s="1" t="s">
        <v>10</v>
      </c>
      <c r="C1230" s="1">
        <v>594.25</v>
      </c>
    </row>
    <row r="1231" spans="1:3" x14ac:dyDescent="0.2">
      <c r="A1231" s="2">
        <v>45985</v>
      </c>
      <c r="B1231" s="1" t="s">
        <v>10</v>
      </c>
      <c r="C1231" s="1">
        <v>613.04999999999995</v>
      </c>
    </row>
    <row r="1232" spans="1:3" x14ac:dyDescent="0.2">
      <c r="A1232" s="2">
        <v>45986</v>
      </c>
      <c r="B1232" s="1" t="s">
        <v>10</v>
      </c>
      <c r="C1232" s="1">
        <v>636.22</v>
      </c>
    </row>
    <row r="1233" spans="1:3" x14ac:dyDescent="0.2">
      <c r="A1233" s="2">
        <v>45987</v>
      </c>
      <c r="B1233" s="1" t="s">
        <v>10</v>
      </c>
      <c r="C1233" s="1">
        <v>633.61</v>
      </c>
    </row>
    <row r="1234" spans="1:3" x14ac:dyDescent="0.2">
      <c r="A1234" s="2">
        <v>45989</v>
      </c>
      <c r="B1234" s="1" t="s">
        <v>10</v>
      </c>
      <c r="C1234" s="1">
        <v>647.95000000000005</v>
      </c>
    </row>
    <row r="1235" spans="1:3" x14ac:dyDescent="0.2">
      <c r="A1235" s="2">
        <v>45992</v>
      </c>
      <c r="B1235" s="1" t="s">
        <v>10</v>
      </c>
      <c r="C1235" s="1">
        <v>640.87</v>
      </c>
    </row>
    <row r="1236" spans="1:3" x14ac:dyDescent="0.2">
      <c r="A1236" s="2">
        <v>45993</v>
      </c>
      <c r="B1236" s="1" t="s">
        <v>10</v>
      </c>
      <c r="C1236" s="1">
        <v>647.1</v>
      </c>
    </row>
    <row r="1237" spans="1:3" x14ac:dyDescent="0.2">
      <c r="A1237" s="2">
        <v>45994</v>
      </c>
      <c r="B1237" s="1" t="s">
        <v>10</v>
      </c>
      <c r="C1237" s="1">
        <v>639.6</v>
      </c>
    </row>
    <row r="1238" spans="1:3" x14ac:dyDescent="0.2">
      <c r="A1238" s="2">
        <v>45995</v>
      </c>
      <c r="B1238" s="1" t="s">
        <v>10</v>
      </c>
      <c r="C1238" s="1">
        <v>661.53</v>
      </c>
    </row>
    <row r="1239" spans="1:3" x14ac:dyDescent="0.2">
      <c r="A1239" s="2">
        <v>45996</v>
      </c>
      <c r="B1239" s="1" t="s">
        <v>10</v>
      </c>
      <c r="C1239" s="1">
        <v>673.42</v>
      </c>
    </row>
    <row r="1240" spans="1:3" x14ac:dyDescent="0.2">
      <c r="A1240" s="2">
        <v>45999</v>
      </c>
      <c r="B1240" s="1" t="s">
        <v>10</v>
      </c>
      <c r="C1240" s="1">
        <v>666.8</v>
      </c>
    </row>
    <row r="1241" spans="1:3" x14ac:dyDescent="0.2">
      <c r="A1241" s="2">
        <v>46000</v>
      </c>
      <c r="B1241" s="1" t="s">
        <v>10</v>
      </c>
      <c r="C1241" s="1">
        <v>656.96</v>
      </c>
    </row>
    <row r="1242" spans="1:3" x14ac:dyDescent="0.2">
      <c r="A1242" s="2">
        <v>46001</v>
      </c>
      <c r="B1242" s="1" t="s">
        <v>10</v>
      </c>
      <c r="C1242" s="1">
        <v>650.13</v>
      </c>
    </row>
    <row r="1243" spans="1:3" x14ac:dyDescent="0.2">
      <c r="A1243" s="2">
        <v>46002</v>
      </c>
      <c r="B1243" s="1" t="s">
        <v>10</v>
      </c>
      <c r="C1243" s="1">
        <v>652.71</v>
      </c>
    </row>
    <row r="1244" spans="1:3" x14ac:dyDescent="0.2">
      <c r="A1244" s="2">
        <v>46003</v>
      </c>
      <c r="B1244" s="1" t="s">
        <v>10</v>
      </c>
      <c r="C1244" s="1">
        <v>644.23</v>
      </c>
    </row>
    <row r="1245" spans="1:3" x14ac:dyDescent="0.2">
      <c r="A1245" s="2">
        <v>46006</v>
      </c>
      <c r="B1245" s="1" t="s">
        <v>10</v>
      </c>
      <c r="C1245" s="1">
        <v>647.51</v>
      </c>
    </row>
    <row r="1246" spans="1:3" x14ac:dyDescent="0.2">
      <c r="A1246" s="2">
        <v>46007</v>
      </c>
      <c r="B1246" s="1" t="s">
        <v>10</v>
      </c>
      <c r="C1246" s="1">
        <v>657.15</v>
      </c>
    </row>
    <row r="1247" spans="1:3" x14ac:dyDescent="0.2">
      <c r="A1247" s="2">
        <v>46008</v>
      </c>
      <c r="B1247" s="1" t="s">
        <v>10</v>
      </c>
      <c r="C1247" s="1">
        <v>649.5</v>
      </c>
    </row>
    <row r="1248" spans="1:3" x14ac:dyDescent="0.2">
      <c r="A1248" s="2">
        <v>46009</v>
      </c>
      <c r="B1248" s="1" t="s">
        <v>10</v>
      </c>
      <c r="C1248" s="1">
        <v>664.45</v>
      </c>
    </row>
    <row r="1249" spans="1:3" x14ac:dyDescent="0.2">
      <c r="A1249" s="2">
        <v>46010</v>
      </c>
      <c r="B1249" s="1" t="s">
        <v>10</v>
      </c>
      <c r="C1249" s="1">
        <v>658.77</v>
      </c>
    </row>
    <row r="1250" spans="1:3" x14ac:dyDescent="0.2">
      <c r="A1250" s="2">
        <v>46013</v>
      </c>
      <c r="B1250" s="1" t="s">
        <v>10</v>
      </c>
      <c r="C1250" s="1">
        <v>661.5</v>
      </c>
    </row>
    <row r="1251" spans="1:3" x14ac:dyDescent="0.2">
      <c r="A1251" s="2">
        <v>46014</v>
      </c>
      <c r="B1251" s="1" t="s">
        <v>10</v>
      </c>
      <c r="C1251" s="1">
        <v>664.94</v>
      </c>
    </row>
    <row r="1252" spans="1:3" x14ac:dyDescent="0.2">
      <c r="A1252" s="2">
        <v>46015</v>
      </c>
      <c r="B1252" s="1" t="s">
        <v>10</v>
      </c>
      <c r="C1252" s="1">
        <v>667.55</v>
      </c>
    </row>
    <row r="1253" spans="1:3" x14ac:dyDescent="0.2">
      <c r="A1253" s="2">
        <v>46017</v>
      </c>
      <c r="B1253" s="1" t="s">
        <v>10</v>
      </c>
      <c r="C1253" s="1">
        <v>663.29</v>
      </c>
    </row>
    <row r="1254" spans="1:3" x14ac:dyDescent="0.2">
      <c r="A1254" s="2">
        <v>46020</v>
      </c>
      <c r="B1254" s="1" t="s">
        <v>10</v>
      </c>
      <c r="C1254" s="1">
        <v>658.69</v>
      </c>
    </row>
    <row r="1255" spans="1:3" x14ac:dyDescent="0.2">
      <c r="A1255" s="2">
        <v>46021</v>
      </c>
      <c r="B1255" s="1" t="s">
        <v>10</v>
      </c>
      <c r="C1255" s="1">
        <v>665.95</v>
      </c>
    </row>
    <row r="1256" spans="1:3" x14ac:dyDescent="0.2">
      <c r="A1256" s="2">
        <v>46022</v>
      </c>
      <c r="B1256" s="1" t="s">
        <v>10</v>
      </c>
      <c r="C1256" s="1">
        <v>660.09</v>
      </c>
    </row>
    <row r="1257" spans="1:3" x14ac:dyDescent="0.2">
      <c r="A1257" s="2">
        <v>46024</v>
      </c>
      <c r="B1257" s="1" t="s">
        <v>10</v>
      </c>
      <c r="C1257" s="1">
        <v>650.41</v>
      </c>
    </row>
    <row r="1258" spans="1:3" x14ac:dyDescent="0.2">
      <c r="A1258" s="2">
        <v>46027</v>
      </c>
      <c r="B1258" s="1" t="s">
        <v>10</v>
      </c>
      <c r="C1258" s="1">
        <v>658.79</v>
      </c>
    </row>
    <row r="1259" spans="1:3" x14ac:dyDescent="0.2">
      <c r="A1259" s="2">
        <v>46028</v>
      </c>
      <c r="B1259" s="1" t="s">
        <v>10</v>
      </c>
      <c r="C1259" s="1">
        <v>660.62</v>
      </c>
    </row>
    <row r="1260" spans="1:3" x14ac:dyDescent="0.2">
      <c r="A1260" s="2">
        <v>46029</v>
      </c>
      <c r="B1260" s="1" t="s">
        <v>10</v>
      </c>
      <c r="C1260" s="1">
        <v>648.69000000000005</v>
      </c>
    </row>
    <row r="1261" spans="1:3" x14ac:dyDescent="0.2">
      <c r="A1261" s="2">
        <v>46030</v>
      </c>
      <c r="B1261" s="1" t="s">
        <v>10</v>
      </c>
      <c r="C1261" s="1">
        <v>646.05999999999995</v>
      </c>
    </row>
    <row r="1262" spans="1:3" x14ac:dyDescent="0.2">
      <c r="A1262" s="2">
        <v>46031</v>
      </c>
      <c r="B1262" s="1" t="s">
        <v>10</v>
      </c>
      <c r="C1262" s="1">
        <v>653.05999999999995</v>
      </c>
    </row>
    <row r="1263" spans="1:3" x14ac:dyDescent="0.2">
      <c r="A1263" s="2">
        <v>46034</v>
      </c>
      <c r="B1263" s="1" t="s">
        <v>10</v>
      </c>
      <c r="C1263" s="1">
        <v>641.97</v>
      </c>
    </row>
    <row r="1264" spans="1:3" x14ac:dyDescent="0.2">
      <c r="A1264" s="2">
        <v>46035</v>
      </c>
      <c r="B1264" s="1" t="s">
        <v>10</v>
      </c>
      <c r="C1264" s="1">
        <v>631.09</v>
      </c>
    </row>
    <row r="1265" spans="1:3" x14ac:dyDescent="0.2">
      <c r="A1265" s="2">
        <v>46036</v>
      </c>
      <c r="B1265" s="1" t="s">
        <v>10</v>
      </c>
      <c r="C1265" s="1">
        <v>615.52</v>
      </c>
    </row>
    <row r="1266" spans="1:3" x14ac:dyDescent="0.2">
      <c r="A1266" s="2">
        <v>46037</v>
      </c>
      <c r="B1266" s="1" t="s">
        <v>10</v>
      </c>
      <c r="C1266" s="1">
        <v>620.79999999999995</v>
      </c>
    </row>
    <row r="1267" spans="1:3" x14ac:dyDescent="0.2">
      <c r="A1267" s="2">
        <v>46038</v>
      </c>
      <c r="B1267" s="1" t="s">
        <v>10</v>
      </c>
      <c r="C1267" s="1">
        <v>620.25</v>
      </c>
    </row>
    <row r="1268" spans="1:3" x14ac:dyDescent="0.2">
      <c r="A1268" s="2">
        <v>46042</v>
      </c>
      <c r="B1268" s="1" t="s">
        <v>10</v>
      </c>
      <c r="C1268" s="1">
        <v>604.12</v>
      </c>
    </row>
    <row r="1269" spans="1:3" x14ac:dyDescent="0.2">
      <c r="A1269" s="2">
        <v>46043</v>
      </c>
      <c r="B1269" s="1" t="s">
        <v>10</v>
      </c>
      <c r="C1269" s="1">
        <v>612.96</v>
      </c>
    </row>
    <row r="1270" spans="1:3" x14ac:dyDescent="0.2">
      <c r="A1270" s="2">
        <v>46044</v>
      </c>
      <c r="B1270" s="1" t="s">
        <v>10</v>
      </c>
      <c r="C1270" s="1">
        <v>647.63</v>
      </c>
    </row>
    <row r="1271" spans="1:3" x14ac:dyDescent="0.2">
      <c r="A1271" s="2">
        <v>46045</v>
      </c>
      <c r="B1271" s="1" t="s">
        <v>10</v>
      </c>
      <c r="C1271" s="1">
        <v>658.76</v>
      </c>
    </row>
    <row r="1272" spans="1:3" x14ac:dyDescent="0.2">
      <c r="A1272" s="2">
        <v>46048</v>
      </c>
      <c r="B1272" s="1" t="s">
        <v>10</v>
      </c>
      <c r="C1272" s="1">
        <v>672.36</v>
      </c>
    </row>
    <row r="1273" spans="1:3" x14ac:dyDescent="0.2">
      <c r="A1273" s="2">
        <v>46049</v>
      </c>
      <c r="B1273" s="1" t="s">
        <v>10</v>
      </c>
      <c r="C1273" s="1">
        <v>672.97</v>
      </c>
    </row>
    <row r="1274" spans="1:3" x14ac:dyDescent="0.2">
      <c r="A1274" s="2">
        <v>46050</v>
      </c>
      <c r="B1274" s="1" t="s">
        <v>10</v>
      </c>
      <c r="C1274" s="1">
        <v>668.73</v>
      </c>
    </row>
    <row r="1275" spans="1:3" x14ac:dyDescent="0.2">
      <c r="A1275" s="2">
        <v>46051</v>
      </c>
      <c r="B1275" s="1" t="s">
        <v>10</v>
      </c>
      <c r="C1275" s="1">
        <v>738.31</v>
      </c>
    </row>
    <row r="1276" spans="1:3" x14ac:dyDescent="0.2">
      <c r="A1276" s="2">
        <v>46052</v>
      </c>
      <c r="B1276" s="1" t="s">
        <v>10</v>
      </c>
      <c r="C1276" s="1">
        <v>716.5</v>
      </c>
    </row>
    <row r="1277" spans="1:3" x14ac:dyDescent="0.2">
      <c r="A1277" s="2">
        <v>46055</v>
      </c>
      <c r="B1277" s="1" t="s">
        <v>10</v>
      </c>
      <c r="C1277" s="1">
        <v>706.41</v>
      </c>
    </row>
    <row r="1278" spans="1:3" x14ac:dyDescent="0.2">
      <c r="A1278" s="2">
        <v>46056</v>
      </c>
      <c r="B1278" s="1" t="s">
        <v>10</v>
      </c>
      <c r="C1278" s="1">
        <v>691.7</v>
      </c>
    </row>
    <row r="1279" spans="1:3" x14ac:dyDescent="0.2">
      <c r="A1279" s="2">
        <v>46057</v>
      </c>
      <c r="B1279" s="1" t="s">
        <v>10</v>
      </c>
      <c r="C1279" s="1">
        <v>668.99</v>
      </c>
    </row>
    <row r="1280" spans="1:3" x14ac:dyDescent="0.2">
      <c r="A1280" s="2">
        <v>46058</v>
      </c>
      <c r="B1280" s="1" t="s">
        <v>10</v>
      </c>
      <c r="C1280" s="1">
        <v>670.21</v>
      </c>
    </row>
    <row r="1281" spans="1:3" x14ac:dyDescent="0.2">
      <c r="A1281" s="2">
        <v>46059</v>
      </c>
      <c r="B1281" s="1" t="s">
        <v>10</v>
      </c>
      <c r="C1281" s="1">
        <v>661.46</v>
      </c>
    </row>
    <row r="1282" spans="1:3" x14ac:dyDescent="0.2">
      <c r="A1282" s="2"/>
    </row>
    <row r="1283" spans="1:3" x14ac:dyDescent="0.2">
      <c r="A1283" s="2"/>
    </row>
    <row r="1284" spans="1:3" x14ac:dyDescent="0.2">
      <c r="A1284" s="2"/>
    </row>
    <row r="1285" spans="1:3" x14ac:dyDescent="0.2">
      <c r="A1285" s="2"/>
    </row>
    <row r="1286" spans="1:3" x14ac:dyDescent="0.2">
      <c r="A1286" s="2"/>
    </row>
    <row r="1287" spans="1:3" x14ac:dyDescent="0.2">
      <c r="A1287" s="2"/>
    </row>
    <row r="1288" spans="1:3" x14ac:dyDescent="0.2">
      <c r="A1288" s="2"/>
    </row>
    <row r="1289" spans="1:3" x14ac:dyDescent="0.2">
      <c r="A1289" s="2"/>
    </row>
    <row r="1290" spans="1:3" x14ac:dyDescent="0.2">
      <c r="A1290" s="2"/>
    </row>
    <row r="1291" spans="1:3" x14ac:dyDescent="0.2">
      <c r="A1291" s="2"/>
    </row>
    <row r="1292" spans="1:3" x14ac:dyDescent="0.2">
      <c r="A1292" s="2"/>
    </row>
    <row r="1293" spans="1:3" x14ac:dyDescent="0.2">
      <c r="A1293" s="2"/>
    </row>
    <row r="1294" spans="1:3" x14ac:dyDescent="0.2">
      <c r="A1294" s="2"/>
    </row>
    <row r="1295" spans="1:3" x14ac:dyDescent="0.2">
      <c r="A1295" s="2"/>
    </row>
    <row r="1296" spans="1:3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FCDE-748F-4E5F-B24B-F1E1EFE53046}">
  <dimension ref="A1:C1256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16384" width="8.88671875" style="1"/>
  </cols>
  <sheetData>
    <row r="1" spans="1:3" x14ac:dyDescent="0.2">
      <c r="A1" s="1" t="s">
        <v>1</v>
      </c>
      <c r="B1" s="1" t="s">
        <v>11</v>
      </c>
      <c r="C1" s="1" t="s">
        <v>3</v>
      </c>
    </row>
    <row r="2" spans="1:3" x14ac:dyDescent="0.2">
      <c r="A2" s="2">
        <v>44200</v>
      </c>
      <c r="B2" s="1" t="s">
        <v>12</v>
      </c>
      <c r="C2" s="1">
        <v>12698.45</v>
      </c>
    </row>
    <row r="3" spans="1:3" x14ac:dyDescent="0.2">
      <c r="A3" s="2">
        <v>44201</v>
      </c>
      <c r="B3" s="1" t="s">
        <v>12</v>
      </c>
      <c r="C3" s="1">
        <v>12818.96</v>
      </c>
    </row>
    <row r="4" spans="1:3" x14ac:dyDescent="0.2">
      <c r="A4" s="2">
        <v>44202</v>
      </c>
      <c r="B4" s="1" t="s">
        <v>12</v>
      </c>
      <c r="C4" s="1">
        <v>12740.79</v>
      </c>
    </row>
    <row r="5" spans="1:3" x14ac:dyDescent="0.2">
      <c r="A5" s="2">
        <v>44203</v>
      </c>
      <c r="B5" s="1" t="s">
        <v>12</v>
      </c>
      <c r="C5" s="1">
        <v>13067.48</v>
      </c>
    </row>
    <row r="6" spans="1:3" x14ac:dyDescent="0.2">
      <c r="A6" s="2">
        <v>44204</v>
      </c>
      <c r="B6" s="1" t="s">
        <v>12</v>
      </c>
      <c r="C6" s="1">
        <v>13201.98</v>
      </c>
    </row>
    <row r="7" spans="1:3" x14ac:dyDescent="0.2">
      <c r="A7" s="2">
        <v>44207</v>
      </c>
      <c r="B7" s="1" t="s">
        <v>12</v>
      </c>
      <c r="C7" s="1">
        <v>13036.43</v>
      </c>
    </row>
    <row r="8" spans="1:3" x14ac:dyDescent="0.2">
      <c r="A8" s="2">
        <v>44208</v>
      </c>
      <c r="B8" s="1" t="s">
        <v>12</v>
      </c>
      <c r="C8" s="1">
        <v>13072.43</v>
      </c>
    </row>
    <row r="9" spans="1:3" x14ac:dyDescent="0.2">
      <c r="A9" s="2">
        <v>44209</v>
      </c>
      <c r="B9" s="1" t="s">
        <v>12</v>
      </c>
      <c r="C9" s="1">
        <v>13128.95</v>
      </c>
    </row>
    <row r="10" spans="1:3" x14ac:dyDescent="0.2">
      <c r="A10" s="2">
        <v>44210</v>
      </c>
      <c r="B10" s="1" t="s">
        <v>12</v>
      </c>
      <c r="C10" s="1">
        <v>13112.64</v>
      </c>
    </row>
    <row r="11" spans="1:3" x14ac:dyDescent="0.2">
      <c r="A11" s="2">
        <v>44211</v>
      </c>
      <c r="B11" s="1" t="s">
        <v>12</v>
      </c>
      <c r="C11" s="1">
        <v>12998.5</v>
      </c>
    </row>
    <row r="12" spans="1:3" x14ac:dyDescent="0.2">
      <c r="A12" s="2">
        <v>44215</v>
      </c>
      <c r="B12" s="1" t="s">
        <v>12</v>
      </c>
      <c r="C12" s="1">
        <v>13197.18</v>
      </c>
    </row>
    <row r="13" spans="1:3" x14ac:dyDescent="0.2">
      <c r="A13" s="2">
        <v>44216</v>
      </c>
      <c r="B13" s="1" t="s">
        <v>12</v>
      </c>
      <c r="C13" s="1">
        <v>13457.25</v>
      </c>
    </row>
    <row r="14" spans="1:3" x14ac:dyDescent="0.2">
      <c r="A14" s="2">
        <v>44217</v>
      </c>
      <c r="B14" s="1" t="s">
        <v>12</v>
      </c>
      <c r="C14" s="1">
        <v>13530.92</v>
      </c>
    </row>
    <row r="15" spans="1:3" x14ac:dyDescent="0.2">
      <c r="A15" s="2">
        <v>44218</v>
      </c>
      <c r="B15" s="1" t="s">
        <v>12</v>
      </c>
      <c r="C15" s="1">
        <v>13543.06</v>
      </c>
    </row>
    <row r="16" spans="1:3" x14ac:dyDescent="0.2">
      <c r="A16" s="2">
        <v>44221</v>
      </c>
      <c r="B16" s="1" t="s">
        <v>12</v>
      </c>
      <c r="C16" s="1">
        <v>13635.99</v>
      </c>
    </row>
    <row r="17" spans="1:3" x14ac:dyDescent="0.2">
      <c r="A17" s="2">
        <v>44222</v>
      </c>
      <c r="B17" s="1" t="s">
        <v>12</v>
      </c>
      <c r="C17" s="1">
        <v>13626.06</v>
      </c>
    </row>
    <row r="18" spans="1:3" x14ac:dyDescent="0.2">
      <c r="A18" s="2">
        <v>44223</v>
      </c>
      <c r="B18" s="1" t="s">
        <v>12</v>
      </c>
      <c r="C18" s="1">
        <v>13270.6</v>
      </c>
    </row>
    <row r="19" spans="1:3" x14ac:dyDescent="0.2">
      <c r="A19" s="2">
        <v>44224</v>
      </c>
      <c r="B19" s="1" t="s">
        <v>12</v>
      </c>
      <c r="C19" s="1">
        <v>13337.16</v>
      </c>
    </row>
    <row r="20" spans="1:3" x14ac:dyDescent="0.2">
      <c r="A20" s="2">
        <v>44225</v>
      </c>
      <c r="B20" s="1" t="s">
        <v>12</v>
      </c>
      <c r="C20" s="1">
        <v>13070.69</v>
      </c>
    </row>
    <row r="21" spans="1:3" x14ac:dyDescent="0.2">
      <c r="A21" s="2">
        <v>44228</v>
      </c>
      <c r="B21" s="1" t="s">
        <v>12</v>
      </c>
      <c r="C21" s="1">
        <v>13403.39</v>
      </c>
    </row>
    <row r="22" spans="1:3" x14ac:dyDescent="0.2">
      <c r="A22" s="2">
        <v>44229</v>
      </c>
      <c r="B22" s="1" t="s">
        <v>12</v>
      </c>
      <c r="C22" s="1">
        <v>13612.78</v>
      </c>
    </row>
    <row r="23" spans="1:3" x14ac:dyDescent="0.2">
      <c r="A23" s="2">
        <v>44230</v>
      </c>
      <c r="B23" s="1" t="s">
        <v>12</v>
      </c>
      <c r="C23" s="1">
        <v>13610.54</v>
      </c>
    </row>
    <row r="24" spans="1:3" x14ac:dyDescent="0.2">
      <c r="A24" s="2">
        <v>44231</v>
      </c>
      <c r="B24" s="1" t="s">
        <v>12</v>
      </c>
      <c r="C24" s="1">
        <v>13777.74</v>
      </c>
    </row>
    <row r="25" spans="1:3" x14ac:dyDescent="0.2">
      <c r="A25" s="2">
        <v>44232</v>
      </c>
      <c r="B25" s="1" t="s">
        <v>12</v>
      </c>
      <c r="C25" s="1">
        <v>13856.3</v>
      </c>
    </row>
    <row r="26" spans="1:3" x14ac:dyDescent="0.2">
      <c r="A26" s="2">
        <v>44235</v>
      </c>
      <c r="B26" s="1" t="s">
        <v>12</v>
      </c>
      <c r="C26" s="1">
        <v>13987.64</v>
      </c>
    </row>
    <row r="27" spans="1:3" x14ac:dyDescent="0.2">
      <c r="A27" s="2">
        <v>44236</v>
      </c>
      <c r="B27" s="1" t="s">
        <v>12</v>
      </c>
      <c r="C27" s="1">
        <v>14007.7</v>
      </c>
    </row>
    <row r="28" spans="1:3" x14ac:dyDescent="0.2">
      <c r="A28" s="2">
        <v>44237</v>
      </c>
      <c r="B28" s="1" t="s">
        <v>12</v>
      </c>
      <c r="C28" s="1">
        <v>13972.53</v>
      </c>
    </row>
    <row r="29" spans="1:3" x14ac:dyDescent="0.2">
      <c r="A29" s="2">
        <v>44238</v>
      </c>
      <c r="B29" s="1" t="s">
        <v>12</v>
      </c>
      <c r="C29" s="1">
        <v>14025.77</v>
      </c>
    </row>
    <row r="30" spans="1:3" x14ac:dyDescent="0.2">
      <c r="A30" s="2">
        <v>44239</v>
      </c>
      <c r="B30" s="1" t="s">
        <v>12</v>
      </c>
      <c r="C30" s="1">
        <v>14095.47</v>
      </c>
    </row>
    <row r="31" spans="1:3" x14ac:dyDescent="0.2">
      <c r="A31" s="2">
        <v>44243</v>
      </c>
      <c r="B31" s="1" t="s">
        <v>12</v>
      </c>
      <c r="C31" s="1">
        <v>14047.5</v>
      </c>
    </row>
    <row r="32" spans="1:3" x14ac:dyDescent="0.2">
      <c r="A32" s="2">
        <v>44244</v>
      </c>
      <c r="B32" s="1" t="s">
        <v>12</v>
      </c>
      <c r="C32" s="1">
        <v>13965.5</v>
      </c>
    </row>
    <row r="33" spans="1:3" x14ac:dyDescent="0.2">
      <c r="A33" s="2">
        <v>44245</v>
      </c>
      <c r="B33" s="1" t="s">
        <v>12</v>
      </c>
      <c r="C33" s="1">
        <v>13865.36</v>
      </c>
    </row>
    <row r="34" spans="1:3" x14ac:dyDescent="0.2">
      <c r="A34" s="2">
        <v>44246</v>
      </c>
      <c r="B34" s="1" t="s">
        <v>12</v>
      </c>
      <c r="C34" s="1">
        <v>13874.46</v>
      </c>
    </row>
    <row r="35" spans="1:3" x14ac:dyDescent="0.2">
      <c r="A35" s="2">
        <v>44249</v>
      </c>
      <c r="B35" s="1" t="s">
        <v>12</v>
      </c>
      <c r="C35" s="1">
        <v>13533.05</v>
      </c>
    </row>
    <row r="36" spans="1:3" x14ac:dyDescent="0.2">
      <c r="A36" s="2">
        <v>44250</v>
      </c>
      <c r="B36" s="1" t="s">
        <v>12</v>
      </c>
      <c r="C36" s="1">
        <v>13465.2</v>
      </c>
    </row>
    <row r="37" spans="1:3" x14ac:dyDescent="0.2">
      <c r="A37" s="2">
        <v>44251</v>
      </c>
      <c r="B37" s="1" t="s">
        <v>12</v>
      </c>
      <c r="C37" s="1">
        <v>13597.97</v>
      </c>
    </row>
    <row r="38" spans="1:3" x14ac:dyDescent="0.2">
      <c r="A38" s="2">
        <v>44252</v>
      </c>
      <c r="B38" s="1" t="s">
        <v>12</v>
      </c>
      <c r="C38" s="1">
        <v>13119.43</v>
      </c>
    </row>
    <row r="39" spans="1:3" x14ac:dyDescent="0.2">
      <c r="A39" s="2">
        <v>44253</v>
      </c>
      <c r="B39" s="1" t="s">
        <v>12</v>
      </c>
      <c r="C39" s="1">
        <v>13192.35</v>
      </c>
    </row>
    <row r="40" spans="1:3" x14ac:dyDescent="0.2">
      <c r="A40" s="2">
        <v>44256</v>
      </c>
      <c r="B40" s="1" t="s">
        <v>12</v>
      </c>
      <c r="C40" s="1">
        <v>13588.83</v>
      </c>
    </row>
    <row r="41" spans="1:3" x14ac:dyDescent="0.2">
      <c r="A41" s="2">
        <v>44257</v>
      </c>
      <c r="B41" s="1" t="s">
        <v>12</v>
      </c>
      <c r="C41" s="1">
        <v>13358.79</v>
      </c>
    </row>
    <row r="42" spans="1:3" x14ac:dyDescent="0.2">
      <c r="A42" s="2">
        <v>44258</v>
      </c>
      <c r="B42" s="1" t="s">
        <v>12</v>
      </c>
      <c r="C42" s="1">
        <v>12997.75</v>
      </c>
    </row>
    <row r="43" spans="1:3" x14ac:dyDescent="0.2">
      <c r="A43" s="2">
        <v>44259</v>
      </c>
      <c r="B43" s="1" t="s">
        <v>12</v>
      </c>
      <c r="C43" s="1">
        <v>12723.47</v>
      </c>
    </row>
    <row r="44" spans="1:3" x14ac:dyDescent="0.2">
      <c r="A44" s="2">
        <v>44260</v>
      </c>
      <c r="B44" s="1" t="s">
        <v>12</v>
      </c>
      <c r="C44" s="1">
        <v>12920.15</v>
      </c>
    </row>
    <row r="45" spans="1:3" x14ac:dyDescent="0.2">
      <c r="A45" s="2">
        <v>44263</v>
      </c>
      <c r="B45" s="1" t="s">
        <v>12</v>
      </c>
      <c r="C45" s="1">
        <v>12609.16</v>
      </c>
    </row>
    <row r="46" spans="1:3" x14ac:dyDescent="0.2">
      <c r="A46" s="2">
        <v>44264</v>
      </c>
      <c r="B46" s="1" t="s">
        <v>12</v>
      </c>
      <c r="C46" s="1">
        <v>13073.82</v>
      </c>
    </row>
    <row r="47" spans="1:3" x14ac:dyDescent="0.2">
      <c r="A47" s="2">
        <v>44265</v>
      </c>
      <c r="B47" s="1" t="s">
        <v>12</v>
      </c>
      <c r="C47" s="1">
        <v>13068.83</v>
      </c>
    </row>
    <row r="48" spans="1:3" x14ac:dyDescent="0.2">
      <c r="A48" s="2">
        <v>44266</v>
      </c>
      <c r="B48" s="1" t="s">
        <v>12</v>
      </c>
      <c r="C48" s="1">
        <v>13398.67</v>
      </c>
    </row>
    <row r="49" spans="1:3" x14ac:dyDescent="0.2">
      <c r="A49" s="2">
        <v>44267</v>
      </c>
      <c r="B49" s="1" t="s">
        <v>12</v>
      </c>
      <c r="C49" s="1">
        <v>13319.86</v>
      </c>
    </row>
    <row r="50" spans="1:3" x14ac:dyDescent="0.2">
      <c r="A50" s="2">
        <v>44270</v>
      </c>
      <c r="B50" s="1" t="s">
        <v>12</v>
      </c>
      <c r="C50" s="1">
        <v>13459.71</v>
      </c>
    </row>
    <row r="51" spans="1:3" x14ac:dyDescent="0.2">
      <c r="A51" s="2">
        <v>44271</v>
      </c>
      <c r="B51" s="1" t="s">
        <v>12</v>
      </c>
      <c r="C51" s="1">
        <v>13471.57</v>
      </c>
    </row>
    <row r="52" spans="1:3" x14ac:dyDescent="0.2">
      <c r="A52" s="2">
        <v>44272</v>
      </c>
      <c r="B52" s="1" t="s">
        <v>12</v>
      </c>
      <c r="C52" s="1">
        <v>13525.2</v>
      </c>
    </row>
    <row r="53" spans="1:3" x14ac:dyDescent="0.2">
      <c r="A53" s="2">
        <v>44273</v>
      </c>
      <c r="B53" s="1" t="s">
        <v>12</v>
      </c>
      <c r="C53" s="1">
        <v>13116.17</v>
      </c>
    </row>
    <row r="54" spans="1:3" x14ac:dyDescent="0.2">
      <c r="A54" s="2">
        <v>44274</v>
      </c>
      <c r="B54" s="1" t="s">
        <v>12</v>
      </c>
      <c r="C54" s="1">
        <v>13215.24</v>
      </c>
    </row>
    <row r="55" spans="1:3" x14ac:dyDescent="0.2">
      <c r="A55" s="2">
        <v>44277</v>
      </c>
      <c r="B55" s="1" t="s">
        <v>12</v>
      </c>
      <c r="C55" s="1">
        <v>13377.54</v>
      </c>
    </row>
    <row r="56" spans="1:3" x14ac:dyDescent="0.2">
      <c r="A56" s="2">
        <v>44278</v>
      </c>
      <c r="B56" s="1" t="s">
        <v>12</v>
      </c>
      <c r="C56" s="1">
        <v>13227.7</v>
      </c>
    </row>
    <row r="57" spans="1:3" x14ac:dyDescent="0.2">
      <c r="A57" s="2">
        <v>44279</v>
      </c>
      <c r="B57" s="1" t="s">
        <v>12</v>
      </c>
      <c r="C57" s="1">
        <v>12961.89</v>
      </c>
    </row>
    <row r="58" spans="1:3" x14ac:dyDescent="0.2">
      <c r="A58" s="2">
        <v>44280</v>
      </c>
      <c r="B58" s="1" t="s">
        <v>12</v>
      </c>
      <c r="C58" s="1">
        <v>12977.68</v>
      </c>
    </row>
    <row r="59" spans="1:3" x14ac:dyDescent="0.2">
      <c r="A59" s="2">
        <v>44281</v>
      </c>
      <c r="B59" s="1" t="s">
        <v>12</v>
      </c>
      <c r="C59" s="1">
        <v>13138.72</v>
      </c>
    </row>
    <row r="60" spans="1:3" x14ac:dyDescent="0.2">
      <c r="A60" s="2">
        <v>44284</v>
      </c>
      <c r="B60" s="1" t="s">
        <v>12</v>
      </c>
      <c r="C60" s="1">
        <v>13059.65</v>
      </c>
    </row>
    <row r="61" spans="1:3" x14ac:dyDescent="0.2">
      <c r="A61" s="2">
        <v>44285</v>
      </c>
      <c r="B61" s="1" t="s">
        <v>12</v>
      </c>
      <c r="C61" s="1">
        <v>13045.39</v>
      </c>
    </row>
    <row r="62" spans="1:3" x14ac:dyDescent="0.2">
      <c r="A62" s="2">
        <v>44286</v>
      </c>
      <c r="B62" s="1" t="s">
        <v>12</v>
      </c>
      <c r="C62" s="1">
        <v>13246.87</v>
      </c>
    </row>
    <row r="63" spans="1:3" x14ac:dyDescent="0.2">
      <c r="A63" s="2">
        <v>44287</v>
      </c>
      <c r="B63" s="1" t="s">
        <v>12</v>
      </c>
      <c r="C63" s="1">
        <v>13480.11</v>
      </c>
    </row>
    <row r="64" spans="1:3" x14ac:dyDescent="0.2">
      <c r="A64" s="2">
        <v>44291</v>
      </c>
      <c r="B64" s="1" t="s">
        <v>12</v>
      </c>
      <c r="C64" s="1">
        <v>13705.59</v>
      </c>
    </row>
    <row r="65" spans="1:3" x14ac:dyDescent="0.2">
      <c r="A65" s="2">
        <v>44292</v>
      </c>
      <c r="B65" s="1" t="s">
        <v>12</v>
      </c>
      <c r="C65" s="1">
        <v>13698.38</v>
      </c>
    </row>
    <row r="66" spans="1:3" x14ac:dyDescent="0.2">
      <c r="A66" s="2">
        <v>44293</v>
      </c>
      <c r="B66" s="1" t="s">
        <v>12</v>
      </c>
      <c r="C66" s="1">
        <v>13688.84</v>
      </c>
    </row>
    <row r="67" spans="1:3" x14ac:dyDescent="0.2">
      <c r="A67" s="2">
        <v>44294</v>
      </c>
      <c r="B67" s="1" t="s">
        <v>12</v>
      </c>
      <c r="C67" s="1">
        <v>13829.31</v>
      </c>
    </row>
    <row r="68" spans="1:3" x14ac:dyDescent="0.2">
      <c r="A68" s="2">
        <v>44295</v>
      </c>
      <c r="B68" s="1" t="s">
        <v>12</v>
      </c>
      <c r="C68" s="1">
        <v>13900.19</v>
      </c>
    </row>
    <row r="69" spans="1:3" x14ac:dyDescent="0.2">
      <c r="A69" s="2">
        <v>44298</v>
      </c>
      <c r="B69" s="1" t="s">
        <v>12</v>
      </c>
      <c r="C69" s="1">
        <v>13850</v>
      </c>
    </row>
    <row r="70" spans="1:3" x14ac:dyDescent="0.2">
      <c r="A70" s="2">
        <v>44299</v>
      </c>
      <c r="B70" s="1" t="s">
        <v>12</v>
      </c>
      <c r="C70" s="1">
        <v>13996.1</v>
      </c>
    </row>
    <row r="71" spans="1:3" x14ac:dyDescent="0.2">
      <c r="A71" s="2">
        <v>44300</v>
      </c>
      <c r="B71" s="1" t="s">
        <v>12</v>
      </c>
      <c r="C71" s="1">
        <v>13857.84</v>
      </c>
    </row>
    <row r="72" spans="1:3" x14ac:dyDescent="0.2">
      <c r="A72" s="2">
        <v>44301</v>
      </c>
      <c r="B72" s="1" t="s">
        <v>12</v>
      </c>
      <c r="C72" s="1">
        <v>14038.76</v>
      </c>
    </row>
    <row r="73" spans="1:3" x14ac:dyDescent="0.2">
      <c r="A73" s="2">
        <v>44302</v>
      </c>
      <c r="B73" s="1" t="s">
        <v>12</v>
      </c>
      <c r="C73" s="1">
        <v>14052.34</v>
      </c>
    </row>
    <row r="74" spans="1:3" x14ac:dyDescent="0.2">
      <c r="A74" s="2">
        <v>44305</v>
      </c>
      <c r="B74" s="1" t="s">
        <v>12</v>
      </c>
      <c r="C74" s="1">
        <v>13914.77</v>
      </c>
    </row>
    <row r="75" spans="1:3" x14ac:dyDescent="0.2">
      <c r="A75" s="2">
        <v>44306</v>
      </c>
      <c r="B75" s="1" t="s">
        <v>12</v>
      </c>
      <c r="C75" s="1">
        <v>13786.27</v>
      </c>
    </row>
    <row r="76" spans="1:3" x14ac:dyDescent="0.2">
      <c r="A76" s="2">
        <v>44307</v>
      </c>
      <c r="B76" s="1" t="s">
        <v>12</v>
      </c>
      <c r="C76" s="1">
        <v>13950.22</v>
      </c>
    </row>
    <row r="77" spans="1:3" x14ac:dyDescent="0.2">
      <c r="A77" s="2">
        <v>44308</v>
      </c>
      <c r="B77" s="1" t="s">
        <v>12</v>
      </c>
      <c r="C77" s="1">
        <v>13818.41</v>
      </c>
    </row>
    <row r="78" spans="1:3" x14ac:dyDescent="0.2">
      <c r="A78" s="2">
        <v>44309</v>
      </c>
      <c r="B78" s="1" t="s">
        <v>12</v>
      </c>
      <c r="C78" s="1">
        <v>14016.81</v>
      </c>
    </row>
    <row r="79" spans="1:3" x14ac:dyDescent="0.2">
      <c r="A79" s="2">
        <v>44312</v>
      </c>
      <c r="B79" s="1" t="s">
        <v>12</v>
      </c>
      <c r="C79" s="1">
        <v>14138.78</v>
      </c>
    </row>
    <row r="80" spans="1:3" x14ac:dyDescent="0.2">
      <c r="A80" s="2">
        <v>44313</v>
      </c>
      <c r="B80" s="1" t="s">
        <v>12</v>
      </c>
      <c r="C80" s="1">
        <v>14090.22</v>
      </c>
    </row>
    <row r="81" spans="1:3" x14ac:dyDescent="0.2">
      <c r="A81" s="2">
        <v>44314</v>
      </c>
      <c r="B81" s="1" t="s">
        <v>12</v>
      </c>
      <c r="C81" s="1">
        <v>14051.03</v>
      </c>
    </row>
    <row r="82" spans="1:3" x14ac:dyDescent="0.2">
      <c r="A82" s="2">
        <v>44315</v>
      </c>
      <c r="B82" s="1" t="s">
        <v>12</v>
      </c>
      <c r="C82" s="1">
        <v>14082.55</v>
      </c>
    </row>
    <row r="83" spans="1:3" x14ac:dyDescent="0.2">
      <c r="A83" s="2">
        <v>44316</v>
      </c>
      <c r="B83" s="1" t="s">
        <v>12</v>
      </c>
      <c r="C83" s="1">
        <v>13962.68</v>
      </c>
    </row>
    <row r="84" spans="1:3" x14ac:dyDescent="0.2">
      <c r="A84" s="2">
        <v>44319</v>
      </c>
      <c r="B84" s="1" t="s">
        <v>12</v>
      </c>
      <c r="C84" s="1">
        <v>13895.12</v>
      </c>
    </row>
    <row r="85" spans="1:3" x14ac:dyDescent="0.2">
      <c r="A85" s="2">
        <v>44320</v>
      </c>
      <c r="B85" s="1" t="s">
        <v>12</v>
      </c>
      <c r="C85" s="1">
        <v>13633.5</v>
      </c>
    </row>
    <row r="86" spans="1:3" x14ac:dyDescent="0.2">
      <c r="A86" s="2">
        <v>44321</v>
      </c>
      <c r="B86" s="1" t="s">
        <v>12</v>
      </c>
      <c r="C86" s="1">
        <v>13582.42</v>
      </c>
    </row>
    <row r="87" spans="1:3" x14ac:dyDescent="0.2">
      <c r="A87" s="2">
        <v>44322</v>
      </c>
      <c r="B87" s="1" t="s">
        <v>12</v>
      </c>
      <c r="C87" s="1">
        <v>13632.84</v>
      </c>
    </row>
    <row r="88" spans="1:3" x14ac:dyDescent="0.2">
      <c r="A88" s="2">
        <v>44323</v>
      </c>
      <c r="B88" s="1" t="s">
        <v>12</v>
      </c>
      <c r="C88" s="1">
        <v>13752.24</v>
      </c>
    </row>
    <row r="89" spans="1:3" x14ac:dyDescent="0.2">
      <c r="A89" s="2">
        <v>44326</v>
      </c>
      <c r="B89" s="1" t="s">
        <v>12</v>
      </c>
      <c r="C89" s="1">
        <v>13401.86</v>
      </c>
    </row>
    <row r="90" spans="1:3" x14ac:dyDescent="0.2">
      <c r="A90" s="2">
        <v>44327</v>
      </c>
      <c r="B90" s="1" t="s">
        <v>12</v>
      </c>
      <c r="C90" s="1">
        <v>13389.43</v>
      </c>
    </row>
    <row r="91" spans="1:3" x14ac:dyDescent="0.2">
      <c r="A91" s="2">
        <v>44328</v>
      </c>
      <c r="B91" s="1" t="s">
        <v>12</v>
      </c>
      <c r="C91" s="1">
        <v>13031.68</v>
      </c>
    </row>
    <row r="92" spans="1:3" x14ac:dyDescent="0.2">
      <c r="A92" s="2">
        <v>44329</v>
      </c>
      <c r="B92" s="1" t="s">
        <v>12</v>
      </c>
      <c r="C92" s="1">
        <v>13124.99</v>
      </c>
    </row>
    <row r="93" spans="1:3" x14ac:dyDescent="0.2">
      <c r="A93" s="2">
        <v>44330</v>
      </c>
      <c r="B93" s="1" t="s">
        <v>12</v>
      </c>
      <c r="C93" s="1">
        <v>13429.98</v>
      </c>
    </row>
    <row r="94" spans="1:3" x14ac:dyDescent="0.2">
      <c r="A94" s="2">
        <v>44333</v>
      </c>
      <c r="B94" s="1" t="s">
        <v>12</v>
      </c>
      <c r="C94" s="1">
        <v>13379.05</v>
      </c>
    </row>
    <row r="95" spans="1:3" x14ac:dyDescent="0.2">
      <c r="A95" s="2">
        <v>44334</v>
      </c>
      <c r="B95" s="1" t="s">
        <v>12</v>
      </c>
      <c r="C95" s="1">
        <v>13303.64</v>
      </c>
    </row>
    <row r="96" spans="1:3" x14ac:dyDescent="0.2">
      <c r="A96" s="2">
        <v>44335</v>
      </c>
      <c r="B96" s="1" t="s">
        <v>12</v>
      </c>
      <c r="C96" s="1">
        <v>13299.74</v>
      </c>
    </row>
    <row r="97" spans="1:3" x14ac:dyDescent="0.2">
      <c r="A97" s="2">
        <v>44336</v>
      </c>
      <c r="B97" s="1" t="s">
        <v>12</v>
      </c>
      <c r="C97" s="1">
        <v>13535.74</v>
      </c>
    </row>
    <row r="98" spans="1:3" x14ac:dyDescent="0.2">
      <c r="A98" s="2">
        <v>44337</v>
      </c>
      <c r="B98" s="1" t="s">
        <v>12</v>
      </c>
      <c r="C98" s="1">
        <v>13470.99</v>
      </c>
    </row>
    <row r="99" spans="1:3" x14ac:dyDescent="0.2">
      <c r="A99" s="2">
        <v>44340</v>
      </c>
      <c r="B99" s="1" t="s">
        <v>12</v>
      </c>
      <c r="C99" s="1">
        <v>13661.17</v>
      </c>
    </row>
    <row r="100" spans="1:3" x14ac:dyDescent="0.2">
      <c r="A100" s="2">
        <v>44341</v>
      </c>
      <c r="B100" s="1" t="s">
        <v>12</v>
      </c>
      <c r="C100" s="1">
        <v>13657.17</v>
      </c>
    </row>
    <row r="101" spans="1:3" x14ac:dyDescent="0.2">
      <c r="A101" s="2">
        <v>44342</v>
      </c>
      <c r="B101" s="1" t="s">
        <v>12</v>
      </c>
      <c r="C101" s="1">
        <v>13738</v>
      </c>
    </row>
    <row r="102" spans="1:3" x14ac:dyDescent="0.2">
      <c r="A102" s="2">
        <v>44343</v>
      </c>
      <c r="B102" s="1" t="s">
        <v>12</v>
      </c>
      <c r="C102" s="1">
        <v>13736.28</v>
      </c>
    </row>
    <row r="103" spans="1:3" x14ac:dyDescent="0.2">
      <c r="A103" s="2">
        <v>44344</v>
      </c>
      <c r="B103" s="1" t="s">
        <v>12</v>
      </c>
      <c r="C103" s="1">
        <v>13748.74</v>
      </c>
    </row>
    <row r="104" spans="1:3" x14ac:dyDescent="0.2">
      <c r="A104" s="2">
        <v>44348</v>
      </c>
      <c r="B104" s="1" t="s">
        <v>12</v>
      </c>
      <c r="C104" s="1">
        <v>13736.48</v>
      </c>
    </row>
    <row r="105" spans="1:3" x14ac:dyDescent="0.2">
      <c r="A105" s="2">
        <v>44349</v>
      </c>
      <c r="B105" s="1" t="s">
        <v>12</v>
      </c>
      <c r="C105" s="1">
        <v>13756.33</v>
      </c>
    </row>
    <row r="106" spans="1:3" x14ac:dyDescent="0.2">
      <c r="A106" s="2">
        <v>44350</v>
      </c>
      <c r="B106" s="1" t="s">
        <v>12</v>
      </c>
      <c r="C106" s="1">
        <v>13614.51</v>
      </c>
    </row>
    <row r="107" spans="1:3" x14ac:dyDescent="0.2">
      <c r="A107" s="2">
        <v>44351</v>
      </c>
      <c r="B107" s="1" t="s">
        <v>12</v>
      </c>
      <c r="C107" s="1">
        <v>13814.49</v>
      </c>
    </row>
    <row r="108" spans="1:3" x14ac:dyDescent="0.2">
      <c r="A108" s="2">
        <v>44354</v>
      </c>
      <c r="B108" s="1" t="s">
        <v>12</v>
      </c>
      <c r="C108" s="1">
        <v>13881.72</v>
      </c>
    </row>
    <row r="109" spans="1:3" x14ac:dyDescent="0.2">
      <c r="A109" s="2">
        <v>44355</v>
      </c>
      <c r="B109" s="1" t="s">
        <v>12</v>
      </c>
      <c r="C109" s="1">
        <v>13924.91</v>
      </c>
    </row>
    <row r="110" spans="1:3" x14ac:dyDescent="0.2">
      <c r="A110" s="2">
        <v>44356</v>
      </c>
      <c r="B110" s="1" t="s">
        <v>12</v>
      </c>
      <c r="C110" s="1">
        <v>13911.75</v>
      </c>
    </row>
    <row r="111" spans="1:3" x14ac:dyDescent="0.2">
      <c r="A111" s="2">
        <v>44357</v>
      </c>
      <c r="B111" s="1" t="s">
        <v>12</v>
      </c>
      <c r="C111" s="1">
        <v>14020.33</v>
      </c>
    </row>
    <row r="112" spans="1:3" x14ac:dyDescent="0.2">
      <c r="A112" s="2">
        <v>44358</v>
      </c>
      <c r="B112" s="1" t="s">
        <v>12</v>
      </c>
      <c r="C112" s="1">
        <v>14069.42</v>
      </c>
    </row>
    <row r="113" spans="1:3" x14ac:dyDescent="0.2">
      <c r="A113" s="2">
        <v>44361</v>
      </c>
      <c r="B113" s="1" t="s">
        <v>12</v>
      </c>
      <c r="C113" s="1">
        <v>14174.14</v>
      </c>
    </row>
    <row r="114" spans="1:3" x14ac:dyDescent="0.2">
      <c r="A114" s="2">
        <v>44362</v>
      </c>
      <c r="B114" s="1" t="s">
        <v>12</v>
      </c>
      <c r="C114" s="1">
        <v>14072.86</v>
      </c>
    </row>
    <row r="115" spans="1:3" x14ac:dyDescent="0.2">
      <c r="A115" s="2">
        <v>44363</v>
      </c>
      <c r="B115" s="1" t="s">
        <v>12</v>
      </c>
      <c r="C115" s="1">
        <v>14039.68</v>
      </c>
    </row>
    <row r="116" spans="1:3" x14ac:dyDescent="0.2">
      <c r="A116" s="2">
        <v>44364</v>
      </c>
      <c r="B116" s="1" t="s">
        <v>12</v>
      </c>
      <c r="C116" s="1">
        <v>14161.35</v>
      </c>
    </row>
    <row r="117" spans="1:3" x14ac:dyDescent="0.2">
      <c r="A117" s="2">
        <v>44365</v>
      </c>
      <c r="B117" s="1" t="s">
        <v>12</v>
      </c>
      <c r="C117" s="1">
        <v>14030.38</v>
      </c>
    </row>
    <row r="118" spans="1:3" x14ac:dyDescent="0.2">
      <c r="A118" s="2">
        <v>44368</v>
      </c>
      <c r="B118" s="1" t="s">
        <v>12</v>
      </c>
      <c r="C118" s="1">
        <v>14141.48</v>
      </c>
    </row>
    <row r="119" spans="1:3" x14ac:dyDescent="0.2">
      <c r="A119" s="2">
        <v>44369</v>
      </c>
      <c r="B119" s="1" t="s">
        <v>12</v>
      </c>
      <c r="C119" s="1">
        <v>14253.27</v>
      </c>
    </row>
    <row r="120" spans="1:3" x14ac:dyDescent="0.2">
      <c r="A120" s="2">
        <v>44370</v>
      </c>
      <c r="B120" s="1" t="s">
        <v>12</v>
      </c>
      <c r="C120" s="1">
        <v>14271.73</v>
      </c>
    </row>
    <row r="121" spans="1:3" x14ac:dyDescent="0.2">
      <c r="A121" s="2">
        <v>44371</v>
      </c>
      <c r="B121" s="1" t="s">
        <v>12</v>
      </c>
      <c r="C121" s="1">
        <v>14369.71</v>
      </c>
    </row>
    <row r="122" spans="1:3" x14ac:dyDescent="0.2">
      <c r="A122" s="2">
        <v>44372</v>
      </c>
      <c r="B122" s="1" t="s">
        <v>12</v>
      </c>
      <c r="C122" s="1">
        <v>14360.39</v>
      </c>
    </row>
    <row r="123" spans="1:3" x14ac:dyDescent="0.2">
      <c r="A123" s="2">
        <v>44375</v>
      </c>
      <c r="B123" s="1" t="s">
        <v>12</v>
      </c>
      <c r="C123" s="1">
        <v>14500.51</v>
      </c>
    </row>
    <row r="124" spans="1:3" x14ac:dyDescent="0.2">
      <c r="A124" s="2">
        <v>44376</v>
      </c>
      <c r="B124" s="1" t="s">
        <v>12</v>
      </c>
      <c r="C124" s="1">
        <v>14528.33</v>
      </c>
    </row>
    <row r="125" spans="1:3" x14ac:dyDescent="0.2">
      <c r="A125" s="2">
        <v>44377</v>
      </c>
      <c r="B125" s="1" t="s">
        <v>12</v>
      </c>
      <c r="C125" s="1">
        <v>14503.95</v>
      </c>
    </row>
    <row r="126" spans="1:3" x14ac:dyDescent="0.2">
      <c r="A126" s="2">
        <v>44378</v>
      </c>
      <c r="B126" s="1" t="s">
        <v>12</v>
      </c>
      <c r="C126" s="1">
        <v>14522.38</v>
      </c>
    </row>
    <row r="127" spans="1:3" x14ac:dyDescent="0.2">
      <c r="A127" s="2">
        <v>44379</v>
      </c>
      <c r="B127" s="1" t="s">
        <v>12</v>
      </c>
      <c r="C127" s="1">
        <v>14639.33</v>
      </c>
    </row>
    <row r="128" spans="1:3" x14ac:dyDescent="0.2">
      <c r="A128" s="2">
        <v>44383</v>
      </c>
      <c r="B128" s="1" t="s">
        <v>12</v>
      </c>
      <c r="C128" s="1">
        <v>14663.64</v>
      </c>
    </row>
    <row r="129" spans="1:3" x14ac:dyDescent="0.2">
      <c r="A129" s="2">
        <v>44384</v>
      </c>
      <c r="B129" s="1" t="s">
        <v>12</v>
      </c>
      <c r="C129" s="1">
        <v>14665.06</v>
      </c>
    </row>
    <row r="130" spans="1:3" x14ac:dyDescent="0.2">
      <c r="A130" s="2">
        <v>44385</v>
      </c>
      <c r="B130" s="1" t="s">
        <v>12</v>
      </c>
      <c r="C130" s="1">
        <v>14559.79</v>
      </c>
    </row>
    <row r="131" spans="1:3" x14ac:dyDescent="0.2">
      <c r="A131" s="2">
        <v>44386</v>
      </c>
      <c r="B131" s="1" t="s">
        <v>12</v>
      </c>
      <c r="C131" s="1">
        <v>14701.92</v>
      </c>
    </row>
    <row r="132" spans="1:3" x14ac:dyDescent="0.2">
      <c r="A132" s="2">
        <v>44389</v>
      </c>
      <c r="B132" s="1" t="s">
        <v>12</v>
      </c>
      <c r="C132" s="1">
        <v>14733.24</v>
      </c>
    </row>
    <row r="133" spans="1:3" x14ac:dyDescent="0.2">
      <c r="A133" s="2">
        <v>44390</v>
      </c>
      <c r="B133" s="1" t="s">
        <v>12</v>
      </c>
      <c r="C133" s="1">
        <v>14677.65</v>
      </c>
    </row>
    <row r="134" spans="1:3" x14ac:dyDescent="0.2">
      <c r="A134" s="2">
        <v>44391</v>
      </c>
      <c r="B134" s="1" t="s">
        <v>12</v>
      </c>
      <c r="C134" s="1">
        <v>14644.95</v>
      </c>
    </row>
    <row r="135" spans="1:3" x14ac:dyDescent="0.2">
      <c r="A135" s="2">
        <v>44392</v>
      </c>
      <c r="B135" s="1" t="s">
        <v>12</v>
      </c>
      <c r="C135" s="1">
        <v>14543.13</v>
      </c>
    </row>
    <row r="136" spans="1:3" x14ac:dyDescent="0.2">
      <c r="A136" s="2">
        <v>44393</v>
      </c>
      <c r="B136" s="1" t="s">
        <v>12</v>
      </c>
      <c r="C136" s="1">
        <v>14427.24</v>
      </c>
    </row>
    <row r="137" spans="1:3" x14ac:dyDescent="0.2">
      <c r="A137" s="2">
        <v>44396</v>
      </c>
      <c r="B137" s="1" t="s">
        <v>12</v>
      </c>
      <c r="C137" s="1">
        <v>14274.98</v>
      </c>
    </row>
    <row r="138" spans="1:3" x14ac:dyDescent="0.2">
      <c r="A138" s="2">
        <v>44397</v>
      </c>
      <c r="B138" s="1" t="s">
        <v>12</v>
      </c>
      <c r="C138" s="1">
        <v>14498.88</v>
      </c>
    </row>
    <row r="139" spans="1:3" x14ac:dyDescent="0.2">
      <c r="A139" s="2">
        <v>44398</v>
      </c>
      <c r="B139" s="1" t="s">
        <v>12</v>
      </c>
      <c r="C139" s="1">
        <v>14631.95</v>
      </c>
    </row>
    <row r="140" spans="1:3" x14ac:dyDescent="0.2">
      <c r="A140" s="2">
        <v>44399</v>
      </c>
      <c r="B140" s="1" t="s">
        <v>12</v>
      </c>
      <c r="C140" s="1">
        <v>14684.6</v>
      </c>
    </row>
    <row r="141" spans="1:3" x14ac:dyDescent="0.2">
      <c r="A141" s="2">
        <v>44400</v>
      </c>
      <c r="B141" s="1" t="s">
        <v>12</v>
      </c>
      <c r="C141" s="1">
        <v>14836.99</v>
      </c>
    </row>
    <row r="142" spans="1:3" x14ac:dyDescent="0.2">
      <c r="A142" s="2">
        <v>44403</v>
      </c>
      <c r="B142" s="1" t="s">
        <v>12</v>
      </c>
      <c r="C142" s="1">
        <v>14840.71</v>
      </c>
    </row>
    <row r="143" spans="1:3" x14ac:dyDescent="0.2">
      <c r="A143" s="2">
        <v>44404</v>
      </c>
      <c r="B143" s="1" t="s">
        <v>12</v>
      </c>
      <c r="C143" s="1">
        <v>14660.58</v>
      </c>
    </row>
    <row r="144" spans="1:3" x14ac:dyDescent="0.2">
      <c r="A144" s="2">
        <v>44405</v>
      </c>
      <c r="B144" s="1" t="s">
        <v>12</v>
      </c>
      <c r="C144" s="1">
        <v>14762.58</v>
      </c>
    </row>
    <row r="145" spans="1:3" x14ac:dyDescent="0.2">
      <c r="A145" s="2">
        <v>44406</v>
      </c>
      <c r="B145" s="1" t="s">
        <v>12</v>
      </c>
      <c r="C145" s="1">
        <v>14778.26</v>
      </c>
    </row>
    <row r="146" spans="1:3" x14ac:dyDescent="0.2">
      <c r="A146" s="2">
        <v>44407</v>
      </c>
      <c r="B146" s="1" t="s">
        <v>12</v>
      </c>
      <c r="C146" s="1">
        <v>14672.68</v>
      </c>
    </row>
    <row r="147" spans="1:3" x14ac:dyDescent="0.2">
      <c r="A147" s="2">
        <v>44410</v>
      </c>
      <c r="B147" s="1" t="s">
        <v>12</v>
      </c>
      <c r="C147" s="1">
        <v>14681.07</v>
      </c>
    </row>
    <row r="148" spans="1:3" x14ac:dyDescent="0.2">
      <c r="A148" s="2">
        <v>44411</v>
      </c>
      <c r="B148" s="1" t="s">
        <v>12</v>
      </c>
      <c r="C148" s="1">
        <v>14761.29</v>
      </c>
    </row>
    <row r="149" spans="1:3" x14ac:dyDescent="0.2">
      <c r="A149" s="2">
        <v>44412</v>
      </c>
      <c r="B149" s="1" t="s">
        <v>12</v>
      </c>
      <c r="C149" s="1">
        <v>14780.53</v>
      </c>
    </row>
    <row r="150" spans="1:3" x14ac:dyDescent="0.2">
      <c r="A150" s="2">
        <v>44413</v>
      </c>
      <c r="B150" s="1" t="s">
        <v>12</v>
      </c>
      <c r="C150" s="1">
        <v>14895.12</v>
      </c>
    </row>
    <row r="151" spans="1:3" x14ac:dyDescent="0.2">
      <c r="A151" s="2">
        <v>44414</v>
      </c>
      <c r="B151" s="1" t="s">
        <v>12</v>
      </c>
      <c r="C151" s="1">
        <v>14835.76</v>
      </c>
    </row>
    <row r="152" spans="1:3" x14ac:dyDescent="0.2">
      <c r="A152" s="2">
        <v>44417</v>
      </c>
      <c r="B152" s="1" t="s">
        <v>12</v>
      </c>
      <c r="C152" s="1">
        <v>14860.18</v>
      </c>
    </row>
    <row r="153" spans="1:3" x14ac:dyDescent="0.2">
      <c r="A153" s="2">
        <v>44418</v>
      </c>
      <c r="B153" s="1" t="s">
        <v>12</v>
      </c>
      <c r="C153" s="1">
        <v>14788.09</v>
      </c>
    </row>
    <row r="154" spans="1:3" x14ac:dyDescent="0.2">
      <c r="A154" s="2">
        <v>44419</v>
      </c>
      <c r="B154" s="1" t="s">
        <v>12</v>
      </c>
      <c r="C154" s="1">
        <v>14765.13</v>
      </c>
    </row>
    <row r="155" spans="1:3" x14ac:dyDescent="0.2">
      <c r="A155" s="2">
        <v>44420</v>
      </c>
      <c r="B155" s="1" t="s">
        <v>12</v>
      </c>
      <c r="C155" s="1">
        <v>14816.26</v>
      </c>
    </row>
    <row r="156" spans="1:3" x14ac:dyDescent="0.2">
      <c r="A156" s="2">
        <v>44421</v>
      </c>
      <c r="B156" s="1" t="s">
        <v>12</v>
      </c>
      <c r="C156" s="1">
        <v>14822.9</v>
      </c>
    </row>
    <row r="157" spans="1:3" x14ac:dyDescent="0.2">
      <c r="A157" s="2">
        <v>44424</v>
      </c>
      <c r="B157" s="1" t="s">
        <v>12</v>
      </c>
      <c r="C157" s="1">
        <v>14793.76</v>
      </c>
    </row>
    <row r="158" spans="1:3" x14ac:dyDescent="0.2">
      <c r="A158" s="2">
        <v>44425</v>
      </c>
      <c r="B158" s="1" t="s">
        <v>12</v>
      </c>
      <c r="C158" s="1">
        <v>14656.18</v>
      </c>
    </row>
    <row r="159" spans="1:3" x14ac:dyDescent="0.2">
      <c r="A159" s="2">
        <v>44426</v>
      </c>
      <c r="B159" s="1" t="s">
        <v>12</v>
      </c>
      <c r="C159" s="1">
        <v>14525.91</v>
      </c>
    </row>
    <row r="160" spans="1:3" x14ac:dyDescent="0.2">
      <c r="A160" s="2">
        <v>44427</v>
      </c>
      <c r="B160" s="1" t="s">
        <v>12</v>
      </c>
      <c r="C160" s="1">
        <v>14541.79</v>
      </c>
    </row>
    <row r="161" spans="1:3" x14ac:dyDescent="0.2">
      <c r="A161" s="2">
        <v>44428</v>
      </c>
      <c r="B161" s="1" t="s">
        <v>12</v>
      </c>
      <c r="C161" s="1">
        <v>14714.66</v>
      </c>
    </row>
    <row r="162" spans="1:3" x14ac:dyDescent="0.2">
      <c r="A162" s="2">
        <v>44431</v>
      </c>
      <c r="B162" s="1" t="s">
        <v>12</v>
      </c>
      <c r="C162" s="1">
        <v>14942.65</v>
      </c>
    </row>
    <row r="163" spans="1:3" x14ac:dyDescent="0.2">
      <c r="A163" s="2">
        <v>44432</v>
      </c>
      <c r="B163" s="1" t="s">
        <v>12</v>
      </c>
      <c r="C163" s="1">
        <v>15019.8</v>
      </c>
    </row>
    <row r="164" spans="1:3" x14ac:dyDescent="0.2">
      <c r="A164" s="2">
        <v>44433</v>
      </c>
      <c r="B164" s="1" t="s">
        <v>12</v>
      </c>
      <c r="C164" s="1">
        <v>15041.86</v>
      </c>
    </row>
    <row r="165" spans="1:3" x14ac:dyDescent="0.2">
      <c r="A165" s="2">
        <v>44434</v>
      </c>
      <c r="B165" s="1" t="s">
        <v>12</v>
      </c>
      <c r="C165" s="1">
        <v>14945.81</v>
      </c>
    </row>
    <row r="166" spans="1:3" x14ac:dyDescent="0.2">
      <c r="A166" s="2">
        <v>44435</v>
      </c>
      <c r="B166" s="1" t="s">
        <v>12</v>
      </c>
      <c r="C166" s="1">
        <v>15129.5</v>
      </c>
    </row>
    <row r="167" spans="1:3" x14ac:dyDescent="0.2">
      <c r="A167" s="2">
        <v>44438</v>
      </c>
      <c r="B167" s="1" t="s">
        <v>12</v>
      </c>
      <c r="C167" s="1">
        <v>15265.89</v>
      </c>
    </row>
    <row r="168" spans="1:3" x14ac:dyDescent="0.2">
      <c r="A168" s="2">
        <v>44439</v>
      </c>
      <c r="B168" s="1" t="s">
        <v>12</v>
      </c>
      <c r="C168" s="1">
        <v>15259.24</v>
      </c>
    </row>
    <row r="169" spans="1:3" x14ac:dyDescent="0.2">
      <c r="A169" s="2">
        <v>44440</v>
      </c>
      <c r="B169" s="1" t="s">
        <v>12</v>
      </c>
      <c r="C169" s="1">
        <v>15309.38</v>
      </c>
    </row>
    <row r="170" spans="1:3" x14ac:dyDescent="0.2">
      <c r="A170" s="2">
        <v>44441</v>
      </c>
      <c r="B170" s="1" t="s">
        <v>12</v>
      </c>
      <c r="C170" s="1">
        <v>15331.18</v>
      </c>
    </row>
    <row r="171" spans="1:3" x14ac:dyDescent="0.2">
      <c r="A171" s="2">
        <v>44442</v>
      </c>
      <c r="B171" s="1" t="s">
        <v>12</v>
      </c>
      <c r="C171" s="1">
        <v>15363.52</v>
      </c>
    </row>
    <row r="172" spans="1:3" x14ac:dyDescent="0.2">
      <c r="A172" s="2">
        <v>44446</v>
      </c>
      <c r="B172" s="1" t="s">
        <v>12</v>
      </c>
      <c r="C172" s="1">
        <v>15374.33</v>
      </c>
    </row>
    <row r="173" spans="1:3" x14ac:dyDescent="0.2">
      <c r="A173" s="2">
        <v>44447</v>
      </c>
      <c r="B173" s="1" t="s">
        <v>12</v>
      </c>
      <c r="C173" s="1">
        <v>15286.64</v>
      </c>
    </row>
    <row r="174" spans="1:3" x14ac:dyDescent="0.2">
      <c r="A174" s="2">
        <v>44448</v>
      </c>
      <c r="B174" s="1" t="s">
        <v>12</v>
      </c>
      <c r="C174" s="1">
        <v>15248.25</v>
      </c>
    </row>
    <row r="175" spans="1:3" x14ac:dyDescent="0.2">
      <c r="A175" s="2">
        <v>44449</v>
      </c>
      <c r="B175" s="1" t="s">
        <v>12</v>
      </c>
      <c r="C175" s="1">
        <v>15115.49</v>
      </c>
    </row>
    <row r="176" spans="1:3" x14ac:dyDescent="0.2">
      <c r="A176" s="2">
        <v>44452</v>
      </c>
      <c r="B176" s="1" t="s">
        <v>12</v>
      </c>
      <c r="C176" s="1">
        <v>15105.58</v>
      </c>
    </row>
    <row r="177" spans="1:3" x14ac:dyDescent="0.2">
      <c r="A177" s="2">
        <v>44453</v>
      </c>
      <c r="B177" s="1" t="s">
        <v>12</v>
      </c>
      <c r="C177" s="1">
        <v>15037.76</v>
      </c>
    </row>
    <row r="178" spans="1:3" x14ac:dyDescent="0.2">
      <c r="A178" s="2">
        <v>44454</v>
      </c>
      <c r="B178" s="1" t="s">
        <v>12</v>
      </c>
      <c r="C178" s="1">
        <v>15161.53</v>
      </c>
    </row>
    <row r="179" spans="1:3" x14ac:dyDescent="0.2">
      <c r="A179" s="2">
        <v>44455</v>
      </c>
      <c r="B179" s="1" t="s">
        <v>12</v>
      </c>
      <c r="C179" s="1">
        <v>15181.92</v>
      </c>
    </row>
    <row r="180" spans="1:3" x14ac:dyDescent="0.2">
      <c r="A180" s="2">
        <v>44456</v>
      </c>
      <c r="B180" s="1" t="s">
        <v>12</v>
      </c>
      <c r="C180" s="1">
        <v>15043.97</v>
      </c>
    </row>
    <row r="181" spans="1:3" x14ac:dyDescent="0.2">
      <c r="A181" s="2">
        <v>44459</v>
      </c>
      <c r="B181" s="1" t="s">
        <v>12</v>
      </c>
      <c r="C181" s="1">
        <v>14713.9</v>
      </c>
    </row>
    <row r="182" spans="1:3" x14ac:dyDescent="0.2">
      <c r="A182" s="2">
        <v>44460</v>
      </c>
      <c r="B182" s="1" t="s">
        <v>12</v>
      </c>
      <c r="C182" s="1">
        <v>14746.4</v>
      </c>
    </row>
    <row r="183" spans="1:3" x14ac:dyDescent="0.2">
      <c r="A183" s="2">
        <v>44461</v>
      </c>
      <c r="B183" s="1" t="s">
        <v>12</v>
      </c>
      <c r="C183" s="1">
        <v>14896.85</v>
      </c>
    </row>
    <row r="184" spans="1:3" x14ac:dyDescent="0.2">
      <c r="A184" s="2">
        <v>44462</v>
      </c>
      <c r="B184" s="1" t="s">
        <v>12</v>
      </c>
      <c r="C184" s="1">
        <v>15052.24</v>
      </c>
    </row>
    <row r="185" spans="1:3" x14ac:dyDescent="0.2">
      <c r="A185" s="2">
        <v>44463</v>
      </c>
      <c r="B185" s="1" t="s">
        <v>12</v>
      </c>
      <c r="C185" s="1">
        <v>15047.7</v>
      </c>
    </row>
    <row r="186" spans="1:3" x14ac:dyDescent="0.2">
      <c r="A186" s="2">
        <v>44466</v>
      </c>
      <c r="B186" s="1" t="s">
        <v>12</v>
      </c>
      <c r="C186" s="1">
        <v>14969.97</v>
      </c>
    </row>
    <row r="187" spans="1:3" x14ac:dyDescent="0.2">
      <c r="A187" s="2">
        <v>44467</v>
      </c>
      <c r="B187" s="1" t="s">
        <v>12</v>
      </c>
      <c r="C187" s="1">
        <v>14546.68</v>
      </c>
    </row>
    <row r="188" spans="1:3" x14ac:dyDescent="0.2">
      <c r="A188" s="2">
        <v>44468</v>
      </c>
      <c r="B188" s="1" t="s">
        <v>12</v>
      </c>
      <c r="C188" s="1">
        <v>14512.44</v>
      </c>
    </row>
    <row r="189" spans="1:3" x14ac:dyDescent="0.2">
      <c r="A189" s="2">
        <v>44469</v>
      </c>
      <c r="B189" s="1" t="s">
        <v>12</v>
      </c>
      <c r="C189" s="1">
        <v>14448.58</v>
      </c>
    </row>
    <row r="190" spans="1:3" x14ac:dyDescent="0.2">
      <c r="A190" s="2">
        <v>44470</v>
      </c>
      <c r="B190" s="1" t="s">
        <v>12</v>
      </c>
      <c r="C190" s="1">
        <v>14566.7</v>
      </c>
    </row>
    <row r="191" spans="1:3" x14ac:dyDescent="0.2">
      <c r="A191" s="2">
        <v>44473</v>
      </c>
      <c r="B191" s="1" t="s">
        <v>12</v>
      </c>
      <c r="C191" s="1">
        <v>14255.48</v>
      </c>
    </row>
    <row r="192" spans="1:3" x14ac:dyDescent="0.2">
      <c r="A192" s="2">
        <v>44474</v>
      </c>
      <c r="B192" s="1" t="s">
        <v>12</v>
      </c>
      <c r="C192" s="1">
        <v>14433.83</v>
      </c>
    </row>
    <row r="193" spans="1:3" x14ac:dyDescent="0.2">
      <c r="A193" s="2">
        <v>44475</v>
      </c>
      <c r="B193" s="1" t="s">
        <v>12</v>
      </c>
      <c r="C193" s="1">
        <v>14501.91</v>
      </c>
    </row>
    <row r="194" spans="1:3" x14ac:dyDescent="0.2">
      <c r="A194" s="2">
        <v>44476</v>
      </c>
      <c r="B194" s="1" t="s">
        <v>12</v>
      </c>
      <c r="C194" s="1">
        <v>14654.02</v>
      </c>
    </row>
    <row r="195" spans="1:3" x14ac:dyDescent="0.2">
      <c r="A195" s="2">
        <v>44477</v>
      </c>
      <c r="B195" s="1" t="s">
        <v>12</v>
      </c>
      <c r="C195" s="1">
        <v>14579.54</v>
      </c>
    </row>
    <row r="196" spans="1:3" x14ac:dyDescent="0.2">
      <c r="A196" s="2">
        <v>44480</v>
      </c>
      <c r="B196" s="1" t="s">
        <v>12</v>
      </c>
      <c r="C196" s="1">
        <v>14486.2</v>
      </c>
    </row>
    <row r="197" spans="1:3" x14ac:dyDescent="0.2">
      <c r="A197" s="2">
        <v>44481</v>
      </c>
      <c r="B197" s="1" t="s">
        <v>12</v>
      </c>
      <c r="C197" s="1">
        <v>14465.92</v>
      </c>
    </row>
    <row r="198" spans="1:3" x14ac:dyDescent="0.2">
      <c r="A198" s="2">
        <v>44482</v>
      </c>
      <c r="B198" s="1" t="s">
        <v>12</v>
      </c>
      <c r="C198" s="1">
        <v>14571.63</v>
      </c>
    </row>
    <row r="199" spans="1:3" x14ac:dyDescent="0.2">
      <c r="A199" s="2">
        <v>44483</v>
      </c>
      <c r="B199" s="1" t="s">
        <v>12</v>
      </c>
      <c r="C199" s="1">
        <v>14823.43</v>
      </c>
    </row>
    <row r="200" spans="1:3" x14ac:dyDescent="0.2">
      <c r="A200" s="2">
        <v>44484</v>
      </c>
      <c r="B200" s="1" t="s">
        <v>12</v>
      </c>
      <c r="C200" s="1">
        <v>14897.34</v>
      </c>
    </row>
    <row r="201" spans="1:3" x14ac:dyDescent="0.2">
      <c r="A201" s="2">
        <v>44487</v>
      </c>
      <c r="B201" s="1" t="s">
        <v>12</v>
      </c>
      <c r="C201" s="1">
        <v>15021.81</v>
      </c>
    </row>
    <row r="202" spans="1:3" x14ac:dyDescent="0.2">
      <c r="A202" s="2">
        <v>44488</v>
      </c>
      <c r="B202" s="1" t="s">
        <v>12</v>
      </c>
      <c r="C202" s="1">
        <v>15129.09</v>
      </c>
    </row>
    <row r="203" spans="1:3" x14ac:dyDescent="0.2">
      <c r="A203" s="2">
        <v>44489</v>
      </c>
      <c r="B203" s="1" t="s">
        <v>12</v>
      </c>
      <c r="C203" s="1">
        <v>15121.68</v>
      </c>
    </row>
    <row r="204" spans="1:3" x14ac:dyDescent="0.2">
      <c r="A204" s="2">
        <v>44490</v>
      </c>
      <c r="B204" s="1" t="s">
        <v>12</v>
      </c>
      <c r="C204" s="1">
        <v>15215.7</v>
      </c>
    </row>
    <row r="205" spans="1:3" x14ac:dyDescent="0.2">
      <c r="A205" s="2">
        <v>44491</v>
      </c>
      <c r="B205" s="1" t="s">
        <v>12</v>
      </c>
      <c r="C205" s="1">
        <v>15090.2</v>
      </c>
    </row>
    <row r="206" spans="1:3" x14ac:dyDescent="0.2">
      <c r="A206" s="2">
        <v>44494</v>
      </c>
      <c r="B206" s="1" t="s">
        <v>12</v>
      </c>
      <c r="C206" s="1">
        <v>15226.71</v>
      </c>
    </row>
    <row r="207" spans="1:3" x14ac:dyDescent="0.2">
      <c r="A207" s="2">
        <v>44495</v>
      </c>
      <c r="B207" s="1" t="s">
        <v>12</v>
      </c>
      <c r="C207" s="1">
        <v>15235.71</v>
      </c>
    </row>
    <row r="208" spans="1:3" x14ac:dyDescent="0.2">
      <c r="A208" s="2">
        <v>44496</v>
      </c>
      <c r="B208" s="1" t="s">
        <v>12</v>
      </c>
      <c r="C208" s="1">
        <v>15235.84</v>
      </c>
    </row>
    <row r="209" spans="1:3" x14ac:dyDescent="0.2">
      <c r="A209" s="2">
        <v>44497</v>
      </c>
      <c r="B209" s="1" t="s">
        <v>12</v>
      </c>
      <c r="C209" s="1">
        <v>15448.12</v>
      </c>
    </row>
    <row r="210" spans="1:3" x14ac:dyDescent="0.2">
      <c r="A210" s="2">
        <v>44498</v>
      </c>
      <c r="B210" s="1" t="s">
        <v>12</v>
      </c>
      <c r="C210" s="1">
        <v>15498.39</v>
      </c>
    </row>
    <row r="211" spans="1:3" x14ac:dyDescent="0.2">
      <c r="A211" s="2">
        <v>44501</v>
      </c>
      <c r="B211" s="1" t="s">
        <v>12</v>
      </c>
      <c r="C211" s="1">
        <v>15595.92</v>
      </c>
    </row>
    <row r="212" spans="1:3" x14ac:dyDescent="0.2">
      <c r="A212" s="2">
        <v>44502</v>
      </c>
      <c r="B212" s="1" t="s">
        <v>12</v>
      </c>
      <c r="C212" s="1">
        <v>15649.6</v>
      </c>
    </row>
    <row r="213" spans="1:3" x14ac:dyDescent="0.2">
      <c r="A213" s="2">
        <v>44503</v>
      </c>
      <c r="B213" s="1" t="s">
        <v>12</v>
      </c>
      <c r="C213" s="1">
        <v>15811.58</v>
      </c>
    </row>
    <row r="214" spans="1:3" x14ac:dyDescent="0.2">
      <c r="A214" s="2">
        <v>44504</v>
      </c>
      <c r="B214" s="1" t="s">
        <v>12</v>
      </c>
      <c r="C214" s="1">
        <v>15940.31</v>
      </c>
    </row>
    <row r="215" spans="1:3" x14ac:dyDescent="0.2">
      <c r="A215" s="2">
        <v>44505</v>
      </c>
      <c r="B215" s="1" t="s">
        <v>12</v>
      </c>
      <c r="C215" s="1">
        <v>15971.59</v>
      </c>
    </row>
    <row r="216" spans="1:3" x14ac:dyDescent="0.2">
      <c r="A216" s="2">
        <v>44508</v>
      </c>
      <c r="B216" s="1" t="s">
        <v>12</v>
      </c>
      <c r="C216" s="1">
        <v>15982.36</v>
      </c>
    </row>
    <row r="217" spans="1:3" x14ac:dyDescent="0.2">
      <c r="A217" s="2">
        <v>44509</v>
      </c>
      <c r="B217" s="1" t="s">
        <v>12</v>
      </c>
      <c r="C217" s="1">
        <v>15886.54</v>
      </c>
    </row>
    <row r="218" spans="1:3" x14ac:dyDescent="0.2">
      <c r="A218" s="2">
        <v>44510</v>
      </c>
      <c r="B218" s="1" t="s">
        <v>12</v>
      </c>
      <c r="C218" s="1">
        <v>15622.71</v>
      </c>
    </row>
    <row r="219" spans="1:3" x14ac:dyDescent="0.2">
      <c r="A219" s="2">
        <v>44511</v>
      </c>
      <c r="B219" s="1" t="s">
        <v>12</v>
      </c>
      <c r="C219" s="1">
        <v>15704.28</v>
      </c>
    </row>
    <row r="220" spans="1:3" x14ac:dyDescent="0.2">
      <c r="A220" s="2">
        <v>44512</v>
      </c>
      <c r="B220" s="1" t="s">
        <v>12</v>
      </c>
      <c r="C220" s="1">
        <v>15860.96</v>
      </c>
    </row>
    <row r="221" spans="1:3" x14ac:dyDescent="0.2">
      <c r="A221" s="2">
        <v>44515</v>
      </c>
      <c r="B221" s="1" t="s">
        <v>12</v>
      </c>
      <c r="C221" s="1">
        <v>15853.85</v>
      </c>
    </row>
    <row r="222" spans="1:3" x14ac:dyDescent="0.2">
      <c r="A222" s="2">
        <v>44516</v>
      </c>
      <c r="B222" s="1" t="s">
        <v>12</v>
      </c>
      <c r="C222" s="1">
        <v>15973.86</v>
      </c>
    </row>
    <row r="223" spans="1:3" x14ac:dyDescent="0.2">
      <c r="A223" s="2">
        <v>44517</v>
      </c>
      <c r="B223" s="1" t="s">
        <v>12</v>
      </c>
      <c r="C223" s="1">
        <v>15921.57</v>
      </c>
    </row>
    <row r="224" spans="1:3" x14ac:dyDescent="0.2">
      <c r="A224" s="2">
        <v>44518</v>
      </c>
      <c r="B224" s="1" t="s">
        <v>12</v>
      </c>
      <c r="C224" s="1">
        <v>15993.71</v>
      </c>
    </row>
    <row r="225" spans="1:3" x14ac:dyDescent="0.2">
      <c r="A225" s="2">
        <v>44519</v>
      </c>
      <c r="B225" s="1" t="s">
        <v>12</v>
      </c>
      <c r="C225" s="1">
        <v>16057.44</v>
      </c>
    </row>
    <row r="226" spans="1:3" x14ac:dyDescent="0.2">
      <c r="A226" s="2">
        <v>44522</v>
      </c>
      <c r="B226" s="1" t="s">
        <v>12</v>
      </c>
      <c r="C226" s="1">
        <v>15854.76</v>
      </c>
    </row>
    <row r="227" spans="1:3" x14ac:dyDescent="0.2">
      <c r="A227" s="2">
        <v>44523</v>
      </c>
      <c r="B227" s="1" t="s">
        <v>12</v>
      </c>
      <c r="C227" s="1">
        <v>15775.14</v>
      </c>
    </row>
    <row r="228" spans="1:3" x14ac:dyDescent="0.2">
      <c r="A228" s="2">
        <v>44524</v>
      </c>
      <c r="B228" s="1" t="s">
        <v>12</v>
      </c>
      <c r="C228" s="1">
        <v>15845.23</v>
      </c>
    </row>
    <row r="229" spans="1:3" x14ac:dyDescent="0.2">
      <c r="A229" s="2">
        <v>44526</v>
      </c>
      <c r="B229" s="1" t="s">
        <v>12</v>
      </c>
      <c r="C229" s="1">
        <v>15491.66</v>
      </c>
    </row>
    <row r="230" spans="1:3" x14ac:dyDescent="0.2">
      <c r="A230" s="2">
        <v>44529</v>
      </c>
      <c r="B230" s="1" t="s">
        <v>12</v>
      </c>
      <c r="C230" s="1">
        <v>15782.83</v>
      </c>
    </row>
    <row r="231" spans="1:3" x14ac:dyDescent="0.2">
      <c r="A231" s="2">
        <v>44530</v>
      </c>
      <c r="B231" s="1" t="s">
        <v>12</v>
      </c>
      <c r="C231" s="1">
        <v>15537.69</v>
      </c>
    </row>
    <row r="232" spans="1:3" x14ac:dyDescent="0.2">
      <c r="A232" s="2">
        <v>44531</v>
      </c>
      <c r="B232" s="1" t="s">
        <v>12</v>
      </c>
      <c r="C232" s="1">
        <v>15254.05</v>
      </c>
    </row>
    <row r="233" spans="1:3" x14ac:dyDescent="0.2">
      <c r="A233" s="2">
        <v>44532</v>
      </c>
      <c r="B233" s="1" t="s">
        <v>12</v>
      </c>
      <c r="C233" s="1">
        <v>15381.32</v>
      </c>
    </row>
    <row r="234" spans="1:3" x14ac:dyDescent="0.2">
      <c r="A234" s="2">
        <v>44533</v>
      </c>
      <c r="B234" s="1" t="s">
        <v>12</v>
      </c>
      <c r="C234" s="1">
        <v>15085.47</v>
      </c>
    </row>
    <row r="235" spans="1:3" x14ac:dyDescent="0.2">
      <c r="A235" s="2">
        <v>44536</v>
      </c>
      <c r="B235" s="1" t="s">
        <v>12</v>
      </c>
      <c r="C235" s="1">
        <v>15225.15</v>
      </c>
    </row>
    <row r="236" spans="1:3" x14ac:dyDescent="0.2">
      <c r="A236" s="2">
        <v>44537</v>
      </c>
      <c r="B236" s="1" t="s">
        <v>12</v>
      </c>
      <c r="C236" s="1">
        <v>15686.92</v>
      </c>
    </row>
    <row r="237" spans="1:3" x14ac:dyDescent="0.2">
      <c r="A237" s="2">
        <v>44538</v>
      </c>
      <c r="B237" s="1" t="s">
        <v>12</v>
      </c>
      <c r="C237" s="1">
        <v>15786.99</v>
      </c>
    </row>
    <row r="238" spans="1:3" x14ac:dyDescent="0.2">
      <c r="A238" s="2">
        <v>44539</v>
      </c>
      <c r="B238" s="1" t="s">
        <v>12</v>
      </c>
      <c r="C238" s="1">
        <v>15517.37</v>
      </c>
    </row>
    <row r="239" spans="1:3" x14ac:dyDescent="0.2">
      <c r="A239" s="2">
        <v>44540</v>
      </c>
      <c r="B239" s="1" t="s">
        <v>12</v>
      </c>
      <c r="C239" s="1">
        <v>15630.6</v>
      </c>
    </row>
    <row r="240" spans="1:3" x14ac:dyDescent="0.2">
      <c r="A240" s="2">
        <v>44543</v>
      </c>
      <c r="B240" s="1" t="s">
        <v>12</v>
      </c>
      <c r="C240" s="1">
        <v>15413.28</v>
      </c>
    </row>
    <row r="241" spans="1:3" x14ac:dyDescent="0.2">
      <c r="A241" s="2">
        <v>44544</v>
      </c>
      <c r="B241" s="1" t="s">
        <v>12</v>
      </c>
      <c r="C241" s="1">
        <v>15237.64</v>
      </c>
    </row>
    <row r="242" spans="1:3" x14ac:dyDescent="0.2">
      <c r="A242" s="2">
        <v>44545</v>
      </c>
      <c r="B242" s="1" t="s">
        <v>12</v>
      </c>
      <c r="C242" s="1">
        <v>15565.58</v>
      </c>
    </row>
    <row r="243" spans="1:3" x14ac:dyDescent="0.2">
      <c r="A243" s="2">
        <v>44546</v>
      </c>
      <c r="B243" s="1" t="s">
        <v>12</v>
      </c>
      <c r="C243" s="1">
        <v>15180.43</v>
      </c>
    </row>
    <row r="244" spans="1:3" x14ac:dyDescent="0.2">
      <c r="A244" s="2">
        <v>44547</v>
      </c>
      <c r="B244" s="1" t="s">
        <v>12</v>
      </c>
      <c r="C244" s="1">
        <v>15169.68</v>
      </c>
    </row>
    <row r="245" spans="1:3" x14ac:dyDescent="0.2">
      <c r="A245" s="2">
        <v>44550</v>
      </c>
      <c r="B245" s="1" t="s">
        <v>12</v>
      </c>
      <c r="C245" s="1">
        <v>14980.94</v>
      </c>
    </row>
    <row r="246" spans="1:3" x14ac:dyDescent="0.2">
      <c r="A246" s="2">
        <v>44551</v>
      </c>
      <c r="B246" s="1" t="s">
        <v>12</v>
      </c>
      <c r="C246" s="1">
        <v>15341.09</v>
      </c>
    </row>
    <row r="247" spans="1:3" x14ac:dyDescent="0.2">
      <c r="A247" s="2">
        <v>44552</v>
      </c>
      <c r="B247" s="1" t="s">
        <v>12</v>
      </c>
      <c r="C247" s="1">
        <v>15521.89</v>
      </c>
    </row>
    <row r="248" spans="1:3" x14ac:dyDescent="0.2">
      <c r="A248" s="2">
        <v>44553</v>
      </c>
      <c r="B248" s="1" t="s">
        <v>12</v>
      </c>
      <c r="C248" s="1">
        <v>15653.37</v>
      </c>
    </row>
    <row r="249" spans="1:3" x14ac:dyDescent="0.2">
      <c r="A249" s="2">
        <v>44557</v>
      </c>
      <c r="B249" s="1" t="s">
        <v>12</v>
      </c>
      <c r="C249" s="1">
        <v>15871.26</v>
      </c>
    </row>
    <row r="250" spans="1:3" x14ac:dyDescent="0.2">
      <c r="A250" s="2">
        <v>44558</v>
      </c>
      <c r="B250" s="1" t="s">
        <v>12</v>
      </c>
      <c r="C250" s="1">
        <v>15781.72</v>
      </c>
    </row>
    <row r="251" spans="1:3" x14ac:dyDescent="0.2">
      <c r="A251" s="2">
        <v>44559</v>
      </c>
      <c r="B251" s="1" t="s">
        <v>12</v>
      </c>
      <c r="C251" s="1">
        <v>15766.22</v>
      </c>
    </row>
    <row r="252" spans="1:3" x14ac:dyDescent="0.2">
      <c r="A252" s="2">
        <v>44560</v>
      </c>
      <c r="B252" s="1" t="s">
        <v>12</v>
      </c>
      <c r="C252" s="1">
        <v>15741.56</v>
      </c>
    </row>
    <row r="253" spans="1:3" x14ac:dyDescent="0.2">
      <c r="A253" s="2">
        <v>44561</v>
      </c>
      <c r="B253" s="1" t="s">
        <v>12</v>
      </c>
      <c r="C253" s="1">
        <v>15644.97</v>
      </c>
    </row>
    <row r="254" spans="1:3" x14ac:dyDescent="0.2">
      <c r="A254" s="2">
        <v>44564</v>
      </c>
      <c r="B254" s="1" t="s">
        <v>12</v>
      </c>
      <c r="C254" s="1">
        <v>15832.8</v>
      </c>
    </row>
    <row r="255" spans="1:3" x14ac:dyDescent="0.2">
      <c r="A255" s="2">
        <v>44565</v>
      </c>
      <c r="B255" s="1" t="s">
        <v>12</v>
      </c>
      <c r="C255" s="1">
        <v>15622.72</v>
      </c>
    </row>
    <row r="256" spans="1:3" x14ac:dyDescent="0.2">
      <c r="A256" s="2">
        <v>44566</v>
      </c>
      <c r="B256" s="1" t="s">
        <v>12</v>
      </c>
      <c r="C256" s="1">
        <v>15100.17</v>
      </c>
    </row>
    <row r="257" spans="1:3" x14ac:dyDescent="0.2">
      <c r="A257" s="2">
        <v>44567</v>
      </c>
      <c r="B257" s="1" t="s">
        <v>12</v>
      </c>
      <c r="C257" s="1">
        <v>15080.87</v>
      </c>
    </row>
    <row r="258" spans="1:3" x14ac:dyDescent="0.2">
      <c r="A258" s="2">
        <v>44568</v>
      </c>
      <c r="B258" s="1" t="s">
        <v>12</v>
      </c>
      <c r="C258" s="1">
        <v>14935.9</v>
      </c>
    </row>
    <row r="259" spans="1:3" x14ac:dyDescent="0.2">
      <c r="A259" s="2">
        <v>44571</v>
      </c>
      <c r="B259" s="1" t="s">
        <v>12</v>
      </c>
      <c r="C259" s="1">
        <v>14942.83</v>
      </c>
    </row>
    <row r="260" spans="1:3" x14ac:dyDescent="0.2">
      <c r="A260" s="2">
        <v>44572</v>
      </c>
      <c r="B260" s="1" t="s">
        <v>12</v>
      </c>
      <c r="C260" s="1">
        <v>15153.45</v>
      </c>
    </row>
    <row r="261" spans="1:3" x14ac:dyDescent="0.2">
      <c r="A261" s="2">
        <v>44573</v>
      </c>
      <c r="B261" s="1" t="s">
        <v>12</v>
      </c>
      <c r="C261" s="1">
        <v>15188.39</v>
      </c>
    </row>
    <row r="262" spans="1:3" x14ac:dyDescent="0.2">
      <c r="A262" s="2">
        <v>44574</v>
      </c>
      <c r="B262" s="1" t="s">
        <v>12</v>
      </c>
      <c r="C262" s="1">
        <v>14806.81</v>
      </c>
    </row>
    <row r="263" spans="1:3" x14ac:dyDescent="0.2">
      <c r="A263" s="2">
        <v>44575</v>
      </c>
      <c r="B263" s="1" t="s">
        <v>12</v>
      </c>
      <c r="C263" s="1">
        <v>14893.75</v>
      </c>
    </row>
    <row r="264" spans="1:3" x14ac:dyDescent="0.2">
      <c r="A264" s="2">
        <v>44579</v>
      </c>
      <c r="B264" s="1" t="s">
        <v>12</v>
      </c>
      <c r="C264" s="1">
        <v>14506.9</v>
      </c>
    </row>
    <row r="265" spans="1:3" x14ac:dyDescent="0.2">
      <c r="A265" s="2">
        <v>44580</v>
      </c>
      <c r="B265" s="1" t="s">
        <v>12</v>
      </c>
      <c r="C265" s="1">
        <v>14340.25</v>
      </c>
    </row>
    <row r="266" spans="1:3" x14ac:dyDescent="0.2">
      <c r="A266" s="2">
        <v>44581</v>
      </c>
      <c r="B266" s="1" t="s">
        <v>12</v>
      </c>
      <c r="C266" s="1">
        <v>14154.02</v>
      </c>
    </row>
    <row r="267" spans="1:3" x14ac:dyDescent="0.2">
      <c r="A267" s="2">
        <v>44582</v>
      </c>
      <c r="B267" s="1" t="s">
        <v>12</v>
      </c>
      <c r="C267" s="1">
        <v>13768.92</v>
      </c>
    </row>
    <row r="268" spans="1:3" x14ac:dyDescent="0.2">
      <c r="A268" s="2">
        <v>44585</v>
      </c>
      <c r="B268" s="1" t="s">
        <v>12</v>
      </c>
      <c r="C268" s="1">
        <v>13855.13</v>
      </c>
    </row>
    <row r="269" spans="1:3" x14ac:dyDescent="0.2">
      <c r="A269" s="2">
        <v>44586</v>
      </c>
      <c r="B269" s="1" t="s">
        <v>12</v>
      </c>
      <c r="C269" s="1">
        <v>13539.29</v>
      </c>
    </row>
    <row r="270" spans="1:3" x14ac:dyDescent="0.2">
      <c r="A270" s="2">
        <v>44587</v>
      </c>
      <c r="B270" s="1" t="s">
        <v>12</v>
      </c>
      <c r="C270" s="1">
        <v>13542.12</v>
      </c>
    </row>
    <row r="271" spans="1:3" x14ac:dyDescent="0.2">
      <c r="A271" s="2">
        <v>44588</v>
      </c>
      <c r="B271" s="1" t="s">
        <v>12</v>
      </c>
      <c r="C271" s="1">
        <v>13352.78</v>
      </c>
    </row>
    <row r="272" spans="1:3" x14ac:dyDescent="0.2">
      <c r="A272" s="2">
        <v>44589</v>
      </c>
      <c r="B272" s="1" t="s">
        <v>12</v>
      </c>
      <c r="C272" s="1">
        <v>13770.57</v>
      </c>
    </row>
    <row r="273" spans="1:3" x14ac:dyDescent="0.2">
      <c r="A273" s="2">
        <v>44592</v>
      </c>
      <c r="B273" s="1" t="s">
        <v>12</v>
      </c>
      <c r="C273" s="1">
        <v>14239.88</v>
      </c>
    </row>
    <row r="274" spans="1:3" x14ac:dyDescent="0.2">
      <c r="A274" s="2">
        <v>44593</v>
      </c>
      <c r="B274" s="1" t="s">
        <v>12</v>
      </c>
      <c r="C274" s="1">
        <v>14346</v>
      </c>
    </row>
    <row r="275" spans="1:3" x14ac:dyDescent="0.2">
      <c r="A275" s="2">
        <v>44594</v>
      </c>
      <c r="B275" s="1" t="s">
        <v>12</v>
      </c>
      <c r="C275" s="1">
        <v>14417.55</v>
      </c>
    </row>
    <row r="276" spans="1:3" x14ac:dyDescent="0.2">
      <c r="A276" s="2">
        <v>44595</v>
      </c>
      <c r="B276" s="1" t="s">
        <v>12</v>
      </c>
      <c r="C276" s="1">
        <v>13878.82</v>
      </c>
    </row>
    <row r="277" spans="1:3" x14ac:dyDescent="0.2">
      <c r="A277" s="2">
        <v>44596</v>
      </c>
      <c r="B277" s="1" t="s">
        <v>12</v>
      </c>
      <c r="C277" s="1">
        <v>14098.01</v>
      </c>
    </row>
    <row r="278" spans="1:3" x14ac:dyDescent="0.2">
      <c r="A278" s="2">
        <v>44599</v>
      </c>
      <c r="B278" s="1" t="s">
        <v>12</v>
      </c>
      <c r="C278" s="1">
        <v>14015.67</v>
      </c>
    </row>
    <row r="279" spans="1:3" x14ac:dyDescent="0.2">
      <c r="A279" s="2">
        <v>44600</v>
      </c>
      <c r="B279" s="1" t="s">
        <v>12</v>
      </c>
      <c r="C279" s="1">
        <v>14194.46</v>
      </c>
    </row>
    <row r="280" spans="1:3" x14ac:dyDescent="0.2">
      <c r="A280" s="2">
        <v>44601</v>
      </c>
      <c r="B280" s="1" t="s">
        <v>12</v>
      </c>
      <c r="C280" s="1">
        <v>14490.37</v>
      </c>
    </row>
    <row r="281" spans="1:3" x14ac:dyDescent="0.2">
      <c r="A281" s="2">
        <v>44602</v>
      </c>
      <c r="B281" s="1" t="s">
        <v>12</v>
      </c>
      <c r="C281" s="1">
        <v>14185.64</v>
      </c>
    </row>
    <row r="282" spans="1:3" x14ac:dyDescent="0.2">
      <c r="A282" s="2">
        <v>44603</v>
      </c>
      <c r="B282" s="1" t="s">
        <v>12</v>
      </c>
      <c r="C282" s="1">
        <v>13791.15</v>
      </c>
    </row>
    <row r="283" spans="1:3" x14ac:dyDescent="0.2">
      <c r="A283" s="2">
        <v>44606</v>
      </c>
      <c r="B283" s="1" t="s">
        <v>12</v>
      </c>
      <c r="C283" s="1">
        <v>13790.92</v>
      </c>
    </row>
    <row r="284" spans="1:3" x14ac:dyDescent="0.2">
      <c r="A284" s="2">
        <v>44607</v>
      </c>
      <c r="B284" s="1" t="s">
        <v>12</v>
      </c>
      <c r="C284" s="1">
        <v>14139.76</v>
      </c>
    </row>
    <row r="285" spans="1:3" x14ac:dyDescent="0.2">
      <c r="A285" s="2">
        <v>44608</v>
      </c>
      <c r="B285" s="1" t="s">
        <v>12</v>
      </c>
      <c r="C285" s="1">
        <v>14124.09</v>
      </c>
    </row>
    <row r="286" spans="1:3" x14ac:dyDescent="0.2">
      <c r="A286" s="2">
        <v>44609</v>
      </c>
      <c r="B286" s="1" t="s">
        <v>12</v>
      </c>
      <c r="C286" s="1">
        <v>13716.72</v>
      </c>
    </row>
    <row r="287" spans="1:3" x14ac:dyDescent="0.2">
      <c r="A287" s="2">
        <v>44610</v>
      </c>
      <c r="B287" s="1" t="s">
        <v>12</v>
      </c>
      <c r="C287" s="1">
        <v>13548.07</v>
      </c>
    </row>
    <row r="288" spans="1:3" x14ac:dyDescent="0.2">
      <c r="A288" s="2">
        <v>44614</v>
      </c>
      <c r="B288" s="1" t="s">
        <v>12</v>
      </c>
      <c r="C288" s="1">
        <v>13381.52</v>
      </c>
    </row>
    <row r="289" spans="1:3" x14ac:dyDescent="0.2">
      <c r="A289" s="2">
        <v>44615</v>
      </c>
      <c r="B289" s="1" t="s">
        <v>12</v>
      </c>
      <c r="C289" s="1">
        <v>13037.49</v>
      </c>
    </row>
    <row r="290" spans="1:3" x14ac:dyDescent="0.2">
      <c r="A290" s="2">
        <v>44616</v>
      </c>
      <c r="B290" s="1" t="s">
        <v>12</v>
      </c>
      <c r="C290" s="1">
        <v>13473.58</v>
      </c>
    </row>
    <row r="291" spans="1:3" x14ac:dyDescent="0.2">
      <c r="A291" s="2">
        <v>44617</v>
      </c>
      <c r="B291" s="1" t="s">
        <v>12</v>
      </c>
      <c r="C291" s="1">
        <v>13694.62</v>
      </c>
    </row>
    <row r="292" spans="1:3" x14ac:dyDescent="0.2">
      <c r="A292" s="2">
        <v>44620</v>
      </c>
      <c r="B292" s="1" t="s">
        <v>12</v>
      </c>
      <c r="C292" s="1">
        <v>13751.4</v>
      </c>
    </row>
    <row r="293" spans="1:3" x14ac:dyDescent="0.2">
      <c r="A293" s="2">
        <v>44621</v>
      </c>
      <c r="B293" s="1" t="s">
        <v>12</v>
      </c>
      <c r="C293" s="1">
        <v>13532.46</v>
      </c>
    </row>
    <row r="294" spans="1:3" x14ac:dyDescent="0.2">
      <c r="A294" s="2">
        <v>44622</v>
      </c>
      <c r="B294" s="1" t="s">
        <v>12</v>
      </c>
      <c r="C294" s="1">
        <v>13752.02</v>
      </c>
    </row>
    <row r="295" spans="1:3" x14ac:dyDescent="0.2">
      <c r="A295" s="2">
        <v>44623</v>
      </c>
      <c r="B295" s="1" t="s">
        <v>12</v>
      </c>
      <c r="C295" s="1">
        <v>13537.94</v>
      </c>
    </row>
    <row r="296" spans="1:3" x14ac:dyDescent="0.2">
      <c r="A296" s="2">
        <v>44624</v>
      </c>
      <c r="B296" s="1" t="s">
        <v>12</v>
      </c>
      <c r="C296" s="1">
        <v>13313.44</v>
      </c>
    </row>
    <row r="297" spans="1:3" x14ac:dyDescent="0.2">
      <c r="A297" s="2">
        <v>44627</v>
      </c>
      <c r="B297" s="1" t="s">
        <v>12</v>
      </c>
      <c r="C297" s="1">
        <v>12830.96</v>
      </c>
    </row>
    <row r="298" spans="1:3" x14ac:dyDescent="0.2">
      <c r="A298" s="2">
        <v>44628</v>
      </c>
      <c r="B298" s="1" t="s">
        <v>12</v>
      </c>
      <c r="C298" s="1">
        <v>12795.55</v>
      </c>
    </row>
    <row r="299" spans="1:3" x14ac:dyDescent="0.2">
      <c r="A299" s="2">
        <v>44629</v>
      </c>
      <c r="B299" s="1" t="s">
        <v>12</v>
      </c>
      <c r="C299" s="1">
        <v>13255.55</v>
      </c>
    </row>
    <row r="300" spans="1:3" x14ac:dyDescent="0.2">
      <c r="A300" s="2">
        <v>44630</v>
      </c>
      <c r="B300" s="1" t="s">
        <v>12</v>
      </c>
      <c r="C300" s="1">
        <v>13129.96</v>
      </c>
    </row>
    <row r="301" spans="1:3" x14ac:dyDescent="0.2">
      <c r="A301" s="2">
        <v>44631</v>
      </c>
      <c r="B301" s="1" t="s">
        <v>12</v>
      </c>
      <c r="C301" s="1">
        <v>12843.81</v>
      </c>
    </row>
    <row r="302" spans="1:3" x14ac:dyDescent="0.2">
      <c r="A302" s="2">
        <v>44634</v>
      </c>
      <c r="B302" s="1" t="s">
        <v>12</v>
      </c>
      <c r="C302" s="1">
        <v>12581.22</v>
      </c>
    </row>
    <row r="303" spans="1:3" x14ac:dyDescent="0.2">
      <c r="A303" s="2">
        <v>44635</v>
      </c>
      <c r="B303" s="1" t="s">
        <v>12</v>
      </c>
      <c r="C303" s="1">
        <v>12948.62</v>
      </c>
    </row>
    <row r="304" spans="1:3" x14ac:dyDescent="0.2">
      <c r="A304" s="2">
        <v>44636</v>
      </c>
      <c r="B304" s="1" t="s">
        <v>12</v>
      </c>
      <c r="C304" s="1">
        <v>13436.55</v>
      </c>
    </row>
    <row r="305" spans="1:3" x14ac:dyDescent="0.2">
      <c r="A305" s="2">
        <v>44637</v>
      </c>
      <c r="B305" s="1" t="s">
        <v>12</v>
      </c>
      <c r="C305" s="1">
        <v>13614.78</v>
      </c>
    </row>
    <row r="306" spans="1:3" x14ac:dyDescent="0.2">
      <c r="A306" s="2">
        <v>44638</v>
      </c>
      <c r="B306" s="1" t="s">
        <v>12</v>
      </c>
      <c r="C306" s="1">
        <v>13893.84</v>
      </c>
    </row>
    <row r="307" spans="1:3" x14ac:dyDescent="0.2">
      <c r="A307" s="2">
        <v>44641</v>
      </c>
      <c r="B307" s="1" t="s">
        <v>12</v>
      </c>
      <c r="C307" s="1">
        <v>13838.46</v>
      </c>
    </row>
    <row r="308" spans="1:3" x14ac:dyDescent="0.2">
      <c r="A308" s="2">
        <v>44642</v>
      </c>
      <c r="B308" s="1" t="s">
        <v>12</v>
      </c>
      <c r="C308" s="1">
        <v>14108.82</v>
      </c>
    </row>
    <row r="309" spans="1:3" x14ac:dyDescent="0.2">
      <c r="A309" s="2">
        <v>44643</v>
      </c>
      <c r="B309" s="1" t="s">
        <v>12</v>
      </c>
      <c r="C309" s="1">
        <v>13922.6</v>
      </c>
    </row>
    <row r="310" spans="1:3" x14ac:dyDescent="0.2">
      <c r="A310" s="2">
        <v>44644</v>
      </c>
      <c r="B310" s="1" t="s">
        <v>12</v>
      </c>
      <c r="C310" s="1">
        <v>14191.84</v>
      </c>
    </row>
    <row r="311" spans="1:3" x14ac:dyDescent="0.2">
      <c r="A311" s="2">
        <v>44645</v>
      </c>
      <c r="B311" s="1" t="s">
        <v>12</v>
      </c>
      <c r="C311" s="1">
        <v>14169.3</v>
      </c>
    </row>
    <row r="312" spans="1:3" x14ac:dyDescent="0.2">
      <c r="A312" s="2">
        <v>44648</v>
      </c>
      <c r="B312" s="1" t="s">
        <v>12</v>
      </c>
      <c r="C312" s="1">
        <v>14354.9</v>
      </c>
    </row>
    <row r="313" spans="1:3" x14ac:dyDescent="0.2">
      <c r="A313" s="2">
        <v>44649</v>
      </c>
      <c r="B313" s="1" t="s">
        <v>12</v>
      </c>
      <c r="C313" s="1">
        <v>14619.64</v>
      </c>
    </row>
    <row r="314" spans="1:3" x14ac:dyDescent="0.2">
      <c r="A314" s="2">
        <v>44650</v>
      </c>
      <c r="B314" s="1" t="s">
        <v>12</v>
      </c>
      <c r="C314" s="1">
        <v>14442.27</v>
      </c>
    </row>
    <row r="315" spans="1:3" x14ac:dyDescent="0.2">
      <c r="A315" s="2">
        <v>44651</v>
      </c>
      <c r="B315" s="1" t="s">
        <v>12</v>
      </c>
      <c r="C315" s="1">
        <v>14220.52</v>
      </c>
    </row>
    <row r="316" spans="1:3" x14ac:dyDescent="0.2">
      <c r="A316" s="2">
        <v>44652</v>
      </c>
      <c r="B316" s="1" t="s">
        <v>12</v>
      </c>
      <c r="C316" s="1">
        <v>14261.5</v>
      </c>
    </row>
    <row r="317" spans="1:3" x14ac:dyDescent="0.2">
      <c r="A317" s="2">
        <v>44655</v>
      </c>
      <c r="B317" s="1" t="s">
        <v>12</v>
      </c>
      <c r="C317" s="1">
        <v>14532.55</v>
      </c>
    </row>
    <row r="318" spans="1:3" x14ac:dyDescent="0.2">
      <c r="A318" s="2">
        <v>44656</v>
      </c>
      <c r="B318" s="1" t="s">
        <v>12</v>
      </c>
      <c r="C318" s="1">
        <v>14204.17</v>
      </c>
    </row>
    <row r="319" spans="1:3" x14ac:dyDescent="0.2">
      <c r="A319" s="2">
        <v>44657</v>
      </c>
      <c r="B319" s="1" t="s">
        <v>12</v>
      </c>
      <c r="C319" s="1">
        <v>13888.82</v>
      </c>
    </row>
    <row r="320" spans="1:3" x14ac:dyDescent="0.2">
      <c r="A320" s="2">
        <v>44658</v>
      </c>
      <c r="B320" s="1" t="s">
        <v>12</v>
      </c>
      <c r="C320" s="1">
        <v>13897.3</v>
      </c>
    </row>
    <row r="321" spans="1:3" x14ac:dyDescent="0.2">
      <c r="A321" s="2">
        <v>44659</v>
      </c>
      <c r="B321" s="1" t="s">
        <v>12</v>
      </c>
      <c r="C321" s="1">
        <v>13711</v>
      </c>
    </row>
    <row r="322" spans="1:3" x14ac:dyDescent="0.2">
      <c r="A322" s="2">
        <v>44662</v>
      </c>
      <c r="B322" s="1" t="s">
        <v>12</v>
      </c>
      <c r="C322" s="1">
        <v>13411.96</v>
      </c>
    </row>
    <row r="323" spans="1:3" x14ac:dyDescent="0.2">
      <c r="A323" s="2">
        <v>44663</v>
      </c>
      <c r="B323" s="1" t="s">
        <v>12</v>
      </c>
      <c r="C323" s="1">
        <v>13371.57</v>
      </c>
    </row>
    <row r="324" spans="1:3" x14ac:dyDescent="0.2">
      <c r="A324" s="2">
        <v>44664</v>
      </c>
      <c r="B324" s="1" t="s">
        <v>12</v>
      </c>
      <c r="C324" s="1">
        <v>13643.59</v>
      </c>
    </row>
    <row r="325" spans="1:3" x14ac:dyDescent="0.2">
      <c r="A325" s="2">
        <v>44665</v>
      </c>
      <c r="B325" s="1" t="s">
        <v>12</v>
      </c>
      <c r="C325" s="1">
        <v>13351.08</v>
      </c>
    </row>
    <row r="326" spans="1:3" x14ac:dyDescent="0.2">
      <c r="A326" s="2">
        <v>44669</v>
      </c>
      <c r="B326" s="1" t="s">
        <v>12</v>
      </c>
      <c r="C326" s="1">
        <v>13332.36</v>
      </c>
    </row>
    <row r="327" spans="1:3" x14ac:dyDescent="0.2">
      <c r="A327" s="2">
        <v>44670</v>
      </c>
      <c r="B327" s="1" t="s">
        <v>12</v>
      </c>
      <c r="C327" s="1">
        <v>13619.66</v>
      </c>
    </row>
    <row r="328" spans="1:3" x14ac:dyDescent="0.2">
      <c r="A328" s="2">
        <v>44671</v>
      </c>
      <c r="B328" s="1" t="s">
        <v>12</v>
      </c>
      <c r="C328" s="1">
        <v>13453.07</v>
      </c>
    </row>
    <row r="329" spans="1:3" x14ac:dyDescent="0.2">
      <c r="A329" s="2">
        <v>44672</v>
      </c>
      <c r="B329" s="1" t="s">
        <v>12</v>
      </c>
      <c r="C329" s="1">
        <v>13174.65</v>
      </c>
    </row>
    <row r="330" spans="1:3" x14ac:dyDescent="0.2">
      <c r="A330" s="2">
        <v>44673</v>
      </c>
      <c r="B330" s="1" t="s">
        <v>12</v>
      </c>
      <c r="C330" s="1">
        <v>12839.29</v>
      </c>
    </row>
    <row r="331" spans="1:3" x14ac:dyDescent="0.2">
      <c r="A331" s="2">
        <v>44676</v>
      </c>
      <c r="B331" s="1" t="s">
        <v>12</v>
      </c>
      <c r="C331" s="1">
        <v>13004.85</v>
      </c>
    </row>
    <row r="332" spans="1:3" x14ac:dyDescent="0.2">
      <c r="A332" s="2">
        <v>44677</v>
      </c>
      <c r="B332" s="1" t="s">
        <v>12</v>
      </c>
      <c r="C332" s="1">
        <v>12490.74</v>
      </c>
    </row>
    <row r="333" spans="1:3" x14ac:dyDescent="0.2">
      <c r="A333" s="2">
        <v>44678</v>
      </c>
      <c r="B333" s="1" t="s">
        <v>12</v>
      </c>
      <c r="C333" s="1">
        <v>12488.93</v>
      </c>
    </row>
    <row r="334" spans="1:3" x14ac:dyDescent="0.2">
      <c r="A334" s="2">
        <v>44679</v>
      </c>
      <c r="B334" s="1" t="s">
        <v>12</v>
      </c>
      <c r="C334" s="1">
        <v>12871.53</v>
      </c>
    </row>
    <row r="335" spans="1:3" x14ac:dyDescent="0.2">
      <c r="A335" s="2">
        <v>44680</v>
      </c>
      <c r="B335" s="1" t="s">
        <v>12</v>
      </c>
      <c r="C335" s="1">
        <v>12334.64</v>
      </c>
    </row>
    <row r="336" spans="1:3" x14ac:dyDescent="0.2">
      <c r="A336" s="2">
        <v>44683</v>
      </c>
      <c r="B336" s="1" t="s">
        <v>12</v>
      </c>
      <c r="C336" s="1">
        <v>12536.02</v>
      </c>
    </row>
    <row r="337" spans="1:3" x14ac:dyDescent="0.2">
      <c r="A337" s="2">
        <v>44684</v>
      </c>
      <c r="B337" s="1" t="s">
        <v>12</v>
      </c>
      <c r="C337" s="1">
        <v>12563.76</v>
      </c>
    </row>
    <row r="338" spans="1:3" x14ac:dyDescent="0.2">
      <c r="A338" s="2">
        <v>44685</v>
      </c>
      <c r="B338" s="1" t="s">
        <v>12</v>
      </c>
      <c r="C338" s="1">
        <v>12964.86</v>
      </c>
    </row>
    <row r="339" spans="1:3" x14ac:dyDescent="0.2">
      <c r="A339" s="2">
        <v>44686</v>
      </c>
      <c r="B339" s="1" t="s">
        <v>12</v>
      </c>
      <c r="C339" s="1">
        <v>12317.69</v>
      </c>
    </row>
    <row r="340" spans="1:3" x14ac:dyDescent="0.2">
      <c r="A340" s="2">
        <v>44687</v>
      </c>
      <c r="B340" s="1" t="s">
        <v>12</v>
      </c>
      <c r="C340" s="1">
        <v>12144.66</v>
      </c>
    </row>
    <row r="341" spans="1:3" x14ac:dyDescent="0.2">
      <c r="A341" s="2">
        <v>44690</v>
      </c>
      <c r="B341" s="1" t="s">
        <v>12</v>
      </c>
      <c r="C341" s="1">
        <v>11623.25</v>
      </c>
    </row>
    <row r="342" spans="1:3" x14ac:dyDescent="0.2">
      <c r="A342" s="2">
        <v>44691</v>
      </c>
      <c r="B342" s="1" t="s">
        <v>12</v>
      </c>
      <c r="C342" s="1">
        <v>11737.67</v>
      </c>
    </row>
    <row r="343" spans="1:3" x14ac:dyDescent="0.2">
      <c r="A343" s="2">
        <v>44692</v>
      </c>
      <c r="B343" s="1" t="s">
        <v>12</v>
      </c>
      <c r="C343" s="1">
        <v>11364.24</v>
      </c>
    </row>
    <row r="344" spans="1:3" x14ac:dyDescent="0.2">
      <c r="A344" s="2">
        <v>44693</v>
      </c>
      <c r="B344" s="1" t="s">
        <v>12</v>
      </c>
      <c r="C344" s="1">
        <v>11370.96</v>
      </c>
    </row>
    <row r="345" spans="1:3" x14ac:dyDescent="0.2">
      <c r="A345" s="2">
        <v>44694</v>
      </c>
      <c r="B345" s="1" t="s">
        <v>12</v>
      </c>
      <c r="C345" s="1">
        <v>11805</v>
      </c>
    </row>
    <row r="346" spans="1:3" x14ac:dyDescent="0.2">
      <c r="A346" s="2">
        <v>44697</v>
      </c>
      <c r="B346" s="1" t="s">
        <v>12</v>
      </c>
      <c r="C346" s="1">
        <v>11662.79</v>
      </c>
    </row>
    <row r="347" spans="1:3" x14ac:dyDescent="0.2">
      <c r="A347" s="2">
        <v>44698</v>
      </c>
      <c r="B347" s="1" t="s">
        <v>12</v>
      </c>
      <c r="C347" s="1">
        <v>11984.52</v>
      </c>
    </row>
    <row r="348" spans="1:3" x14ac:dyDescent="0.2">
      <c r="A348" s="2">
        <v>44699</v>
      </c>
      <c r="B348" s="1" t="s">
        <v>12</v>
      </c>
      <c r="C348" s="1">
        <v>11418.15</v>
      </c>
    </row>
    <row r="349" spans="1:3" x14ac:dyDescent="0.2">
      <c r="A349" s="2">
        <v>44700</v>
      </c>
      <c r="B349" s="1" t="s">
        <v>12</v>
      </c>
      <c r="C349" s="1">
        <v>11388.5</v>
      </c>
    </row>
    <row r="350" spans="1:3" x14ac:dyDescent="0.2">
      <c r="A350" s="2">
        <v>44701</v>
      </c>
      <c r="B350" s="1" t="s">
        <v>12</v>
      </c>
      <c r="C350" s="1">
        <v>11354.62</v>
      </c>
    </row>
    <row r="351" spans="1:3" x14ac:dyDescent="0.2">
      <c r="A351" s="2">
        <v>44704</v>
      </c>
      <c r="B351" s="1" t="s">
        <v>12</v>
      </c>
      <c r="C351" s="1">
        <v>11535.27</v>
      </c>
    </row>
    <row r="352" spans="1:3" x14ac:dyDescent="0.2">
      <c r="A352" s="2">
        <v>44705</v>
      </c>
      <c r="B352" s="1" t="s">
        <v>12</v>
      </c>
      <c r="C352" s="1">
        <v>11264.45</v>
      </c>
    </row>
    <row r="353" spans="1:3" x14ac:dyDescent="0.2">
      <c r="A353" s="2">
        <v>44706</v>
      </c>
      <c r="B353" s="1" t="s">
        <v>12</v>
      </c>
      <c r="C353" s="1">
        <v>11434.74</v>
      </c>
    </row>
    <row r="354" spans="1:3" x14ac:dyDescent="0.2">
      <c r="A354" s="2">
        <v>44707</v>
      </c>
      <c r="B354" s="1" t="s">
        <v>12</v>
      </c>
      <c r="C354" s="1">
        <v>11740.65</v>
      </c>
    </row>
    <row r="355" spans="1:3" x14ac:dyDescent="0.2">
      <c r="A355" s="2">
        <v>44708</v>
      </c>
      <c r="B355" s="1" t="s">
        <v>12</v>
      </c>
      <c r="C355" s="1">
        <v>12131.13</v>
      </c>
    </row>
    <row r="356" spans="1:3" x14ac:dyDescent="0.2">
      <c r="A356" s="2">
        <v>44712</v>
      </c>
      <c r="B356" s="1" t="s">
        <v>12</v>
      </c>
      <c r="C356" s="1">
        <v>12081.39</v>
      </c>
    </row>
    <row r="357" spans="1:3" x14ac:dyDescent="0.2">
      <c r="A357" s="2">
        <v>44713</v>
      </c>
      <c r="B357" s="1" t="s">
        <v>12</v>
      </c>
      <c r="C357" s="1">
        <v>11994.46</v>
      </c>
    </row>
    <row r="358" spans="1:3" x14ac:dyDescent="0.2">
      <c r="A358" s="2">
        <v>44714</v>
      </c>
      <c r="B358" s="1" t="s">
        <v>12</v>
      </c>
      <c r="C358" s="1">
        <v>12316.9</v>
      </c>
    </row>
    <row r="359" spans="1:3" x14ac:dyDescent="0.2">
      <c r="A359" s="2">
        <v>44715</v>
      </c>
      <c r="B359" s="1" t="s">
        <v>12</v>
      </c>
      <c r="C359" s="1">
        <v>12012.73</v>
      </c>
    </row>
    <row r="360" spans="1:3" x14ac:dyDescent="0.2">
      <c r="A360" s="2">
        <v>44718</v>
      </c>
      <c r="B360" s="1" t="s">
        <v>12</v>
      </c>
      <c r="C360" s="1">
        <v>12061.37</v>
      </c>
    </row>
    <row r="361" spans="1:3" x14ac:dyDescent="0.2">
      <c r="A361" s="2">
        <v>44719</v>
      </c>
      <c r="B361" s="1" t="s">
        <v>12</v>
      </c>
      <c r="C361" s="1">
        <v>12175.23</v>
      </c>
    </row>
    <row r="362" spans="1:3" x14ac:dyDescent="0.2">
      <c r="A362" s="2">
        <v>44720</v>
      </c>
      <c r="B362" s="1" t="s">
        <v>12</v>
      </c>
      <c r="C362" s="1">
        <v>12086.27</v>
      </c>
    </row>
    <row r="363" spans="1:3" x14ac:dyDescent="0.2">
      <c r="A363" s="2">
        <v>44721</v>
      </c>
      <c r="B363" s="1" t="s">
        <v>12</v>
      </c>
      <c r="C363" s="1">
        <v>11754.23</v>
      </c>
    </row>
    <row r="364" spans="1:3" x14ac:dyDescent="0.2">
      <c r="A364" s="2">
        <v>44722</v>
      </c>
      <c r="B364" s="1" t="s">
        <v>12</v>
      </c>
      <c r="C364" s="1">
        <v>11340.02</v>
      </c>
    </row>
    <row r="365" spans="1:3" x14ac:dyDescent="0.2">
      <c r="A365" s="2">
        <v>44725</v>
      </c>
      <c r="B365" s="1" t="s">
        <v>12</v>
      </c>
      <c r="C365" s="1">
        <v>10809.23</v>
      </c>
    </row>
    <row r="366" spans="1:3" x14ac:dyDescent="0.2">
      <c r="A366" s="2">
        <v>44726</v>
      </c>
      <c r="B366" s="1" t="s">
        <v>12</v>
      </c>
      <c r="C366" s="1">
        <v>10828.35</v>
      </c>
    </row>
    <row r="367" spans="1:3" x14ac:dyDescent="0.2">
      <c r="A367" s="2">
        <v>44727</v>
      </c>
      <c r="B367" s="1" t="s">
        <v>12</v>
      </c>
      <c r="C367" s="1">
        <v>11099.15</v>
      </c>
    </row>
    <row r="368" spans="1:3" x14ac:dyDescent="0.2">
      <c r="A368" s="2">
        <v>44728</v>
      </c>
      <c r="B368" s="1" t="s">
        <v>12</v>
      </c>
      <c r="C368" s="1">
        <v>10646.1</v>
      </c>
    </row>
    <row r="369" spans="1:3" x14ac:dyDescent="0.2">
      <c r="A369" s="2">
        <v>44729</v>
      </c>
      <c r="B369" s="1" t="s">
        <v>12</v>
      </c>
      <c r="C369" s="1">
        <v>10798.35</v>
      </c>
    </row>
    <row r="370" spans="1:3" x14ac:dyDescent="0.2">
      <c r="A370" s="2">
        <v>44733</v>
      </c>
      <c r="B370" s="1" t="s">
        <v>12</v>
      </c>
      <c r="C370" s="1">
        <v>11069.3</v>
      </c>
    </row>
    <row r="371" spans="1:3" x14ac:dyDescent="0.2">
      <c r="A371" s="2">
        <v>44734</v>
      </c>
      <c r="B371" s="1" t="s">
        <v>12</v>
      </c>
      <c r="C371" s="1">
        <v>11053.08</v>
      </c>
    </row>
    <row r="372" spans="1:3" x14ac:dyDescent="0.2">
      <c r="A372" s="2">
        <v>44735</v>
      </c>
      <c r="B372" s="1" t="s">
        <v>12</v>
      </c>
      <c r="C372" s="1">
        <v>11232.19</v>
      </c>
    </row>
    <row r="373" spans="1:3" x14ac:dyDescent="0.2">
      <c r="A373" s="2">
        <v>44736</v>
      </c>
      <c r="B373" s="1" t="s">
        <v>12</v>
      </c>
      <c r="C373" s="1">
        <v>11607.62</v>
      </c>
    </row>
    <row r="374" spans="1:3" x14ac:dyDescent="0.2">
      <c r="A374" s="2">
        <v>44739</v>
      </c>
      <c r="B374" s="1" t="s">
        <v>12</v>
      </c>
      <c r="C374" s="1">
        <v>11524.55</v>
      </c>
    </row>
    <row r="375" spans="1:3" x14ac:dyDescent="0.2">
      <c r="A375" s="2">
        <v>44740</v>
      </c>
      <c r="B375" s="1" t="s">
        <v>12</v>
      </c>
      <c r="C375" s="1">
        <v>11181.54</v>
      </c>
    </row>
    <row r="376" spans="1:3" x14ac:dyDescent="0.2">
      <c r="A376" s="2">
        <v>44741</v>
      </c>
      <c r="B376" s="1" t="s">
        <v>12</v>
      </c>
      <c r="C376" s="1">
        <v>11177.89</v>
      </c>
    </row>
    <row r="377" spans="1:3" x14ac:dyDescent="0.2">
      <c r="A377" s="2">
        <v>44742</v>
      </c>
      <c r="B377" s="1" t="s">
        <v>12</v>
      </c>
      <c r="C377" s="1">
        <v>11028.74</v>
      </c>
    </row>
    <row r="378" spans="1:3" x14ac:dyDescent="0.2">
      <c r="A378" s="2">
        <v>44743</v>
      </c>
      <c r="B378" s="1" t="s">
        <v>12</v>
      </c>
      <c r="C378" s="1">
        <v>11127.84</v>
      </c>
    </row>
    <row r="379" spans="1:3" x14ac:dyDescent="0.2">
      <c r="A379" s="2">
        <v>44747</v>
      </c>
      <c r="B379" s="1" t="s">
        <v>12</v>
      </c>
      <c r="C379" s="1">
        <v>11322.24</v>
      </c>
    </row>
    <row r="380" spans="1:3" x14ac:dyDescent="0.2">
      <c r="A380" s="2">
        <v>44748</v>
      </c>
      <c r="B380" s="1" t="s">
        <v>12</v>
      </c>
      <c r="C380" s="1">
        <v>11361.85</v>
      </c>
    </row>
    <row r="381" spans="1:3" x14ac:dyDescent="0.2">
      <c r="A381" s="2">
        <v>44749</v>
      </c>
      <c r="B381" s="1" t="s">
        <v>12</v>
      </c>
      <c r="C381" s="1">
        <v>11621.35</v>
      </c>
    </row>
    <row r="382" spans="1:3" x14ac:dyDescent="0.2">
      <c r="A382" s="2">
        <v>44750</v>
      </c>
      <c r="B382" s="1" t="s">
        <v>12</v>
      </c>
      <c r="C382" s="1">
        <v>11635.31</v>
      </c>
    </row>
    <row r="383" spans="1:3" x14ac:dyDescent="0.2">
      <c r="A383" s="2">
        <v>44753</v>
      </c>
      <c r="B383" s="1" t="s">
        <v>12</v>
      </c>
      <c r="C383" s="1">
        <v>11372.6</v>
      </c>
    </row>
    <row r="384" spans="1:3" x14ac:dyDescent="0.2">
      <c r="A384" s="2">
        <v>44754</v>
      </c>
      <c r="B384" s="1" t="s">
        <v>12</v>
      </c>
      <c r="C384" s="1">
        <v>11264.73</v>
      </c>
    </row>
    <row r="385" spans="1:3" x14ac:dyDescent="0.2">
      <c r="A385" s="2">
        <v>44755</v>
      </c>
      <c r="B385" s="1" t="s">
        <v>12</v>
      </c>
      <c r="C385" s="1">
        <v>11247.58</v>
      </c>
    </row>
    <row r="386" spans="1:3" x14ac:dyDescent="0.2">
      <c r="A386" s="2">
        <v>44756</v>
      </c>
      <c r="B386" s="1" t="s">
        <v>12</v>
      </c>
      <c r="C386" s="1">
        <v>11251.19</v>
      </c>
    </row>
    <row r="387" spans="1:3" x14ac:dyDescent="0.2">
      <c r="A387" s="2">
        <v>44757</v>
      </c>
      <c r="B387" s="1" t="s">
        <v>12</v>
      </c>
      <c r="C387" s="1">
        <v>11452.42</v>
      </c>
    </row>
    <row r="388" spans="1:3" x14ac:dyDescent="0.2">
      <c r="A388" s="2">
        <v>44760</v>
      </c>
      <c r="B388" s="1" t="s">
        <v>12</v>
      </c>
      <c r="C388" s="1">
        <v>11360.05</v>
      </c>
    </row>
    <row r="389" spans="1:3" x14ac:dyDescent="0.2">
      <c r="A389" s="2">
        <v>44761</v>
      </c>
      <c r="B389" s="1" t="s">
        <v>12</v>
      </c>
      <c r="C389" s="1">
        <v>11713.15</v>
      </c>
    </row>
    <row r="390" spans="1:3" x14ac:dyDescent="0.2">
      <c r="A390" s="2">
        <v>44762</v>
      </c>
      <c r="B390" s="1" t="s">
        <v>12</v>
      </c>
      <c r="C390" s="1">
        <v>11897.65</v>
      </c>
    </row>
    <row r="391" spans="1:3" x14ac:dyDescent="0.2">
      <c r="A391" s="2">
        <v>44763</v>
      </c>
      <c r="B391" s="1" t="s">
        <v>12</v>
      </c>
      <c r="C391" s="1">
        <v>12059.61</v>
      </c>
    </row>
    <row r="392" spans="1:3" x14ac:dyDescent="0.2">
      <c r="A392" s="2">
        <v>44764</v>
      </c>
      <c r="B392" s="1" t="s">
        <v>12</v>
      </c>
      <c r="C392" s="1">
        <v>11834.11</v>
      </c>
    </row>
    <row r="393" spans="1:3" x14ac:dyDescent="0.2">
      <c r="A393" s="2">
        <v>44767</v>
      </c>
      <c r="B393" s="1" t="s">
        <v>12</v>
      </c>
      <c r="C393" s="1">
        <v>11782.67</v>
      </c>
    </row>
    <row r="394" spans="1:3" x14ac:dyDescent="0.2">
      <c r="A394" s="2">
        <v>44768</v>
      </c>
      <c r="B394" s="1" t="s">
        <v>12</v>
      </c>
      <c r="C394" s="1">
        <v>11562.57</v>
      </c>
    </row>
    <row r="395" spans="1:3" x14ac:dyDescent="0.2">
      <c r="A395" s="2">
        <v>44769</v>
      </c>
      <c r="B395" s="1" t="s">
        <v>12</v>
      </c>
      <c r="C395" s="1">
        <v>12032.42</v>
      </c>
    </row>
    <row r="396" spans="1:3" x14ac:dyDescent="0.2">
      <c r="A396" s="2">
        <v>44770</v>
      </c>
      <c r="B396" s="1" t="s">
        <v>12</v>
      </c>
      <c r="C396" s="1">
        <v>12162.59</v>
      </c>
    </row>
    <row r="397" spans="1:3" x14ac:dyDescent="0.2">
      <c r="A397" s="2">
        <v>44771</v>
      </c>
      <c r="B397" s="1" t="s">
        <v>12</v>
      </c>
      <c r="C397" s="1">
        <v>12390.69</v>
      </c>
    </row>
    <row r="398" spans="1:3" x14ac:dyDescent="0.2">
      <c r="A398" s="2">
        <v>44774</v>
      </c>
      <c r="B398" s="1" t="s">
        <v>12</v>
      </c>
      <c r="C398" s="1">
        <v>12368.98</v>
      </c>
    </row>
    <row r="399" spans="1:3" x14ac:dyDescent="0.2">
      <c r="A399" s="2">
        <v>44775</v>
      </c>
      <c r="B399" s="1" t="s">
        <v>12</v>
      </c>
      <c r="C399" s="1">
        <v>12348.76</v>
      </c>
    </row>
    <row r="400" spans="1:3" x14ac:dyDescent="0.2">
      <c r="A400" s="2">
        <v>44776</v>
      </c>
      <c r="B400" s="1" t="s">
        <v>12</v>
      </c>
      <c r="C400" s="1">
        <v>12668.16</v>
      </c>
    </row>
    <row r="401" spans="1:3" x14ac:dyDescent="0.2">
      <c r="A401" s="2">
        <v>44777</v>
      </c>
      <c r="B401" s="1" t="s">
        <v>12</v>
      </c>
      <c r="C401" s="1">
        <v>12720.58</v>
      </c>
    </row>
    <row r="402" spans="1:3" x14ac:dyDescent="0.2">
      <c r="A402" s="2">
        <v>44778</v>
      </c>
      <c r="B402" s="1" t="s">
        <v>12</v>
      </c>
      <c r="C402" s="1">
        <v>12657.55</v>
      </c>
    </row>
    <row r="403" spans="1:3" x14ac:dyDescent="0.2">
      <c r="A403" s="2">
        <v>44781</v>
      </c>
      <c r="B403" s="1" t="s">
        <v>12</v>
      </c>
      <c r="C403" s="1">
        <v>12644.46</v>
      </c>
    </row>
    <row r="404" spans="1:3" x14ac:dyDescent="0.2">
      <c r="A404" s="2">
        <v>44782</v>
      </c>
      <c r="B404" s="1" t="s">
        <v>12</v>
      </c>
      <c r="C404" s="1">
        <v>12493.93</v>
      </c>
    </row>
    <row r="405" spans="1:3" x14ac:dyDescent="0.2">
      <c r="A405" s="2">
        <v>44783</v>
      </c>
      <c r="B405" s="1" t="s">
        <v>12</v>
      </c>
      <c r="C405" s="1">
        <v>12854.8</v>
      </c>
    </row>
    <row r="406" spans="1:3" x14ac:dyDescent="0.2">
      <c r="A406" s="2">
        <v>44784</v>
      </c>
      <c r="B406" s="1" t="s">
        <v>12</v>
      </c>
      <c r="C406" s="1">
        <v>12779.91</v>
      </c>
    </row>
    <row r="407" spans="1:3" x14ac:dyDescent="0.2">
      <c r="A407" s="2">
        <v>44785</v>
      </c>
      <c r="B407" s="1" t="s">
        <v>12</v>
      </c>
      <c r="C407" s="1">
        <v>13047.19</v>
      </c>
    </row>
    <row r="408" spans="1:3" x14ac:dyDescent="0.2">
      <c r="A408" s="2">
        <v>44788</v>
      </c>
      <c r="B408" s="1" t="s">
        <v>12</v>
      </c>
      <c r="C408" s="1">
        <v>13128.05</v>
      </c>
    </row>
    <row r="409" spans="1:3" x14ac:dyDescent="0.2">
      <c r="A409" s="2">
        <v>44789</v>
      </c>
      <c r="B409" s="1" t="s">
        <v>12</v>
      </c>
      <c r="C409" s="1">
        <v>13102.55</v>
      </c>
    </row>
    <row r="410" spans="1:3" x14ac:dyDescent="0.2">
      <c r="A410" s="2">
        <v>44790</v>
      </c>
      <c r="B410" s="1" t="s">
        <v>12</v>
      </c>
      <c r="C410" s="1">
        <v>12938.12</v>
      </c>
    </row>
    <row r="411" spans="1:3" x14ac:dyDescent="0.2">
      <c r="A411" s="2">
        <v>44791</v>
      </c>
      <c r="B411" s="1" t="s">
        <v>12</v>
      </c>
      <c r="C411" s="1">
        <v>12965.34</v>
      </c>
    </row>
    <row r="412" spans="1:3" x14ac:dyDescent="0.2">
      <c r="A412" s="2">
        <v>44792</v>
      </c>
      <c r="B412" s="1" t="s">
        <v>12</v>
      </c>
      <c r="C412" s="1">
        <v>12705.21</v>
      </c>
    </row>
    <row r="413" spans="1:3" x14ac:dyDescent="0.2">
      <c r="A413" s="2">
        <v>44795</v>
      </c>
      <c r="B413" s="1" t="s">
        <v>12</v>
      </c>
      <c r="C413" s="1">
        <v>12381.57</v>
      </c>
    </row>
    <row r="414" spans="1:3" x14ac:dyDescent="0.2">
      <c r="A414" s="2">
        <v>44796</v>
      </c>
      <c r="B414" s="1" t="s">
        <v>12</v>
      </c>
      <c r="C414" s="1">
        <v>12381.3</v>
      </c>
    </row>
    <row r="415" spans="1:3" x14ac:dyDescent="0.2">
      <c r="A415" s="2">
        <v>44797</v>
      </c>
      <c r="B415" s="1" t="s">
        <v>12</v>
      </c>
      <c r="C415" s="1">
        <v>12431.53</v>
      </c>
    </row>
    <row r="416" spans="1:3" x14ac:dyDescent="0.2">
      <c r="A416" s="2">
        <v>44798</v>
      </c>
      <c r="B416" s="1" t="s">
        <v>12</v>
      </c>
      <c r="C416" s="1">
        <v>12639.27</v>
      </c>
    </row>
    <row r="417" spans="1:3" x14ac:dyDescent="0.2">
      <c r="A417" s="2">
        <v>44799</v>
      </c>
      <c r="B417" s="1" t="s">
        <v>12</v>
      </c>
      <c r="C417" s="1">
        <v>12141.71</v>
      </c>
    </row>
    <row r="418" spans="1:3" x14ac:dyDescent="0.2">
      <c r="A418" s="2">
        <v>44802</v>
      </c>
      <c r="B418" s="1" t="s">
        <v>12</v>
      </c>
      <c r="C418" s="1">
        <v>12017.67</v>
      </c>
    </row>
    <row r="419" spans="1:3" x14ac:dyDescent="0.2">
      <c r="A419" s="2">
        <v>44803</v>
      </c>
      <c r="B419" s="1" t="s">
        <v>12</v>
      </c>
      <c r="C419" s="1">
        <v>11883.14</v>
      </c>
    </row>
    <row r="420" spans="1:3" x14ac:dyDescent="0.2">
      <c r="A420" s="2">
        <v>44804</v>
      </c>
      <c r="B420" s="1" t="s">
        <v>12</v>
      </c>
      <c r="C420" s="1">
        <v>11816.2</v>
      </c>
    </row>
    <row r="421" spans="1:3" x14ac:dyDescent="0.2">
      <c r="A421" s="2">
        <v>44805</v>
      </c>
      <c r="B421" s="1" t="s">
        <v>12</v>
      </c>
      <c r="C421" s="1">
        <v>11785.13</v>
      </c>
    </row>
    <row r="422" spans="1:3" x14ac:dyDescent="0.2">
      <c r="A422" s="2">
        <v>44806</v>
      </c>
      <c r="B422" s="1" t="s">
        <v>12</v>
      </c>
      <c r="C422" s="1">
        <v>11630.86</v>
      </c>
    </row>
    <row r="423" spans="1:3" x14ac:dyDescent="0.2">
      <c r="A423" s="2">
        <v>44810</v>
      </c>
      <c r="B423" s="1" t="s">
        <v>12</v>
      </c>
      <c r="C423" s="1">
        <v>11544.91</v>
      </c>
    </row>
    <row r="424" spans="1:3" x14ac:dyDescent="0.2">
      <c r="A424" s="2">
        <v>44811</v>
      </c>
      <c r="B424" s="1" t="s">
        <v>12</v>
      </c>
      <c r="C424" s="1">
        <v>11791.9</v>
      </c>
    </row>
    <row r="425" spans="1:3" x14ac:dyDescent="0.2">
      <c r="A425" s="2">
        <v>44812</v>
      </c>
      <c r="B425" s="1" t="s">
        <v>12</v>
      </c>
      <c r="C425" s="1">
        <v>11862.13</v>
      </c>
    </row>
    <row r="426" spans="1:3" x14ac:dyDescent="0.2">
      <c r="A426" s="2">
        <v>44813</v>
      </c>
      <c r="B426" s="1" t="s">
        <v>12</v>
      </c>
      <c r="C426" s="1">
        <v>12112.31</v>
      </c>
    </row>
    <row r="427" spans="1:3" x14ac:dyDescent="0.2">
      <c r="A427" s="2">
        <v>44816</v>
      </c>
      <c r="B427" s="1" t="s">
        <v>12</v>
      </c>
      <c r="C427" s="1">
        <v>12266.41</v>
      </c>
    </row>
    <row r="428" spans="1:3" x14ac:dyDescent="0.2">
      <c r="A428" s="2">
        <v>44817</v>
      </c>
      <c r="B428" s="1" t="s">
        <v>12</v>
      </c>
      <c r="C428" s="1">
        <v>11633.57</v>
      </c>
    </row>
    <row r="429" spans="1:3" x14ac:dyDescent="0.2">
      <c r="A429" s="2">
        <v>44818</v>
      </c>
      <c r="B429" s="1" t="s">
        <v>12</v>
      </c>
      <c r="C429" s="1">
        <v>11719.68</v>
      </c>
    </row>
    <row r="430" spans="1:3" x14ac:dyDescent="0.2">
      <c r="A430" s="2">
        <v>44819</v>
      </c>
      <c r="B430" s="1" t="s">
        <v>12</v>
      </c>
      <c r="C430" s="1">
        <v>11552.36</v>
      </c>
    </row>
    <row r="431" spans="1:3" x14ac:dyDescent="0.2">
      <c r="A431" s="2">
        <v>44820</v>
      </c>
      <c r="B431" s="1" t="s">
        <v>12</v>
      </c>
      <c r="C431" s="1">
        <v>11448.4</v>
      </c>
    </row>
    <row r="432" spans="1:3" x14ac:dyDescent="0.2">
      <c r="A432" s="2">
        <v>44823</v>
      </c>
      <c r="B432" s="1" t="s">
        <v>12</v>
      </c>
      <c r="C432" s="1">
        <v>11535.02</v>
      </c>
    </row>
    <row r="433" spans="1:3" x14ac:dyDescent="0.2">
      <c r="A433" s="2">
        <v>44824</v>
      </c>
      <c r="B433" s="1" t="s">
        <v>12</v>
      </c>
      <c r="C433" s="1">
        <v>11425.05</v>
      </c>
    </row>
    <row r="434" spans="1:3" x14ac:dyDescent="0.2">
      <c r="A434" s="2">
        <v>44825</v>
      </c>
      <c r="B434" s="1" t="s">
        <v>12</v>
      </c>
      <c r="C434" s="1">
        <v>11220.19</v>
      </c>
    </row>
    <row r="435" spans="1:3" x14ac:dyDescent="0.2">
      <c r="A435" s="2">
        <v>44826</v>
      </c>
      <c r="B435" s="1" t="s">
        <v>12</v>
      </c>
      <c r="C435" s="1">
        <v>11066.8</v>
      </c>
    </row>
    <row r="436" spans="1:3" x14ac:dyDescent="0.2">
      <c r="A436" s="2">
        <v>44827</v>
      </c>
      <c r="B436" s="1" t="s">
        <v>12</v>
      </c>
      <c r="C436" s="1">
        <v>10867.93</v>
      </c>
    </row>
    <row r="437" spans="1:3" x14ac:dyDescent="0.2">
      <c r="A437" s="2">
        <v>44830</v>
      </c>
      <c r="B437" s="1" t="s">
        <v>12</v>
      </c>
      <c r="C437" s="1">
        <v>10802.92</v>
      </c>
    </row>
    <row r="438" spans="1:3" x14ac:dyDescent="0.2">
      <c r="A438" s="2">
        <v>44831</v>
      </c>
      <c r="B438" s="1" t="s">
        <v>12</v>
      </c>
      <c r="C438" s="1">
        <v>10829.5</v>
      </c>
    </row>
    <row r="439" spans="1:3" x14ac:dyDescent="0.2">
      <c r="A439" s="2">
        <v>44832</v>
      </c>
      <c r="B439" s="1" t="s">
        <v>12</v>
      </c>
      <c r="C439" s="1">
        <v>11051.64</v>
      </c>
    </row>
    <row r="440" spans="1:3" x14ac:dyDescent="0.2">
      <c r="A440" s="2">
        <v>44833</v>
      </c>
      <c r="B440" s="1" t="s">
        <v>12</v>
      </c>
      <c r="C440" s="1">
        <v>10737.51</v>
      </c>
    </row>
    <row r="441" spans="1:3" x14ac:dyDescent="0.2">
      <c r="A441" s="2">
        <v>44834</v>
      </c>
      <c r="B441" s="1" t="s">
        <v>12</v>
      </c>
      <c r="C441" s="1">
        <v>10575.62</v>
      </c>
    </row>
    <row r="442" spans="1:3" x14ac:dyDescent="0.2">
      <c r="A442" s="2">
        <v>44837</v>
      </c>
      <c r="B442" s="1" t="s">
        <v>12</v>
      </c>
      <c r="C442" s="1">
        <v>10815.43</v>
      </c>
    </row>
    <row r="443" spans="1:3" x14ac:dyDescent="0.2">
      <c r="A443" s="2">
        <v>44838</v>
      </c>
      <c r="B443" s="1" t="s">
        <v>12</v>
      </c>
      <c r="C443" s="1">
        <v>11176.41</v>
      </c>
    </row>
    <row r="444" spans="1:3" x14ac:dyDescent="0.2">
      <c r="A444" s="2">
        <v>44839</v>
      </c>
      <c r="B444" s="1" t="s">
        <v>12</v>
      </c>
      <c r="C444" s="1">
        <v>11148.64</v>
      </c>
    </row>
    <row r="445" spans="1:3" x14ac:dyDescent="0.2">
      <c r="A445" s="2">
        <v>44840</v>
      </c>
      <c r="B445" s="1" t="s">
        <v>12</v>
      </c>
      <c r="C445" s="1">
        <v>11073.31</v>
      </c>
    </row>
    <row r="446" spans="1:3" x14ac:dyDescent="0.2">
      <c r="A446" s="2">
        <v>44841</v>
      </c>
      <c r="B446" s="1" t="s">
        <v>12</v>
      </c>
      <c r="C446" s="1">
        <v>10652.4</v>
      </c>
    </row>
    <row r="447" spans="1:3" x14ac:dyDescent="0.2">
      <c r="A447" s="2">
        <v>44844</v>
      </c>
      <c r="B447" s="1" t="s">
        <v>12</v>
      </c>
      <c r="C447" s="1">
        <v>10542.1</v>
      </c>
    </row>
    <row r="448" spans="1:3" x14ac:dyDescent="0.2">
      <c r="A448" s="2">
        <v>44845</v>
      </c>
      <c r="B448" s="1" t="s">
        <v>12</v>
      </c>
      <c r="C448" s="1">
        <v>10426.19</v>
      </c>
    </row>
    <row r="449" spans="1:3" x14ac:dyDescent="0.2">
      <c r="A449" s="2">
        <v>44846</v>
      </c>
      <c r="B449" s="1" t="s">
        <v>12</v>
      </c>
      <c r="C449" s="1">
        <v>10417.1</v>
      </c>
    </row>
    <row r="450" spans="1:3" x14ac:dyDescent="0.2">
      <c r="A450" s="2">
        <v>44847</v>
      </c>
      <c r="B450" s="1" t="s">
        <v>12</v>
      </c>
      <c r="C450" s="1">
        <v>10649.15</v>
      </c>
    </row>
    <row r="451" spans="1:3" x14ac:dyDescent="0.2">
      <c r="A451" s="2">
        <v>44848</v>
      </c>
      <c r="B451" s="1" t="s">
        <v>12</v>
      </c>
      <c r="C451" s="1">
        <v>10321.39</v>
      </c>
    </row>
    <row r="452" spans="1:3" x14ac:dyDescent="0.2">
      <c r="A452" s="2">
        <v>44851</v>
      </c>
      <c r="B452" s="1" t="s">
        <v>12</v>
      </c>
      <c r="C452" s="1">
        <v>10675.8</v>
      </c>
    </row>
    <row r="453" spans="1:3" x14ac:dyDescent="0.2">
      <c r="A453" s="2">
        <v>44852</v>
      </c>
      <c r="B453" s="1" t="s">
        <v>12</v>
      </c>
      <c r="C453" s="1">
        <v>10772.4</v>
      </c>
    </row>
    <row r="454" spans="1:3" x14ac:dyDescent="0.2">
      <c r="A454" s="2">
        <v>44853</v>
      </c>
      <c r="B454" s="1" t="s">
        <v>12</v>
      </c>
      <c r="C454" s="1">
        <v>10680.51</v>
      </c>
    </row>
    <row r="455" spans="1:3" x14ac:dyDescent="0.2">
      <c r="A455" s="2">
        <v>44854</v>
      </c>
      <c r="B455" s="1" t="s">
        <v>12</v>
      </c>
      <c r="C455" s="1">
        <v>10614.84</v>
      </c>
    </row>
    <row r="456" spans="1:3" x14ac:dyDescent="0.2">
      <c r="A456" s="2">
        <v>44855</v>
      </c>
      <c r="B456" s="1" t="s">
        <v>12</v>
      </c>
      <c r="C456" s="1">
        <v>10859.72</v>
      </c>
    </row>
    <row r="457" spans="1:3" x14ac:dyDescent="0.2">
      <c r="A457" s="2">
        <v>44858</v>
      </c>
      <c r="B457" s="1" t="s">
        <v>12</v>
      </c>
      <c r="C457" s="1">
        <v>10952.61</v>
      </c>
    </row>
    <row r="458" spans="1:3" x14ac:dyDescent="0.2">
      <c r="A458" s="2">
        <v>44859</v>
      </c>
      <c r="B458" s="1" t="s">
        <v>12</v>
      </c>
      <c r="C458" s="1">
        <v>11199.12</v>
      </c>
    </row>
    <row r="459" spans="1:3" x14ac:dyDescent="0.2">
      <c r="A459" s="2">
        <v>44860</v>
      </c>
      <c r="B459" s="1" t="s">
        <v>12</v>
      </c>
      <c r="C459" s="1">
        <v>10970.99</v>
      </c>
    </row>
    <row r="460" spans="1:3" x14ac:dyDescent="0.2">
      <c r="A460" s="2">
        <v>44861</v>
      </c>
      <c r="B460" s="1" t="s">
        <v>12</v>
      </c>
      <c r="C460" s="1">
        <v>10792.67</v>
      </c>
    </row>
    <row r="461" spans="1:3" x14ac:dyDescent="0.2">
      <c r="A461" s="2">
        <v>44862</v>
      </c>
      <c r="B461" s="1" t="s">
        <v>12</v>
      </c>
      <c r="C461" s="1">
        <v>11102.45</v>
      </c>
    </row>
    <row r="462" spans="1:3" x14ac:dyDescent="0.2">
      <c r="A462" s="2">
        <v>44865</v>
      </c>
      <c r="B462" s="1" t="s">
        <v>12</v>
      </c>
      <c r="C462" s="1">
        <v>10988.15</v>
      </c>
    </row>
    <row r="463" spans="1:3" x14ac:dyDescent="0.2">
      <c r="A463" s="2">
        <v>44866</v>
      </c>
      <c r="B463" s="1" t="s">
        <v>12</v>
      </c>
      <c r="C463" s="1">
        <v>10890.85</v>
      </c>
    </row>
    <row r="464" spans="1:3" x14ac:dyDescent="0.2">
      <c r="A464" s="2">
        <v>44867</v>
      </c>
      <c r="B464" s="1" t="s">
        <v>12</v>
      </c>
      <c r="C464" s="1">
        <v>10524.8</v>
      </c>
    </row>
    <row r="465" spans="1:3" x14ac:dyDescent="0.2">
      <c r="A465" s="2">
        <v>44868</v>
      </c>
      <c r="B465" s="1" t="s">
        <v>12</v>
      </c>
      <c r="C465" s="1">
        <v>10342.94</v>
      </c>
    </row>
    <row r="466" spans="1:3" x14ac:dyDescent="0.2">
      <c r="A466" s="2">
        <v>44869</v>
      </c>
      <c r="B466" s="1" t="s">
        <v>12</v>
      </c>
      <c r="C466" s="1">
        <v>10475.25</v>
      </c>
    </row>
    <row r="467" spans="1:3" x14ac:dyDescent="0.2">
      <c r="A467" s="2">
        <v>44872</v>
      </c>
      <c r="B467" s="1" t="s">
        <v>12</v>
      </c>
      <c r="C467" s="1">
        <v>10564.52</v>
      </c>
    </row>
    <row r="468" spans="1:3" x14ac:dyDescent="0.2">
      <c r="A468" s="2">
        <v>44873</v>
      </c>
      <c r="B468" s="1" t="s">
        <v>12</v>
      </c>
      <c r="C468" s="1">
        <v>10616.2</v>
      </c>
    </row>
    <row r="469" spans="1:3" x14ac:dyDescent="0.2">
      <c r="A469" s="2">
        <v>44874</v>
      </c>
      <c r="B469" s="1" t="s">
        <v>12</v>
      </c>
      <c r="C469" s="1">
        <v>10353.17</v>
      </c>
    </row>
    <row r="470" spans="1:3" x14ac:dyDescent="0.2">
      <c r="A470" s="2">
        <v>44875</v>
      </c>
      <c r="B470" s="1" t="s">
        <v>12</v>
      </c>
      <c r="C470" s="1">
        <v>11114.15</v>
      </c>
    </row>
    <row r="471" spans="1:3" x14ac:dyDescent="0.2">
      <c r="A471" s="2">
        <v>44876</v>
      </c>
      <c r="B471" s="1" t="s">
        <v>12</v>
      </c>
      <c r="C471" s="1">
        <v>11323.33</v>
      </c>
    </row>
    <row r="472" spans="1:3" x14ac:dyDescent="0.2">
      <c r="A472" s="2">
        <v>44879</v>
      </c>
      <c r="B472" s="1" t="s">
        <v>12</v>
      </c>
      <c r="C472" s="1">
        <v>11196.22</v>
      </c>
    </row>
    <row r="473" spans="1:3" x14ac:dyDescent="0.2">
      <c r="A473" s="2">
        <v>44880</v>
      </c>
      <c r="B473" s="1" t="s">
        <v>12</v>
      </c>
      <c r="C473" s="1">
        <v>11358.41</v>
      </c>
    </row>
    <row r="474" spans="1:3" x14ac:dyDescent="0.2">
      <c r="A474" s="2">
        <v>44881</v>
      </c>
      <c r="B474" s="1" t="s">
        <v>12</v>
      </c>
      <c r="C474" s="1">
        <v>11183.66</v>
      </c>
    </row>
    <row r="475" spans="1:3" x14ac:dyDescent="0.2">
      <c r="A475" s="2">
        <v>44882</v>
      </c>
      <c r="B475" s="1" t="s">
        <v>12</v>
      </c>
      <c r="C475" s="1">
        <v>11144.96</v>
      </c>
    </row>
    <row r="476" spans="1:3" x14ac:dyDescent="0.2">
      <c r="A476" s="2">
        <v>44883</v>
      </c>
      <c r="B476" s="1" t="s">
        <v>12</v>
      </c>
      <c r="C476" s="1">
        <v>11146.06</v>
      </c>
    </row>
    <row r="477" spans="1:3" x14ac:dyDescent="0.2">
      <c r="A477" s="2">
        <v>44886</v>
      </c>
      <c r="B477" s="1" t="s">
        <v>12</v>
      </c>
      <c r="C477" s="1">
        <v>11024.51</v>
      </c>
    </row>
    <row r="478" spans="1:3" x14ac:dyDescent="0.2">
      <c r="A478" s="2">
        <v>44887</v>
      </c>
      <c r="B478" s="1" t="s">
        <v>12</v>
      </c>
      <c r="C478" s="1">
        <v>11174.41</v>
      </c>
    </row>
    <row r="479" spans="1:3" x14ac:dyDescent="0.2">
      <c r="A479" s="2">
        <v>44888</v>
      </c>
      <c r="B479" s="1" t="s">
        <v>12</v>
      </c>
      <c r="C479" s="1">
        <v>11285.32</v>
      </c>
    </row>
    <row r="480" spans="1:3" x14ac:dyDescent="0.2">
      <c r="A480" s="2">
        <v>44890</v>
      </c>
      <c r="B480" s="1" t="s">
        <v>12</v>
      </c>
      <c r="C480" s="1">
        <v>11226.36</v>
      </c>
    </row>
    <row r="481" spans="1:3" x14ac:dyDescent="0.2">
      <c r="A481" s="2">
        <v>44893</v>
      </c>
      <c r="B481" s="1" t="s">
        <v>12</v>
      </c>
      <c r="C481" s="1">
        <v>11049.5</v>
      </c>
    </row>
    <row r="482" spans="1:3" x14ac:dyDescent="0.2">
      <c r="A482" s="2">
        <v>44894</v>
      </c>
      <c r="B482" s="1" t="s">
        <v>12</v>
      </c>
      <c r="C482" s="1">
        <v>10983.78</v>
      </c>
    </row>
    <row r="483" spans="1:3" x14ac:dyDescent="0.2">
      <c r="A483" s="2">
        <v>44895</v>
      </c>
      <c r="B483" s="1" t="s">
        <v>12</v>
      </c>
      <c r="C483" s="1">
        <v>11468</v>
      </c>
    </row>
    <row r="484" spans="1:3" x14ac:dyDescent="0.2">
      <c r="A484" s="2">
        <v>44896</v>
      </c>
      <c r="B484" s="1" t="s">
        <v>12</v>
      </c>
      <c r="C484" s="1">
        <v>11482.45</v>
      </c>
    </row>
    <row r="485" spans="1:3" x14ac:dyDescent="0.2">
      <c r="A485" s="2">
        <v>44897</v>
      </c>
      <c r="B485" s="1" t="s">
        <v>12</v>
      </c>
      <c r="C485" s="1">
        <v>11461.5</v>
      </c>
    </row>
    <row r="486" spans="1:3" x14ac:dyDescent="0.2">
      <c r="A486" s="2">
        <v>44900</v>
      </c>
      <c r="B486" s="1" t="s">
        <v>12</v>
      </c>
      <c r="C486" s="1">
        <v>11239.94</v>
      </c>
    </row>
    <row r="487" spans="1:3" x14ac:dyDescent="0.2">
      <c r="A487" s="2">
        <v>44901</v>
      </c>
      <c r="B487" s="1" t="s">
        <v>12</v>
      </c>
      <c r="C487" s="1">
        <v>11014.89</v>
      </c>
    </row>
    <row r="488" spans="1:3" x14ac:dyDescent="0.2">
      <c r="A488" s="2">
        <v>44902</v>
      </c>
      <c r="B488" s="1" t="s">
        <v>12</v>
      </c>
      <c r="C488" s="1">
        <v>10958.55</v>
      </c>
    </row>
    <row r="489" spans="1:3" x14ac:dyDescent="0.2">
      <c r="A489" s="2">
        <v>44903</v>
      </c>
      <c r="B489" s="1" t="s">
        <v>12</v>
      </c>
      <c r="C489" s="1">
        <v>11082</v>
      </c>
    </row>
    <row r="490" spans="1:3" x14ac:dyDescent="0.2">
      <c r="A490" s="2">
        <v>44904</v>
      </c>
      <c r="B490" s="1" t="s">
        <v>12</v>
      </c>
      <c r="C490" s="1">
        <v>11004.62</v>
      </c>
    </row>
    <row r="491" spans="1:3" x14ac:dyDescent="0.2">
      <c r="A491" s="2">
        <v>44907</v>
      </c>
      <c r="B491" s="1" t="s">
        <v>12</v>
      </c>
      <c r="C491" s="1">
        <v>11143.74</v>
      </c>
    </row>
    <row r="492" spans="1:3" x14ac:dyDescent="0.2">
      <c r="A492" s="2">
        <v>44908</v>
      </c>
      <c r="B492" s="1" t="s">
        <v>12</v>
      </c>
      <c r="C492" s="1">
        <v>11256.81</v>
      </c>
    </row>
    <row r="493" spans="1:3" x14ac:dyDescent="0.2">
      <c r="A493" s="2">
        <v>44909</v>
      </c>
      <c r="B493" s="1" t="s">
        <v>12</v>
      </c>
      <c r="C493" s="1">
        <v>11170.89</v>
      </c>
    </row>
    <row r="494" spans="1:3" x14ac:dyDescent="0.2">
      <c r="A494" s="2">
        <v>44910</v>
      </c>
      <c r="B494" s="1" t="s">
        <v>12</v>
      </c>
      <c r="C494" s="1">
        <v>10810.53</v>
      </c>
    </row>
    <row r="495" spans="1:3" x14ac:dyDescent="0.2">
      <c r="A495" s="2">
        <v>44911</v>
      </c>
      <c r="B495" s="1" t="s">
        <v>12</v>
      </c>
      <c r="C495" s="1">
        <v>10705.41</v>
      </c>
    </row>
    <row r="496" spans="1:3" x14ac:dyDescent="0.2">
      <c r="A496" s="2">
        <v>44914</v>
      </c>
      <c r="B496" s="1" t="s">
        <v>12</v>
      </c>
      <c r="C496" s="1">
        <v>10546.03</v>
      </c>
    </row>
    <row r="497" spans="1:3" x14ac:dyDescent="0.2">
      <c r="A497" s="2">
        <v>44915</v>
      </c>
      <c r="B497" s="1" t="s">
        <v>12</v>
      </c>
      <c r="C497" s="1">
        <v>10547.11</v>
      </c>
    </row>
    <row r="498" spans="1:3" x14ac:dyDescent="0.2">
      <c r="A498" s="2">
        <v>44916</v>
      </c>
      <c r="B498" s="1" t="s">
        <v>12</v>
      </c>
      <c r="C498" s="1">
        <v>10709.37</v>
      </c>
    </row>
    <row r="499" spans="1:3" x14ac:dyDescent="0.2">
      <c r="A499" s="2">
        <v>44917</v>
      </c>
      <c r="B499" s="1" t="s">
        <v>12</v>
      </c>
      <c r="C499" s="1">
        <v>10476.120000000001</v>
      </c>
    </row>
    <row r="500" spans="1:3" x14ac:dyDescent="0.2">
      <c r="A500" s="2">
        <v>44918</v>
      </c>
      <c r="B500" s="1" t="s">
        <v>12</v>
      </c>
      <c r="C500" s="1">
        <v>10497.86</v>
      </c>
    </row>
    <row r="501" spans="1:3" x14ac:dyDescent="0.2">
      <c r="A501" s="2">
        <v>44922</v>
      </c>
      <c r="B501" s="1" t="s">
        <v>12</v>
      </c>
      <c r="C501" s="1">
        <v>10353.23</v>
      </c>
    </row>
    <row r="502" spans="1:3" x14ac:dyDescent="0.2">
      <c r="A502" s="2">
        <v>44923</v>
      </c>
      <c r="B502" s="1" t="s">
        <v>12</v>
      </c>
      <c r="C502" s="1">
        <v>10213.290000000001</v>
      </c>
    </row>
    <row r="503" spans="1:3" x14ac:dyDescent="0.2">
      <c r="A503" s="2">
        <v>44924</v>
      </c>
      <c r="B503" s="1" t="s">
        <v>12</v>
      </c>
      <c r="C503" s="1">
        <v>10478.09</v>
      </c>
    </row>
    <row r="504" spans="1:3" x14ac:dyDescent="0.2">
      <c r="A504" s="2">
        <v>44925</v>
      </c>
      <c r="B504" s="1" t="s">
        <v>12</v>
      </c>
      <c r="C504" s="1">
        <v>10466.48</v>
      </c>
    </row>
    <row r="505" spans="1:3" x14ac:dyDescent="0.2">
      <c r="A505" s="2">
        <v>44929</v>
      </c>
      <c r="B505" s="1" t="s">
        <v>12</v>
      </c>
      <c r="C505" s="1">
        <v>10386.98</v>
      </c>
    </row>
    <row r="506" spans="1:3" x14ac:dyDescent="0.2">
      <c r="A506" s="2">
        <v>44930</v>
      </c>
      <c r="B506" s="1" t="s">
        <v>12</v>
      </c>
      <c r="C506" s="1">
        <v>10458.76</v>
      </c>
    </row>
    <row r="507" spans="1:3" x14ac:dyDescent="0.2">
      <c r="A507" s="2">
        <v>44931</v>
      </c>
      <c r="B507" s="1" t="s">
        <v>12</v>
      </c>
      <c r="C507" s="1">
        <v>10305.24</v>
      </c>
    </row>
    <row r="508" spans="1:3" x14ac:dyDescent="0.2">
      <c r="A508" s="2">
        <v>44932</v>
      </c>
      <c r="B508" s="1" t="s">
        <v>12</v>
      </c>
      <c r="C508" s="1">
        <v>10569.29</v>
      </c>
    </row>
    <row r="509" spans="1:3" x14ac:dyDescent="0.2">
      <c r="A509" s="2">
        <v>44935</v>
      </c>
      <c r="B509" s="1" t="s">
        <v>12</v>
      </c>
      <c r="C509" s="1">
        <v>10635.65</v>
      </c>
    </row>
    <row r="510" spans="1:3" x14ac:dyDescent="0.2">
      <c r="A510" s="2">
        <v>44936</v>
      </c>
      <c r="B510" s="1" t="s">
        <v>12</v>
      </c>
      <c r="C510" s="1">
        <v>10742.63</v>
      </c>
    </row>
    <row r="511" spans="1:3" x14ac:dyDescent="0.2">
      <c r="A511" s="2">
        <v>44937</v>
      </c>
      <c r="B511" s="1" t="s">
        <v>12</v>
      </c>
      <c r="C511" s="1">
        <v>10931.67</v>
      </c>
    </row>
    <row r="512" spans="1:3" x14ac:dyDescent="0.2">
      <c r="A512" s="2">
        <v>44938</v>
      </c>
      <c r="B512" s="1" t="s">
        <v>12</v>
      </c>
      <c r="C512" s="1">
        <v>11001.1</v>
      </c>
    </row>
    <row r="513" spans="1:3" x14ac:dyDescent="0.2">
      <c r="A513" s="2">
        <v>44939</v>
      </c>
      <c r="B513" s="1" t="s">
        <v>12</v>
      </c>
      <c r="C513" s="1">
        <v>11079.16</v>
      </c>
    </row>
    <row r="514" spans="1:3" x14ac:dyDescent="0.2">
      <c r="A514" s="2">
        <v>44943</v>
      </c>
      <c r="B514" s="1" t="s">
        <v>12</v>
      </c>
      <c r="C514" s="1">
        <v>11095.11</v>
      </c>
    </row>
    <row r="515" spans="1:3" x14ac:dyDescent="0.2">
      <c r="A515" s="2">
        <v>44944</v>
      </c>
      <c r="B515" s="1" t="s">
        <v>12</v>
      </c>
      <c r="C515" s="1">
        <v>10957.01</v>
      </c>
    </row>
    <row r="516" spans="1:3" x14ac:dyDescent="0.2">
      <c r="A516" s="2">
        <v>44945</v>
      </c>
      <c r="B516" s="1" t="s">
        <v>12</v>
      </c>
      <c r="C516" s="1">
        <v>10852.27</v>
      </c>
    </row>
    <row r="517" spans="1:3" x14ac:dyDescent="0.2">
      <c r="A517" s="2">
        <v>44946</v>
      </c>
      <c r="B517" s="1" t="s">
        <v>12</v>
      </c>
      <c r="C517" s="1">
        <v>11140.43</v>
      </c>
    </row>
    <row r="518" spans="1:3" x14ac:dyDescent="0.2">
      <c r="A518" s="2">
        <v>44949</v>
      </c>
      <c r="B518" s="1" t="s">
        <v>12</v>
      </c>
      <c r="C518" s="1">
        <v>11364.41</v>
      </c>
    </row>
    <row r="519" spans="1:3" x14ac:dyDescent="0.2">
      <c r="A519" s="2">
        <v>44950</v>
      </c>
      <c r="B519" s="1" t="s">
        <v>12</v>
      </c>
      <c r="C519" s="1">
        <v>11334.27</v>
      </c>
    </row>
    <row r="520" spans="1:3" x14ac:dyDescent="0.2">
      <c r="A520" s="2">
        <v>44951</v>
      </c>
      <c r="B520" s="1" t="s">
        <v>12</v>
      </c>
      <c r="C520" s="1">
        <v>11313.36</v>
      </c>
    </row>
    <row r="521" spans="1:3" x14ac:dyDescent="0.2">
      <c r="A521" s="2">
        <v>44952</v>
      </c>
      <c r="B521" s="1" t="s">
        <v>12</v>
      </c>
      <c r="C521" s="1">
        <v>11512.41</v>
      </c>
    </row>
    <row r="522" spans="1:3" x14ac:dyDescent="0.2">
      <c r="A522" s="2">
        <v>44953</v>
      </c>
      <c r="B522" s="1" t="s">
        <v>12</v>
      </c>
      <c r="C522" s="1">
        <v>11621.71</v>
      </c>
    </row>
    <row r="523" spans="1:3" x14ac:dyDescent="0.2">
      <c r="A523" s="2">
        <v>44956</v>
      </c>
      <c r="B523" s="1" t="s">
        <v>12</v>
      </c>
      <c r="C523" s="1">
        <v>11393.81</v>
      </c>
    </row>
    <row r="524" spans="1:3" x14ac:dyDescent="0.2">
      <c r="A524" s="2">
        <v>44957</v>
      </c>
      <c r="B524" s="1" t="s">
        <v>12</v>
      </c>
      <c r="C524" s="1">
        <v>11584.55</v>
      </c>
    </row>
    <row r="525" spans="1:3" x14ac:dyDescent="0.2">
      <c r="A525" s="2">
        <v>44958</v>
      </c>
      <c r="B525" s="1" t="s">
        <v>12</v>
      </c>
      <c r="C525" s="1">
        <v>11816.32</v>
      </c>
    </row>
    <row r="526" spans="1:3" x14ac:dyDescent="0.2">
      <c r="A526" s="2">
        <v>44959</v>
      </c>
      <c r="B526" s="1" t="s">
        <v>12</v>
      </c>
      <c r="C526" s="1">
        <v>12200.82</v>
      </c>
    </row>
    <row r="527" spans="1:3" x14ac:dyDescent="0.2">
      <c r="A527" s="2">
        <v>44960</v>
      </c>
      <c r="B527" s="1" t="s">
        <v>12</v>
      </c>
      <c r="C527" s="1">
        <v>12006.96</v>
      </c>
    </row>
    <row r="528" spans="1:3" x14ac:dyDescent="0.2">
      <c r="A528" s="2">
        <v>44963</v>
      </c>
      <c r="B528" s="1" t="s">
        <v>12</v>
      </c>
      <c r="C528" s="1">
        <v>11887.45</v>
      </c>
    </row>
    <row r="529" spans="1:3" x14ac:dyDescent="0.2">
      <c r="A529" s="2">
        <v>44964</v>
      </c>
      <c r="B529" s="1" t="s">
        <v>12</v>
      </c>
      <c r="C529" s="1">
        <v>12113.79</v>
      </c>
    </row>
    <row r="530" spans="1:3" x14ac:dyDescent="0.2">
      <c r="A530" s="2">
        <v>44965</v>
      </c>
      <c r="B530" s="1" t="s">
        <v>12</v>
      </c>
      <c r="C530" s="1">
        <v>11910.52</v>
      </c>
    </row>
    <row r="531" spans="1:3" x14ac:dyDescent="0.2">
      <c r="A531" s="2">
        <v>44966</v>
      </c>
      <c r="B531" s="1" t="s">
        <v>12</v>
      </c>
      <c r="C531" s="1">
        <v>11789.58</v>
      </c>
    </row>
    <row r="532" spans="1:3" x14ac:dyDescent="0.2">
      <c r="A532" s="2">
        <v>44967</v>
      </c>
      <c r="B532" s="1" t="s">
        <v>12</v>
      </c>
      <c r="C532" s="1">
        <v>11718.12</v>
      </c>
    </row>
    <row r="533" spans="1:3" x14ac:dyDescent="0.2">
      <c r="A533" s="2">
        <v>44970</v>
      </c>
      <c r="B533" s="1" t="s">
        <v>12</v>
      </c>
      <c r="C533" s="1">
        <v>11891.79</v>
      </c>
    </row>
    <row r="534" spans="1:3" x14ac:dyDescent="0.2">
      <c r="A534" s="2">
        <v>44971</v>
      </c>
      <c r="B534" s="1" t="s">
        <v>12</v>
      </c>
      <c r="C534" s="1">
        <v>11960.15</v>
      </c>
    </row>
    <row r="535" spans="1:3" x14ac:dyDescent="0.2">
      <c r="A535" s="2">
        <v>44972</v>
      </c>
      <c r="B535" s="1" t="s">
        <v>12</v>
      </c>
      <c r="C535" s="1">
        <v>12070.59</v>
      </c>
    </row>
    <row r="536" spans="1:3" x14ac:dyDescent="0.2">
      <c r="A536" s="2">
        <v>44973</v>
      </c>
      <c r="B536" s="1" t="s">
        <v>12</v>
      </c>
      <c r="C536" s="1">
        <v>11855.83</v>
      </c>
    </row>
    <row r="537" spans="1:3" x14ac:dyDescent="0.2">
      <c r="A537" s="2">
        <v>44974</v>
      </c>
      <c r="B537" s="1" t="s">
        <v>12</v>
      </c>
      <c r="C537" s="1">
        <v>11787.27</v>
      </c>
    </row>
    <row r="538" spans="1:3" x14ac:dyDescent="0.2">
      <c r="A538" s="2">
        <v>44978</v>
      </c>
      <c r="B538" s="1" t="s">
        <v>12</v>
      </c>
      <c r="C538" s="1">
        <v>11492.3</v>
      </c>
    </row>
    <row r="539" spans="1:3" x14ac:dyDescent="0.2">
      <c r="A539" s="2">
        <v>44979</v>
      </c>
      <c r="B539" s="1" t="s">
        <v>12</v>
      </c>
      <c r="C539" s="1">
        <v>11507.07</v>
      </c>
    </row>
    <row r="540" spans="1:3" x14ac:dyDescent="0.2">
      <c r="A540" s="2">
        <v>44980</v>
      </c>
      <c r="B540" s="1" t="s">
        <v>12</v>
      </c>
      <c r="C540" s="1">
        <v>11590.4</v>
      </c>
    </row>
    <row r="541" spans="1:3" x14ac:dyDescent="0.2">
      <c r="A541" s="2">
        <v>44981</v>
      </c>
      <c r="B541" s="1" t="s">
        <v>12</v>
      </c>
      <c r="C541" s="1">
        <v>11394.94</v>
      </c>
    </row>
    <row r="542" spans="1:3" x14ac:dyDescent="0.2">
      <c r="A542" s="2">
        <v>44984</v>
      </c>
      <c r="B542" s="1" t="s">
        <v>12</v>
      </c>
      <c r="C542" s="1">
        <v>11466.98</v>
      </c>
    </row>
    <row r="543" spans="1:3" x14ac:dyDescent="0.2">
      <c r="A543" s="2">
        <v>44985</v>
      </c>
      <c r="B543" s="1" t="s">
        <v>12</v>
      </c>
      <c r="C543" s="1">
        <v>11455.54</v>
      </c>
    </row>
    <row r="544" spans="1:3" x14ac:dyDescent="0.2">
      <c r="A544" s="2">
        <v>44986</v>
      </c>
      <c r="B544" s="1" t="s">
        <v>12</v>
      </c>
      <c r="C544" s="1">
        <v>11379.48</v>
      </c>
    </row>
    <row r="545" spans="1:3" x14ac:dyDescent="0.2">
      <c r="A545" s="2">
        <v>44987</v>
      </c>
      <c r="B545" s="1" t="s">
        <v>12</v>
      </c>
      <c r="C545" s="1">
        <v>11462.98</v>
      </c>
    </row>
    <row r="546" spans="1:3" x14ac:dyDescent="0.2">
      <c r="A546" s="2">
        <v>44988</v>
      </c>
      <c r="B546" s="1" t="s">
        <v>12</v>
      </c>
      <c r="C546" s="1">
        <v>11689.01</v>
      </c>
    </row>
    <row r="547" spans="1:3" x14ac:dyDescent="0.2">
      <c r="A547" s="2">
        <v>44991</v>
      </c>
      <c r="B547" s="1" t="s">
        <v>12</v>
      </c>
      <c r="C547" s="1">
        <v>11675.74</v>
      </c>
    </row>
    <row r="548" spans="1:3" x14ac:dyDescent="0.2">
      <c r="A548" s="2">
        <v>44992</v>
      </c>
      <c r="B548" s="1" t="s">
        <v>12</v>
      </c>
      <c r="C548" s="1">
        <v>11530.33</v>
      </c>
    </row>
    <row r="549" spans="1:3" x14ac:dyDescent="0.2">
      <c r="A549" s="2">
        <v>44993</v>
      </c>
      <c r="B549" s="1" t="s">
        <v>12</v>
      </c>
      <c r="C549" s="1">
        <v>11576</v>
      </c>
    </row>
    <row r="550" spans="1:3" x14ac:dyDescent="0.2">
      <c r="A550" s="2">
        <v>44994</v>
      </c>
      <c r="B550" s="1" t="s">
        <v>12</v>
      </c>
      <c r="C550" s="1">
        <v>11338.35</v>
      </c>
    </row>
    <row r="551" spans="1:3" x14ac:dyDescent="0.2">
      <c r="A551" s="2">
        <v>44995</v>
      </c>
      <c r="B551" s="1" t="s">
        <v>12</v>
      </c>
      <c r="C551" s="1">
        <v>11138.89</v>
      </c>
    </row>
    <row r="552" spans="1:3" x14ac:dyDescent="0.2">
      <c r="A552" s="2">
        <v>44998</v>
      </c>
      <c r="B552" s="1" t="s">
        <v>12</v>
      </c>
      <c r="C552" s="1">
        <v>11188.84</v>
      </c>
    </row>
    <row r="553" spans="1:3" x14ac:dyDescent="0.2">
      <c r="A553" s="2">
        <v>44999</v>
      </c>
      <c r="B553" s="1" t="s">
        <v>12</v>
      </c>
      <c r="C553" s="1">
        <v>11428.15</v>
      </c>
    </row>
    <row r="554" spans="1:3" x14ac:dyDescent="0.2">
      <c r="A554" s="2">
        <v>45000</v>
      </c>
      <c r="B554" s="1" t="s">
        <v>12</v>
      </c>
      <c r="C554" s="1">
        <v>11434.05</v>
      </c>
    </row>
    <row r="555" spans="1:3" x14ac:dyDescent="0.2">
      <c r="A555" s="2">
        <v>45001</v>
      </c>
      <c r="B555" s="1" t="s">
        <v>12</v>
      </c>
      <c r="C555" s="1">
        <v>11717.28</v>
      </c>
    </row>
    <row r="556" spans="1:3" x14ac:dyDescent="0.2">
      <c r="A556" s="2">
        <v>45002</v>
      </c>
      <c r="B556" s="1" t="s">
        <v>12</v>
      </c>
      <c r="C556" s="1">
        <v>11630.51</v>
      </c>
    </row>
    <row r="557" spans="1:3" x14ac:dyDescent="0.2">
      <c r="A557" s="2">
        <v>45005</v>
      </c>
      <c r="B557" s="1" t="s">
        <v>12</v>
      </c>
      <c r="C557" s="1">
        <v>11675.54</v>
      </c>
    </row>
    <row r="558" spans="1:3" x14ac:dyDescent="0.2">
      <c r="A558" s="2">
        <v>45006</v>
      </c>
      <c r="B558" s="1" t="s">
        <v>12</v>
      </c>
      <c r="C558" s="1">
        <v>11860.11</v>
      </c>
    </row>
    <row r="559" spans="1:3" x14ac:dyDescent="0.2">
      <c r="A559" s="2">
        <v>45007</v>
      </c>
      <c r="B559" s="1" t="s">
        <v>12</v>
      </c>
      <c r="C559" s="1">
        <v>11669.96</v>
      </c>
    </row>
    <row r="560" spans="1:3" x14ac:dyDescent="0.2">
      <c r="A560" s="2">
        <v>45008</v>
      </c>
      <c r="B560" s="1" t="s">
        <v>12</v>
      </c>
      <c r="C560" s="1">
        <v>11787.4</v>
      </c>
    </row>
    <row r="561" spans="1:3" x14ac:dyDescent="0.2">
      <c r="A561" s="2">
        <v>45009</v>
      </c>
      <c r="B561" s="1" t="s">
        <v>12</v>
      </c>
      <c r="C561" s="1">
        <v>11823.96</v>
      </c>
    </row>
    <row r="562" spans="1:3" x14ac:dyDescent="0.2">
      <c r="A562" s="2">
        <v>45012</v>
      </c>
      <c r="B562" s="1" t="s">
        <v>12</v>
      </c>
      <c r="C562" s="1">
        <v>11768.84</v>
      </c>
    </row>
    <row r="563" spans="1:3" x14ac:dyDescent="0.2">
      <c r="A563" s="2">
        <v>45013</v>
      </c>
      <c r="B563" s="1" t="s">
        <v>12</v>
      </c>
      <c r="C563" s="1">
        <v>11716.08</v>
      </c>
    </row>
    <row r="564" spans="1:3" x14ac:dyDescent="0.2">
      <c r="A564" s="2">
        <v>45014</v>
      </c>
      <c r="B564" s="1" t="s">
        <v>12</v>
      </c>
      <c r="C564" s="1">
        <v>11926.24</v>
      </c>
    </row>
    <row r="565" spans="1:3" x14ac:dyDescent="0.2">
      <c r="A565" s="2">
        <v>45015</v>
      </c>
      <c r="B565" s="1" t="s">
        <v>12</v>
      </c>
      <c r="C565" s="1">
        <v>12013.47</v>
      </c>
    </row>
    <row r="566" spans="1:3" x14ac:dyDescent="0.2">
      <c r="A566" s="2">
        <v>45016</v>
      </c>
      <c r="B566" s="1" t="s">
        <v>12</v>
      </c>
      <c r="C566" s="1">
        <v>12221.91</v>
      </c>
    </row>
    <row r="567" spans="1:3" x14ac:dyDescent="0.2">
      <c r="A567" s="2">
        <v>45019</v>
      </c>
      <c r="B567" s="1" t="s">
        <v>12</v>
      </c>
      <c r="C567" s="1">
        <v>12189.45</v>
      </c>
    </row>
    <row r="568" spans="1:3" x14ac:dyDescent="0.2">
      <c r="A568" s="2">
        <v>45020</v>
      </c>
      <c r="B568" s="1" t="s">
        <v>12</v>
      </c>
      <c r="C568" s="1">
        <v>12126.33</v>
      </c>
    </row>
    <row r="569" spans="1:3" x14ac:dyDescent="0.2">
      <c r="A569" s="2">
        <v>45021</v>
      </c>
      <c r="B569" s="1" t="s">
        <v>12</v>
      </c>
      <c r="C569" s="1">
        <v>11996.86</v>
      </c>
    </row>
    <row r="570" spans="1:3" x14ac:dyDescent="0.2">
      <c r="A570" s="2">
        <v>45022</v>
      </c>
      <c r="B570" s="1" t="s">
        <v>12</v>
      </c>
      <c r="C570" s="1">
        <v>12087.96</v>
      </c>
    </row>
    <row r="571" spans="1:3" x14ac:dyDescent="0.2">
      <c r="A571" s="2">
        <v>45026</v>
      </c>
      <c r="B571" s="1" t="s">
        <v>12</v>
      </c>
      <c r="C571" s="1">
        <v>12084.36</v>
      </c>
    </row>
    <row r="572" spans="1:3" x14ac:dyDescent="0.2">
      <c r="A572" s="2">
        <v>45027</v>
      </c>
      <c r="B572" s="1" t="s">
        <v>12</v>
      </c>
      <c r="C572" s="1">
        <v>12031.88</v>
      </c>
    </row>
    <row r="573" spans="1:3" x14ac:dyDescent="0.2">
      <c r="A573" s="2">
        <v>45028</v>
      </c>
      <c r="B573" s="1" t="s">
        <v>12</v>
      </c>
      <c r="C573" s="1">
        <v>11929.34</v>
      </c>
    </row>
    <row r="574" spans="1:3" x14ac:dyDescent="0.2">
      <c r="A574" s="2">
        <v>45029</v>
      </c>
      <c r="B574" s="1" t="s">
        <v>12</v>
      </c>
      <c r="C574" s="1">
        <v>12166.27</v>
      </c>
    </row>
    <row r="575" spans="1:3" x14ac:dyDescent="0.2">
      <c r="A575" s="2">
        <v>45030</v>
      </c>
      <c r="B575" s="1" t="s">
        <v>12</v>
      </c>
      <c r="C575" s="1">
        <v>12123.47</v>
      </c>
    </row>
    <row r="576" spans="1:3" x14ac:dyDescent="0.2">
      <c r="A576" s="2">
        <v>45033</v>
      </c>
      <c r="B576" s="1" t="s">
        <v>12</v>
      </c>
      <c r="C576" s="1">
        <v>12157.72</v>
      </c>
    </row>
    <row r="577" spans="1:3" x14ac:dyDescent="0.2">
      <c r="A577" s="2">
        <v>45034</v>
      </c>
      <c r="B577" s="1" t="s">
        <v>12</v>
      </c>
      <c r="C577" s="1">
        <v>12153.41</v>
      </c>
    </row>
    <row r="578" spans="1:3" x14ac:dyDescent="0.2">
      <c r="A578" s="2">
        <v>45035</v>
      </c>
      <c r="B578" s="1" t="s">
        <v>12</v>
      </c>
      <c r="C578" s="1">
        <v>12157.23</v>
      </c>
    </row>
    <row r="579" spans="1:3" x14ac:dyDescent="0.2">
      <c r="A579" s="2">
        <v>45036</v>
      </c>
      <c r="B579" s="1" t="s">
        <v>12</v>
      </c>
      <c r="C579" s="1">
        <v>12059.56</v>
      </c>
    </row>
    <row r="580" spans="1:3" x14ac:dyDescent="0.2">
      <c r="A580" s="2">
        <v>45037</v>
      </c>
      <c r="B580" s="1" t="s">
        <v>12</v>
      </c>
      <c r="C580" s="1">
        <v>12072.46</v>
      </c>
    </row>
    <row r="581" spans="1:3" x14ac:dyDescent="0.2">
      <c r="A581" s="2">
        <v>45040</v>
      </c>
      <c r="B581" s="1" t="s">
        <v>12</v>
      </c>
      <c r="C581" s="1">
        <v>12037.2</v>
      </c>
    </row>
    <row r="582" spans="1:3" x14ac:dyDescent="0.2">
      <c r="A582" s="2">
        <v>45041</v>
      </c>
      <c r="B582" s="1" t="s">
        <v>12</v>
      </c>
      <c r="C582" s="1">
        <v>11799.16</v>
      </c>
    </row>
    <row r="583" spans="1:3" x14ac:dyDescent="0.2">
      <c r="A583" s="2">
        <v>45042</v>
      </c>
      <c r="B583" s="1" t="s">
        <v>12</v>
      </c>
      <c r="C583" s="1">
        <v>11854.35</v>
      </c>
    </row>
    <row r="584" spans="1:3" x14ac:dyDescent="0.2">
      <c r="A584" s="2">
        <v>45043</v>
      </c>
      <c r="B584" s="1" t="s">
        <v>12</v>
      </c>
      <c r="C584" s="1">
        <v>12142.24</v>
      </c>
    </row>
    <row r="585" spans="1:3" x14ac:dyDescent="0.2">
      <c r="A585" s="2">
        <v>45044</v>
      </c>
      <c r="B585" s="1" t="s">
        <v>12</v>
      </c>
      <c r="C585" s="1">
        <v>12226.58</v>
      </c>
    </row>
    <row r="586" spans="1:3" x14ac:dyDescent="0.2">
      <c r="A586" s="2">
        <v>45047</v>
      </c>
      <c r="B586" s="1" t="s">
        <v>12</v>
      </c>
      <c r="C586" s="1">
        <v>12212.6</v>
      </c>
    </row>
    <row r="587" spans="1:3" x14ac:dyDescent="0.2">
      <c r="A587" s="2">
        <v>45048</v>
      </c>
      <c r="B587" s="1" t="s">
        <v>12</v>
      </c>
      <c r="C587" s="1">
        <v>12080.51</v>
      </c>
    </row>
    <row r="588" spans="1:3" x14ac:dyDescent="0.2">
      <c r="A588" s="2">
        <v>45049</v>
      </c>
      <c r="B588" s="1" t="s">
        <v>12</v>
      </c>
      <c r="C588" s="1">
        <v>12025.33</v>
      </c>
    </row>
    <row r="589" spans="1:3" x14ac:dyDescent="0.2">
      <c r="A589" s="2">
        <v>45050</v>
      </c>
      <c r="B589" s="1" t="s">
        <v>12</v>
      </c>
      <c r="C589" s="1">
        <v>11966.4</v>
      </c>
    </row>
    <row r="590" spans="1:3" x14ac:dyDescent="0.2">
      <c r="A590" s="2">
        <v>45051</v>
      </c>
      <c r="B590" s="1" t="s">
        <v>12</v>
      </c>
      <c r="C590" s="1">
        <v>12235.41</v>
      </c>
    </row>
    <row r="591" spans="1:3" x14ac:dyDescent="0.2">
      <c r="A591" s="2">
        <v>45054</v>
      </c>
      <c r="B591" s="1" t="s">
        <v>12</v>
      </c>
      <c r="C591" s="1">
        <v>12256.92</v>
      </c>
    </row>
    <row r="592" spans="1:3" x14ac:dyDescent="0.2">
      <c r="A592" s="2">
        <v>45055</v>
      </c>
      <c r="B592" s="1" t="s">
        <v>12</v>
      </c>
      <c r="C592" s="1">
        <v>12179.55</v>
      </c>
    </row>
    <row r="593" spans="1:3" x14ac:dyDescent="0.2">
      <c r="A593" s="2">
        <v>45056</v>
      </c>
      <c r="B593" s="1" t="s">
        <v>12</v>
      </c>
      <c r="C593" s="1">
        <v>12306.44</v>
      </c>
    </row>
    <row r="594" spans="1:3" x14ac:dyDescent="0.2">
      <c r="A594" s="2">
        <v>45057</v>
      </c>
      <c r="B594" s="1" t="s">
        <v>12</v>
      </c>
      <c r="C594" s="1">
        <v>12328.51</v>
      </c>
    </row>
    <row r="595" spans="1:3" x14ac:dyDescent="0.2">
      <c r="A595" s="2">
        <v>45058</v>
      </c>
      <c r="B595" s="1" t="s">
        <v>12</v>
      </c>
      <c r="C595" s="1">
        <v>12284.74</v>
      </c>
    </row>
    <row r="596" spans="1:3" x14ac:dyDescent="0.2">
      <c r="A596" s="2">
        <v>45061</v>
      </c>
      <c r="B596" s="1" t="s">
        <v>12</v>
      </c>
      <c r="C596" s="1">
        <v>12365.21</v>
      </c>
    </row>
    <row r="597" spans="1:3" x14ac:dyDescent="0.2">
      <c r="A597" s="2">
        <v>45062</v>
      </c>
      <c r="B597" s="1" t="s">
        <v>12</v>
      </c>
      <c r="C597" s="1">
        <v>12343.05</v>
      </c>
    </row>
    <row r="598" spans="1:3" x14ac:dyDescent="0.2">
      <c r="A598" s="2">
        <v>45063</v>
      </c>
      <c r="B598" s="1" t="s">
        <v>12</v>
      </c>
      <c r="C598" s="1">
        <v>12500.57</v>
      </c>
    </row>
    <row r="599" spans="1:3" x14ac:dyDescent="0.2">
      <c r="A599" s="2">
        <v>45064</v>
      </c>
      <c r="B599" s="1" t="s">
        <v>12</v>
      </c>
      <c r="C599" s="1">
        <v>12688.84</v>
      </c>
    </row>
    <row r="600" spans="1:3" x14ac:dyDescent="0.2">
      <c r="A600" s="2">
        <v>45065</v>
      </c>
      <c r="B600" s="1" t="s">
        <v>12</v>
      </c>
      <c r="C600" s="1">
        <v>12657.9</v>
      </c>
    </row>
    <row r="601" spans="1:3" x14ac:dyDescent="0.2">
      <c r="A601" s="2">
        <v>45068</v>
      </c>
      <c r="B601" s="1" t="s">
        <v>12</v>
      </c>
      <c r="C601" s="1">
        <v>12720.78</v>
      </c>
    </row>
    <row r="602" spans="1:3" x14ac:dyDescent="0.2">
      <c r="A602" s="2">
        <v>45069</v>
      </c>
      <c r="B602" s="1" t="s">
        <v>12</v>
      </c>
      <c r="C602" s="1">
        <v>12560.25</v>
      </c>
    </row>
    <row r="603" spans="1:3" x14ac:dyDescent="0.2">
      <c r="A603" s="2">
        <v>45070</v>
      </c>
      <c r="B603" s="1" t="s">
        <v>12</v>
      </c>
      <c r="C603" s="1">
        <v>12484.16</v>
      </c>
    </row>
    <row r="604" spans="1:3" x14ac:dyDescent="0.2">
      <c r="A604" s="2">
        <v>45071</v>
      </c>
      <c r="B604" s="1" t="s">
        <v>12</v>
      </c>
      <c r="C604" s="1">
        <v>12698.09</v>
      </c>
    </row>
    <row r="605" spans="1:3" x14ac:dyDescent="0.2">
      <c r="A605" s="2">
        <v>45072</v>
      </c>
      <c r="B605" s="1" t="s">
        <v>12</v>
      </c>
      <c r="C605" s="1">
        <v>12975.69</v>
      </c>
    </row>
    <row r="606" spans="1:3" x14ac:dyDescent="0.2">
      <c r="A606" s="2">
        <v>45076</v>
      </c>
      <c r="B606" s="1" t="s">
        <v>12</v>
      </c>
      <c r="C606" s="1">
        <v>13017.43</v>
      </c>
    </row>
    <row r="607" spans="1:3" x14ac:dyDescent="0.2">
      <c r="A607" s="2">
        <v>45077</v>
      </c>
      <c r="B607" s="1" t="s">
        <v>12</v>
      </c>
      <c r="C607" s="1">
        <v>12935.29</v>
      </c>
    </row>
    <row r="608" spans="1:3" x14ac:dyDescent="0.2">
      <c r="A608" s="2">
        <v>45078</v>
      </c>
      <c r="B608" s="1" t="s">
        <v>12</v>
      </c>
      <c r="C608" s="1">
        <v>13100.98</v>
      </c>
    </row>
    <row r="609" spans="1:3" x14ac:dyDescent="0.2">
      <c r="A609" s="2">
        <v>45079</v>
      </c>
      <c r="B609" s="1" t="s">
        <v>12</v>
      </c>
      <c r="C609" s="1">
        <v>13240.77</v>
      </c>
    </row>
    <row r="610" spans="1:3" x14ac:dyDescent="0.2">
      <c r="A610" s="2">
        <v>45082</v>
      </c>
      <c r="B610" s="1" t="s">
        <v>12</v>
      </c>
      <c r="C610" s="1">
        <v>13229.43</v>
      </c>
    </row>
    <row r="611" spans="1:3" x14ac:dyDescent="0.2">
      <c r="A611" s="2">
        <v>45083</v>
      </c>
      <c r="B611" s="1" t="s">
        <v>12</v>
      </c>
      <c r="C611" s="1">
        <v>13276.42</v>
      </c>
    </row>
    <row r="612" spans="1:3" x14ac:dyDescent="0.2">
      <c r="A612" s="2">
        <v>45084</v>
      </c>
      <c r="B612" s="1" t="s">
        <v>12</v>
      </c>
      <c r="C612" s="1">
        <v>13104.89</v>
      </c>
    </row>
    <row r="613" spans="1:3" x14ac:dyDescent="0.2">
      <c r="A613" s="2">
        <v>45085</v>
      </c>
      <c r="B613" s="1" t="s">
        <v>12</v>
      </c>
      <c r="C613" s="1">
        <v>13238.52</v>
      </c>
    </row>
    <row r="614" spans="1:3" x14ac:dyDescent="0.2">
      <c r="A614" s="2">
        <v>45086</v>
      </c>
      <c r="B614" s="1" t="s">
        <v>12</v>
      </c>
      <c r="C614" s="1">
        <v>13259.14</v>
      </c>
    </row>
    <row r="615" spans="1:3" x14ac:dyDescent="0.2">
      <c r="A615" s="2">
        <v>45089</v>
      </c>
      <c r="B615" s="1" t="s">
        <v>12</v>
      </c>
      <c r="C615" s="1">
        <v>13461.92</v>
      </c>
    </row>
    <row r="616" spans="1:3" x14ac:dyDescent="0.2">
      <c r="A616" s="2">
        <v>45090</v>
      </c>
      <c r="B616" s="1" t="s">
        <v>12</v>
      </c>
      <c r="C616" s="1">
        <v>13573.32</v>
      </c>
    </row>
    <row r="617" spans="1:3" x14ac:dyDescent="0.2">
      <c r="A617" s="2">
        <v>45091</v>
      </c>
      <c r="B617" s="1" t="s">
        <v>12</v>
      </c>
      <c r="C617" s="1">
        <v>13626.48</v>
      </c>
    </row>
    <row r="618" spans="1:3" x14ac:dyDescent="0.2">
      <c r="A618" s="2">
        <v>45092</v>
      </c>
      <c r="B618" s="1" t="s">
        <v>12</v>
      </c>
      <c r="C618" s="1">
        <v>13782.82</v>
      </c>
    </row>
    <row r="619" spans="1:3" x14ac:dyDescent="0.2">
      <c r="A619" s="2">
        <v>45093</v>
      </c>
      <c r="B619" s="1" t="s">
        <v>12</v>
      </c>
      <c r="C619" s="1">
        <v>13689.57</v>
      </c>
    </row>
    <row r="620" spans="1:3" x14ac:dyDescent="0.2">
      <c r="A620" s="2">
        <v>45097</v>
      </c>
      <c r="B620" s="1" t="s">
        <v>12</v>
      </c>
      <c r="C620" s="1">
        <v>13667.29</v>
      </c>
    </row>
    <row r="621" spans="1:3" x14ac:dyDescent="0.2">
      <c r="A621" s="2">
        <v>45098</v>
      </c>
      <c r="B621" s="1" t="s">
        <v>12</v>
      </c>
      <c r="C621" s="1">
        <v>13502.2</v>
      </c>
    </row>
    <row r="622" spans="1:3" x14ac:dyDescent="0.2">
      <c r="A622" s="2">
        <v>45099</v>
      </c>
      <c r="B622" s="1" t="s">
        <v>12</v>
      </c>
      <c r="C622" s="1">
        <v>13630.61</v>
      </c>
    </row>
    <row r="623" spans="1:3" x14ac:dyDescent="0.2">
      <c r="A623" s="2">
        <v>45100</v>
      </c>
      <c r="B623" s="1" t="s">
        <v>12</v>
      </c>
      <c r="C623" s="1">
        <v>13492.52</v>
      </c>
    </row>
    <row r="624" spans="1:3" x14ac:dyDescent="0.2">
      <c r="A624" s="2">
        <v>45103</v>
      </c>
      <c r="B624" s="1" t="s">
        <v>12</v>
      </c>
      <c r="C624" s="1">
        <v>13335.78</v>
      </c>
    </row>
    <row r="625" spans="1:3" x14ac:dyDescent="0.2">
      <c r="A625" s="2">
        <v>45104</v>
      </c>
      <c r="B625" s="1" t="s">
        <v>12</v>
      </c>
      <c r="C625" s="1">
        <v>13555.67</v>
      </c>
    </row>
    <row r="626" spans="1:3" x14ac:dyDescent="0.2">
      <c r="A626" s="2">
        <v>45105</v>
      </c>
      <c r="B626" s="1" t="s">
        <v>12</v>
      </c>
      <c r="C626" s="1">
        <v>13591.75</v>
      </c>
    </row>
    <row r="627" spans="1:3" x14ac:dyDescent="0.2">
      <c r="A627" s="2">
        <v>45106</v>
      </c>
      <c r="B627" s="1" t="s">
        <v>12</v>
      </c>
      <c r="C627" s="1">
        <v>13591.33</v>
      </c>
    </row>
    <row r="628" spans="1:3" x14ac:dyDescent="0.2">
      <c r="A628" s="2">
        <v>45107</v>
      </c>
      <c r="B628" s="1" t="s">
        <v>12</v>
      </c>
      <c r="C628" s="1">
        <v>13787.92</v>
      </c>
    </row>
    <row r="629" spans="1:3" x14ac:dyDescent="0.2">
      <c r="A629" s="2">
        <v>45110</v>
      </c>
      <c r="B629" s="1" t="s">
        <v>12</v>
      </c>
      <c r="C629" s="1">
        <v>13816.77</v>
      </c>
    </row>
    <row r="630" spans="1:3" x14ac:dyDescent="0.2">
      <c r="A630" s="2">
        <v>45112</v>
      </c>
      <c r="B630" s="1" t="s">
        <v>12</v>
      </c>
      <c r="C630" s="1">
        <v>13791.65</v>
      </c>
    </row>
    <row r="631" spans="1:3" x14ac:dyDescent="0.2">
      <c r="A631" s="2">
        <v>45113</v>
      </c>
      <c r="B631" s="1" t="s">
        <v>12</v>
      </c>
      <c r="C631" s="1">
        <v>13679.04</v>
      </c>
    </row>
    <row r="632" spans="1:3" x14ac:dyDescent="0.2">
      <c r="A632" s="2">
        <v>45114</v>
      </c>
      <c r="B632" s="1" t="s">
        <v>12</v>
      </c>
      <c r="C632" s="1">
        <v>13660.72</v>
      </c>
    </row>
    <row r="633" spans="1:3" x14ac:dyDescent="0.2">
      <c r="A633" s="2">
        <v>45117</v>
      </c>
      <c r="B633" s="1" t="s">
        <v>12</v>
      </c>
      <c r="C633" s="1">
        <v>13685.48</v>
      </c>
    </row>
    <row r="634" spans="1:3" x14ac:dyDescent="0.2">
      <c r="A634" s="2">
        <v>45118</v>
      </c>
      <c r="B634" s="1" t="s">
        <v>12</v>
      </c>
      <c r="C634" s="1">
        <v>13760.7</v>
      </c>
    </row>
    <row r="635" spans="1:3" x14ac:dyDescent="0.2">
      <c r="A635" s="2">
        <v>45119</v>
      </c>
      <c r="B635" s="1" t="s">
        <v>12</v>
      </c>
      <c r="C635" s="1">
        <v>13918.96</v>
      </c>
    </row>
    <row r="636" spans="1:3" x14ac:dyDescent="0.2">
      <c r="A636" s="2">
        <v>45120</v>
      </c>
      <c r="B636" s="1" t="s">
        <v>12</v>
      </c>
      <c r="C636" s="1">
        <v>14138.57</v>
      </c>
    </row>
    <row r="637" spans="1:3" x14ac:dyDescent="0.2">
      <c r="A637" s="2">
        <v>45121</v>
      </c>
      <c r="B637" s="1" t="s">
        <v>12</v>
      </c>
      <c r="C637" s="1">
        <v>14113.7</v>
      </c>
    </row>
    <row r="638" spans="1:3" x14ac:dyDescent="0.2">
      <c r="A638" s="2">
        <v>45124</v>
      </c>
      <c r="B638" s="1" t="s">
        <v>12</v>
      </c>
      <c r="C638" s="1">
        <v>14244.95</v>
      </c>
    </row>
    <row r="639" spans="1:3" x14ac:dyDescent="0.2">
      <c r="A639" s="2">
        <v>45125</v>
      </c>
      <c r="B639" s="1" t="s">
        <v>12</v>
      </c>
      <c r="C639" s="1">
        <v>14353.64</v>
      </c>
    </row>
    <row r="640" spans="1:3" x14ac:dyDescent="0.2">
      <c r="A640" s="2">
        <v>45126</v>
      </c>
      <c r="B640" s="1" t="s">
        <v>12</v>
      </c>
      <c r="C640" s="1">
        <v>14358.02</v>
      </c>
    </row>
    <row r="641" spans="1:3" x14ac:dyDescent="0.2">
      <c r="A641" s="2">
        <v>45127</v>
      </c>
      <c r="B641" s="1" t="s">
        <v>12</v>
      </c>
      <c r="C641" s="1">
        <v>14063.31</v>
      </c>
    </row>
    <row r="642" spans="1:3" x14ac:dyDescent="0.2">
      <c r="A642" s="2">
        <v>45128</v>
      </c>
      <c r="B642" s="1" t="s">
        <v>12</v>
      </c>
      <c r="C642" s="1">
        <v>14032.81</v>
      </c>
    </row>
    <row r="643" spans="1:3" x14ac:dyDescent="0.2">
      <c r="A643" s="2">
        <v>45131</v>
      </c>
      <c r="B643" s="1" t="s">
        <v>12</v>
      </c>
      <c r="C643" s="1">
        <v>14058.87</v>
      </c>
    </row>
    <row r="644" spans="1:3" x14ac:dyDescent="0.2">
      <c r="A644" s="2">
        <v>45132</v>
      </c>
      <c r="B644" s="1" t="s">
        <v>12</v>
      </c>
      <c r="C644" s="1">
        <v>14144.56</v>
      </c>
    </row>
    <row r="645" spans="1:3" x14ac:dyDescent="0.2">
      <c r="A645" s="2">
        <v>45133</v>
      </c>
      <c r="B645" s="1" t="s">
        <v>12</v>
      </c>
      <c r="C645" s="1">
        <v>14127.28</v>
      </c>
    </row>
    <row r="646" spans="1:3" x14ac:dyDescent="0.2">
      <c r="A646" s="2">
        <v>45134</v>
      </c>
      <c r="B646" s="1" t="s">
        <v>12</v>
      </c>
      <c r="C646" s="1">
        <v>14050.11</v>
      </c>
    </row>
    <row r="647" spans="1:3" x14ac:dyDescent="0.2">
      <c r="A647" s="2">
        <v>45135</v>
      </c>
      <c r="B647" s="1" t="s">
        <v>12</v>
      </c>
      <c r="C647" s="1">
        <v>14316.66</v>
      </c>
    </row>
    <row r="648" spans="1:3" x14ac:dyDescent="0.2">
      <c r="A648" s="2">
        <v>45138</v>
      </c>
      <c r="B648" s="1" t="s">
        <v>12</v>
      </c>
      <c r="C648" s="1">
        <v>14346.02</v>
      </c>
    </row>
    <row r="649" spans="1:3" x14ac:dyDescent="0.2">
      <c r="A649" s="2">
        <v>45139</v>
      </c>
      <c r="B649" s="1" t="s">
        <v>12</v>
      </c>
      <c r="C649" s="1">
        <v>14283.91</v>
      </c>
    </row>
    <row r="650" spans="1:3" x14ac:dyDescent="0.2">
      <c r="A650" s="2">
        <v>45140</v>
      </c>
      <c r="B650" s="1" t="s">
        <v>12</v>
      </c>
      <c r="C650" s="1">
        <v>13973.45</v>
      </c>
    </row>
    <row r="651" spans="1:3" x14ac:dyDescent="0.2">
      <c r="A651" s="2">
        <v>45141</v>
      </c>
      <c r="B651" s="1" t="s">
        <v>12</v>
      </c>
      <c r="C651" s="1">
        <v>13959.71</v>
      </c>
    </row>
    <row r="652" spans="1:3" x14ac:dyDescent="0.2">
      <c r="A652" s="2">
        <v>45142</v>
      </c>
      <c r="B652" s="1" t="s">
        <v>12</v>
      </c>
      <c r="C652" s="1">
        <v>13909.24</v>
      </c>
    </row>
    <row r="653" spans="1:3" x14ac:dyDescent="0.2">
      <c r="A653" s="2">
        <v>45145</v>
      </c>
      <c r="B653" s="1" t="s">
        <v>12</v>
      </c>
      <c r="C653" s="1">
        <v>13994.4</v>
      </c>
    </row>
    <row r="654" spans="1:3" x14ac:dyDescent="0.2">
      <c r="A654" s="2">
        <v>45146</v>
      </c>
      <c r="B654" s="1" t="s">
        <v>12</v>
      </c>
      <c r="C654" s="1">
        <v>13884.32</v>
      </c>
    </row>
    <row r="655" spans="1:3" x14ac:dyDescent="0.2">
      <c r="A655" s="2">
        <v>45147</v>
      </c>
      <c r="B655" s="1" t="s">
        <v>12</v>
      </c>
      <c r="C655" s="1">
        <v>13722.02</v>
      </c>
    </row>
    <row r="656" spans="1:3" x14ac:dyDescent="0.2">
      <c r="A656" s="2">
        <v>45148</v>
      </c>
      <c r="B656" s="1" t="s">
        <v>12</v>
      </c>
      <c r="C656" s="1">
        <v>13721.03</v>
      </c>
    </row>
    <row r="657" spans="1:3" x14ac:dyDescent="0.2">
      <c r="A657" s="2">
        <v>45149</v>
      </c>
      <c r="B657" s="1" t="s">
        <v>12</v>
      </c>
      <c r="C657" s="1">
        <v>13644.85</v>
      </c>
    </row>
    <row r="658" spans="1:3" x14ac:dyDescent="0.2">
      <c r="A658" s="2">
        <v>45152</v>
      </c>
      <c r="B658" s="1" t="s">
        <v>12</v>
      </c>
      <c r="C658" s="1">
        <v>13788.33</v>
      </c>
    </row>
    <row r="659" spans="1:3" x14ac:dyDescent="0.2">
      <c r="A659" s="2">
        <v>45153</v>
      </c>
      <c r="B659" s="1" t="s">
        <v>12</v>
      </c>
      <c r="C659" s="1">
        <v>13631.05</v>
      </c>
    </row>
    <row r="660" spans="1:3" x14ac:dyDescent="0.2">
      <c r="A660" s="2">
        <v>45154</v>
      </c>
      <c r="B660" s="1" t="s">
        <v>12</v>
      </c>
      <c r="C660" s="1">
        <v>13474.63</v>
      </c>
    </row>
    <row r="661" spans="1:3" x14ac:dyDescent="0.2">
      <c r="A661" s="2">
        <v>45155</v>
      </c>
      <c r="B661" s="1" t="s">
        <v>12</v>
      </c>
      <c r="C661" s="1">
        <v>13316.93</v>
      </c>
    </row>
    <row r="662" spans="1:3" x14ac:dyDescent="0.2">
      <c r="A662" s="2">
        <v>45156</v>
      </c>
      <c r="B662" s="1" t="s">
        <v>12</v>
      </c>
      <c r="C662" s="1">
        <v>13290.78</v>
      </c>
    </row>
    <row r="663" spans="1:3" x14ac:dyDescent="0.2">
      <c r="A663" s="2">
        <v>45159</v>
      </c>
      <c r="B663" s="1" t="s">
        <v>12</v>
      </c>
      <c r="C663" s="1">
        <v>13497.59</v>
      </c>
    </row>
    <row r="664" spans="1:3" x14ac:dyDescent="0.2">
      <c r="A664" s="2">
        <v>45160</v>
      </c>
      <c r="B664" s="1" t="s">
        <v>12</v>
      </c>
      <c r="C664" s="1">
        <v>13505.87</v>
      </c>
    </row>
    <row r="665" spans="1:3" x14ac:dyDescent="0.2">
      <c r="A665" s="2">
        <v>45161</v>
      </c>
      <c r="B665" s="1" t="s">
        <v>12</v>
      </c>
      <c r="C665" s="1">
        <v>13721.03</v>
      </c>
    </row>
    <row r="666" spans="1:3" x14ac:dyDescent="0.2">
      <c r="A666" s="2">
        <v>45162</v>
      </c>
      <c r="B666" s="1" t="s">
        <v>12</v>
      </c>
      <c r="C666" s="1">
        <v>13463.97</v>
      </c>
    </row>
    <row r="667" spans="1:3" x14ac:dyDescent="0.2">
      <c r="A667" s="2">
        <v>45163</v>
      </c>
      <c r="B667" s="1" t="s">
        <v>12</v>
      </c>
      <c r="C667" s="1">
        <v>13590.65</v>
      </c>
    </row>
    <row r="668" spans="1:3" x14ac:dyDescent="0.2">
      <c r="A668" s="2">
        <v>45166</v>
      </c>
      <c r="B668" s="1" t="s">
        <v>12</v>
      </c>
      <c r="C668" s="1">
        <v>13705.13</v>
      </c>
    </row>
    <row r="669" spans="1:3" x14ac:dyDescent="0.2">
      <c r="A669" s="2">
        <v>45167</v>
      </c>
      <c r="B669" s="1" t="s">
        <v>12</v>
      </c>
      <c r="C669" s="1">
        <v>13943.76</v>
      </c>
    </row>
    <row r="670" spans="1:3" x14ac:dyDescent="0.2">
      <c r="A670" s="2">
        <v>45168</v>
      </c>
      <c r="B670" s="1" t="s">
        <v>12</v>
      </c>
      <c r="C670" s="1">
        <v>14019.31</v>
      </c>
    </row>
    <row r="671" spans="1:3" x14ac:dyDescent="0.2">
      <c r="A671" s="2">
        <v>45169</v>
      </c>
      <c r="B671" s="1" t="s">
        <v>12</v>
      </c>
      <c r="C671" s="1">
        <v>14034.97</v>
      </c>
    </row>
    <row r="672" spans="1:3" x14ac:dyDescent="0.2">
      <c r="A672" s="2">
        <v>45170</v>
      </c>
      <c r="B672" s="1" t="s">
        <v>12</v>
      </c>
      <c r="C672" s="1">
        <v>14031.81</v>
      </c>
    </row>
    <row r="673" spans="1:3" x14ac:dyDescent="0.2">
      <c r="A673" s="2">
        <v>45174</v>
      </c>
      <c r="B673" s="1" t="s">
        <v>12</v>
      </c>
      <c r="C673" s="1">
        <v>14020.95</v>
      </c>
    </row>
    <row r="674" spans="1:3" x14ac:dyDescent="0.2">
      <c r="A674" s="2">
        <v>45175</v>
      </c>
      <c r="B674" s="1" t="s">
        <v>12</v>
      </c>
      <c r="C674" s="1">
        <v>13872.47</v>
      </c>
    </row>
    <row r="675" spans="1:3" x14ac:dyDescent="0.2">
      <c r="A675" s="2">
        <v>45176</v>
      </c>
      <c r="B675" s="1" t="s">
        <v>12</v>
      </c>
      <c r="C675" s="1">
        <v>13748.83</v>
      </c>
    </row>
    <row r="676" spans="1:3" x14ac:dyDescent="0.2">
      <c r="A676" s="2">
        <v>45177</v>
      </c>
      <c r="B676" s="1" t="s">
        <v>12</v>
      </c>
      <c r="C676" s="1">
        <v>13761.53</v>
      </c>
    </row>
    <row r="677" spans="1:3" x14ac:dyDescent="0.2">
      <c r="A677" s="2">
        <v>45180</v>
      </c>
      <c r="B677" s="1" t="s">
        <v>12</v>
      </c>
      <c r="C677" s="1">
        <v>13917.89</v>
      </c>
    </row>
    <row r="678" spans="1:3" x14ac:dyDescent="0.2">
      <c r="A678" s="2">
        <v>45181</v>
      </c>
      <c r="B678" s="1" t="s">
        <v>12</v>
      </c>
      <c r="C678" s="1">
        <v>13773.63</v>
      </c>
    </row>
    <row r="679" spans="1:3" x14ac:dyDescent="0.2">
      <c r="A679" s="2">
        <v>45182</v>
      </c>
      <c r="B679" s="1" t="s">
        <v>12</v>
      </c>
      <c r="C679" s="1">
        <v>13813.58</v>
      </c>
    </row>
    <row r="680" spans="1:3" x14ac:dyDescent="0.2">
      <c r="A680" s="2">
        <v>45183</v>
      </c>
      <c r="B680" s="1" t="s">
        <v>12</v>
      </c>
      <c r="C680" s="1">
        <v>13926.05</v>
      </c>
    </row>
    <row r="681" spans="1:3" x14ac:dyDescent="0.2">
      <c r="A681" s="2">
        <v>45184</v>
      </c>
      <c r="B681" s="1" t="s">
        <v>12</v>
      </c>
      <c r="C681" s="1">
        <v>13708.33</v>
      </c>
    </row>
    <row r="682" spans="1:3" x14ac:dyDescent="0.2">
      <c r="A682" s="2">
        <v>45187</v>
      </c>
      <c r="B682" s="1" t="s">
        <v>12</v>
      </c>
      <c r="C682" s="1">
        <v>13710.24</v>
      </c>
    </row>
    <row r="683" spans="1:3" x14ac:dyDescent="0.2">
      <c r="A683" s="2">
        <v>45188</v>
      </c>
      <c r="B683" s="1" t="s">
        <v>12</v>
      </c>
      <c r="C683" s="1">
        <v>13678.19</v>
      </c>
    </row>
    <row r="684" spans="1:3" x14ac:dyDescent="0.2">
      <c r="A684" s="2">
        <v>45189</v>
      </c>
      <c r="B684" s="1" t="s">
        <v>12</v>
      </c>
      <c r="C684" s="1">
        <v>13469.13</v>
      </c>
    </row>
    <row r="685" spans="1:3" x14ac:dyDescent="0.2">
      <c r="A685" s="2">
        <v>45190</v>
      </c>
      <c r="B685" s="1" t="s">
        <v>12</v>
      </c>
      <c r="C685" s="1">
        <v>13223.99</v>
      </c>
    </row>
    <row r="686" spans="1:3" x14ac:dyDescent="0.2">
      <c r="A686" s="2">
        <v>45191</v>
      </c>
      <c r="B686" s="1" t="s">
        <v>12</v>
      </c>
      <c r="C686" s="1">
        <v>13211.81</v>
      </c>
    </row>
    <row r="687" spans="1:3" x14ac:dyDescent="0.2">
      <c r="A687" s="2">
        <v>45194</v>
      </c>
      <c r="B687" s="1" t="s">
        <v>12</v>
      </c>
      <c r="C687" s="1">
        <v>13271.32</v>
      </c>
    </row>
    <row r="688" spans="1:3" x14ac:dyDescent="0.2">
      <c r="A688" s="2">
        <v>45195</v>
      </c>
      <c r="B688" s="1" t="s">
        <v>12</v>
      </c>
      <c r="C688" s="1">
        <v>13063.61</v>
      </c>
    </row>
    <row r="689" spans="1:3" x14ac:dyDescent="0.2">
      <c r="A689" s="2">
        <v>45196</v>
      </c>
      <c r="B689" s="1" t="s">
        <v>12</v>
      </c>
      <c r="C689" s="1">
        <v>13092.85</v>
      </c>
    </row>
    <row r="690" spans="1:3" x14ac:dyDescent="0.2">
      <c r="A690" s="2">
        <v>45197</v>
      </c>
      <c r="B690" s="1" t="s">
        <v>12</v>
      </c>
      <c r="C690" s="1">
        <v>13201.28</v>
      </c>
    </row>
    <row r="691" spans="1:3" x14ac:dyDescent="0.2">
      <c r="A691" s="2">
        <v>45198</v>
      </c>
      <c r="B691" s="1" t="s">
        <v>12</v>
      </c>
      <c r="C691" s="1">
        <v>13219.32</v>
      </c>
    </row>
    <row r="692" spans="1:3" x14ac:dyDescent="0.2">
      <c r="A692" s="2">
        <v>45201</v>
      </c>
      <c r="B692" s="1" t="s">
        <v>12</v>
      </c>
      <c r="C692" s="1">
        <v>13307.77</v>
      </c>
    </row>
    <row r="693" spans="1:3" x14ac:dyDescent="0.2">
      <c r="A693" s="2">
        <v>45202</v>
      </c>
      <c r="B693" s="1" t="s">
        <v>12</v>
      </c>
      <c r="C693" s="1">
        <v>13059.47</v>
      </c>
    </row>
    <row r="694" spans="1:3" x14ac:dyDescent="0.2">
      <c r="A694" s="2">
        <v>45203</v>
      </c>
      <c r="B694" s="1" t="s">
        <v>12</v>
      </c>
      <c r="C694" s="1">
        <v>13236.01</v>
      </c>
    </row>
    <row r="695" spans="1:3" x14ac:dyDescent="0.2">
      <c r="A695" s="2">
        <v>45204</v>
      </c>
      <c r="B695" s="1" t="s">
        <v>12</v>
      </c>
      <c r="C695" s="1">
        <v>13219.83</v>
      </c>
    </row>
    <row r="696" spans="1:3" x14ac:dyDescent="0.2">
      <c r="A696" s="2">
        <v>45205</v>
      </c>
      <c r="B696" s="1" t="s">
        <v>12</v>
      </c>
      <c r="C696" s="1">
        <v>13431.34</v>
      </c>
    </row>
    <row r="697" spans="1:3" x14ac:dyDescent="0.2">
      <c r="A697" s="2">
        <v>45208</v>
      </c>
      <c r="B697" s="1" t="s">
        <v>12</v>
      </c>
      <c r="C697" s="1">
        <v>13484.24</v>
      </c>
    </row>
    <row r="698" spans="1:3" x14ac:dyDescent="0.2">
      <c r="A698" s="2">
        <v>45209</v>
      </c>
      <c r="B698" s="1" t="s">
        <v>12</v>
      </c>
      <c r="C698" s="1">
        <v>13562.84</v>
      </c>
    </row>
    <row r="699" spans="1:3" x14ac:dyDescent="0.2">
      <c r="A699" s="2">
        <v>45210</v>
      </c>
      <c r="B699" s="1" t="s">
        <v>12</v>
      </c>
      <c r="C699" s="1">
        <v>13659.68</v>
      </c>
    </row>
    <row r="700" spans="1:3" x14ac:dyDescent="0.2">
      <c r="A700" s="2">
        <v>45211</v>
      </c>
      <c r="B700" s="1" t="s">
        <v>12</v>
      </c>
      <c r="C700" s="1">
        <v>13574.22</v>
      </c>
    </row>
    <row r="701" spans="1:3" x14ac:dyDescent="0.2">
      <c r="A701" s="2">
        <v>45212</v>
      </c>
      <c r="B701" s="1" t="s">
        <v>12</v>
      </c>
      <c r="C701" s="1">
        <v>13407.23</v>
      </c>
    </row>
    <row r="702" spans="1:3" x14ac:dyDescent="0.2">
      <c r="A702" s="2">
        <v>45215</v>
      </c>
      <c r="B702" s="1" t="s">
        <v>12</v>
      </c>
      <c r="C702" s="1">
        <v>13567.98</v>
      </c>
    </row>
    <row r="703" spans="1:3" x14ac:dyDescent="0.2">
      <c r="A703" s="2">
        <v>45216</v>
      </c>
      <c r="B703" s="1" t="s">
        <v>12</v>
      </c>
      <c r="C703" s="1">
        <v>13533.75</v>
      </c>
    </row>
    <row r="704" spans="1:3" x14ac:dyDescent="0.2">
      <c r="A704" s="2">
        <v>45217</v>
      </c>
      <c r="B704" s="1" t="s">
        <v>12</v>
      </c>
      <c r="C704" s="1">
        <v>13314.3</v>
      </c>
    </row>
    <row r="705" spans="1:3" x14ac:dyDescent="0.2">
      <c r="A705" s="2">
        <v>45218</v>
      </c>
      <c r="B705" s="1" t="s">
        <v>12</v>
      </c>
      <c r="C705" s="1">
        <v>13186.17</v>
      </c>
    </row>
    <row r="706" spans="1:3" x14ac:dyDescent="0.2">
      <c r="A706" s="2">
        <v>45219</v>
      </c>
      <c r="B706" s="1" t="s">
        <v>12</v>
      </c>
      <c r="C706" s="1">
        <v>12983.81</v>
      </c>
    </row>
    <row r="707" spans="1:3" x14ac:dyDescent="0.2">
      <c r="A707" s="2">
        <v>45222</v>
      </c>
      <c r="B707" s="1" t="s">
        <v>12</v>
      </c>
      <c r="C707" s="1">
        <v>13018.33</v>
      </c>
    </row>
    <row r="708" spans="1:3" x14ac:dyDescent="0.2">
      <c r="A708" s="2">
        <v>45223</v>
      </c>
      <c r="B708" s="1" t="s">
        <v>12</v>
      </c>
      <c r="C708" s="1">
        <v>13139.88</v>
      </c>
    </row>
    <row r="709" spans="1:3" x14ac:dyDescent="0.2">
      <c r="A709" s="2">
        <v>45224</v>
      </c>
      <c r="B709" s="1" t="s">
        <v>12</v>
      </c>
      <c r="C709" s="1">
        <v>12821.22</v>
      </c>
    </row>
    <row r="710" spans="1:3" x14ac:dyDescent="0.2">
      <c r="A710" s="2">
        <v>45225</v>
      </c>
      <c r="B710" s="1" t="s">
        <v>12</v>
      </c>
      <c r="C710" s="1">
        <v>12595.61</v>
      </c>
    </row>
    <row r="711" spans="1:3" x14ac:dyDescent="0.2">
      <c r="A711" s="2">
        <v>45226</v>
      </c>
      <c r="B711" s="1" t="s">
        <v>12</v>
      </c>
      <c r="C711" s="1">
        <v>12643.01</v>
      </c>
    </row>
    <row r="712" spans="1:3" x14ac:dyDescent="0.2">
      <c r="A712" s="2">
        <v>45229</v>
      </c>
      <c r="B712" s="1" t="s">
        <v>12</v>
      </c>
      <c r="C712" s="1">
        <v>12789.48</v>
      </c>
    </row>
    <row r="713" spans="1:3" x14ac:dyDescent="0.2">
      <c r="A713" s="2">
        <v>45230</v>
      </c>
      <c r="B713" s="1" t="s">
        <v>12</v>
      </c>
      <c r="C713" s="1">
        <v>12851.24</v>
      </c>
    </row>
    <row r="714" spans="1:3" x14ac:dyDescent="0.2">
      <c r="A714" s="2">
        <v>45231</v>
      </c>
      <c r="B714" s="1" t="s">
        <v>12</v>
      </c>
      <c r="C714" s="1">
        <v>13061.47</v>
      </c>
    </row>
    <row r="715" spans="1:3" x14ac:dyDescent="0.2">
      <c r="A715" s="2">
        <v>45232</v>
      </c>
      <c r="B715" s="1" t="s">
        <v>12</v>
      </c>
      <c r="C715" s="1">
        <v>13294.19</v>
      </c>
    </row>
    <row r="716" spans="1:3" x14ac:dyDescent="0.2">
      <c r="A716" s="2">
        <v>45233</v>
      </c>
      <c r="B716" s="1" t="s">
        <v>12</v>
      </c>
      <c r="C716" s="1">
        <v>13478.28</v>
      </c>
    </row>
    <row r="717" spans="1:3" x14ac:dyDescent="0.2">
      <c r="A717" s="2">
        <v>45236</v>
      </c>
      <c r="B717" s="1" t="s">
        <v>12</v>
      </c>
      <c r="C717" s="1">
        <v>13518.78</v>
      </c>
    </row>
    <row r="718" spans="1:3" x14ac:dyDescent="0.2">
      <c r="A718" s="2">
        <v>45237</v>
      </c>
      <c r="B718" s="1" t="s">
        <v>12</v>
      </c>
      <c r="C718" s="1">
        <v>13639.86</v>
      </c>
    </row>
    <row r="719" spans="1:3" x14ac:dyDescent="0.2">
      <c r="A719" s="2">
        <v>45238</v>
      </c>
      <c r="B719" s="1" t="s">
        <v>12</v>
      </c>
      <c r="C719" s="1">
        <v>13650.41</v>
      </c>
    </row>
    <row r="720" spans="1:3" x14ac:dyDescent="0.2">
      <c r="A720" s="2">
        <v>45239</v>
      </c>
      <c r="B720" s="1" t="s">
        <v>12</v>
      </c>
      <c r="C720" s="1">
        <v>13521.45</v>
      </c>
    </row>
    <row r="721" spans="1:3" x14ac:dyDescent="0.2">
      <c r="A721" s="2">
        <v>45240</v>
      </c>
      <c r="B721" s="1" t="s">
        <v>12</v>
      </c>
      <c r="C721" s="1">
        <v>13798.11</v>
      </c>
    </row>
    <row r="722" spans="1:3" x14ac:dyDescent="0.2">
      <c r="A722" s="2">
        <v>45243</v>
      </c>
      <c r="B722" s="1" t="s">
        <v>12</v>
      </c>
      <c r="C722" s="1">
        <v>13767.74</v>
      </c>
    </row>
    <row r="723" spans="1:3" x14ac:dyDescent="0.2">
      <c r="A723" s="2">
        <v>45244</v>
      </c>
      <c r="B723" s="1" t="s">
        <v>12</v>
      </c>
      <c r="C723" s="1">
        <v>14094.38</v>
      </c>
    </row>
    <row r="724" spans="1:3" x14ac:dyDescent="0.2">
      <c r="A724" s="2">
        <v>45245</v>
      </c>
      <c r="B724" s="1" t="s">
        <v>12</v>
      </c>
      <c r="C724" s="1">
        <v>14103.84</v>
      </c>
    </row>
    <row r="725" spans="1:3" x14ac:dyDescent="0.2">
      <c r="A725" s="2">
        <v>45246</v>
      </c>
      <c r="B725" s="1" t="s">
        <v>12</v>
      </c>
      <c r="C725" s="1">
        <v>14113.67</v>
      </c>
    </row>
    <row r="726" spans="1:3" x14ac:dyDescent="0.2">
      <c r="A726" s="2">
        <v>45247</v>
      </c>
      <c r="B726" s="1" t="s">
        <v>12</v>
      </c>
      <c r="C726" s="1">
        <v>14125.48</v>
      </c>
    </row>
    <row r="727" spans="1:3" x14ac:dyDescent="0.2">
      <c r="A727" s="2">
        <v>45250</v>
      </c>
      <c r="B727" s="1" t="s">
        <v>12</v>
      </c>
      <c r="C727" s="1">
        <v>14284.53</v>
      </c>
    </row>
    <row r="728" spans="1:3" x14ac:dyDescent="0.2">
      <c r="A728" s="2">
        <v>45251</v>
      </c>
      <c r="B728" s="1" t="s">
        <v>12</v>
      </c>
      <c r="C728" s="1">
        <v>14199.98</v>
      </c>
    </row>
    <row r="729" spans="1:3" x14ac:dyDescent="0.2">
      <c r="A729" s="2">
        <v>45252</v>
      </c>
      <c r="B729" s="1" t="s">
        <v>12</v>
      </c>
      <c r="C729" s="1">
        <v>14265.86</v>
      </c>
    </row>
    <row r="730" spans="1:3" x14ac:dyDescent="0.2">
      <c r="A730" s="2">
        <v>45254</v>
      </c>
      <c r="B730" s="1" t="s">
        <v>12</v>
      </c>
      <c r="C730" s="1">
        <v>14250.85</v>
      </c>
    </row>
    <row r="731" spans="1:3" x14ac:dyDescent="0.2">
      <c r="A731" s="2">
        <v>45257</v>
      </c>
      <c r="B731" s="1" t="s">
        <v>12</v>
      </c>
      <c r="C731" s="1">
        <v>14241.02</v>
      </c>
    </row>
    <row r="732" spans="1:3" x14ac:dyDescent="0.2">
      <c r="A732" s="2">
        <v>45258</v>
      </c>
      <c r="B732" s="1" t="s">
        <v>12</v>
      </c>
      <c r="C732" s="1">
        <v>14281.76</v>
      </c>
    </row>
    <row r="733" spans="1:3" x14ac:dyDescent="0.2">
      <c r="A733" s="2">
        <v>45259</v>
      </c>
      <c r="B733" s="1" t="s">
        <v>12</v>
      </c>
      <c r="C733" s="1">
        <v>14258.49</v>
      </c>
    </row>
    <row r="734" spans="1:3" x14ac:dyDescent="0.2">
      <c r="A734" s="2">
        <v>45260</v>
      </c>
      <c r="B734" s="1" t="s">
        <v>12</v>
      </c>
      <c r="C734" s="1">
        <v>14226.22</v>
      </c>
    </row>
    <row r="735" spans="1:3" x14ac:dyDescent="0.2">
      <c r="A735" s="2">
        <v>45261</v>
      </c>
      <c r="B735" s="1" t="s">
        <v>12</v>
      </c>
      <c r="C735" s="1">
        <v>14305.03</v>
      </c>
    </row>
    <row r="736" spans="1:3" x14ac:dyDescent="0.2">
      <c r="A736" s="2">
        <v>45264</v>
      </c>
      <c r="B736" s="1" t="s">
        <v>12</v>
      </c>
      <c r="C736" s="1">
        <v>14185.49</v>
      </c>
    </row>
    <row r="737" spans="1:3" x14ac:dyDescent="0.2">
      <c r="A737" s="2">
        <v>45265</v>
      </c>
      <c r="B737" s="1" t="s">
        <v>12</v>
      </c>
      <c r="C737" s="1">
        <v>14229.91</v>
      </c>
    </row>
    <row r="738" spans="1:3" x14ac:dyDescent="0.2">
      <c r="A738" s="2">
        <v>45266</v>
      </c>
      <c r="B738" s="1" t="s">
        <v>12</v>
      </c>
      <c r="C738" s="1">
        <v>14146.71</v>
      </c>
    </row>
    <row r="739" spans="1:3" x14ac:dyDescent="0.2">
      <c r="A739" s="2">
        <v>45267</v>
      </c>
      <c r="B739" s="1" t="s">
        <v>12</v>
      </c>
      <c r="C739" s="1">
        <v>14339.99</v>
      </c>
    </row>
    <row r="740" spans="1:3" x14ac:dyDescent="0.2">
      <c r="A740" s="2">
        <v>45268</v>
      </c>
      <c r="B740" s="1" t="s">
        <v>12</v>
      </c>
      <c r="C740" s="1">
        <v>14403.97</v>
      </c>
    </row>
    <row r="741" spans="1:3" x14ac:dyDescent="0.2">
      <c r="A741" s="2">
        <v>45271</v>
      </c>
      <c r="B741" s="1" t="s">
        <v>12</v>
      </c>
      <c r="C741" s="1">
        <v>14432.49</v>
      </c>
    </row>
    <row r="742" spans="1:3" x14ac:dyDescent="0.2">
      <c r="A742" s="2">
        <v>45272</v>
      </c>
      <c r="B742" s="1" t="s">
        <v>12</v>
      </c>
      <c r="C742" s="1">
        <v>14533.4</v>
      </c>
    </row>
    <row r="743" spans="1:3" x14ac:dyDescent="0.2">
      <c r="A743" s="2">
        <v>45273</v>
      </c>
      <c r="B743" s="1" t="s">
        <v>12</v>
      </c>
      <c r="C743" s="1">
        <v>14733.96</v>
      </c>
    </row>
    <row r="744" spans="1:3" x14ac:dyDescent="0.2">
      <c r="A744" s="2">
        <v>45274</v>
      </c>
      <c r="B744" s="1" t="s">
        <v>12</v>
      </c>
      <c r="C744" s="1">
        <v>14761.56</v>
      </c>
    </row>
    <row r="745" spans="1:3" x14ac:dyDescent="0.2">
      <c r="A745" s="2">
        <v>45275</v>
      </c>
      <c r="B745" s="1" t="s">
        <v>12</v>
      </c>
      <c r="C745" s="1">
        <v>14813.92</v>
      </c>
    </row>
    <row r="746" spans="1:3" x14ac:dyDescent="0.2">
      <c r="A746" s="2">
        <v>45278</v>
      </c>
      <c r="B746" s="1" t="s">
        <v>12</v>
      </c>
      <c r="C746" s="1">
        <v>14905.19</v>
      </c>
    </row>
    <row r="747" spans="1:3" x14ac:dyDescent="0.2">
      <c r="A747" s="2">
        <v>45279</v>
      </c>
      <c r="B747" s="1" t="s">
        <v>12</v>
      </c>
      <c r="C747" s="1">
        <v>15003.22</v>
      </c>
    </row>
    <row r="748" spans="1:3" x14ac:dyDescent="0.2">
      <c r="A748" s="2">
        <v>45280</v>
      </c>
      <c r="B748" s="1" t="s">
        <v>12</v>
      </c>
      <c r="C748" s="1">
        <v>14777.94</v>
      </c>
    </row>
    <row r="749" spans="1:3" x14ac:dyDescent="0.2">
      <c r="A749" s="2">
        <v>45281</v>
      </c>
      <c r="B749" s="1" t="s">
        <v>12</v>
      </c>
      <c r="C749" s="1">
        <v>14963.87</v>
      </c>
    </row>
    <row r="750" spans="1:3" x14ac:dyDescent="0.2">
      <c r="A750" s="2">
        <v>45282</v>
      </c>
      <c r="B750" s="1" t="s">
        <v>12</v>
      </c>
      <c r="C750" s="1">
        <v>14992.97</v>
      </c>
    </row>
    <row r="751" spans="1:3" x14ac:dyDescent="0.2">
      <c r="A751" s="2">
        <v>45286</v>
      </c>
      <c r="B751" s="1" t="s">
        <v>12</v>
      </c>
      <c r="C751" s="1">
        <v>15074.57</v>
      </c>
    </row>
    <row r="752" spans="1:3" x14ac:dyDescent="0.2">
      <c r="A752" s="2">
        <v>45287</v>
      </c>
      <c r="B752" s="1" t="s">
        <v>12</v>
      </c>
      <c r="C752" s="1">
        <v>15099.18</v>
      </c>
    </row>
    <row r="753" spans="1:3" x14ac:dyDescent="0.2">
      <c r="A753" s="2">
        <v>45288</v>
      </c>
      <c r="B753" s="1" t="s">
        <v>12</v>
      </c>
      <c r="C753" s="1">
        <v>15095.14</v>
      </c>
    </row>
    <row r="754" spans="1:3" x14ac:dyDescent="0.2">
      <c r="A754" s="2">
        <v>45289</v>
      </c>
      <c r="B754" s="1" t="s">
        <v>12</v>
      </c>
      <c r="C754" s="1">
        <v>15011.35</v>
      </c>
    </row>
    <row r="755" spans="1:3" x14ac:dyDescent="0.2">
      <c r="A755" s="2">
        <v>45293</v>
      </c>
      <c r="B755" s="1" t="s">
        <v>12</v>
      </c>
      <c r="C755" s="1">
        <v>14765.94</v>
      </c>
    </row>
    <row r="756" spans="1:3" x14ac:dyDescent="0.2">
      <c r="A756" s="2">
        <v>45294</v>
      </c>
      <c r="B756" s="1" t="s">
        <v>12</v>
      </c>
      <c r="C756" s="1">
        <v>14592.21</v>
      </c>
    </row>
    <row r="757" spans="1:3" x14ac:dyDescent="0.2">
      <c r="A757" s="2">
        <v>45295</v>
      </c>
      <c r="B757" s="1" t="s">
        <v>12</v>
      </c>
      <c r="C757" s="1">
        <v>14510.3</v>
      </c>
    </row>
    <row r="758" spans="1:3" x14ac:dyDescent="0.2">
      <c r="A758" s="2">
        <v>45296</v>
      </c>
      <c r="B758" s="1" t="s">
        <v>12</v>
      </c>
      <c r="C758" s="1">
        <v>14524.07</v>
      </c>
    </row>
    <row r="759" spans="1:3" x14ac:dyDescent="0.2">
      <c r="A759" s="2">
        <v>45299</v>
      </c>
      <c r="B759" s="1" t="s">
        <v>12</v>
      </c>
      <c r="C759" s="1">
        <v>14843.77</v>
      </c>
    </row>
    <row r="760" spans="1:3" x14ac:dyDescent="0.2">
      <c r="A760" s="2">
        <v>45300</v>
      </c>
      <c r="B760" s="1" t="s">
        <v>12</v>
      </c>
      <c r="C760" s="1">
        <v>14857.71</v>
      </c>
    </row>
    <row r="761" spans="1:3" x14ac:dyDescent="0.2">
      <c r="A761" s="2">
        <v>45301</v>
      </c>
      <c r="B761" s="1" t="s">
        <v>12</v>
      </c>
      <c r="C761" s="1">
        <v>14969.65</v>
      </c>
    </row>
    <row r="762" spans="1:3" x14ac:dyDescent="0.2">
      <c r="A762" s="2">
        <v>45302</v>
      </c>
      <c r="B762" s="1" t="s">
        <v>12</v>
      </c>
      <c r="C762" s="1">
        <v>14970.18</v>
      </c>
    </row>
    <row r="763" spans="1:3" x14ac:dyDescent="0.2">
      <c r="A763" s="2">
        <v>45303</v>
      </c>
      <c r="B763" s="1" t="s">
        <v>12</v>
      </c>
      <c r="C763" s="1">
        <v>14972.76</v>
      </c>
    </row>
    <row r="764" spans="1:3" x14ac:dyDescent="0.2">
      <c r="A764" s="2">
        <v>45307</v>
      </c>
      <c r="B764" s="1" t="s">
        <v>12</v>
      </c>
      <c r="C764" s="1">
        <v>14944.35</v>
      </c>
    </row>
    <row r="765" spans="1:3" x14ac:dyDescent="0.2">
      <c r="A765" s="2">
        <v>45308</v>
      </c>
      <c r="B765" s="1" t="s">
        <v>12</v>
      </c>
      <c r="C765" s="1">
        <v>14855.62</v>
      </c>
    </row>
    <row r="766" spans="1:3" x14ac:dyDescent="0.2">
      <c r="A766" s="2">
        <v>45309</v>
      </c>
      <c r="B766" s="1" t="s">
        <v>12</v>
      </c>
      <c r="C766" s="1">
        <v>15055.65</v>
      </c>
    </row>
    <row r="767" spans="1:3" x14ac:dyDescent="0.2">
      <c r="A767" s="2">
        <v>45310</v>
      </c>
      <c r="B767" s="1" t="s">
        <v>12</v>
      </c>
      <c r="C767" s="1">
        <v>15310.97</v>
      </c>
    </row>
    <row r="768" spans="1:3" x14ac:dyDescent="0.2">
      <c r="A768" s="2">
        <v>45313</v>
      </c>
      <c r="B768" s="1" t="s">
        <v>12</v>
      </c>
      <c r="C768" s="1">
        <v>15360.29</v>
      </c>
    </row>
    <row r="769" spans="1:3" x14ac:dyDescent="0.2">
      <c r="A769" s="2">
        <v>45314</v>
      </c>
      <c r="B769" s="1" t="s">
        <v>12</v>
      </c>
      <c r="C769" s="1">
        <v>15425.94</v>
      </c>
    </row>
    <row r="770" spans="1:3" x14ac:dyDescent="0.2">
      <c r="A770" s="2">
        <v>45315</v>
      </c>
      <c r="B770" s="1" t="s">
        <v>12</v>
      </c>
      <c r="C770" s="1">
        <v>15481.92</v>
      </c>
    </row>
    <row r="771" spans="1:3" x14ac:dyDescent="0.2">
      <c r="A771" s="2">
        <v>45316</v>
      </c>
      <c r="B771" s="1" t="s">
        <v>12</v>
      </c>
      <c r="C771" s="1">
        <v>15510.5</v>
      </c>
    </row>
    <row r="772" spans="1:3" x14ac:dyDescent="0.2">
      <c r="A772" s="2">
        <v>45317</v>
      </c>
      <c r="B772" s="1" t="s">
        <v>12</v>
      </c>
      <c r="C772" s="1">
        <v>15455.36</v>
      </c>
    </row>
    <row r="773" spans="1:3" x14ac:dyDescent="0.2">
      <c r="A773" s="2">
        <v>45320</v>
      </c>
      <c r="B773" s="1" t="s">
        <v>12</v>
      </c>
      <c r="C773" s="1">
        <v>15628.04</v>
      </c>
    </row>
    <row r="774" spans="1:3" x14ac:dyDescent="0.2">
      <c r="A774" s="2">
        <v>45321</v>
      </c>
      <c r="B774" s="1" t="s">
        <v>12</v>
      </c>
      <c r="C774" s="1">
        <v>15509.9</v>
      </c>
    </row>
    <row r="775" spans="1:3" x14ac:dyDescent="0.2">
      <c r="A775" s="2">
        <v>45322</v>
      </c>
      <c r="B775" s="1" t="s">
        <v>12</v>
      </c>
      <c r="C775" s="1">
        <v>15164.01</v>
      </c>
    </row>
    <row r="776" spans="1:3" x14ac:dyDescent="0.2">
      <c r="A776" s="2">
        <v>45323</v>
      </c>
      <c r="B776" s="1" t="s">
        <v>12</v>
      </c>
      <c r="C776" s="1">
        <v>15361.64</v>
      </c>
    </row>
    <row r="777" spans="1:3" x14ac:dyDescent="0.2">
      <c r="A777" s="2">
        <v>45324</v>
      </c>
      <c r="B777" s="1" t="s">
        <v>12</v>
      </c>
      <c r="C777" s="1">
        <v>15628.95</v>
      </c>
    </row>
    <row r="778" spans="1:3" x14ac:dyDescent="0.2">
      <c r="A778" s="2">
        <v>45327</v>
      </c>
      <c r="B778" s="1" t="s">
        <v>12</v>
      </c>
      <c r="C778" s="1">
        <v>15597.68</v>
      </c>
    </row>
    <row r="779" spans="1:3" x14ac:dyDescent="0.2">
      <c r="A779" s="2">
        <v>45328</v>
      </c>
      <c r="B779" s="1" t="s">
        <v>12</v>
      </c>
      <c r="C779" s="1">
        <v>15609</v>
      </c>
    </row>
    <row r="780" spans="1:3" x14ac:dyDescent="0.2">
      <c r="A780" s="2">
        <v>45329</v>
      </c>
      <c r="B780" s="1" t="s">
        <v>12</v>
      </c>
      <c r="C780" s="1">
        <v>15756.64</v>
      </c>
    </row>
    <row r="781" spans="1:3" x14ac:dyDescent="0.2">
      <c r="A781" s="2">
        <v>45330</v>
      </c>
      <c r="B781" s="1" t="s">
        <v>12</v>
      </c>
      <c r="C781" s="1">
        <v>15793.71</v>
      </c>
    </row>
    <row r="782" spans="1:3" x14ac:dyDescent="0.2">
      <c r="A782" s="2">
        <v>45331</v>
      </c>
      <c r="B782" s="1" t="s">
        <v>12</v>
      </c>
      <c r="C782" s="1">
        <v>15990.66</v>
      </c>
    </row>
    <row r="783" spans="1:3" x14ac:dyDescent="0.2">
      <c r="A783" s="2">
        <v>45334</v>
      </c>
      <c r="B783" s="1" t="s">
        <v>12</v>
      </c>
      <c r="C783" s="1">
        <v>15942.55</v>
      </c>
    </row>
    <row r="784" spans="1:3" x14ac:dyDescent="0.2">
      <c r="A784" s="2">
        <v>45335</v>
      </c>
      <c r="B784" s="1" t="s">
        <v>12</v>
      </c>
      <c r="C784" s="1">
        <v>15655.6</v>
      </c>
    </row>
    <row r="785" spans="1:3" x14ac:dyDescent="0.2">
      <c r="A785" s="2">
        <v>45336</v>
      </c>
      <c r="B785" s="1" t="s">
        <v>12</v>
      </c>
      <c r="C785" s="1">
        <v>15859.15</v>
      </c>
    </row>
    <row r="786" spans="1:3" x14ac:dyDescent="0.2">
      <c r="A786" s="2">
        <v>45337</v>
      </c>
      <c r="B786" s="1" t="s">
        <v>12</v>
      </c>
      <c r="C786" s="1">
        <v>15906.17</v>
      </c>
    </row>
    <row r="787" spans="1:3" x14ac:dyDescent="0.2">
      <c r="A787" s="2">
        <v>45338</v>
      </c>
      <c r="B787" s="1" t="s">
        <v>12</v>
      </c>
      <c r="C787" s="1">
        <v>15775.65</v>
      </c>
    </row>
    <row r="788" spans="1:3" x14ac:dyDescent="0.2">
      <c r="A788" s="2">
        <v>45342</v>
      </c>
      <c r="B788" s="1" t="s">
        <v>12</v>
      </c>
      <c r="C788" s="1">
        <v>15630.78</v>
      </c>
    </row>
    <row r="789" spans="1:3" x14ac:dyDescent="0.2">
      <c r="A789" s="2">
        <v>45343</v>
      </c>
      <c r="B789" s="1" t="s">
        <v>12</v>
      </c>
      <c r="C789" s="1">
        <v>15580.87</v>
      </c>
    </row>
    <row r="790" spans="1:3" x14ac:dyDescent="0.2">
      <c r="A790" s="2">
        <v>45344</v>
      </c>
      <c r="B790" s="1" t="s">
        <v>12</v>
      </c>
      <c r="C790" s="1">
        <v>16041.62</v>
      </c>
    </row>
    <row r="791" spans="1:3" x14ac:dyDescent="0.2">
      <c r="A791" s="2">
        <v>45345</v>
      </c>
      <c r="B791" s="1" t="s">
        <v>12</v>
      </c>
      <c r="C791" s="1">
        <v>15996.82</v>
      </c>
    </row>
    <row r="792" spans="1:3" x14ac:dyDescent="0.2">
      <c r="A792" s="2">
        <v>45348</v>
      </c>
      <c r="B792" s="1" t="s">
        <v>12</v>
      </c>
      <c r="C792" s="1">
        <v>15976.25</v>
      </c>
    </row>
    <row r="793" spans="1:3" x14ac:dyDescent="0.2">
      <c r="A793" s="2">
        <v>45349</v>
      </c>
      <c r="B793" s="1" t="s">
        <v>12</v>
      </c>
      <c r="C793" s="1">
        <v>16035.3</v>
      </c>
    </row>
    <row r="794" spans="1:3" x14ac:dyDescent="0.2">
      <c r="A794" s="2">
        <v>45350</v>
      </c>
      <c r="B794" s="1" t="s">
        <v>12</v>
      </c>
      <c r="C794" s="1">
        <v>15947.74</v>
      </c>
    </row>
    <row r="795" spans="1:3" x14ac:dyDescent="0.2">
      <c r="A795" s="2">
        <v>45351</v>
      </c>
      <c r="B795" s="1" t="s">
        <v>12</v>
      </c>
      <c r="C795" s="1">
        <v>16091.92</v>
      </c>
    </row>
    <row r="796" spans="1:3" x14ac:dyDescent="0.2">
      <c r="A796" s="2">
        <v>45352</v>
      </c>
      <c r="B796" s="1" t="s">
        <v>12</v>
      </c>
      <c r="C796" s="1">
        <v>16274.94</v>
      </c>
    </row>
    <row r="797" spans="1:3" x14ac:dyDescent="0.2">
      <c r="A797" s="2">
        <v>45355</v>
      </c>
      <c r="B797" s="1" t="s">
        <v>12</v>
      </c>
      <c r="C797" s="1">
        <v>16207.51</v>
      </c>
    </row>
    <row r="798" spans="1:3" x14ac:dyDescent="0.2">
      <c r="A798" s="2">
        <v>45356</v>
      </c>
      <c r="B798" s="1" t="s">
        <v>12</v>
      </c>
      <c r="C798" s="1">
        <v>15939.59</v>
      </c>
    </row>
    <row r="799" spans="1:3" x14ac:dyDescent="0.2">
      <c r="A799" s="2">
        <v>45357</v>
      </c>
      <c r="B799" s="1" t="s">
        <v>12</v>
      </c>
      <c r="C799" s="1">
        <v>16031.54</v>
      </c>
    </row>
    <row r="800" spans="1:3" x14ac:dyDescent="0.2">
      <c r="A800" s="2">
        <v>45358</v>
      </c>
      <c r="B800" s="1" t="s">
        <v>12</v>
      </c>
      <c r="C800" s="1">
        <v>16273.38</v>
      </c>
    </row>
    <row r="801" spans="1:3" x14ac:dyDescent="0.2">
      <c r="A801" s="2">
        <v>45359</v>
      </c>
      <c r="B801" s="1" t="s">
        <v>12</v>
      </c>
      <c r="C801" s="1">
        <v>16085.11</v>
      </c>
    </row>
    <row r="802" spans="1:3" x14ac:dyDescent="0.2">
      <c r="A802" s="2">
        <v>45362</v>
      </c>
      <c r="B802" s="1" t="s">
        <v>12</v>
      </c>
      <c r="C802" s="1">
        <v>16019.27</v>
      </c>
    </row>
    <row r="803" spans="1:3" x14ac:dyDescent="0.2">
      <c r="A803" s="2">
        <v>45363</v>
      </c>
      <c r="B803" s="1" t="s">
        <v>12</v>
      </c>
      <c r="C803" s="1">
        <v>16265.64</v>
      </c>
    </row>
    <row r="804" spans="1:3" x14ac:dyDescent="0.2">
      <c r="A804" s="2">
        <v>45364</v>
      </c>
      <c r="B804" s="1" t="s">
        <v>12</v>
      </c>
      <c r="C804" s="1">
        <v>16177.77</v>
      </c>
    </row>
    <row r="805" spans="1:3" x14ac:dyDescent="0.2">
      <c r="A805" s="2">
        <v>45365</v>
      </c>
      <c r="B805" s="1" t="s">
        <v>12</v>
      </c>
      <c r="C805" s="1">
        <v>16128.53</v>
      </c>
    </row>
    <row r="806" spans="1:3" x14ac:dyDescent="0.2">
      <c r="A806" s="2">
        <v>45366</v>
      </c>
      <c r="B806" s="1" t="s">
        <v>12</v>
      </c>
      <c r="C806" s="1">
        <v>15973.17</v>
      </c>
    </row>
    <row r="807" spans="1:3" x14ac:dyDescent="0.2">
      <c r="A807" s="2">
        <v>45369</v>
      </c>
      <c r="B807" s="1" t="s">
        <v>12</v>
      </c>
      <c r="C807" s="1">
        <v>16103.45</v>
      </c>
    </row>
    <row r="808" spans="1:3" x14ac:dyDescent="0.2">
      <c r="A808" s="2">
        <v>45370</v>
      </c>
      <c r="B808" s="1" t="s">
        <v>12</v>
      </c>
      <c r="C808" s="1">
        <v>16166.79</v>
      </c>
    </row>
    <row r="809" spans="1:3" x14ac:dyDescent="0.2">
      <c r="A809" s="2">
        <v>45371</v>
      </c>
      <c r="B809" s="1" t="s">
        <v>12</v>
      </c>
      <c r="C809" s="1">
        <v>16369.41</v>
      </c>
    </row>
    <row r="810" spans="1:3" x14ac:dyDescent="0.2">
      <c r="A810" s="2">
        <v>45372</v>
      </c>
      <c r="B810" s="1" t="s">
        <v>12</v>
      </c>
      <c r="C810" s="1">
        <v>16401.84</v>
      </c>
    </row>
    <row r="811" spans="1:3" x14ac:dyDescent="0.2">
      <c r="A811" s="2">
        <v>45373</v>
      </c>
      <c r="B811" s="1" t="s">
        <v>12</v>
      </c>
      <c r="C811" s="1">
        <v>16428.82</v>
      </c>
    </row>
    <row r="812" spans="1:3" x14ac:dyDescent="0.2">
      <c r="A812" s="2">
        <v>45376</v>
      </c>
      <c r="B812" s="1" t="s">
        <v>12</v>
      </c>
      <c r="C812" s="1">
        <v>16384.47</v>
      </c>
    </row>
    <row r="813" spans="1:3" x14ac:dyDescent="0.2">
      <c r="A813" s="2">
        <v>45377</v>
      </c>
      <c r="B813" s="1" t="s">
        <v>12</v>
      </c>
      <c r="C813" s="1">
        <v>16315.7</v>
      </c>
    </row>
    <row r="814" spans="1:3" x14ac:dyDescent="0.2">
      <c r="A814" s="2">
        <v>45378</v>
      </c>
      <c r="B814" s="1" t="s">
        <v>12</v>
      </c>
      <c r="C814" s="1">
        <v>16399.52</v>
      </c>
    </row>
    <row r="815" spans="1:3" x14ac:dyDescent="0.2">
      <c r="A815" s="2">
        <v>45379</v>
      </c>
      <c r="B815" s="1" t="s">
        <v>12</v>
      </c>
      <c r="C815" s="1">
        <v>16379.46</v>
      </c>
    </row>
    <row r="816" spans="1:3" x14ac:dyDescent="0.2">
      <c r="A816" s="2">
        <v>45383</v>
      </c>
      <c r="B816" s="1" t="s">
        <v>12</v>
      </c>
      <c r="C816" s="1">
        <v>16396.830000000002</v>
      </c>
    </row>
    <row r="817" spans="1:3" x14ac:dyDescent="0.2">
      <c r="A817" s="2">
        <v>45384</v>
      </c>
      <c r="B817" s="1" t="s">
        <v>12</v>
      </c>
      <c r="C817" s="1">
        <v>16240.45</v>
      </c>
    </row>
    <row r="818" spans="1:3" x14ac:dyDescent="0.2">
      <c r="A818" s="2">
        <v>45385</v>
      </c>
      <c r="B818" s="1" t="s">
        <v>12</v>
      </c>
      <c r="C818" s="1">
        <v>16277.46</v>
      </c>
    </row>
    <row r="819" spans="1:3" x14ac:dyDescent="0.2">
      <c r="A819" s="2">
        <v>45386</v>
      </c>
      <c r="B819" s="1" t="s">
        <v>12</v>
      </c>
      <c r="C819" s="1">
        <v>16049.08</v>
      </c>
    </row>
    <row r="820" spans="1:3" x14ac:dyDescent="0.2">
      <c r="A820" s="2">
        <v>45387</v>
      </c>
      <c r="B820" s="1" t="s">
        <v>12</v>
      </c>
      <c r="C820" s="1">
        <v>16248.52</v>
      </c>
    </row>
    <row r="821" spans="1:3" x14ac:dyDescent="0.2">
      <c r="A821" s="2">
        <v>45390</v>
      </c>
      <c r="B821" s="1" t="s">
        <v>12</v>
      </c>
      <c r="C821" s="1">
        <v>16253.96</v>
      </c>
    </row>
    <row r="822" spans="1:3" x14ac:dyDescent="0.2">
      <c r="A822" s="2">
        <v>45391</v>
      </c>
      <c r="B822" s="1" t="s">
        <v>12</v>
      </c>
      <c r="C822" s="1">
        <v>16306.64</v>
      </c>
    </row>
    <row r="823" spans="1:3" x14ac:dyDescent="0.2">
      <c r="A823" s="2">
        <v>45392</v>
      </c>
      <c r="B823" s="1" t="s">
        <v>12</v>
      </c>
      <c r="C823" s="1">
        <v>16170.36</v>
      </c>
    </row>
    <row r="824" spans="1:3" x14ac:dyDescent="0.2">
      <c r="A824" s="2">
        <v>45393</v>
      </c>
      <c r="B824" s="1" t="s">
        <v>12</v>
      </c>
      <c r="C824" s="1">
        <v>16442.2</v>
      </c>
    </row>
    <row r="825" spans="1:3" x14ac:dyDescent="0.2">
      <c r="A825" s="2">
        <v>45394</v>
      </c>
      <c r="B825" s="1" t="s">
        <v>12</v>
      </c>
      <c r="C825" s="1">
        <v>16175.09</v>
      </c>
    </row>
    <row r="826" spans="1:3" x14ac:dyDescent="0.2">
      <c r="A826" s="2">
        <v>45397</v>
      </c>
      <c r="B826" s="1" t="s">
        <v>12</v>
      </c>
      <c r="C826" s="1">
        <v>15885.02</v>
      </c>
    </row>
    <row r="827" spans="1:3" x14ac:dyDescent="0.2">
      <c r="A827" s="2">
        <v>45398</v>
      </c>
      <c r="B827" s="1" t="s">
        <v>12</v>
      </c>
      <c r="C827" s="1">
        <v>15865.25</v>
      </c>
    </row>
    <row r="828" spans="1:3" x14ac:dyDescent="0.2">
      <c r="A828" s="2">
        <v>45399</v>
      </c>
      <c r="B828" s="1" t="s">
        <v>12</v>
      </c>
      <c r="C828" s="1">
        <v>15683.37</v>
      </c>
    </row>
    <row r="829" spans="1:3" x14ac:dyDescent="0.2">
      <c r="A829" s="2">
        <v>45400</v>
      </c>
      <c r="B829" s="1" t="s">
        <v>12</v>
      </c>
      <c r="C829" s="1">
        <v>15601.5</v>
      </c>
    </row>
    <row r="830" spans="1:3" x14ac:dyDescent="0.2">
      <c r="A830" s="2">
        <v>45401</v>
      </c>
      <c r="B830" s="1" t="s">
        <v>12</v>
      </c>
      <c r="C830" s="1">
        <v>15282.01</v>
      </c>
    </row>
    <row r="831" spans="1:3" x14ac:dyDescent="0.2">
      <c r="A831" s="2">
        <v>45404</v>
      </c>
      <c r="B831" s="1" t="s">
        <v>12</v>
      </c>
      <c r="C831" s="1">
        <v>15451.31</v>
      </c>
    </row>
    <row r="832" spans="1:3" x14ac:dyDescent="0.2">
      <c r="A832" s="2">
        <v>45405</v>
      </c>
      <c r="B832" s="1" t="s">
        <v>12</v>
      </c>
      <c r="C832" s="1">
        <v>15696.64</v>
      </c>
    </row>
    <row r="833" spans="1:3" x14ac:dyDescent="0.2">
      <c r="A833" s="2">
        <v>45406</v>
      </c>
      <c r="B833" s="1" t="s">
        <v>12</v>
      </c>
      <c r="C833" s="1">
        <v>15712.75</v>
      </c>
    </row>
    <row r="834" spans="1:3" x14ac:dyDescent="0.2">
      <c r="A834" s="2">
        <v>45407</v>
      </c>
      <c r="B834" s="1" t="s">
        <v>12</v>
      </c>
      <c r="C834" s="1">
        <v>15611.76</v>
      </c>
    </row>
    <row r="835" spans="1:3" x14ac:dyDescent="0.2">
      <c r="A835" s="2">
        <v>45408</v>
      </c>
      <c r="B835" s="1" t="s">
        <v>12</v>
      </c>
      <c r="C835" s="1">
        <v>15927.9</v>
      </c>
    </row>
    <row r="836" spans="1:3" x14ac:dyDescent="0.2">
      <c r="A836" s="2">
        <v>45411</v>
      </c>
      <c r="B836" s="1" t="s">
        <v>12</v>
      </c>
      <c r="C836" s="1">
        <v>15983.08</v>
      </c>
    </row>
    <row r="837" spans="1:3" x14ac:dyDescent="0.2">
      <c r="A837" s="2">
        <v>45412</v>
      </c>
      <c r="B837" s="1" t="s">
        <v>12</v>
      </c>
      <c r="C837" s="1">
        <v>15657.82</v>
      </c>
    </row>
    <row r="838" spans="1:3" x14ac:dyDescent="0.2">
      <c r="A838" s="2">
        <v>45413</v>
      </c>
      <c r="B838" s="1" t="s">
        <v>12</v>
      </c>
      <c r="C838" s="1">
        <v>15605.48</v>
      </c>
    </row>
    <row r="839" spans="1:3" x14ac:dyDescent="0.2">
      <c r="A839" s="2">
        <v>45414</v>
      </c>
      <c r="B839" s="1" t="s">
        <v>12</v>
      </c>
      <c r="C839" s="1">
        <v>15840.96</v>
      </c>
    </row>
    <row r="840" spans="1:3" x14ac:dyDescent="0.2">
      <c r="A840" s="2">
        <v>45415</v>
      </c>
      <c r="B840" s="1" t="s">
        <v>12</v>
      </c>
      <c r="C840" s="1">
        <v>16156.33</v>
      </c>
    </row>
    <row r="841" spans="1:3" x14ac:dyDescent="0.2">
      <c r="A841" s="2">
        <v>45418</v>
      </c>
      <c r="B841" s="1" t="s">
        <v>12</v>
      </c>
      <c r="C841" s="1">
        <v>16349.25</v>
      </c>
    </row>
    <row r="842" spans="1:3" x14ac:dyDescent="0.2">
      <c r="A842" s="2">
        <v>45419</v>
      </c>
      <c r="B842" s="1" t="s">
        <v>12</v>
      </c>
      <c r="C842" s="1">
        <v>16332.56</v>
      </c>
    </row>
    <row r="843" spans="1:3" x14ac:dyDescent="0.2">
      <c r="A843" s="2">
        <v>45420</v>
      </c>
      <c r="B843" s="1" t="s">
        <v>12</v>
      </c>
      <c r="C843" s="1">
        <v>16302.76</v>
      </c>
    </row>
    <row r="844" spans="1:3" x14ac:dyDescent="0.2">
      <c r="A844" s="2">
        <v>45421</v>
      </c>
      <c r="B844" s="1" t="s">
        <v>12</v>
      </c>
      <c r="C844" s="1">
        <v>16346.26</v>
      </c>
    </row>
    <row r="845" spans="1:3" x14ac:dyDescent="0.2">
      <c r="A845" s="2">
        <v>45422</v>
      </c>
      <c r="B845" s="1" t="s">
        <v>12</v>
      </c>
      <c r="C845" s="1">
        <v>16340.87</v>
      </c>
    </row>
    <row r="846" spans="1:3" x14ac:dyDescent="0.2">
      <c r="A846" s="2">
        <v>45425</v>
      </c>
      <c r="B846" s="1" t="s">
        <v>12</v>
      </c>
      <c r="C846" s="1">
        <v>16388.240000000002</v>
      </c>
    </row>
    <row r="847" spans="1:3" x14ac:dyDescent="0.2">
      <c r="A847" s="2">
        <v>45426</v>
      </c>
      <c r="B847" s="1" t="s">
        <v>12</v>
      </c>
      <c r="C847" s="1">
        <v>16511.18</v>
      </c>
    </row>
    <row r="848" spans="1:3" x14ac:dyDescent="0.2">
      <c r="A848" s="2">
        <v>45427</v>
      </c>
      <c r="B848" s="1" t="s">
        <v>12</v>
      </c>
      <c r="C848" s="1">
        <v>16742.39</v>
      </c>
    </row>
    <row r="849" spans="1:3" x14ac:dyDescent="0.2">
      <c r="A849" s="2">
        <v>45428</v>
      </c>
      <c r="B849" s="1" t="s">
        <v>12</v>
      </c>
      <c r="C849" s="1">
        <v>16698.32</v>
      </c>
    </row>
    <row r="850" spans="1:3" x14ac:dyDescent="0.2">
      <c r="A850" s="2">
        <v>45429</v>
      </c>
      <c r="B850" s="1" t="s">
        <v>12</v>
      </c>
      <c r="C850" s="1">
        <v>16685.97</v>
      </c>
    </row>
    <row r="851" spans="1:3" x14ac:dyDescent="0.2">
      <c r="A851" s="2">
        <v>45432</v>
      </c>
      <c r="B851" s="1" t="s">
        <v>12</v>
      </c>
      <c r="C851" s="1">
        <v>16794.88</v>
      </c>
    </row>
    <row r="852" spans="1:3" x14ac:dyDescent="0.2">
      <c r="A852" s="2">
        <v>45433</v>
      </c>
      <c r="B852" s="1" t="s">
        <v>12</v>
      </c>
      <c r="C852" s="1">
        <v>16832.63</v>
      </c>
    </row>
    <row r="853" spans="1:3" x14ac:dyDescent="0.2">
      <c r="A853" s="2">
        <v>45434</v>
      </c>
      <c r="B853" s="1" t="s">
        <v>12</v>
      </c>
      <c r="C853" s="1">
        <v>16801.54</v>
      </c>
    </row>
    <row r="854" spans="1:3" x14ac:dyDescent="0.2">
      <c r="A854" s="2">
        <v>45435</v>
      </c>
      <c r="B854" s="1" t="s">
        <v>12</v>
      </c>
      <c r="C854" s="1">
        <v>16736.03</v>
      </c>
    </row>
    <row r="855" spans="1:3" x14ac:dyDescent="0.2">
      <c r="A855" s="2">
        <v>45436</v>
      </c>
      <c r="B855" s="1" t="s">
        <v>12</v>
      </c>
      <c r="C855" s="1">
        <v>16920.79</v>
      </c>
    </row>
    <row r="856" spans="1:3" x14ac:dyDescent="0.2">
      <c r="A856" s="2">
        <v>45440</v>
      </c>
      <c r="B856" s="1" t="s">
        <v>12</v>
      </c>
      <c r="C856" s="1">
        <v>17019.88</v>
      </c>
    </row>
    <row r="857" spans="1:3" x14ac:dyDescent="0.2">
      <c r="A857" s="2">
        <v>45441</v>
      </c>
      <c r="B857" s="1" t="s">
        <v>12</v>
      </c>
      <c r="C857" s="1">
        <v>16920.580000000002</v>
      </c>
    </row>
    <row r="858" spans="1:3" x14ac:dyDescent="0.2">
      <c r="A858" s="2">
        <v>45442</v>
      </c>
      <c r="B858" s="1" t="s">
        <v>12</v>
      </c>
      <c r="C858" s="1">
        <v>16737.080000000002</v>
      </c>
    </row>
    <row r="859" spans="1:3" x14ac:dyDescent="0.2">
      <c r="A859" s="2">
        <v>45443</v>
      </c>
      <c r="B859" s="1" t="s">
        <v>12</v>
      </c>
      <c r="C859" s="1">
        <v>16735.02</v>
      </c>
    </row>
    <row r="860" spans="1:3" x14ac:dyDescent="0.2">
      <c r="A860" s="2">
        <v>45446</v>
      </c>
      <c r="B860" s="1" t="s">
        <v>12</v>
      </c>
      <c r="C860" s="1">
        <v>16828.669999999998</v>
      </c>
    </row>
    <row r="861" spans="1:3" x14ac:dyDescent="0.2">
      <c r="A861" s="2">
        <v>45447</v>
      </c>
      <c r="B861" s="1" t="s">
        <v>12</v>
      </c>
      <c r="C861" s="1">
        <v>16857.05</v>
      </c>
    </row>
    <row r="862" spans="1:3" x14ac:dyDescent="0.2">
      <c r="A862" s="2">
        <v>45448</v>
      </c>
      <c r="B862" s="1" t="s">
        <v>12</v>
      </c>
      <c r="C862" s="1">
        <v>17187.900000000001</v>
      </c>
    </row>
    <row r="863" spans="1:3" x14ac:dyDescent="0.2">
      <c r="A863" s="2">
        <v>45449</v>
      </c>
      <c r="B863" s="1" t="s">
        <v>12</v>
      </c>
      <c r="C863" s="1">
        <v>17173.12</v>
      </c>
    </row>
    <row r="864" spans="1:3" x14ac:dyDescent="0.2">
      <c r="A864" s="2">
        <v>45450</v>
      </c>
      <c r="B864" s="1" t="s">
        <v>12</v>
      </c>
      <c r="C864" s="1">
        <v>17133.13</v>
      </c>
    </row>
    <row r="865" spans="1:3" x14ac:dyDescent="0.2">
      <c r="A865" s="2">
        <v>45453</v>
      </c>
      <c r="B865" s="1" t="s">
        <v>12</v>
      </c>
      <c r="C865" s="1">
        <v>17192.53</v>
      </c>
    </row>
    <row r="866" spans="1:3" x14ac:dyDescent="0.2">
      <c r="A866" s="2">
        <v>45454</v>
      </c>
      <c r="B866" s="1" t="s">
        <v>12</v>
      </c>
      <c r="C866" s="1">
        <v>17343.55</v>
      </c>
    </row>
    <row r="867" spans="1:3" x14ac:dyDescent="0.2">
      <c r="A867" s="2">
        <v>45455</v>
      </c>
      <c r="B867" s="1" t="s">
        <v>12</v>
      </c>
      <c r="C867" s="1">
        <v>17608.439999999999</v>
      </c>
    </row>
    <row r="868" spans="1:3" x14ac:dyDescent="0.2">
      <c r="A868" s="2">
        <v>45456</v>
      </c>
      <c r="B868" s="1" t="s">
        <v>12</v>
      </c>
      <c r="C868" s="1">
        <v>17667.560000000001</v>
      </c>
    </row>
    <row r="869" spans="1:3" x14ac:dyDescent="0.2">
      <c r="A869" s="2">
        <v>45457</v>
      </c>
      <c r="B869" s="1" t="s">
        <v>12</v>
      </c>
      <c r="C869" s="1">
        <v>17688.88</v>
      </c>
    </row>
    <row r="870" spans="1:3" x14ac:dyDescent="0.2">
      <c r="A870" s="2">
        <v>45460</v>
      </c>
      <c r="B870" s="1" t="s">
        <v>12</v>
      </c>
      <c r="C870" s="1">
        <v>17857.02</v>
      </c>
    </row>
    <row r="871" spans="1:3" x14ac:dyDescent="0.2">
      <c r="A871" s="2">
        <v>45461</v>
      </c>
      <c r="B871" s="1" t="s">
        <v>12</v>
      </c>
      <c r="C871" s="1">
        <v>17862.23</v>
      </c>
    </row>
    <row r="872" spans="1:3" x14ac:dyDescent="0.2">
      <c r="A872" s="2">
        <v>45463</v>
      </c>
      <c r="B872" s="1" t="s">
        <v>12</v>
      </c>
      <c r="C872" s="1">
        <v>17721.59</v>
      </c>
    </row>
    <row r="873" spans="1:3" x14ac:dyDescent="0.2">
      <c r="A873" s="2">
        <v>45464</v>
      </c>
      <c r="B873" s="1" t="s">
        <v>12</v>
      </c>
      <c r="C873" s="1">
        <v>17689.36</v>
      </c>
    </row>
    <row r="874" spans="1:3" x14ac:dyDescent="0.2">
      <c r="A874" s="2">
        <v>45467</v>
      </c>
      <c r="B874" s="1" t="s">
        <v>12</v>
      </c>
      <c r="C874" s="1">
        <v>17496.82</v>
      </c>
    </row>
    <row r="875" spans="1:3" x14ac:dyDescent="0.2">
      <c r="A875" s="2">
        <v>45468</v>
      </c>
      <c r="B875" s="1" t="s">
        <v>12</v>
      </c>
      <c r="C875" s="1">
        <v>17717.650000000001</v>
      </c>
    </row>
    <row r="876" spans="1:3" x14ac:dyDescent="0.2">
      <c r="A876" s="2">
        <v>45469</v>
      </c>
      <c r="B876" s="1" t="s">
        <v>12</v>
      </c>
      <c r="C876" s="1">
        <v>17805.16</v>
      </c>
    </row>
    <row r="877" spans="1:3" x14ac:dyDescent="0.2">
      <c r="A877" s="2">
        <v>45470</v>
      </c>
      <c r="B877" s="1" t="s">
        <v>12</v>
      </c>
      <c r="C877" s="1">
        <v>17858.68</v>
      </c>
    </row>
    <row r="878" spans="1:3" x14ac:dyDescent="0.2">
      <c r="A878" s="2">
        <v>45471</v>
      </c>
      <c r="B878" s="1" t="s">
        <v>12</v>
      </c>
      <c r="C878" s="1">
        <v>17732.599999999999</v>
      </c>
    </row>
    <row r="879" spans="1:3" x14ac:dyDescent="0.2">
      <c r="A879" s="2">
        <v>45474</v>
      </c>
      <c r="B879" s="1" t="s">
        <v>12</v>
      </c>
      <c r="C879" s="1">
        <v>17879.3</v>
      </c>
    </row>
    <row r="880" spans="1:3" x14ac:dyDescent="0.2">
      <c r="A880" s="2">
        <v>45475</v>
      </c>
      <c r="B880" s="1" t="s">
        <v>12</v>
      </c>
      <c r="C880" s="1">
        <v>18028.759999999998</v>
      </c>
    </row>
    <row r="881" spans="1:3" x14ac:dyDescent="0.2">
      <c r="A881" s="2">
        <v>45476</v>
      </c>
      <c r="B881" s="1" t="s">
        <v>12</v>
      </c>
      <c r="C881" s="1">
        <v>18188.3</v>
      </c>
    </row>
    <row r="882" spans="1:3" x14ac:dyDescent="0.2">
      <c r="A882" s="2">
        <v>45478</v>
      </c>
      <c r="B882" s="1" t="s">
        <v>12</v>
      </c>
      <c r="C882" s="1">
        <v>18352.759999999998</v>
      </c>
    </row>
    <row r="883" spans="1:3" x14ac:dyDescent="0.2">
      <c r="A883" s="2">
        <v>45481</v>
      </c>
      <c r="B883" s="1" t="s">
        <v>12</v>
      </c>
      <c r="C883" s="1">
        <v>18403.740000000002</v>
      </c>
    </row>
    <row r="884" spans="1:3" x14ac:dyDescent="0.2">
      <c r="A884" s="2">
        <v>45482</v>
      </c>
      <c r="B884" s="1" t="s">
        <v>12</v>
      </c>
      <c r="C884" s="1">
        <v>18429.29</v>
      </c>
    </row>
    <row r="885" spans="1:3" x14ac:dyDescent="0.2">
      <c r="A885" s="2">
        <v>45483</v>
      </c>
      <c r="B885" s="1" t="s">
        <v>12</v>
      </c>
      <c r="C885" s="1">
        <v>18647.45</v>
      </c>
    </row>
    <row r="886" spans="1:3" x14ac:dyDescent="0.2">
      <c r="A886" s="2">
        <v>45484</v>
      </c>
      <c r="B886" s="1" t="s">
        <v>12</v>
      </c>
      <c r="C886" s="1">
        <v>18283.41</v>
      </c>
    </row>
    <row r="887" spans="1:3" x14ac:dyDescent="0.2">
      <c r="A887" s="2">
        <v>45485</v>
      </c>
      <c r="B887" s="1" t="s">
        <v>12</v>
      </c>
      <c r="C887" s="1">
        <v>18398.45</v>
      </c>
    </row>
    <row r="888" spans="1:3" x14ac:dyDescent="0.2">
      <c r="A888" s="2">
        <v>45488</v>
      </c>
      <c r="B888" s="1" t="s">
        <v>12</v>
      </c>
      <c r="C888" s="1">
        <v>18472.57</v>
      </c>
    </row>
    <row r="889" spans="1:3" x14ac:dyDescent="0.2">
      <c r="A889" s="2">
        <v>45489</v>
      </c>
      <c r="B889" s="1" t="s">
        <v>12</v>
      </c>
      <c r="C889" s="1">
        <v>18509.34</v>
      </c>
    </row>
    <row r="890" spans="1:3" x14ac:dyDescent="0.2">
      <c r="A890" s="2">
        <v>45490</v>
      </c>
      <c r="B890" s="1" t="s">
        <v>12</v>
      </c>
      <c r="C890" s="1">
        <v>17996.919999999998</v>
      </c>
    </row>
    <row r="891" spans="1:3" x14ac:dyDescent="0.2">
      <c r="A891" s="2">
        <v>45491</v>
      </c>
      <c r="B891" s="1" t="s">
        <v>12</v>
      </c>
      <c r="C891" s="1">
        <v>17871.22</v>
      </c>
    </row>
    <row r="892" spans="1:3" x14ac:dyDescent="0.2">
      <c r="A892" s="2">
        <v>45492</v>
      </c>
      <c r="B892" s="1" t="s">
        <v>12</v>
      </c>
      <c r="C892" s="1">
        <v>17726.939999999999</v>
      </c>
    </row>
    <row r="893" spans="1:3" x14ac:dyDescent="0.2">
      <c r="A893" s="2">
        <v>45495</v>
      </c>
      <c r="B893" s="1" t="s">
        <v>12</v>
      </c>
      <c r="C893" s="1">
        <v>18007.57</v>
      </c>
    </row>
    <row r="894" spans="1:3" x14ac:dyDescent="0.2">
      <c r="A894" s="2">
        <v>45496</v>
      </c>
      <c r="B894" s="1" t="s">
        <v>12</v>
      </c>
      <c r="C894" s="1">
        <v>17997.349999999999</v>
      </c>
    </row>
    <row r="895" spans="1:3" x14ac:dyDescent="0.2">
      <c r="A895" s="2">
        <v>45497</v>
      </c>
      <c r="B895" s="1" t="s">
        <v>12</v>
      </c>
      <c r="C895" s="1">
        <v>17342.41</v>
      </c>
    </row>
    <row r="896" spans="1:3" x14ac:dyDescent="0.2">
      <c r="A896" s="2">
        <v>45498</v>
      </c>
      <c r="B896" s="1" t="s">
        <v>12</v>
      </c>
      <c r="C896" s="1">
        <v>17181.72</v>
      </c>
    </row>
    <row r="897" spans="1:3" x14ac:dyDescent="0.2">
      <c r="A897" s="2">
        <v>45499</v>
      </c>
      <c r="B897" s="1" t="s">
        <v>12</v>
      </c>
      <c r="C897" s="1">
        <v>17357.88</v>
      </c>
    </row>
    <row r="898" spans="1:3" x14ac:dyDescent="0.2">
      <c r="A898" s="2">
        <v>45502</v>
      </c>
      <c r="B898" s="1" t="s">
        <v>12</v>
      </c>
      <c r="C898" s="1">
        <v>17370.2</v>
      </c>
    </row>
    <row r="899" spans="1:3" x14ac:dyDescent="0.2">
      <c r="A899" s="2">
        <v>45503</v>
      </c>
      <c r="B899" s="1" t="s">
        <v>12</v>
      </c>
      <c r="C899" s="1">
        <v>17147.419999999998</v>
      </c>
    </row>
    <row r="900" spans="1:3" x14ac:dyDescent="0.2">
      <c r="A900" s="2">
        <v>45504</v>
      </c>
      <c r="B900" s="1" t="s">
        <v>12</v>
      </c>
      <c r="C900" s="1">
        <v>17599.400000000001</v>
      </c>
    </row>
    <row r="901" spans="1:3" x14ac:dyDescent="0.2">
      <c r="A901" s="2">
        <v>45505</v>
      </c>
      <c r="B901" s="1" t="s">
        <v>12</v>
      </c>
      <c r="C901" s="1">
        <v>17194.14</v>
      </c>
    </row>
    <row r="902" spans="1:3" x14ac:dyDescent="0.2">
      <c r="A902" s="2">
        <v>45506</v>
      </c>
      <c r="B902" s="1" t="s">
        <v>12</v>
      </c>
      <c r="C902" s="1">
        <v>16776.16</v>
      </c>
    </row>
    <row r="903" spans="1:3" x14ac:dyDescent="0.2">
      <c r="A903" s="2">
        <v>45509</v>
      </c>
      <c r="B903" s="1" t="s">
        <v>12</v>
      </c>
      <c r="C903" s="1">
        <v>16200.08</v>
      </c>
    </row>
    <row r="904" spans="1:3" x14ac:dyDescent="0.2">
      <c r="A904" s="2">
        <v>45510</v>
      </c>
      <c r="B904" s="1" t="s">
        <v>12</v>
      </c>
      <c r="C904" s="1">
        <v>16366.85</v>
      </c>
    </row>
    <row r="905" spans="1:3" x14ac:dyDescent="0.2">
      <c r="A905" s="2">
        <v>45511</v>
      </c>
      <c r="B905" s="1" t="s">
        <v>12</v>
      </c>
      <c r="C905" s="1">
        <v>16195.81</v>
      </c>
    </row>
    <row r="906" spans="1:3" x14ac:dyDescent="0.2">
      <c r="A906" s="2">
        <v>45512</v>
      </c>
      <c r="B906" s="1" t="s">
        <v>12</v>
      </c>
      <c r="C906" s="1">
        <v>16660.02</v>
      </c>
    </row>
    <row r="907" spans="1:3" x14ac:dyDescent="0.2">
      <c r="A907" s="2">
        <v>45513</v>
      </c>
      <c r="B907" s="1" t="s">
        <v>12</v>
      </c>
      <c r="C907" s="1">
        <v>16745.3</v>
      </c>
    </row>
    <row r="908" spans="1:3" x14ac:dyDescent="0.2">
      <c r="A908" s="2">
        <v>45516</v>
      </c>
      <c r="B908" s="1" t="s">
        <v>12</v>
      </c>
      <c r="C908" s="1">
        <v>16780.61</v>
      </c>
    </row>
    <row r="909" spans="1:3" x14ac:dyDescent="0.2">
      <c r="A909" s="2">
        <v>45517</v>
      </c>
      <c r="B909" s="1" t="s">
        <v>12</v>
      </c>
      <c r="C909" s="1">
        <v>17187.61</v>
      </c>
    </row>
    <row r="910" spans="1:3" x14ac:dyDescent="0.2">
      <c r="A910" s="2">
        <v>45518</v>
      </c>
      <c r="B910" s="1" t="s">
        <v>12</v>
      </c>
      <c r="C910" s="1">
        <v>17192.599999999999</v>
      </c>
    </row>
    <row r="911" spans="1:3" x14ac:dyDescent="0.2">
      <c r="A911" s="2">
        <v>45519</v>
      </c>
      <c r="B911" s="1" t="s">
        <v>12</v>
      </c>
      <c r="C911" s="1">
        <v>17594.5</v>
      </c>
    </row>
    <row r="912" spans="1:3" x14ac:dyDescent="0.2">
      <c r="A912" s="2">
        <v>45520</v>
      </c>
      <c r="B912" s="1" t="s">
        <v>12</v>
      </c>
      <c r="C912" s="1">
        <v>17631.72</v>
      </c>
    </row>
    <row r="913" spans="1:3" x14ac:dyDescent="0.2">
      <c r="A913" s="2">
        <v>45523</v>
      </c>
      <c r="B913" s="1" t="s">
        <v>12</v>
      </c>
      <c r="C913" s="1">
        <v>17876.77</v>
      </c>
    </row>
    <row r="914" spans="1:3" x14ac:dyDescent="0.2">
      <c r="A914" s="2">
        <v>45524</v>
      </c>
      <c r="B914" s="1" t="s">
        <v>12</v>
      </c>
      <c r="C914" s="1">
        <v>17816.939999999999</v>
      </c>
    </row>
    <row r="915" spans="1:3" x14ac:dyDescent="0.2">
      <c r="A915" s="2">
        <v>45525</v>
      </c>
      <c r="B915" s="1" t="s">
        <v>12</v>
      </c>
      <c r="C915" s="1">
        <v>17918.990000000002</v>
      </c>
    </row>
    <row r="916" spans="1:3" x14ac:dyDescent="0.2">
      <c r="A916" s="2">
        <v>45526</v>
      </c>
      <c r="B916" s="1" t="s">
        <v>12</v>
      </c>
      <c r="C916" s="1">
        <v>17619.349999999999</v>
      </c>
    </row>
    <row r="917" spans="1:3" x14ac:dyDescent="0.2">
      <c r="A917" s="2">
        <v>45527</v>
      </c>
      <c r="B917" s="1" t="s">
        <v>12</v>
      </c>
      <c r="C917" s="1">
        <v>17877.79</v>
      </c>
    </row>
    <row r="918" spans="1:3" x14ac:dyDescent="0.2">
      <c r="A918" s="2">
        <v>45530</v>
      </c>
      <c r="B918" s="1" t="s">
        <v>12</v>
      </c>
      <c r="C918" s="1">
        <v>17725.77</v>
      </c>
    </row>
    <row r="919" spans="1:3" x14ac:dyDescent="0.2">
      <c r="A919" s="2">
        <v>45531</v>
      </c>
      <c r="B919" s="1" t="s">
        <v>12</v>
      </c>
      <c r="C919" s="1">
        <v>17754.82</v>
      </c>
    </row>
    <row r="920" spans="1:3" x14ac:dyDescent="0.2">
      <c r="A920" s="2">
        <v>45532</v>
      </c>
      <c r="B920" s="1" t="s">
        <v>12</v>
      </c>
      <c r="C920" s="1">
        <v>17556.03</v>
      </c>
    </row>
    <row r="921" spans="1:3" x14ac:dyDescent="0.2">
      <c r="A921" s="2">
        <v>45533</v>
      </c>
      <c r="B921" s="1" t="s">
        <v>12</v>
      </c>
      <c r="C921" s="1">
        <v>17516.43</v>
      </c>
    </row>
    <row r="922" spans="1:3" x14ac:dyDescent="0.2">
      <c r="A922" s="2">
        <v>45534</v>
      </c>
      <c r="B922" s="1" t="s">
        <v>12</v>
      </c>
      <c r="C922" s="1">
        <v>17713.63</v>
      </c>
    </row>
    <row r="923" spans="1:3" x14ac:dyDescent="0.2">
      <c r="A923" s="2">
        <v>45538</v>
      </c>
      <c r="B923" s="1" t="s">
        <v>12</v>
      </c>
      <c r="C923" s="1">
        <v>17136.3</v>
      </c>
    </row>
    <row r="924" spans="1:3" x14ac:dyDescent="0.2">
      <c r="A924" s="2">
        <v>45539</v>
      </c>
      <c r="B924" s="1" t="s">
        <v>12</v>
      </c>
      <c r="C924" s="1">
        <v>17084.3</v>
      </c>
    </row>
    <row r="925" spans="1:3" x14ac:dyDescent="0.2">
      <c r="A925" s="2">
        <v>45540</v>
      </c>
      <c r="B925" s="1" t="s">
        <v>12</v>
      </c>
      <c r="C925" s="1">
        <v>17127.66</v>
      </c>
    </row>
    <row r="926" spans="1:3" x14ac:dyDescent="0.2">
      <c r="A926" s="2">
        <v>45541</v>
      </c>
      <c r="B926" s="1" t="s">
        <v>12</v>
      </c>
      <c r="C926" s="1">
        <v>16690.830000000002</v>
      </c>
    </row>
    <row r="927" spans="1:3" x14ac:dyDescent="0.2">
      <c r="A927" s="2">
        <v>45544</v>
      </c>
      <c r="B927" s="1" t="s">
        <v>12</v>
      </c>
      <c r="C927" s="1">
        <v>16884.599999999999</v>
      </c>
    </row>
    <row r="928" spans="1:3" x14ac:dyDescent="0.2">
      <c r="A928" s="2">
        <v>45545</v>
      </c>
      <c r="B928" s="1" t="s">
        <v>12</v>
      </c>
      <c r="C928" s="1">
        <v>17025.88</v>
      </c>
    </row>
    <row r="929" spans="1:3" x14ac:dyDescent="0.2">
      <c r="A929" s="2">
        <v>45546</v>
      </c>
      <c r="B929" s="1" t="s">
        <v>12</v>
      </c>
      <c r="C929" s="1">
        <v>17395.53</v>
      </c>
    </row>
    <row r="930" spans="1:3" x14ac:dyDescent="0.2">
      <c r="A930" s="2">
        <v>45547</v>
      </c>
      <c r="B930" s="1" t="s">
        <v>12</v>
      </c>
      <c r="C930" s="1">
        <v>17569.68</v>
      </c>
    </row>
    <row r="931" spans="1:3" x14ac:dyDescent="0.2">
      <c r="A931" s="2">
        <v>45548</v>
      </c>
      <c r="B931" s="1" t="s">
        <v>12</v>
      </c>
      <c r="C931" s="1">
        <v>17683.98</v>
      </c>
    </row>
    <row r="932" spans="1:3" x14ac:dyDescent="0.2">
      <c r="A932" s="2">
        <v>45551</v>
      </c>
      <c r="B932" s="1" t="s">
        <v>12</v>
      </c>
      <c r="C932" s="1">
        <v>17592.13</v>
      </c>
    </row>
    <row r="933" spans="1:3" x14ac:dyDescent="0.2">
      <c r="A933" s="2">
        <v>45552</v>
      </c>
      <c r="B933" s="1" t="s">
        <v>12</v>
      </c>
      <c r="C933" s="1">
        <v>17628.060000000001</v>
      </c>
    </row>
    <row r="934" spans="1:3" x14ac:dyDescent="0.2">
      <c r="A934" s="2">
        <v>45553</v>
      </c>
      <c r="B934" s="1" t="s">
        <v>12</v>
      </c>
      <c r="C934" s="1">
        <v>17573.3</v>
      </c>
    </row>
    <row r="935" spans="1:3" x14ac:dyDescent="0.2">
      <c r="A935" s="2">
        <v>45554</v>
      </c>
      <c r="B935" s="1" t="s">
        <v>12</v>
      </c>
      <c r="C935" s="1">
        <v>18013.98</v>
      </c>
    </row>
    <row r="936" spans="1:3" x14ac:dyDescent="0.2">
      <c r="A936" s="2">
        <v>45555</v>
      </c>
      <c r="B936" s="1" t="s">
        <v>12</v>
      </c>
      <c r="C936" s="1">
        <v>17948.32</v>
      </c>
    </row>
    <row r="937" spans="1:3" x14ac:dyDescent="0.2">
      <c r="A937" s="2">
        <v>45558</v>
      </c>
      <c r="B937" s="1" t="s">
        <v>12</v>
      </c>
      <c r="C937" s="1">
        <v>17974.27</v>
      </c>
    </row>
    <row r="938" spans="1:3" x14ac:dyDescent="0.2">
      <c r="A938" s="2">
        <v>45559</v>
      </c>
      <c r="B938" s="1" t="s">
        <v>12</v>
      </c>
      <c r="C938" s="1">
        <v>18074.52</v>
      </c>
    </row>
    <row r="939" spans="1:3" x14ac:dyDescent="0.2">
      <c r="A939" s="2">
        <v>45560</v>
      </c>
      <c r="B939" s="1" t="s">
        <v>12</v>
      </c>
      <c r="C939" s="1">
        <v>18082.21</v>
      </c>
    </row>
    <row r="940" spans="1:3" x14ac:dyDescent="0.2">
      <c r="A940" s="2">
        <v>45561</v>
      </c>
      <c r="B940" s="1" t="s">
        <v>12</v>
      </c>
      <c r="C940" s="1">
        <v>18190.29</v>
      </c>
    </row>
    <row r="941" spans="1:3" x14ac:dyDescent="0.2">
      <c r="A941" s="2">
        <v>45562</v>
      </c>
      <c r="B941" s="1" t="s">
        <v>12</v>
      </c>
      <c r="C941" s="1">
        <v>18119.59</v>
      </c>
    </row>
    <row r="942" spans="1:3" x14ac:dyDescent="0.2">
      <c r="A942" s="2">
        <v>45565</v>
      </c>
      <c r="B942" s="1" t="s">
        <v>12</v>
      </c>
      <c r="C942" s="1">
        <v>18189.169999999998</v>
      </c>
    </row>
    <row r="943" spans="1:3" x14ac:dyDescent="0.2">
      <c r="A943" s="2">
        <v>45566</v>
      </c>
      <c r="B943" s="1" t="s">
        <v>12</v>
      </c>
      <c r="C943" s="1">
        <v>17910.36</v>
      </c>
    </row>
    <row r="944" spans="1:3" x14ac:dyDescent="0.2">
      <c r="A944" s="2">
        <v>45567</v>
      </c>
      <c r="B944" s="1" t="s">
        <v>12</v>
      </c>
      <c r="C944" s="1">
        <v>17925.12</v>
      </c>
    </row>
    <row r="945" spans="1:3" x14ac:dyDescent="0.2">
      <c r="A945" s="2">
        <v>45568</v>
      </c>
      <c r="B945" s="1" t="s">
        <v>12</v>
      </c>
      <c r="C945" s="1">
        <v>17918.47</v>
      </c>
    </row>
    <row r="946" spans="1:3" x14ac:dyDescent="0.2">
      <c r="A946" s="2">
        <v>45569</v>
      </c>
      <c r="B946" s="1" t="s">
        <v>12</v>
      </c>
      <c r="C946" s="1">
        <v>18137.849999999999</v>
      </c>
    </row>
    <row r="947" spans="1:3" x14ac:dyDescent="0.2">
      <c r="A947" s="2">
        <v>45572</v>
      </c>
      <c r="B947" s="1" t="s">
        <v>12</v>
      </c>
      <c r="C947" s="1">
        <v>17923.900000000001</v>
      </c>
    </row>
    <row r="948" spans="1:3" x14ac:dyDescent="0.2">
      <c r="A948" s="2">
        <v>45573</v>
      </c>
      <c r="B948" s="1" t="s">
        <v>12</v>
      </c>
      <c r="C948" s="1">
        <v>18182.919999999998</v>
      </c>
    </row>
    <row r="949" spans="1:3" x14ac:dyDescent="0.2">
      <c r="A949" s="2">
        <v>45574</v>
      </c>
      <c r="B949" s="1" t="s">
        <v>12</v>
      </c>
      <c r="C949" s="1">
        <v>18291.62</v>
      </c>
    </row>
    <row r="950" spans="1:3" x14ac:dyDescent="0.2">
      <c r="A950" s="2">
        <v>45575</v>
      </c>
      <c r="B950" s="1" t="s">
        <v>12</v>
      </c>
      <c r="C950" s="1">
        <v>18282.05</v>
      </c>
    </row>
    <row r="951" spans="1:3" x14ac:dyDescent="0.2">
      <c r="A951" s="2">
        <v>45576</v>
      </c>
      <c r="B951" s="1" t="s">
        <v>12</v>
      </c>
      <c r="C951" s="1">
        <v>18342.939999999999</v>
      </c>
    </row>
    <row r="952" spans="1:3" x14ac:dyDescent="0.2">
      <c r="A952" s="2">
        <v>45579</v>
      </c>
      <c r="B952" s="1" t="s">
        <v>12</v>
      </c>
      <c r="C952" s="1">
        <v>18502.689999999999</v>
      </c>
    </row>
    <row r="953" spans="1:3" x14ac:dyDescent="0.2">
      <c r="A953" s="2">
        <v>45580</v>
      </c>
      <c r="B953" s="1" t="s">
        <v>12</v>
      </c>
      <c r="C953" s="1">
        <v>18315.59</v>
      </c>
    </row>
    <row r="954" spans="1:3" x14ac:dyDescent="0.2">
      <c r="A954" s="2">
        <v>45581</v>
      </c>
      <c r="B954" s="1" t="s">
        <v>12</v>
      </c>
      <c r="C954" s="1">
        <v>18367.080000000002</v>
      </c>
    </row>
    <row r="955" spans="1:3" x14ac:dyDescent="0.2">
      <c r="A955" s="2">
        <v>45582</v>
      </c>
      <c r="B955" s="1" t="s">
        <v>12</v>
      </c>
      <c r="C955" s="1">
        <v>18373.61</v>
      </c>
    </row>
    <row r="956" spans="1:3" x14ac:dyDescent="0.2">
      <c r="A956" s="2">
        <v>45583</v>
      </c>
      <c r="B956" s="1" t="s">
        <v>12</v>
      </c>
      <c r="C956" s="1">
        <v>18489.55</v>
      </c>
    </row>
    <row r="957" spans="1:3" x14ac:dyDescent="0.2">
      <c r="A957" s="2">
        <v>45586</v>
      </c>
      <c r="B957" s="1" t="s">
        <v>12</v>
      </c>
      <c r="C957" s="1">
        <v>18540.009999999998</v>
      </c>
    </row>
    <row r="958" spans="1:3" x14ac:dyDescent="0.2">
      <c r="A958" s="2">
        <v>45587</v>
      </c>
      <c r="B958" s="1" t="s">
        <v>12</v>
      </c>
      <c r="C958" s="1">
        <v>18573.13</v>
      </c>
    </row>
    <row r="959" spans="1:3" x14ac:dyDescent="0.2">
      <c r="A959" s="2">
        <v>45588</v>
      </c>
      <c r="B959" s="1" t="s">
        <v>12</v>
      </c>
      <c r="C959" s="1">
        <v>18276.650000000001</v>
      </c>
    </row>
    <row r="960" spans="1:3" x14ac:dyDescent="0.2">
      <c r="A960" s="2">
        <v>45589</v>
      </c>
      <c r="B960" s="1" t="s">
        <v>12</v>
      </c>
      <c r="C960" s="1">
        <v>18415.490000000002</v>
      </c>
    </row>
    <row r="961" spans="1:3" x14ac:dyDescent="0.2">
      <c r="A961" s="2">
        <v>45590</v>
      </c>
      <c r="B961" s="1" t="s">
        <v>12</v>
      </c>
      <c r="C961" s="1">
        <v>18518.61</v>
      </c>
    </row>
    <row r="962" spans="1:3" x14ac:dyDescent="0.2">
      <c r="A962" s="2">
        <v>45593</v>
      </c>
      <c r="B962" s="1" t="s">
        <v>12</v>
      </c>
      <c r="C962" s="1">
        <v>18567.189999999999</v>
      </c>
    </row>
    <row r="963" spans="1:3" x14ac:dyDescent="0.2">
      <c r="A963" s="2">
        <v>45594</v>
      </c>
      <c r="B963" s="1" t="s">
        <v>12</v>
      </c>
      <c r="C963" s="1">
        <v>18712.75</v>
      </c>
    </row>
    <row r="964" spans="1:3" x14ac:dyDescent="0.2">
      <c r="A964" s="2">
        <v>45595</v>
      </c>
      <c r="B964" s="1" t="s">
        <v>12</v>
      </c>
      <c r="C964" s="1">
        <v>18607.93</v>
      </c>
    </row>
    <row r="965" spans="1:3" x14ac:dyDescent="0.2">
      <c r="A965" s="2">
        <v>45596</v>
      </c>
      <c r="B965" s="1" t="s">
        <v>12</v>
      </c>
      <c r="C965" s="1">
        <v>18095.150000000001</v>
      </c>
    </row>
    <row r="966" spans="1:3" x14ac:dyDescent="0.2">
      <c r="A966" s="2">
        <v>45597</v>
      </c>
      <c r="B966" s="1" t="s">
        <v>12</v>
      </c>
      <c r="C966" s="1">
        <v>18239.919999999998</v>
      </c>
    </row>
    <row r="967" spans="1:3" x14ac:dyDescent="0.2">
      <c r="A967" s="2">
        <v>45600</v>
      </c>
      <c r="B967" s="1" t="s">
        <v>12</v>
      </c>
      <c r="C967" s="1">
        <v>18179.98</v>
      </c>
    </row>
    <row r="968" spans="1:3" x14ac:dyDescent="0.2">
      <c r="A968" s="2">
        <v>45601</v>
      </c>
      <c r="B968" s="1" t="s">
        <v>12</v>
      </c>
      <c r="C968" s="1">
        <v>18439.169999999998</v>
      </c>
    </row>
    <row r="969" spans="1:3" x14ac:dyDescent="0.2">
      <c r="A969" s="2">
        <v>45602</v>
      </c>
      <c r="B969" s="1" t="s">
        <v>12</v>
      </c>
      <c r="C969" s="1">
        <v>18983.46</v>
      </c>
    </row>
    <row r="970" spans="1:3" x14ac:dyDescent="0.2">
      <c r="A970" s="2">
        <v>45603</v>
      </c>
      <c r="B970" s="1" t="s">
        <v>12</v>
      </c>
      <c r="C970" s="1">
        <v>19269.46</v>
      </c>
    </row>
    <row r="971" spans="1:3" x14ac:dyDescent="0.2">
      <c r="A971" s="2">
        <v>45604</v>
      </c>
      <c r="B971" s="1" t="s">
        <v>12</v>
      </c>
      <c r="C971" s="1">
        <v>19286.78</v>
      </c>
    </row>
    <row r="972" spans="1:3" x14ac:dyDescent="0.2">
      <c r="A972" s="2">
        <v>45607</v>
      </c>
      <c r="B972" s="1" t="s">
        <v>12</v>
      </c>
      <c r="C972" s="1">
        <v>19298.759999999998</v>
      </c>
    </row>
    <row r="973" spans="1:3" x14ac:dyDescent="0.2">
      <c r="A973" s="2">
        <v>45608</v>
      </c>
      <c r="B973" s="1" t="s">
        <v>12</v>
      </c>
      <c r="C973" s="1">
        <v>19281.400000000001</v>
      </c>
    </row>
    <row r="974" spans="1:3" x14ac:dyDescent="0.2">
      <c r="A974" s="2">
        <v>45609</v>
      </c>
      <c r="B974" s="1" t="s">
        <v>12</v>
      </c>
      <c r="C974" s="1">
        <v>19230.72</v>
      </c>
    </row>
    <row r="975" spans="1:3" x14ac:dyDescent="0.2">
      <c r="A975" s="2">
        <v>45610</v>
      </c>
      <c r="B975" s="1" t="s">
        <v>12</v>
      </c>
      <c r="C975" s="1">
        <v>19107.650000000001</v>
      </c>
    </row>
    <row r="976" spans="1:3" x14ac:dyDescent="0.2">
      <c r="A976" s="2">
        <v>45611</v>
      </c>
      <c r="B976" s="1" t="s">
        <v>12</v>
      </c>
      <c r="C976" s="1">
        <v>18680.12</v>
      </c>
    </row>
    <row r="977" spans="1:3" x14ac:dyDescent="0.2">
      <c r="A977" s="2">
        <v>45614</v>
      </c>
      <c r="B977" s="1" t="s">
        <v>12</v>
      </c>
      <c r="C977" s="1">
        <v>18791.810000000001</v>
      </c>
    </row>
    <row r="978" spans="1:3" x14ac:dyDescent="0.2">
      <c r="A978" s="2">
        <v>45615</v>
      </c>
      <c r="B978" s="1" t="s">
        <v>12</v>
      </c>
      <c r="C978" s="1">
        <v>18987.47</v>
      </c>
    </row>
    <row r="979" spans="1:3" x14ac:dyDescent="0.2">
      <c r="A979" s="2">
        <v>45616</v>
      </c>
      <c r="B979" s="1" t="s">
        <v>12</v>
      </c>
      <c r="C979" s="1">
        <v>18966.14</v>
      </c>
    </row>
    <row r="980" spans="1:3" x14ac:dyDescent="0.2">
      <c r="A980" s="2">
        <v>45617</v>
      </c>
      <c r="B980" s="1" t="s">
        <v>12</v>
      </c>
      <c r="C980" s="1">
        <v>18972.419999999998</v>
      </c>
    </row>
    <row r="981" spans="1:3" x14ac:dyDescent="0.2">
      <c r="A981" s="2">
        <v>45618</v>
      </c>
      <c r="B981" s="1" t="s">
        <v>12</v>
      </c>
      <c r="C981" s="1">
        <v>19003.650000000001</v>
      </c>
    </row>
    <row r="982" spans="1:3" x14ac:dyDescent="0.2">
      <c r="A982" s="2">
        <v>45621</v>
      </c>
      <c r="B982" s="1" t="s">
        <v>12</v>
      </c>
      <c r="C982" s="1">
        <v>19054.84</v>
      </c>
    </row>
    <row r="983" spans="1:3" x14ac:dyDescent="0.2">
      <c r="A983" s="2">
        <v>45622</v>
      </c>
      <c r="B983" s="1" t="s">
        <v>12</v>
      </c>
      <c r="C983" s="1">
        <v>19175.580000000002</v>
      </c>
    </row>
    <row r="984" spans="1:3" x14ac:dyDescent="0.2">
      <c r="A984" s="2">
        <v>45623</v>
      </c>
      <c r="B984" s="1" t="s">
        <v>12</v>
      </c>
      <c r="C984" s="1">
        <v>19060.48</v>
      </c>
    </row>
    <row r="985" spans="1:3" x14ac:dyDescent="0.2">
      <c r="A985" s="2">
        <v>45625</v>
      </c>
      <c r="B985" s="1" t="s">
        <v>12</v>
      </c>
      <c r="C985" s="1">
        <v>19218.169999999998</v>
      </c>
    </row>
    <row r="986" spans="1:3" x14ac:dyDescent="0.2">
      <c r="A986" s="2">
        <v>45628</v>
      </c>
      <c r="B986" s="1" t="s">
        <v>12</v>
      </c>
      <c r="C986" s="1">
        <v>19403.95</v>
      </c>
    </row>
    <row r="987" spans="1:3" x14ac:dyDescent="0.2">
      <c r="A987" s="2">
        <v>45629</v>
      </c>
      <c r="B987" s="1" t="s">
        <v>12</v>
      </c>
      <c r="C987" s="1">
        <v>19480.91</v>
      </c>
    </row>
    <row r="988" spans="1:3" x14ac:dyDescent="0.2">
      <c r="A988" s="2">
        <v>45630</v>
      </c>
      <c r="B988" s="1" t="s">
        <v>12</v>
      </c>
      <c r="C988" s="1">
        <v>19735.12</v>
      </c>
    </row>
    <row r="989" spans="1:3" x14ac:dyDescent="0.2">
      <c r="A989" s="2">
        <v>45631</v>
      </c>
      <c r="B989" s="1" t="s">
        <v>12</v>
      </c>
      <c r="C989" s="1">
        <v>19700.72</v>
      </c>
    </row>
    <row r="990" spans="1:3" x14ac:dyDescent="0.2">
      <c r="A990" s="2">
        <v>45632</v>
      </c>
      <c r="B990" s="1" t="s">
        <v>12</v>
      </c>
      <c r="C990" s="1">
        <v>19859.77</v>
      </c>
    </row>
    <row r="991" spans="1:3" x14ac:dyDescent="0.2">
      <c r="A991" s="2">
        <v>45635</v>
      </c>
      <c r="B991" s="1" t="s">
        <v>12</v>
      </c>
      <c r="C991" s="1">
        <v>19736.689999999999</v>
      </c>
    </row>
    <row r="992" spans="1:3" x14ac:dyDescent="0.2">
      <c r="A992" s="2">
        <v>45636</v>
      </c>
      <c r="B992" s="1" t="s">
        <v>12</v>
      </c>
      <c r="C992" s="1">
        <v>19687.240000000002</v>
      </c>
    </row>
    <row r="993" spans="1:3" x14ac:dyDescent="0.2">
      <c r="A993" s="2">
        <v>45637</v>
      </c>
      <c r="B993" s="1" t="s">
        <v>12</v>
      </c>
      <c r="C993" s="1">
        <v>20034.89</v>
      </c>
    </row>
    <row r="994" spans="1:3" x14ac:dyDescent="0.2">
      <c r="A994" s="2">
        <v>45638</v>
      </c>
      <c r="B994" s="1" t="s">
        <v>12</v>
      </c>
      <c r="C994" s="1">
        <v>19902.84</v>
      </c>
    </row>
    <row r="995" spans="1:3" x14ac:dyDescent="0.2">
      <c r="A995" s="2">
        <v>45639</v>
      </c>
      <c r="B995" s="1" t="s">
        <v>12</v>
      </c>
      <c r="C995" s="1">
        <v>19926.72</v>
      </c>
    </row>
    <row r="996" spans="1:3" x14ac:dyDescent="0.2">
      <c r="A996" s="2">
        <v>45642</v>
      </c>
      <c r="B996" s="1" t="s">
        <v>12</v>
      </c>
      <c r="C996" s="1">
        <v>20173.89</v>
      </c>
    </row>
    <row r="997" spans="1:3" x14ac:dyDescent="0.2">
      <c r="A997" s="2">
        <v>45643</v>
      </c>
      <c r="B997" s="1" t="s">
        <v>12</v>
      </c>
      <c r="C997" s="1">
        <v>20109.060000000001</v>
      </c>
    </row>
    <row r="998" spans="1:3" x14ac:dyDescent="0.2">
      <c r="A998" s="2">
        <v>45644</v>
      </c>
      <c r="B998" s="1" t="s">
        <v>12</v>
      </c>
      <c r="C998" s="1">
        <v>19392.689999999999</v>
      </c>
    </row>
    <row r="999" spans="1:3" x14ac:dyDescent="0.2">
      <c r="A999" s="2">
        <v>45645</v>
      </c>
      <c r="B999" s="1" t="s">
        <v>12</v>
      </c>
      <c r="C999" s="1">
        <v>19372.77</v>
      </c>
    </row>
    <row r="1000" spans="1:3" x14ac:dyDescent="0.2">
      <c r="A1000" s="2">
        <v>45646</v>
      </c>
      <c r="B1000" s="1" t="s">
        <v>12</v>
      </c>
      <c r="C1000" s="1">
        <v>19572.599999999999</v>
      </c>
    </row>
    <row r="1001" spans="1:3" x14ac:dyDescent="0.2">
      <c r="A1001" s="2">
        <v>45649</v>
      </c>
      <c r="B1001" s="1" t="s">
        <v>12</v>
      </c>
      <c r="C1001" s="1">
        <v>19764.88</v>
      </c>
    </row>
    <row r="1002" spans="1:3" x14ac:dyDescent="0.2">
      <c r="A1002" s="2">
        <v>45650</v>
      </c>
      <c r="B1002" s="1" t="s">
        <v>12</v>
      </c>
      <c r="C1002" s="1">
        <v>20031.13</v>
      </c>
    </row>
    <row r="1003" spans="1:3" x14ac:dyDescent="0.2">
      <c r="A1003" s="2">
        <v>45652</v>
      </c>
      <c r="B1003" s="1" t="s">
        <v>12</v>
      </c>
      <c r="C1003" s="1">
        <v>20020.36</v>
      </c>
    </row>
    <row r="1004" spans="1:3" x14ac:dyDescent="0.2">
      <c r="A1004" s="2">
        <v>45653</v>
      </c>
      <c r="B1004" s="1" t="s">
        <v>12</v>
      </c>
      <c r="C1004" s="1">
        <v>19722.03</v>
      </c>
    </row>
    <row r="1005" spans="1:3" x14ac:dyDescent="0.2">
      <c r="A1005" s="2">
        <v>45656</v>
      </c>
      <c r="B1005" s="1" t="s">
        <v>12</v>
      </c>
      <c r="C1005" s="1">
        <v>19486.79</v>
      </c>
    </row>
    <row r="1006" spans="1:3" x14ac:dyDescent="0.2">
      <c r="A1006" s="2">
        <v>45657</v>
      </c>
      <c r="B1006" s="1" t="s">
        <v>12</v>
      </c>
      <c r="C1006" s="1">
        <v>19310.79</v>
      </c>
    </row>
    <row r="1007" spans="1:3" x14ac:dyDescent="0.2">
      <c r="A1007" s="2">
        <v>45659</v>
      </c>
      <c r="B1007" s="1" t="s">
        <v>12</v>
      </c>
      <c r="C1007" s="1">
        <v>19280.79</v>
      </c>
    </row>
    <row r="1008" spans="1:3" x14ac:dyDescent="0.2">
      <c r="A1008" s="2">
        <v>45660</v>
      </c>
      <c r="B1008" s="1" t="s">
        <v>12</v>
      </c>
      <c r="C1008" s="1">
        <v>19621.68</v>
      </c>
    </row>
    <row r="1009" spans="1:3" x14ac:dyDescent="0.2">
      <c r="A1009" s="2">
        <v>45663</v>
      </c>
      <c r="B1009" s="1" t="s">
        <v>12</v>
      </c>
      <c r="C1009" s="1">
        <v>19864.98</v>
      </c>
    </row>
    <row r="1010" spans="1:3" x14ac:dyDescent="0.2">
      <c r="A1010" s="2">
        <v>45664</v>
      </c>
      <c r="B1010" s="1" t="s">
        <v>12</v>
      </c>
      <c r="C1010" s="1">
        <v>19489.68</v>
      </c>
    </row>
    <row r="1011" spans="1:3" x14ac:dyDescent="0.2">
      <c r="A1011" s="2">
        <v>45665</v>
      </c>
      <c r="B1011" s="1" t="s">
        <v>12</v>
      </c>
      <c r="C1011" s="1">
        <v>19478.88</v>
      </c>
    </row>
    <row r="1012" spans="1:3" x14ac:dyDescent="0.2">
      <c r="A1012" s="2">
        <v>45667</v>
      </c>
      <c r="B1012" s="1" t="s">
        <v>12</v>
      </c>
      <c r="C1012" s="1">
        <v>19161.63</v>
      </c>
    </row>
    <row r="1013" spans="1:3" x14ac:dyDescent="0.2">
      <c r="A1013" s="2">
        <v>45670</v>
      </c>
      <c r="B1013" s="1" t="s">
        <v>12</v>
      </c>
      <c r="C1013" s="1">
        <v>19088.099999999999</v>
      </c>
    </row>
    <row r="1014" spans="1:3" x14ac:dyDescent="0.2">
      <c r="A1014" s="2">
        <v>45671</v>
      </c>
      <c r="B1014" s="1" t="s">
        <v>12</v>
      </c>
      <c r="C1014" s="1">
        <v>19044.39</v>
      </c>
    </row>
    <row r="1015" spans="1:3" x14ac:dyDescent="0.2">
      <c r="A1015" s="2">
        <v>45672</v>
      </c>
      <c r="B1015" s="1" t="s">
        <v>12</v>
      </c>
      <c r="C1015" s="1">
        <v>19511.23</v>
      </c>
    </row>
    <row r="1016" spans="1:3" x14ac:dyDescent="0.2">
      <c r="A1016" s="2">
        <v>45673</v>
      </c>
      <c r="B1016" s="1" t="s">
        <v>12</v>
      </c>
      <c r="C1016" s="1">
        <v>19338.29</v>
      </c>
    </row>
    <row r="1017" spans="1:3" x14ac:dyDescent="0.2">
      <c r="A1017" s="2">
        <v>45674</v>
      </c>
      <c r="B1017" s="1" t="s">
        <v>12</v>
      </c>
      <c r="C1017" s="1">
        <v>19630.2</v>
      </c>
    </row>
    <row r="1018" spans="1:3" x14ac:dyDescent="0.2">
      <c r="A1018" s="2">
        <v>45678</v>
      </c>
      <c r="B1018" s="1" t="s">
        <v>12</v>
      </c>
      <c r="C1018" s="1">
        <v>19756.78</v>
      </c>
    </row>
    <row r="1019" spans="1:3" x14ac:dyDescent="0.2">
      <c r="A1019" s="2">
        <v>45679</v>
      </c>
      <c r="B1019" s="1" t="s">
        <v>12</v>
      </c>
      <c r="C1019" s="1">
        <v>20009.34</v>
      </c>
    </row>
    <row r="1020" spans="1:3" x14ac:dyDescent="0.2">
      <c r="A1020" s="2">
        <v>45680</v>
      </c>
      <c r="B1020" s="1" t="s">
        <v>12</v>
      </c>
      <c r="C1020" s="1">
        <v>20053.68</v>
      </c>
    </row>
    <row r="1021" spans="1:3" x14ac:dyDescent="0.2">
      <c r="A1021" s="2">
        <v>45681</v>
      </c>
      <c r="B1021" s="1" t="s">
        <v>12</v>
      </c>
      <c r="C1021" s="1">
        <v>19954.3</v>
      </c>
    </row>
    <row r="1022" spans="1:3" x14ac:dyDescent="0.2">
      <c r="A1022" s="2">
        <v>45684</v>
      </c>
      <c r="B1022" s="1" t="s">
        <v>12</v>
      </c>
      <c r="C1022" s="1">
        <v>19341.830000000002</v>
      </c>
    </row>
    <row r="1023" spans="1:3" x14ac:dyDescent="0.2">
      <c r="A1023" s="2">
        <v>45685</v>
      </c>
      <c r="B1023" s="1" t="s">
        <v>12</v>
      </c>
      <c r="C1023" s="1">
        <v>19733.59</v>
      </c>
    </row>
    <row r="1024" spans="1:3" x14ac:dyDescent="0.2">
      <c r="A1024" s="2">
        <v>45686</v>
      </c>
      <c r="B1024" s="1" t="s">
        <v>12</v>
      </c>
      <c r="C1024" s="1">
        <v>19632.32</v>
      </c>
    </row>
    <row r="1025" spans="1:3" x14ac:dyDescent="0.2">
      <c r="A1025" s="2">
        <v>45687</v>
      </c>
      <c r="B1025" s="1" t="s">
        <v>12</v>
      </c>
      <c r="C1025" s="1">
        <v>19681.75</v>
      </c>
    </row>
    <row r="1026" spans="1:3" x14ac:dyDescent="0.2">
      <c r="A1026" s="2">
        <v>45688</v>
      </c>
      <c r="B1026" s="1" t="s">
        <v>12</v>
      </c>
      <c r="C1026" s="1">
        <v>19627.439999999999</v>
      </c>
    </row>
    <row r="1027" spans="1:3" x14ac:dyDescent="0.2">
      <c r="A1027" s="2">
        <v>45691</v>
      </c>
      <c r="B1027" s="1" t="s">
        <v>12</v>
      </c>
      <c r="C1027" s="1">
        <v>19391.96</v>
      </c>
    </row>
    <row r="1028" spans="1:3" x14ac:dyDescent="0.2">
      <c r="A1028" s="2">
        <v>45692</v>
      </c>
      <c r="B1028" s="1" t="s">
        <v>12</v>
      </c>
      <c r="C1028" s="1">
        <v>19654.02</v>
      </c>
    </row>
    <row r="1029" spans="1:3" x14ac:dyDescent="0.2">
      <c r="A1029" s="2">
        <v>45693</v>
      </c>
      <c r="B1029" s="1" t="s">
        <v>12</v>
      </c>
      <c r="C1029" s="1">
        <v>19692.330000000002</v>
      </c>
    </row>
    <row r="1030" spans="1:3" x14ac:dyDescent="0.2">
      <c r="A1030" s="2">
        <v>45694</v>
      </c>
      <c r="B1030" s="1" t="s">
        <v>12</v>
      </c>
      <c r="C1030" s="1">
        <v>19791.990000000002</v>
      </c>
    </row>
    <row r="1031" spans="1:3" x14ac:dyDescent="0.2">
      <c r="A1031" s="2">
        <v>45695</v>
      </c>
      <c r="B1031" s="1" t="s">
        <v>12</v>
      </c>
      <c r="C1031" s="1">
        <v>19523.400000000001</v>
      </c>
    </row>
    <row r="1032" spans="1:3" x14ac:dyDescent="0.2">
      <c r="A1032" s="2">
        <v>45698</v>
      </c>
      <c r="B1032" s="1" t="s">
        <v>12</v>
      </c>
      <c r="C1032" s="1">
        <v>19714.27</v>
      </c>
    </row>
    <row r="1033" spans="1:3" x14ac:dyDescent="0.2">
      <c r="A1033" s="2">
        <v>45699</v>
      </c>
      <c r="B1033" s="1" t="s">
        <v>12</v>
      </c>
      <c r="C1033" s="1">
        <v>19643.86</v>
      </c>
    </row>
    <row r="1034" spans="1:3" x14ac:dyDescent="0.2">
      <c r="A1034" s="2">
        <v>45700</v>
      </c>
      <c r="B1034" s="1" t="s">
        <v>12</v>
      </c>
      <c r="C1034" s="1">
        <v>19649.95</v>
      </c>
    </row>
    <row r="1035" spans="1:3" x14ac:dyDescent="0.2">
      <c r="A1035" s="2">
        <v>45701</v>
      </c>
      <c r="B1035" s="1" t="s">
        <v>12</v>
      </c>
      <c r="C1035" s="1">
        <v>19945.64</v>
      </c>
    </row>
    <row r="1036" spans="1:3" x14ac:dyDescent="0.2">
      <c r="A1036" s="2">
        <v>45702</v>
      </c>
      <c r="B1036" s="1" t="s">
        <v>12</v>
      </c>
      <c r="C1036" s="1">
        <v>20026.77</v>
      </c>
    </row>
    <row r="1037" spans="1:3" x14ac:dyDescent="0.2">
      <c r="A1037" s="2">
        <v>45706</v>
      </c>
      <c r="B1037" s="1" t="s">
        <v>12</v>
      </c>
      <c r="C1037" s="1">
        <v>20041.259999999998</v>
      </c>
    </row>
    <row r="1038" spans="1:3" x14ac:dyDescent="0.2">
      <c r="A1038" s="2">
        <v>45707</v>
      </c>
      <c r="B1038" s="1" t="s">
        <v>12</v>
      </c>
      <c r="C1038" s="1">
        <v>20056.25</v>
      </c>
    </row>
    <row r="1039" spans="1:3" x14ac:dyDescent="0.2">
      <c r="A1039" s="2">
        <v>45708</v>
      </c>
      <c r="B1039" s="1" t="s">
        <v>12</v>
      </c>
      <c r="C1039" s="1">
        <v>19962.36</v>
      </c>
    </row>
    <row r="1040" spans="1:3" x14ac:dyDescent="0.2">
      <c r="A1040" s="2">
        <v>45709</v>
      </c>
      <c r="B1040" s="1" t="s">
        <v>12</v>
      </c>
      <c r="C1040" s="1">
        <v>19524.009999999998</v>
      </c>
    </row>
    <row r="1041" spans="1:3" x14ac:dyDescent="0.2">
      <c r="A1041" s="2">
        <v>45712</v>
      </c>
      <c r="B1041" s="1" t="s">
        <v>12</v>
      </c>
      <c r="C1041" s="1">
        <v>19286.93</v>
      </c>
    </row>
    <row r="1042" spans="1:3" x14ac:dyDescent="0.2">
      <c r="A1042" s="2">
        <v>45713</v>
      </c>
      <c r="B1042" s="1" t="s">
        <v>12</v>
      </c>
      <c r="C1042" s="1">
        <v>19026.39</v>
      </c>
    </row>
    <row r="1043" spans="1:3" x14ac:dyDescent="0.2">
      <c r="A1043" s="2">
        <v>45714</v>
      </c>
      <c r="B1043" s="1" t="s">
        <v>12</v>
      </c>
      <c r="C1043" s="1">
        <v>19075.259999999998</v>
      </c>
    </row>
    <row r="1044" spans="1:3" x14ac:dyDescent="0.2">
      <c r="A1044" s="2">
        <v>45715</v>
      </c>
      <c r="B1044" s="1" t="s">
        <v>12</v>
      </c>
      <c r="C1044" s="1">
        <v>18544.419999999998</v>
      </c>
    </row>
    <row r="1045" spans="1:3" x14ac:dyDescent="0.2">
      <c r="A1045" s="2">
        <v>45716</v>
      </c>
      <c r="B1045" s="1" t="s">
        <v>12</v>
      </c>
      <c r="C1045" s="1">
        <v>18847.28</v>
      </c>
    </row>
    <row r="1046" spans="1:3" x14ac:dyDescent="0.2">
      <c r="A1046" s="2">
        <v>45719</v>
      </c>
      <c r="B1046" s="1" t="s">
        <v>12</v>
      </c>
      <c r="C1046" s="1">
        <v>18350.189999999999</v>
      </c>
    </row>
    <row r="1047" spans="1:3" x14ac:dyDescent="0.2">
      <c r="A1047" s="2">
        <v>45720</v>
      </c>
      <c r="B1047" s="1" t="s">
        <v>12</v>
      </c>
      <c r="C1047" s="1">
        <v>18285.16</v>
      </c>
    </row>
    <row r="1048" spans="1:3" x14ac:dyDescent="0.2">
      <c r="A1048" s="2">
        <v>45721</v>
      </c>
      <c r="B1048" s="1" t="s">
        <v>12</v>
      </c>
      <c r="C1048" s="1">
        <v>18552.73</v>
      </c>
    </row>
    <row r="1049" spans="1:3" x14ac:dyDescent="0.2">
      <c r="A1049" s="2">
        <v>45722</v>
      </c>
      <c r="B1049" s="1" t="s">
        <v>12</v>
      </c>
      <c r="C1049" s="1">
        <v>18069.259999999998</v>
      </c>
    </row>
    <row r="1050" spans="1:3" x14ac:dyDescent="0.2">
      <c r="A1050" s="2">
        <v>45723</v>
      </c>
      <c r="B1050" s="1" t="s">
        <v>12</v>
      </c>
      <c r="C1050" s="1">
        <v>18196.22</v>
      </c>
    </row>
    <row r="1051" spans="1:3" x14ac:dyDescent="0.2">
      <c r="A1051" s="2">
        <v>45726</v>
      </c>
      <c r="B1051" s="1" t="s">
        <v>12</v>
      </c>
      <c r="C1051" s="1">
        <v>17468.32</v>
      </c>
    </row>
    <row r="1052" spans="1:3" x14ac:dyDescent="0.2">
      <c r="A1052" s="2">
        <v>45727</v>
      </c>
      <c r="B1052" s="1" t="s">
        <v>12</v>
      </c>
      <c r="C1052" s="1">
        <v>17436.099999999999</v>
      </c>
    </row>
    <row r="1053" spans="1:3" x14ac:dyDescent="0.2">
      <c r="A1053" s="2">
        <v>45728</v>
      </c>
      <c r="B1053" s="1" t="s">
        <v>12</v>
      </c>
      <c r="C1053" s="1">
        <v>17648.45</v>
      </c>
    </row>
    <row r="1054" spans="1:3" x14ac:dyDescent="0.2">
      <c r="A1054" s="2">
        <v>45729</v>
      </c>
      <c r="B1054" s="1" t="s">
        <v>12</v>
      </c>
      <c r="C1054" s="1">
        <v>17303.009999999998</v>
      </c>
    </row>
    <row r="1055" spans="1:3" x14ac:dyDescent="0.2">
      <c r="A1055" s="2">
        <v>45730</v>
      </c>
      <c r="B1055" s="1" t="s">
        <v>12</v>
      </c>
      <c r="C1055" s="1">
        <v>17754.09</v>
      </c>
    </row>
    <row r="1056" spans="1:3" x14ac:dyDescent="0.2">
      <c r="A1056" s="2">
        <v>45733</v>
      </c>
      <c r="B1056" s="1" t="s">
        <v>12</v>
      </c>
      <c r="C1056" s="1">
        <v>17808.66</v>
      </c>
    </row>
    <row r="1057" spans="1:3" x14ac:dyDescent="0.2">
      <c r="A1057" s="2">
        <v>45734</v>
      </c>
      <c r="B1057" s="1" t="s">
        <v>12</v>
      </c>
      <c r="C1057" s="1">
        <v>17504.12</v>
      </c>
    </row>
    <row r="1058" spans="1:3" x14ac:dyDescent="0.2">
      <c r="A1058" s="2">
        <v>45735</v>
      </c>
      <c r="B1058" s="1" t="s">
        <v>12</v>
      </c>
      <c r="C1058" s="1">
        <v>17750.79</v>
      </c>
    </row>
    <row r="1059" spans="1:3" x14ac:dyDescent="0.2">
      <c r="A1059" s="2">
        <v>45736</v>
      </c>
      <c r="B1059" s="1" t="s">
        <v>12</v>
      </c>
      <c r="C1059" s="1">
        <v>17691.63</v>
      </c>
    </row>
    <row r="1060" spans="1:3" x14ac:dyDescent="0.2">
      <c r="A1060" s="2">
        <v>45737</v>
      </c>
      <c r="B1060" s="1" t="s">
        <v>12</v>
      </c>
      <c r="C1060" s="1">
        <v>17784.05</v>
      </c>
    </row>
    <row r="1061" spans="1:3" x14ac:dyDescent="0.2">
      <c r="A1061" s="2">
        <v>45740</v>
      </c>
      <c r="B1061" s="1" t="s">
        <v>12</v>
      </c>
      <c r="C1061" s="1">
        <v>18188.59</v>
      </c>
    </row>
    <row r="1062" spans="1:3" x14ac:dyDescent="0.2">
      <c r="A1062" s="2">
        <v>45741</v>
      </c>
      <c r="B1062" s="1" t="s">
        <v>12</v>
      </c>
      <c r="C1062" s="1">
        <v>18271.86</v>
      </c>
    </row>
    <row r="1063" spans="1:3" x14ac:dyDescent="0.2">
      <c r="A1063" s="2">
        <v>45742</v>
      </c>
      <c r="B1063" s="1" t="s">
        <v>12</v>
      </c>
      <c r="C1063" s="1">
        <v>17899.02</v>
      </c>
    </row>
    <row r="1064" spans="1:3" x14ac:dyDescent="0.2">
      <c r="A1064" s="2">
        <v>45743</v>
      </c>
      <c r="B1064" s="1" t="s">
        <v>12</v>
      </c>
      <c r="C1064" s="1">
        <v>17804.03</v>
      </c>
    </row>
    <row r="1065" spans="1:3" x14ac:dyDescent="0.2">
      <c r="A1065" s="2">
        <v>45744</v>
      </c>
      <c r="B1065" s="1" t="s">
        <v>12</v>
      </c>
      <c r="C1065" s="1">
        <v>17322.990000000002</v>
      </c>
    </row>
    <row r="1066" spans="1:3" x14ac:dyDescent="0.2">
      <c r="A1066" s="2">
        <v>45747</v>
      </c>
      <c r="B1066" s="1" t="s">
        <v>12</v>
      </c>
      <c r="C1066" s="1">
        <v>17299.29</v>
      </c>
    </row>
    <row r="1067" spans="1:3" x14ac:dyDescent="0.2">
      <c r="A1067" s="2">
        <v>45748</v>
      </c>
      <c r="B1067" s="1" t="s">
        <v>12</v>
      </c>
      <c r="C1067" s="1">
        <v>17449.89</v>
      </c>
    </row>
    <row r="1068" spans="1:3" x14ac:dyDescent="0.2">
      <c r="A1068" s="2">
        <v>45749</v>
      </c>
      <c r="B1068" s="1" t="s">
        <v>12</v>
      </c>
      <c r="C1068" s="1">
        <v>17601.05</v>
      </c>
    </row>
    <row r="1069" spans="1:3" x14ac:dyDescent="0.2">
      <c r="A1069" s="2">
        <v>45750</v>
      </c>
      <c r="B1069" s="1" t="s">
        <v>12</v>
      </c>
      <c r="C1069" s="1">
        <v>16550.61</v>
      </c>
    </row>
    <row r="1070" spans="1:3" x14ac:dyDescent="0.2">
      <c r="A1070" s="2">
        <v>45751</v>
      </c>
      <c r="B1070" s="1" t="s">
        <v>12</v>
      </c>
      <c r="C1070" s="1">
        <v>15587.79</v>
      </c>
    </row>
    <row r="1071" spans="1:3" x14ac:dyDescent="0.2">
      <c r="A1071" s="2">
        <v>45754</v>
      </c>
      <c r="B1071" s="1" t="s">
        <v>12</v>
      </c>
      <c r="C1071" s="1">
        <v>15603.26</v>
      </c>
    </row>
    <row r="1072" spans="1:3" x14ac:dyDescent="0.2">
      <c r="A1072" s="2">
        <v>45755</v>
      </c>
      <c r="B1072" s="1" t="s">
        <v>12</v>
      </c>
      <c r="C1072" s="1">
        <v>15267.91</v>
      </c>
    </row>
    <row r="1073" spans="1:3" x14ac:dyDescent="0.2">
      <c r="A1073" s="2">
        <v>45756</v>
      </c>
      <c r="B1073" s="1" t="s">
        <v>12</v>
      </c>
      <c r="C1073" s="1">
        <v>17124.97</v>
      </c>
    </row>
    <row r="1074" spans="1:3" x14ac:dyDescent="0.2">
      <c r="A1074" s="2">
        <v>45757</v>
      </c>
      <c r="B1074" s="1" t="s">
        <v>12</v>
      </c>
      <c r="C1074" s="1">
        <v>16387.310000000001</v>
      </c>
    </row>
    <row r="1075" spans="1:3" x14ac:dyDescent="0.2">
      <c r="A1075" s="2">
        <v>45758</v>
      </c>
      <c r="B1075" s="1" t="s">
        <v>12</v>
      </c>
      <c r="C1075" s="1">
        <v>16724.46</v>
      </c>
    </row>
    <row r="1076" spans="1:3" x14ac:dyDescent="0.2">
      <c r="A1076" s="2">
        <v>45761</v>
      </c>
      <c r="B1076" s="1" t="s">
        <v>12</v>
      </c>
      <c r="C1076" s="1">
        <v>16831.48</v>
      </c>
    </row>
    <row r="1077" spans="1:3" x14ac:dyDescent="0.2">
      <c r="A1077" s="2">
        <v>45762</v>
      </c>
      <c r="B1077" s="1" t="s">
        <v>12</v>
      </c>
      <c r="C1077" s="1">
        <v>16823.169999999998</v>
      </c>
    </row>
    <row r="1078" spans="1:3" x14ac:dyDescent="0.2">
      <c r="A1078" s="2">
        <v>45763</v>
      </c>
      <c r="B1078" s="1" t="s">
        <v>12</v>
      </c>
      <c r="C1078" s="1">
        <v>16307.16</v>
      </c>
    </row>
    <row r="1079" spans="1:3" x14ac:dyDescent="0.2">
      <c r="A1079" s="2">
        <v>45764</v>
      </c>
      <c r="B1079" s="1" t="s">
        <v>12</v>
      </c>
      <c r="C1079" s="1">
        <v>16286.45</v>
      </c>
    </row>
    <row r="1080" spans="1:3" x14ac:dyDescent="0.2">
      <c r="A1080" s="2">
        <v>45768</v>
      </c>
      <c r="B1080" s="1" t="s">
        <v>12</v>
      </c>
      <c r="C1080" s="1">
        <v>15870.9</v>
      </c>
    </row>
    <row r="1081" spans="1:3" x14ac:dyDescent="0.2">
      <c r="A1081" s="2">
        <v>45769</v>
      </c>
      <c r="B1081" s="1" t="s">
        <v>12</v>
      </c>
      <c r="C1081" s="1">
        <v>16300.42</v>
      </c>
    </row>
    <row r="1082" spans="1:3" x14ac:dyDescent="0.2">
      <c r="A1082" s="2">
        <v>45770</v>
      </c>
      <c r="B1082" s="1" t="s">
        <v>12</v>
      </c>
      <c r="C1082" s="1">
        <v>16708.05</v>
      </c>
    </row>
    <row r="1083" spans="1:3" x14ac:dyDescent="0.2">
      <c r="A1083" s="2">
        <v>45771</v>
      </c>
      <c r="B1083" s="1" t="s">
        <v>12</v>
      </c>
      <c r="C1083" s="1">
        <v>17166.04</v>
      </c>
    </row>
    <row r="1084" spans="1:3" x14ac:dyDescent="0.2">
      <c r="A1084" s="2">
        <v>45772</v>
      </c>
      <c r="B1084" s="1" t="s">
        <v>12</v>
      </c>
      <c r="C1084" s="1">
        <v>17382.939999999999</v>
      </c>
    </row>
    <row r="1085" spans="1:3" x14ac:dyDescent="0.2">
      <c r="A1085" s="2">
        <v>45775</v>
      </c>
      <c r="B1085" s="1" t="s">
        <v>12</v>
      </c>
      <c r="C1085" s="1">
        <v>17366.13</v>
      </c>
    </row>
    <row r="1086" spans="1:3" x14ac:dyDescent="0.2">
      <c r="A1086" s="2">
        <v>45776</v>
      </c>
      <c r="B1086" s="1" t="s">
        <v>12</v>
      </c>
      <c r="C1086" s="1">
        <v>17461.32</v>
      </c>
    </row>
    <row r="1087" spans="1:3" x14ac:dyDescent="0.2">
      <c r="A1087" s="2">
        <v>45777</v>
      </c>
      <c r="B1087" s="1" t="s">
        <v>12</v>
      </c>
      <c r="C1087" s="1">
        <v>17446.34</v>
      </c>
    </row>
    <row r="1088" spans="1:3" x14ac:dyDescent="0.2">
      <c r="A1088" s="2">
        <v>45778</v>
      </c>
      <c r="B1088" s="1" t="s">
        <v>12</v>
      </c>
      <c r="C1088" s="1">
        <v>17710.740000000002</v>
      </c>
    </row>
    <row r="1089" spans="1:3" x14ac:dyDescent="0.2">
      <c r="A1089" s="2">
        <v>45779</v>
      </c>
      <c r="B1089" s="1" t="s">
        <v>12</v>
      </c>
      <c r="C1089" s="1">
        <v>17977.73</v>
      </c>
    </row>
    <row r="1090" spans="1:3" x14ac:dyDescent="0.2">
      <c r="A1090" s="2">
        <v>45782</v>
      </c>
      <c r="B1090" s="1" t="s">
        <v>12</v>
      </c>
      <c r="C1090" s="1">
        <v>17844.240000000002</v>
      </c>
    </row>
    <row r="1091" spans="1:3" x14ac:dyDescent="0.2">
      <c r="A1091" s="2">
        <v>45783</v>
      </c>
      <c r="B1091" s="1" t="s">
        <v>12</v>
      </c>
      <c r="C1091" s="1">
        <v>17689.66</v>
      </c>
    </row>
    <row r="1092" spans="1:3" x14ac:dyDescent="0.2">
      <c r="A1092" s="2">
        <v>45784</v>
      </c>
      <c r="B1092" s="1" t="s">
        <v>12</v>
      </c>
      <c r="C1092" s="1">
        <v>17738.16</v>
      </c>
    </row>
    <row r="1093" spans="1:3" x14ac:dyDescent="0.2">
      <c r="A1093" s="2">
        <v>45785</v>
      </c>
      <c r="B1093" s="1" t="s">
        <v>12</v>
      </c>
      <c r="C1093" s="1">
        <v>17928.14</v>
      </c>
    </row>
    <row r="1094" spans="1:3" x14ac:dyDescent="0.2">
      <c r="A1094" s="2">
        <v>45786</v>
      </c>
      <c r="B1094" s="1" t="s">
        <v>12</v>
      </c>
      <c r="C1094" s="1">
        <v>17928.919999999998</v>
      </c>
    </row>
    <row r="1095" spans="1:3" x14ac:dyDescent="0.2">
      <c r="A1095" s="2">
        <v>45789</v>
      </c>
      <c r="B1095" s="1" t="s">
        <v>12</v>
      </c>
      <c r="C1095" s="1">
        <v>18708.34</v>
      </c>
    </row>
    <row r="1096" spans="1:3" x14ac:dyDescent="0.2">
      <c r="A1096" s="2">
        <v>45790</v>
      </c>
      <c r="B1096" s="1" t="s">
        <v>12</v>
      </c>
      <c r="C1096" s="1">
        <v>19010.080000000002</v>
      </c>
    </row>
    <row r="1097" spans="1:3" x14ac:dyDescent="0.2">
      <c r="A1097" s="2">
        <v>45791</v>
      </c>
      <c r="B1097" s="1" t="s">
        <v>12</v>
      </c>
      <c r="C1097" s="1">
        <v>19146.810000000001</v>
      </c>
    </row>
    <row r="1098" spans="1:3" x14ac:dyDescent="0.2">
      <c r="A1098" s="2">
        <v>45792</v>
      </c>
      <c r="B1098" s="1" t="s">
        <v>12</v>
      </c>
      <c r="C1098" s="1">
        <v>19112.32</v>
      </c>
    </row>
    <row r="1099" spans="1:3" x14ac:dyDescent="0.2">
      <c r="A1099" s="2">
        <v>45793</v>
      </c>
      <c r="B1099" s="1" t="s">
        <v>12</v>
      </c>
      <c r="C1099" s="1">
        <v>19211.099999999999</v>
      </c>
    </row>
    <row r="1100" spans="1:3" x14ac:dyDescent="0.2">
      <c r="A1100" s="2">
        <v>45796</v>
      </c>
      <c r="B1100" s="1" t="s">
        <v>12</v>
      </c>
      <c r="C1100" s="1">
        <v>19215.46</v>
      </c>
    </row>
    <row r="1101" spans="1:3" x14ac:dyDescent="0.2">
      <c r="A1101" s="2">
        <v>45797</v>
      </c>
      <c r="B1101" s="1" t="s">
        <v>12</v>
      </c>
      <c r="C1101" s="1">
        <v>19142.71</v>
      </c>
    </row>
    <row r="1102" spans="1:3" x14ac:dyDescent="0.2">
      <c r="A1102" s="2">
        <v>45798</v>
      </c>
      <c r="B1102" s="1" t="s">
        <v>12</v>
      </c>
      <c r="C1102" s="1">
        <v>18872.64</v>
      </c>
    </row>
    <row r="1103" spans="1:3" x14ac:dyDescent="0.2">
      <c r="A1103" s="2">
        <v>45799</v>
      </c>
      <c r="B1103" s="1" t="s">
        <v>12</v>
      </c>
      <c r="C1103" s="1">
        <v>18925.73</v>
      </c>
    </row>
    <row r="1104" spans="1:3" x14ac:dyDescent="0.2">
      <c r="A1104" s="2">
        <v>45800</v>
      </c>
      <c r="B1104" s="1" t="s">
        <v>12</v>
      </c>
      <c r="C1104" s="1">
        <v>18737.21</v>
      </c>
    </row>
    <row r="1105" spans="1:3" x14ac:dyDescent="0.2">
      <c r="A1105" s="2">
        <v>45804</v>
      </c>
      <c r="B1105" s="1" t="s">
        <v>12</v>
      </c>
      <c r="C1105" s="1">
        <v>19199.16</v>
      </c>
    </row>
    <row r="1106" spans="1:3" x14ac:dyDescent="0.2">
      <c r="A1106" s="2">
        <v>45805</v>
      </c>
      <c r="B1106" s="1" t="s">
        <v>12</v>
      </c>
      <c r="C1106" s="1">
        <v>19100.939999999999</v>
      </c>
    </row>
    <row r="1107" spans="1:3" x14ac:dyDescent="0.2">
      <c r="A1107" s="2">
        <v>45806</v>
      </c>
      <c r="B1107" s="1" t="s">
        <v>12</v>
      </c>
      <c r="C1107" s="1">
        <v>19175.87</v>
      </c>
    </row>
    <row r="1108" spans="1:3" x14ac:dyDescent="0.2">
      <c r="A1108" s="2">
        <v>45807</v>
      </c>
      <c r="B1108" s="1" t="s">
        <v>12</v>
      </c>
      <c r="C1108" s="1">
        <v>19113.77</v>
      </c>
    </row>
    <row r="1109" spans="1:3" x14ac:dyDescent="0.2">
      <c r="A1109" s="2">
        <v>45810</v>
      </c>
      <c r="B1109" s="1" t="s">
        <v>12</v>
      </c>
      <c r="C1109" s="1">
        <v>19242.61</v>
      </c>
    </row>
    <row r="1110" spans="1:3" x14ac:dyDescent="0.2">
      <c r="A1110" s="2">
        <v>45811</v>
      </c>
      <c r="B1110" s="1" t="s">
        <v>12</v>
      </c>
      <c r="C1110" s="1">
        <v>19398.96</v>
      </c>
    </row>
    <row r="1111" spans="1:3" x14ac:dyDescent="0.2">
      <c r="A1111" s="2">
        <v>45812</v>
      </c>
      <c r="B1111" s="1" t="s">
        <v>12</v>
      </c>
      <c r="C1111" s="1">
        <v>19460.490000000002</v>
      </c>
    </row>
    <row r="1112" spans="1:3" x14ac:dyDescent="0.2">
      <c r="A1112" s="2">
        <v>45813</v>
      </c>
      <c r="B1112" s="1" t="s">
        <v>12</v>
      </c>
      <c r="C1112" s="1">
        <v>19298.45</v>
      </c>
    </row>
    <row r="1113" spans="1:3" x14ac:dyDescent="0.2">
      <c r="A1113" s="2">
        <v>45814</v>
      </c>
      <c r="B1113" s="1" t="s">
        <v>12</v>
      </c>
      <c r="C1113" s="1">
        <v>19529.95</v>
      </c>
    </row>
    <row r="1114" spans="1:3" x14ac:dyDescent="0.2">
      <c r="A1114" s="2">
        <v>45817</v>
      </c>
      <c r="B1114" s="1" t="s">
        <v>12</v>
      </c>
      <c r="C1114" s="1">
        <v>19591.240000000002</v>
      </c>
    </row>
    <row r="1115" spans="1:3" x14ac:dyDescent="0.2">
      <c r="A1115" s="2">
        <v>45818</v>
      </c>
      <c r="B1115" s="1" t="s">
        <v>12</v>
      </c>
      <c r="C1115" s="1">
        <v>19714.990000000002</v>
      </c>
    </row>
    <row r="1116" spans="1:3" x14ac:dyDescent="0.2">
      <c r="A1116" s="2">
        <v>45819</v>
      </c>
      <c r="B1116" s="1" t="s">
        <v>12</v>
      </c>
      <c r="C1116" s="1">
        <v>19615.88</v>
      </c>
    </row>
    <row r="1117" spans="1:3" x14ac:dyDescent="0.2">
      <c r="A1117" s="2">
        <v>45820</v>
      </c>
      <c r="B1117" s="1" t="s">
        <v>12</v>
      </c>
      <c r="C1117" s="1">
        <v>19662.48</v>
      </c>
    </row>
    <row r="1118" spans="1:3" x14ac:dyDescent="0.2">
      <c r="A1118" s="2">
        <v>45821</v>
      </c>
      <c r="B1118" s="1" t="s">
        <v>12</v>
      </c>
      <c r="C1118" s="1">
        <v>19406.830000000002</v>
      </c>
    </row>
    <row r="1119" spans="1:3" x14ac:dyDescent="0.2">
      <c r="A1119" s="2">
        <v>45824</v>
      </c>
      <c r="B1119" s="1" t="s">
        <v>12</v>
      </c>
      <c r="C1119" s="1">
        <v>19701.21</v>
      </c>
    </row>
    <row r="1120" spans="1:3" x14ac:dyDescent="0.2">
      <c r="A1120" s="2">
        <v>45825</v>
      </c>
      <c r="B1120" s="1" t="s">
        <v>12</v>
      </c>
      <c r="C1120" s="1">
        <v>19521.09</v>
      </c>
    </row>
    <row r="1121" spans="1:3" x14ac:dyDescent="0.2">
      <c r="A1121" s="2">
        <v>45826</v>
      </c>
      <c r="B1121" s="1" t="s">
        <v>12</v>
      </c>
      <c r="C1121" s="1">
        <v>19546.27</v>
      </c>
    </row>
    <row r="1122" spans="1:3" x14ac:dyDescent="0.2">
      <c r="A1122" s="2">
        <v>45828</v>
      </c>
      <c r="B1122" s="1" t="s">
        <v>12</v>
      </c>
      <c r="C1122" s="1">
        <v>19447.41</v>
      </c>
    </row>
    <row r="1123" spans="1:3" x14ac:dyDescent="0.2">
      <c r="A1123" s="2">
        <v>45831</v>
      </c>
      <c r="B1123" s="1" t="s">
        <v>12</v>
      </c>
      <c r="C1123" s="1">
        <v>19630.97</v>
      </c>
    </row>
    <row r="1124" spans="1:3" x14ac:dyDescent="0.2">
      <c r="A1124" s="2">
        <v>45832</v>
      </c>
      <c r="B1124" s="1" t="s">
        <v>12</v>
      </c>
      <c r="C1124" s="1">
        <v>19912.53</v>
      </c>
    </row>
    <row r="1125" spans="1:3" x14ac:dyDescent="0.2">
      <c r="A1125" s="2">
        <v>45833</v>
      </c>
      <c r="B1125" s="1" t="s">
        <v>12</v>
      </c>
      <c r="C1125" s="1">
        <v>19973.55</v>
      </c>
    </row>
    <row r="1126" spans="1:3" x14ac:dyDescent="0.2">
      <c r="A1126" s="2">
        <v>45834</v>
      </c>
      <c r="B1126" s="1" t="s">
        <v>12</v>
      </c>
      <c r="C1126" s="1">
        <v>20167.91</v>
      </c>
    </row>
    <row r="1127" spans="1:3" x14ac:dyDescent="0.2">
      <c r="A1127" s="2">
        <v>45835</v>
      </c>
      <c r="B1127" s="1" t="s">
        <v>12</v>
      </c>
      <c r="C1127" s="1">
        <v>20273.46</v>
      </c>
    </row>
    <row r="1128" spans="1:3" x14ac:dyDescent="0.2">
      <c r="A1128" s="2">
        <v>45838</v>
      </c>
      <c r="B1128" s="1" t="s">
        <v>12</v>
      </c>
      <c r="C1128" s="1">
        <v>20369.73</v>
      </c>
    </row>
    <row r="1129" spans="1:3" x14ac:dyDescent="0.2">
      <c r="A1129" s="2">
        <v>45839</v>
      </c>
      <c r="B1129" s="1" t="s">
        <v>12</v>
      </c>
      <c r="C1129" s="1">
        <v>20202.89</v>
      </c>
    </row>
    <row r="1130" spans="1:3" x14ac:dyDescent="0.2">
      <c r="A1130" s="2">
        <v>45840</v>
      </c>
      <c r="B1130" s="1" t="s">
        <v>12</v>
      </c>
      <c r="C1130" s="1">
        <v>20393.13</v>
      </c>
    </row>
    <row r="1131" spans="1:3" x14ac:dyDescent="0.2">
      <c r="A1131" s="2">
        <v>45841</v>
      </c>
      <c r="B1131" s="1" t="s">
        <v>12</v>
      </c>
      <c r="C1131" s="1">
        <v>20601.099999999999</v>
      </c>
    </row>
    <row r="1132" spans="1:3" x14ac:dyDescent="0.2">
      <c r="A1132" s="2">
        <v>45845</v>
      </c>
      <c r="B1132" s="1" t="s">
        <v>12</v>
      </c>
      <c r="C1132" s="1">
        <v>20412.52</v>
      </c>
    </row>
    <row r="1133" spans="1:3" x14ac:dyDescent="0.2">
      <c r="A1133" s="2">
        <v>45846</v>
      </c>
      <c r="B1133" s="1" t="s">
        <v>12</v>
      </c>
      <c r="C1133" s="1">
        <v>20418.46</v>
      </c>
    </row>
    <row r="1134" spans="1:3" x14ac:dyDescent="0.2">
      <c r="A1134" s="2">
        <v>45847</v>
      </c>
      <c r="B1134" s="1" t="s">
        <v>12</v>
      </c>
      <c r="C1134" s="1">
        <v>20611.34</v>
      </c>
    </row>
    <row r="1135" spans="1:3" x14ac:dyDescent="0.2">
      <c r="A1135" s="2">
        <v>45848</v>
      </c>
      <c r="B1135" s="1" t="s">
        <v>12</v>
      </c>
      <c r="C1135" s="1">
        <v>20630.66</v>
      </c>
    </row>
    <row r="1136" spans="1:3" x14ac:dyDescent="0.2">
      <c r="A1136" s="2">
        <v>45849</v>
      </c>
      <c r="B1136" s="1" t="s">
        <v>12</v>
      </c>
      <c r="C1136" s="1">
        <v>20585.53</v>
      </c>
    </row>
    <row r="1137" spans="1:3" x14ac:dyDescent="0.2">
      <c r="A1137" s="2">
        <v>45852</v>
      </c>
      <c r="B1137" s="1" t="s">
        <v>12</v>
      </c>
      <c r="C1137" s="1">
        <v>20640.330000000002</v>
      </c>
    </row>
    <row r="1138" spans="1:3" x14ac:dyDescent="0.2">
      <c r="A1138" s="2">
        <v>45853</v>
      </c>
      <c r="B1138" s="1" t="s">
        <v>12</v>
      </c>
      <c r="C1138" s="1">
        <v>20677.8</v>
      </c>
    </row>
    <row r="1139" spans="1:3" x14ac:dyDescent="0.2">
      <c r="A1139" s="2">
        <v>45854</v>
      </c>
      <c r="B1139" s="1" t="s">
        <v>12</v>
      </c>
      <c r="C1139" s="1">
        <v>20730.490000000002</v>
      </c>
    </row>
    <row r="1140" spans="1:3" x14ac:dyDescent="0.2">
      <c r="A1140" s="2">
        <v>45855</v>
      </c>
      <c r="B1140" s="1" t="s">
        <v>12</v>
      </c>
      <c r="C1140" s="1">
        <v>20885.650000000001</v>
      </c>
    </row>
    <row r="1141" spans="1:3" x14ac:dyDescent="0.2">
      <c r="A1141" s="2">
        <v>45856</v>
      </c>
      <c r="B1141" s="1" t="s">
        <v>12</v>
      </c>
      <c r="C1141" s="1">
        <v>20895.66</v>
      </c>
    </row>
    <row r="1142" spans="1:3" x14ac:dyDescent="0.2">
      <c r="A1142" s="2">
        <v>45859</v>
      </c>
      <c r="B1142" s="1" t="s">
        <v>12</v>
      </c>
      <c r="C1142" s="1">
        <v>20974.17</v>
      </c>
    </row>
    <row r="1143" spans="1:3" x14ac:dyDescent="0.2">
      <c r="A1143" s="2">
        <v>45860</v>
      </c>
      <c r="B1143" s="1" t="s">
        <v>12</v>
      </c>
      <c r="C1143" s="1">
        <v>20892.689999999999</v>
      </c>
    </row>
    <row r="1144" spans="1:3" x14ac:dyDescent="0.2">
      <c r="A1144" s="2">
        <v>45861</v>
      </c>
      <c r="B1144" s="1" t="s">
        <v>12</v>
      </c>
      <c r="C1144" s="1">
        <v>21020.02</v>
      </c>
    </row>
    <row r="1145" spans="1:3" x14ac:dyDescent="0.2">
      <c r="A1145" s="2">
        <v>45862</v>
      </c>
      <c r="B1145" s="1" t="s">
        <v>12</v>
      </c>
      <c r="C1145" s="1">
        <v>21057.96</v>
      </c>
    </row>
    <row r="1146" spans="1:3" x14ac:dyDescent="0.2">
      <c r="A1146" s="2">
        <v>45863</v>
      </c>
      <c r="B1146" s="1" t="s">
        <v>12</v>
      </c>
      <c r="C1146" s="1">
        <v>21108.32</v>
      </c>
    </row>
    <row r="1147" spans="1:3" x14ac:dyDescent="0.2">
      <c r="A1147" s="2">
        <v>45866</v>
      </c>
      <c r="B1147" s="1" t="s">
        <v>12</v>
      </c>
      <c r="C1147" s="1">
        <v>21178.58</v>
      </c>
    </row>
    <row r="1148" spans="1:3" x14ac:dyDescent="0.2">
      <c r="A1148" s="2">
        <v>45867</v>
      </c>
      <c r="B1148" s="1" t="s">
        <v>12</v>
      </c>
      <c r="C1148" s="1">
        <v>21098.29</v>
      </c>
    </row>
    <row r="1149" spans="1:3" x14ac:dyDescent="0.2">
      <c r="A1149" s="2">
        <v>45868</v>
      </c>
      <c r="B1149" s="1" t="s">
        <v>12</v>
      </c>
      <c r="C1149" s="1">
        <v>21129.67</v>
      </c>
    </row>
    <row r="1150" spans="1:3" x14ac:dyDescent="0.2">
      <c r="A1150" s="2">
        <v>45869</v>
      </c>
      <c r="B1150" s="1" t="s">
        <v>12</v>
      </c>
      <c r="C1150" s="1">
        <v>21122.45</v>
      </c>
    </row>
    <row r="1151" spans="1:3" x14ac:dyDescent="0.2">
      <c r="A1151" s="2">
        <v>45870</v>
      </c>
      <c r="B1151" s="1" t="s">
        <v>12</v>
      </c>
      <c r="C1151" s="1">
        <v>20650.13</v>
      </c>
    </row>
    <row r="1152" spans="1:3" x14ac:dyDescent="0.2">
      <c r="A1152" s="2">
        <v>45873</v>
      </c>
      <c r="B1152" s="1" t="s">
        <v>12</v>
      </c>
      <c r="C1152" s="1">
        <v>21053.58</v>
      </c>
    </row>
    <row r="1153" spans="1:3" x14ac:dyDescent="0.2">
      <c r="A1153" s="2">
        <v>45874</v>
      </c>
      <c r="B1153" s="1" t="s">
        <v>12</v>
      </c>
      <c r="C1153" s="1">
        <v>20916.55</v>
      </c>
    </row>
    <row r="1154" spans="1:3" x14ac:dyDescent="0.2">
      <c r="A1154" s="2">
        <v>45875</v>
      </c>
      <c r="B1154" s="1" t="s">
        <v>12</v>
      </c>
      <c r="C1154" s="1">
        <v>21169.42</v>
      </c>
    </row>
    <row r="1155" spans="1:3" x14ac:dyDescent="0.2">
      <c r="A1155" s="2">
        <v>45876</v>
      </c>
      <c r="B1155" s="1" t="s">
        <v>12</v>
      </c>
      <c r="C1155" s="1">
        <v>21242.7</v>
      </c>
    </row>
    <row r="1156" spans="1:3" x14ac:dyDescent="0.2">
      <c r="A1156" s="2">
        <v>45877</v>
      </c>
      <c r="B1156" s="1" t="s">
        <v>12</v>
      </c>
      <c r="C1156" s="1">
        <v>21450.02</v>
      </c>
    </row>
    <row r="1157" spans="1:3" x14ac:dyDescent="0.2">
      <c r="A1157" s="2">
        <v>45880</v>
      </c>
      <c r="B1157" s="1" t="s">
        <v>12</v>
      </c>
      <c r="C1157" s="1">
        <v>21385.4</v>
      </c>
    </row>
    <row r="1158" spans="1:3" x14ac:dyDescent="0.2">
      <c r="A1158" s="2">
        <v>45881</v>
      </c>
      <c r="B1158" s="1" t="s">
        <v>12</v>
      </c>
      <c r="C1158" s="1">
        <v>21681.9</v>
      </c>
    </row>
    <row r="1159" spans="1:3" x14ac:dyDescent="0.2">
      <c r="A1159" s="2">
        <v>45882</v>
      </c>
      <c r="B1159" s="1" t="s">
        <v>12</v>
      </c>
      <c r="C1159" s="1">
        <v>21713.14</v>
      </c>
    </row>
    <row r="1160" spans="1:3" x14ac:dyDescent="0.2">
      <c r="A1160" s="2">
        <v>45883</v>
      </c>
      <c r="B1160" s="1" t="s">
        <v>12</v>
      </c>
      <c r="C1160" s="1">
        <v>21710.67</v>
      </c>
    </row>
    <row r="1161" spans="1:3" x14ac:dyDescent="0.2">
      <c r="A1161" s="2">
        <v>45884</v>
      </c>
      <c r="B1161" s="1" t="s">
        <v>12</v>
      </c>
      <c r="C1161" s="1">
        <v>21622.98</v>
      </c>
    </row>
    <row r="1162" spans="1:3" x14ac:dyDescent="0.2">
      <c r="A1162" s="2">
        <v>45887</v>
      </c>
      <c r="B1162" s="1" t="s">
        <v>12</v>
      </c>
      <c r="C1162" s="1">
        <v>21629.77</v>
      </c>
    </row>
    <row r="1163" spans="1:3" x14ac:dyDescent="0.2">
      <c r="A1163" s="2">
        <v>45888</v>
      </c>
      <c r="B1163" s="1" t="s">
        <v>12</v>
      </c>
      <c r="C1163" s="1">
        <v>21314.95</v>
      </c>
    </row>
    <row r="1164" spans="1:3" x14ac:dyDescent="0.2">
      <c r="A1164" s="2">
        <v>45889</v>
      </c>
      <c r="B1164" s="1" t="s">
        <v>12</v>
      </c>
      <c r="C1164" s="1">
        <v>21172.86</v>
      </c>
    </row>
    <row r="1165" spans="1:3" x14ac:dyDescent="0.2">
      <c r="A1165" s="2">
        <v>45890</v>
      </c>
      <c r="B1165" s="1" t="s">
        <v>12</v>
      </c>
      <c r="C1165" s="1">
        <v>21100.31</v>
      </c>
    </row>
    <row r="1166" spans="1:3" x14ac:dyDescent="0.2">
      <c r="A1166" s="2">
        <v>45891</v>
      </c>
      <c r="B1166" s="1" t="s">
        <v>12</v>
      </c>
      <c r="C1166" s="1">
        <v>21496.54</v>
      </c>
    </row>
    <row r="1167" spans="1:3" x14ac:dyDescent="0.2">
      <c r="A1167" s="2">
        <v>45894</v>
      </c>
      <c r="B1167" s="1" t="s">
        <v>12</v>
      </c>
      <c r="C1167" s="1">
        <v>21449.29</v>
      </c>
    </row>
    <row r="1168" spans="1:3" x14ac:dyDescent="0.2">
      <c r="A1168" s="2">
        <v>45895</v>
      </c>
      <c r="B1168" s="1" t="s">
        <v>12</v>
      </c>
      <c r="C1168" s="1">
        <v>21544.27</v>
      </c>
    </row>
    <row r="1169" spans="1:3" x14ac:dyDescent="0.2">
      <c r="A1169" s="2">
        <v>45896</v>
      </c>
      <c r="B1169" s="1" t="s">
        <v>12</v>
      </c>
      <c r="C1169" s="1">
        <v>21590.14</v>
      </c>
    </row>
    <row r="1170" spans="1:3" x14ac:dyDescent="0.2">
      <c r="A1170" s="2">
        <v>45897</v>
      </c>
      <c r="B1170" s="1" t="s">
        <v>12</v>
      </c>
      <c r="C1170" s="1">
        <v>21705.16</v>
      </c>
    </row>
    <row r="1171" spans="1:3" x14ac:dyDescent="0.2">
      <c r="A1171" s="2">
        <v>45898</v>
      </c>
      <c r="B1171" s="1" t="s">
        <v>12</v>
      </c>
      <c r="C1171" s="1">
        <v>21455.55</v>
      </c>
    </row>
    <row r="1172" spans="1:3" x14ac:dyDescent="0.2">
      <c r="A1172" s="2">
        <v>45902</v>
      </c>
      <c r="B1172" s="1" t="s">
        <v>12</v>
      </c>
      <c r="C1172" s="1">
        <v>21279.63</v>
      </c>
    </row>
    <row r="1173" spans="1:3" x14ac:dyDescent="0.2">
      <c r="A1173" s="2">
        <v>45903</v>
      </c>
      <c r="B1173" s="1" t="s">
        <v>12</v>
      </c>
      <c r="C1173" s="1">
        <v>21497.73</v>
      </c>
    </row>
    <row r="1174" spans="1:3" x14ac:dyDescent="0.2">
      <c r="A1174" s="2">
        <v>45904</v>
      </c>
      <c r="B1174" s="1" t="s">
        <v>12</v>
      </c>
      <c r="C1174" s="1">
        <v>21707.69</v>
      </c>
    </row>
    <row r="1175" spans="1:3" x14ac:dyDescent="0.2">
      <c r="A1175" s="2">
        <v>45905</v>
      </c>
      <c r="B1175" s="1" t="s">
        <v>12</v>
      </c>
      <c r="C1175" s="1">
        <v>21700.39</v>
      </c>
    </row>
    <row r="1176" spans="1:3" x14ac:dyDescent="0.2">
      <c r="A1176" s="2">
        <v>45908</v>
      </c>
      <c r="B1176" s="1" t="s">
        <v>12</v>
      </c>
      <c r="C1176" s="1">
        <v>21798.7</v>
      </c>
    </row>
    <row r="1177" spans="1:3" x14ac:dyDescent="0.2">
      <c r="A1177" s="2">
        <v>45909</v>
      </c>
      <c r="B1177" s="1" t="s">
        <v>12</v>
      </c>
      <c r="C1177" s="1">
        <v>21879.49</v>
      </c>
    </row>
    <row r="1178" spans="1:3" x14ac:dyDescent="0.2">
      <c r="A1178" s="2">
        <v>45910</v>
      </c>
      <c r="B1178" s="1" t="s">
        <v>12</v>
      </c>
      <c r="C1178" s="1">
        <v>21886.06</v>
      </c>
    </row>
    <row r="1179" spans="1:3" x14ac:dyDescent="0.2">
      <c r="A1179" s="2">
        <v>45911</v>
      </c>
      <c r="B1179" s="1" t="s">
        <v>12</v>
      </c>
      <c r="C1179" s="1">
        <v>22043.07</v>
      </c>
    </row>
    <row r="1180" spans="1:3" x14ac:dyDescent="0.2">
      <c r="A1180" s="2">
        <v>45912</v>
      </c>
      <c r="B1180" s="1" t="s">
        <v>12</v>
      </c>
      <c r="C1180" s="1">
        <v>22141.1</v>
      </c>
    </row>
    <row r="1181" spans="1:3" x14ac:dyDescent="0.2">
      <c r="A1181" s="2">
        <v>45915</v>
      </c>
      <c r="B1181" s="1" t="s">
        <v>12</v>
      </c>
      <c r="C1181" s="1">
        <v>22348.75</v>
      </c>
    </row>
    <row r="1182" spans="1:3" x14ac:dyDescent="0.2">
      <c r="A1182" s="2">
        <v>45916</v>
      </c>
      <c r="B1182" s="1" t="s">
        <v>12</v>
      </c>
      <c r="C1182" s="1">
        <v>22333.96</v>
      </c>
    </row>
    <row r="1183" spans="1:3" x14ac:dyDescent="0.2">
      <c r="A1183" s="2">
        <v>45917</v>
      </c>
      <c r="B1183" s="1" t="s">
        <v>12</v>
      </c>
      <c r="C1183" s="1">
        <v>22261.33</v>
      </c>
    </row>
    <row r="1184" spans="1:3" x14ac:dyDescent="0.2">
      <c r="A1184" s="2">
        <v>45918</v>
      </c>
      <c r="B1184" s="1" t="s">
        <v>12</v>
      </c>
      <c r="C1184" s="1">
        <v>22470.720000000001</v>
      </c>
    </row>
    <row r="1185" spans="1:3" x14ac:dyDescent="0.2">
      <c r="A1185" s="2">
        <v>45919</v>
      </c>
      <c r="B1185" s="1" t="s">
        <v>12</v>
      </c>
      <c r="C1185" s="1">
        <v>22631.48</v>
      </c>
    </row>
    <row r="1186" spans="1:3" x14ac:dyDescent="0.2">
      <c r="A1186" s="2">
        <v>45922</v>
      </c>
      <c r="B1186" s="1" t="s">
        <v>12</v>
      </c>
      <c r="C1186" s="1">
        <v>22788.98</v>
      </c>
    </row>
    <row r="1187" spans="1:3" x14ac:dyDescent="0.2">
      <c r="A1187" s="2">
        <v>45923</v>
      </c>
      <c r="B1187" s="1" t="s">
        <v>12</v>
      </c>
      <c r="C1187" s="1">
        <v>22573.47</v>
      </c>
    </row>
    <row r="1188" spans="1:3" x14ac:dyDescent="0.2">
      <c r="A1188" s="2">
        <v>45924</v>
      </c>
      <c r="B1188" s="1" t="s">
        <v>12</v>
      </c>
      <c r="C1188" s="1">
        <v>22497.86</v>
      </c>
    </row>
    <row r="1189" spans="1:3" x14ac:dyDescent="0.2">
      <c r="A1189" s="2">
        <v>45925</v>
      </c>
      <c r="B1189" s="1" t="s">
        <v>12</v>
      </c>
      <c r="C1189" s="1">
        <v>22384.7</v>
      </c>
    </row>
    <row r="1190" spans="1:3" x14ac:dyDescent="0.2">
      <c r="A1190" s="2">
        <v>45926</v>
      </c>
      <c r="B1190" s="1" t="s">
        <v>12</v>
      </c>
      <c r="C1190" s="1">
        <v>22484.07</v>
      </c>
    </row>
    <row r="1191" spans="1:3" x14ac:dyDescent="0.2">
      <c r="A1191" s="2">
        <v>45929</v>
      </c>
      <c r="B1191" s="1" t="s">
        <v>12</v>
      </c>
      <c r="C1191" s="1">
        <v>22591.15</v>
      </c>
    </row>
    <row r="1192" spans="1:3" x14ac:dyDescent="0.2">
      <c r="A1192" s="2">
        <v>45930</v>
      </c>
      <c r="B1192" s="1" t="s">
        <v>12</v>
      </c>
      <c r="C1192" s="1">
        <v>22660.01</v>
      </c>
    </row>
    <row r="1193" spans="1:3" x14ac:dyDescent="0.2">
      <c r="A1193" s="2">
        <v>45931</v>
      </c>
      <c r="B1193" s="1" t="s">
        <v>12</v>
      </c>
      <c r="C1193" s="1">
        <v>22755.16</v>
      </c>
    </row>
    <row r="1194" spans="1:3" x14ac:dyDescent="0.2">
      <c r="A1194" s="2">
        <v>45932</v>
      </c>
      <c r="B1194" s="1" t="s">
        <v>12</v>
      </c>
      <c r="C1194" s="1">
        <v>22844.05</v>
      </c>
    </row>
    <row r="1195" spans="1:3" x14ac:dyDescent="0.2">
      <c r="A1195" s="2">
        <v>45933</v>
      </c>
      <c r="B1195" s="1" t="s">
        <v>12</v>
      </c>
      <c r="C1195" s="1">
        <v>22780.51</v>
      </c>
    </row>
    <row r="1196" spans="1:3" x14ac:dyDescent="0.2">
      <c r="A1196" s="2">
        <v>45936</v>
      </c>
      <c r="B1196" s="1" t="s">
        <v>12</v>
      </c>
      <c r="C1196" s="1">
        <v>22941.67</v>
      </c>
    </row>
    <row r="1197" spans="1:3" x14ac:dyDescent="0.2">
      <c r="A1197" s="2">
        <v>45937</v>
      </c>
      <c r="B1197" s="1" t="s">
        <v>12</v>
      </c>
      <c r="C1197" s="1">
        <v>22788.36</v>
      </c>
    </row>
    <row r="1198" spans="1:3" x14ac:dyDescent="0.2">
      <c r="A1198" s="2">
        <v>45938</v>
      </c>
      <c r="B1198" s="1" t="s">
        <v>12</v>
      </c>
      <c r="C1198" s="1">
        <v>23043.38</v>
      </c>
    </row>
    <row r="1199" spans="1:3" x14ac:dyDescent="0.2">
      <c r="A1199" s="2">
        <v>45939</v>
      </c>
      <c r="B1199" s="1" t="s">
        <v>12</v>
      </c>
      <c r="C1199" s="1">
        <v>23024.63</v>
      </c>
    </row>
    <row r="1200" spans="1:3" x14ac:dyDescent="0.2">
      <c r="A1200" s="2">
        <v>45940</v>
      </c>
      <c r="B1200" s="1" t="s">
        <v>12</v>
      </c>
      <c r="C1200" s="1">
        <v>22204.43</v>
      </c>
    </row>
    <row r="1201" spans="1:3" x14ac:dyDescent="0.2">
      <c r="A1201" s="2">
        <v>45943</v>
      </c>
      <c r="B1201" s="1" t="s">
        <v>12</v>
      </c>
      <c r="C1201" s="1">
        <v>22694.61</v>
      </c>
    </row>
    <row r="1202" spans="1:3" x14ac:dyDescent="0.2">
      <c r="A1202" s="2">
        <v>45944</v>
      </c>
      <c r="B1202" s="1" t="s">
        <v>12</v>
      </c>
      <c r="C1202" s="1">
        <v>22521.7</v>
      </c>
    </row>
    <row r="1203" spans="1:3" x14ac:dyDescent="0.2">
      <c r="A1203" s="2">
        <v>45945</v>
      </c>
      <c r="B1203" s="1" t="s">
        <v>12</v>
      </c>
      <c r="C1203" s="1">
        <v>22670.080000000002</v>
      </c>
    </row>
    <row r="1204" spans="1:3" x14ac:dyDescent="0.2">
      <c r="A1204" s="2">
        <v>45946</v>
      </c>
      <c r="B1204" s="1" t="s">
        <v>12</v>
      </c>
      <c r="C1204" s="1">
        <v>22562.54</v>
      </c>
    </row>
    <row r="1205" spans="1:3" x14ac:dyDescent="0.2">
      <c r="A1205" s="2">
        <v>45947</v>
      </c>
      <c r="B1205" s="1" t="s">
        <v>12</v>
      </c>
      <c r="C1205" s="1">
        <v>22679.97</v>
      </c>
    </row>
    <row r="1206" spans="1:3" x14ac:dyDescent="0.2">
      <c r="A1206" s="2">
        <v>45950</v>
      </c>
      <c r="B1206" s="1" t="s">
        <v>12</v>
      </c>
      <c r="C1206" s="1">
        <v>22990.54</v>
      </c>
    </row>
    <row r="1207" spans="1:3" x14ac:dyDescent="0.2">
      <c r="A1207" s="2">
        <v>45951</v>
      </c>
      <c r="B1207" s="1" t="s">
        <v>12</v>
      </c>
      <c r="C1207" s="1">
        <v>22953.67</v>
      </c>
    </row>
    <row r="1208" spans="1:3" x14ac:dyDescent="0.2">
      <c r="A1208" s="2">
        <v>45952</v>
      </c>
      <c r="B1208" s="1" t="s">
        <v>12</v>
      </c>
      <c r="C1208" s="1">
        <v>22740.400000000001</v>
      </c>
    </row>
    <row r="1209" spans="1:3" x14ac:dyDescent="0.2">
      <c r="A1209" s="2">
        <v>45953</v>
      </c>
      <c r="B1209" s="1" t="s">
        <v>12</v>
      </c>
      <c r="C1209" s="1">
        <v>22941.8</v>
      </c>
    </row>
    <row r="1210" spans="1:3" x14ac:dyDescent="0.2">
      <c r="A1210" s="2">
        <v>45954</v>
      </c>
      <c r="B1210" s="1" t="s">
        <v>12</v>
      </c>
      <c r="C1210" s="1">
        <v>23204.87</v>
      </c>
    </row>
    <row r="1211" spans="1:3" x14ac:dyDescent="0.2">
      <c r="A1211" s="2">
        <v>45957</v>
      </c>
      <c r="B1211" s="1" t="s">
        <v>12</v>
      </c>
      <c r="C1211" s="1">
        <v>23637.46</v>
      </c>
    </row>
    <row r="1212" spans="1:3" x14ac:dyDescent="0.2">
      <c r="A1212" s="2">
        <v>45958</v>
      </c>
      <c r="B1212" s="1" t="s">
        <v>12</v>
      </c>
      <c r="C1212" s="1">
        <v>23827.49</v>
      </c>
    </row>
    <row r="1213" spans="1:3" x14ac:dyDescent="0.2">
      <c r="A1213" s="2">
        <v>45959</v>
      </c>
      <c r="B1213" s="1" t="s">
        <v>12</v>
      </c>
      <c r="C1213" s="1">
        <v>23958.47</v>
      </c>
    </row>
    <row r="1214" spans="1:3" x14ac:dyDescent="0.2">
      <c r="A1214" s="2">
        <v>45960</v>
      </c>
      <c r="B1214" s="1" t="s">
        <v>12</v>
      </c>
      <c r="C1214" s="1">
        <v>23581.14</v>
      </c>
    </row>
    <row r="1215" spans="1:3" x14ac:dyDescent="0.2">
      <c r="A1215" s="2">
        <v>45961</v>
      </c>
      <c r="B1215" s="1" t="s">
        <v>12</v>
      </c>
      <c r="C1215" s="1">
        <v>23724.959999999999</v>
      </c>
    </row>
    <row r="1216" spans="1:3" x14ac:dyDescent="0.2">
      <c r="A1216" s="2">
        <v>45964</v>
      </c>
      <c r="B1216" s="1" t="s">
        <v>12</v>
      </c>
      <c r="C1216" s="1">
        <v>23834.720000000001</v>
      </c>
    </row>
    <row r="1217" spans="1:3" x14ac:dyDescent="0.2">
      <c r="A1217" s="2">
        <v>45965</v>
      </c>
      <c r="B1217" s="1" t="s">
        <v>12</v>
      </c>
      <c r="C1217" s="1">
        <v>23348.639999999999</v>
      </c>
    </row>
    <row r="1218" spans="1:3" x14ac:dyDescent="0.2">
      <c r="A1218" s="2">
        <v>45966</v>
      </c>
      <c r="B1218" s="1" t="s">
        <v>12</v>
      </c>
      <c r="C1218" s="1">
        <v>23499.8</v>
      </c>
    </row>
    <row r="1219" spans="1:3" x14ac:dyDescent="0.2">
      <c r="A1219" s="2">
        <v>45967</v>
      </c>
      <c r="B1219" s="1" t="s">
        <v>12</v>
      </c>
      <c r="C1219" s="1">
        <v>23053.99</v>
      </c>
    </row>
    <row r="1220" spans="1:3" x14ac:dyDescent="0.2">
      <c r="A1220" s="2">
        <v>45968</v>
      </c>
      <c r="B1220" s="1" t="s">
        <v>12</v>
      </c>
      <c r="C1220" s="1">
        <v>23004.54</v>
      </c>
    </row>
    <row r="1221" spans="1:3" x14ac:dyDescent="0.2">
      <c r="A1221" s="2">
        <v>45971</v>
      </c>
      <c r="B1221" s="1" t="s">
        <v>12</v>
      </c>
      <c r="C1221" s="1">
        <v>23527.17</v>
      </c>
    </row>
    <row r="1222" spans="1:3" x14ac:dyDescent="0.2">
      <c r="A1222" s="2">
        <v>45972</v>
      </c>
      <c r="B1222" s="1" t="s">
        <v>12</v>
      </c>
      <c r="C1222" s="1">
        <v>23468.3</v>
      </c>
    </row>
    <row r="1223" spans="1:3" x14ac:dyDescent="0.2">
      <c r="A1223" s="2">
        <v>45973</v>
      </c>
      <c r="B1223" s="1" t="s">
        <v>12</v>
      </c>
      <c r="C1223" s="1">
        <v>23406.46</v>
      </c>
    </row>
    <row r="1224" spans="1:3" x14ac:dyDescent="0.2">
      <c r="A1224" s="2">
        <v>45974</v>
      </c>
      <c r="B1224" s="1" t="s">
        <v>12</v>
      </c>
      <c r="C1224" s="1">
        <v>22870.36</v>
      </c>
    </row>
    <row r="1225" spans="1:3" x14ac:dyDescent="0.2">
      <c r="A1225" s="2">
        <v>45975</v>
      </c>
      <c r="B1225" s="1" t="s">
        <v>12</v>
      </c>
      <c r="C1225" s="1">
        <v>22900.59</v>
      </c>
    </row>
    <row r="1226" spans="1:3" x14ac:dyDescent="0.2">
      <c r="A1226" s="2">
        <v>45978</v>
      </c>
      <c r="B1226" s="1" t="s">
        <v>12</v>
      </c>
      <c r="C1226" s="1">
        <v>22708.07</v>
      </c>
    </row>
    <row r="1227" spans="1:3" x14ac:dyDescent="0.2">
      <c r="A1227" s="2">
        <v>45979</v>
      </c>
      <c r="B1227" s="1" t="s">
        <v>12</v>
      </c>
      <c r="C1227" s="1">
        <v>22432.85</v>
      </c>
    </row>
    <row r="1228" spans="1:3" x14ac:dyDescent="0.2">
      <c r="A1228" s="2">
        <v>45980</v>
      </c>
      <c r="B1228" s="1" t="s">
        <v>12</v>
      </c>
      <c r="C1228" s="1">
        <v>22564.23</v>
      </c>
    </row>
    <row r="1229" spans="1:3" x14ac:dyDescent="0.2">
      <c r="A1229" s="2">
        <v>45981</v>
      </c>
      <c r="B1229" s="1" t="s">
        <v>12</v>
      </c>
      <c r="C1229" s="1">
        <v>22078.05</v>
      </c>
    </row>
    <row r="1230" spans="1:3" x14ac:dyDescent="0.2">
      <c r="A1230" s="2">
        <v>45982</v>
      </c>
      <c r="B1230" s="1" t="s">
        <v>12</v>
      </c>
      <c r="C1230" s="1">
        <v>22273.08</v>
      </c>
    </row>
    <row r="1231" spans="1:3" x14ac:dyDescent="0.2">
      <c r="A1231" s="2">
        <v>45985</v>
      </c>
      <c r="B1231" s="1" t="s">
        <v>12</v>
      </c>
      <c r="C1231" s="1">
        <v>22872.01</v>
      </c>
    </row>
    <row r="1232" spans="1:3" x14ac:dyDescent="0.2">
      <c r="A1232" s="2">
        <v>45986</v>
      </c>
      <c r="B1232" s="1" t="s">
        <v>12</v>
      </c>
      <c r="C1232" s="1">
        <v>23025.59</v>
      </c>
    </row>
    <row r="1233" spans="1:3" x14ac:dyDescent="0.2">
      <c r="A1233" s="2">
        <v>45987</v>
      </c>
      <c r="B1233" s="1" t="s">
        <v>12</v>
      </c>
      <c r="C1233" s="1">
        <v>23214.69</v>
      </c>
    </row>
    <row r="1234" spans="1:3" x14ac:dyDescent="0.2">
      <c r="A1234" s="2">
        <v>45989</v>
      </c>
      <c r="B1234" s="1" t="s">
        <v>12</v>
      </c>
      <c r="C1234" s="1">
        <v>23365.69</v>
      </c>
    </row>
    <row r="1235" spans="1:3" x14ac:dyDescent="0.2">
      <c r="A1235" s="2">
        <v>45992</v>
      </c>
      <c r="B1235" s="1" t="s">
        <v>12</v>
      </c>
      <c r="C1235" s="1">
        <v>23275.919999999998</v>
      </c>
    </row>
    <row r="1236" spans="1:3" x14ac:dyDescent="0.2">
      <c r="A1236" s="2">
        <v>45993</v>
      </c>
      <c r="B1236" s="1" t="s">
        <v>12</v>
      </c>
      <c r="C1236" s="1">
        <v>23413.67</v>
      </c>
    </row>
    <row r="1237" spans="1:3" x14ac:dyDescent="0.2">
      <c r="A1237" s="2">
        <v>45994</v>
      </c>
      <c r="B1237" s="1" t="s">
        <v>12</v>
      </c>
      <c r="C1237" s="1">
        <v>23454.09</v>
      </c>
    </row>
    <row r="1238" spans="1:3" x14ac:dyDescent="0.2">
      <c r="A1238" s="2">
        <v>45995</v>
      </c>
      <c r="B1238" s="1" t="s">
        <v>12</v>
      </c>
      <c r="C1238" s="1">
        <v>23505.14</v>
      </c>
    </row>
    <row r="1239" spans="1:3" x14ac:dyDescent="0.2">
      <c r="A1239" s="2">
        <v>45996</v>
      </c>
      <c r="B1239" s="1" t="s">
        <v>12</v>
      </c>
      <c r="C1239" s="1">
        <v>23578.13</v>
      </c>
    </row>
    <row r="1240" spans="1:3" x14ac:dyDescent="0.2">
      <c r="A1240" s="2">
        <v>45999</v>
      </c>
      <c r="B1240" s="1" t="s">
        <v>12</v>
      </c>
      <c r="C1240" s="1">
        <v>23545.9</v>
      </c>
    </row>
    <row r="1241" spans="1:3" x14ac:dyDescent="0.2">
      <c r="A1241" s="2">
        <v>46000</v>
      </c>
      <c r="B1241" s="1" t="s">
        <v>12</v>
      </c>
      <c r="C1241" s="1">
        <v>23576.49</v>
      </c>
    </row>
    <row r="1242" spans="1:3" x14ac:dyDescent="0.2">
      <c r="A1242" s="2">
        <v>46001</v>
      </c>
      <c r="B1242" s="1" t="s">
        <v>12</v>
      </c>
      <c r="C1242" s="1">
        <v>23654.15</v>
      </c>
    </row>
    <row r="1243" spans="1:3" x14ac:dyDescent="0.2">
      <c r="A1243" s="2">
        <v>46002</v>
      </c>
      <c r="B1243" s="1" t="s">
        <v>12</v>
      </c>
      <c r="C1243" s="1">
        <v>23593.86</v>
      </c>
    </row>
    <row r="1244" spans="1:3" x14ac:dyDescent="0.2">
      <c r="A1244" s="2">
        <v>46003</v>
      </c>
      <c r="B1244" s="1" t="s">
        <v>12</v>
      </c>
      <c r="C1244" s="1">
        <v>23195.17</v>
      </c>
    </row>
    <row r="1245" spans="1:3" x14ac:dyDescent="0.2">
      <c r="A1245" s="2">
        <v>46006</v>
      </c>
      <c r="B1245" s="1" t="s">
        <v>12</v>
      </c>
      <c r="C1245" s="1">
        <v>23057.41</v>
      </c>
    </row>
    <row r="1246" spans="1:3" x14ac:dyDescent="0.2">
      <c r="A1246" s="2">
        <v>46007</v>
      </c>
      <c r="B1246" s="1" t="s">
        <v>12</v>
      </c>
      <c r="C1246" s="1">
        <v>23111.46</v>
      </c>
    </row>
    <row r="1247" spans="1:3" x14ac:dyDescent="0.2">
      <c r="A1247" s="2">
        <v>46008</v>
      </c>
      <c r="B1247" s="1" t="s">
        <v>12</v>
      </c>
      <c r="C1247" s="1">
        <v>22693.32</v>
      </c>
    </row>
    <row r="1248" spans="1:3" x14ac:dyDescent="0.2">
      <c r="A1248" s="2">
        <v>46009</v>
      </c>
      <c r="B1248" s="1" t="s">
        <v>12</v>
      </c>
      <c r="C1248" s="1">
        <v>23006.36</v>
      </c>
    </row>
    <row r="1249" spans="1:3" x14ac:dyDescent="0.2">
      <c r="A1249" s="2">
        <v>46010</v>
      </c>
      <c r="B1249" s="1" t="s">
        <v>12</v>
      </c>
      <c r="C1249" s="1">
        <v>23307.62</v>
      </c>
    </row>
    <row r="1250" spans="1:3" x14ac:dyDescent="0.2">
      <c r="A1250" s="2">
        <v>46013</v>
      </c>
      <c r="B1250" s="1" t="s">
        <v>12</v>
      </c>
      <c r="C1250" s="1">
        <v>23428.83</v>
      </c>
    </row>
    <row r="1251" spans="1:3" x14ac:dyDescent="0.2">
      <c r="A1251" s="2">
        <v>46014</v>
      </c>
      <c r="B1251" s="1" t="s">
        <v>12</v>
      </c>
      <c r="C1251" s="1">
        <v>23561.84</v>
      </c>
    </row>
    <row r="1252" spans="1:3" x14ac:dyDescent="0.2">
      <c r="A1252" s="2">
        <v>46015</v>
      </c>
      <c r="B1252" s="1" t="s">
        <v>12</v>
      </c>
      <c r="C1252" s="1">
        <v>23613.31</v>
      </c>
    </row>
    <row r="1253" spans="1:3" x14ac:dyDescent="0.2">
      <c r="A1253" s="2">
        <v>46017</v>
      </c>
      <c r="B1253" s="1" t="s">
        <v>12</v>
      </c>
      <c r="C1253" s="1">
        <v>23593.1</v>
      </c>
    </row>
    <row r="1254" spans="1:3" x14ac:dyDescent="0.2">
      <c r="A1254" s="2">
        <v>46020</v>
      </c>
      <c r="B1254" s="1" t="s">
        <v>12</v>
      </c>
      <c r="C1254" s="1">
        <v>23474.35</v>
      </c>
    </row>
    <row r="1255" spans="1:3" x14ac:dyDescent="0.2">
      <c r="A1255" s="2">
        <v>46021</v>
      </c>
      <c r="B1255" s="1" t="s">
        <v>12</v>
      </c>
      <c r="C1255" s="1">
        <v>23419.08</v>
      </c>
    </row>
    <row r="1256" spans="1:3" x14ac:dyDescent="0.2">
      <c r="A1256" s="2">
        <v>46022</v>
      </c>
      <c r="B1256" s="1" t="s">
        <v>12</v>
      </c>
      <c r="C1256" s="1">
        <v>23241.99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17AD-8FF7-440C-801A-014DDCEC3D74}">
  <dimension ref="A1:B1"/>
  <sheetViews>
    <sheetView workbookViewId="0">
      <selection activeCell="L29" sqref="L29"/>
    </sheetView>
  </sheetViews>
  <sheetFormatPr defaultRowHeight="11.4" x14ac:dyDescent="0.2"/>
  <cols>
    <col min="1" max="1" width="14.21875" style="1" bestFit="1" customWidth="1"/>
    <col min="2" max="16384" width="8.88671875" style="1"/>
  </cols>
  <sheetData>
    <row r="1" spans="1:2" x14ac:dyDescent="0.2">
      <c r="A1" s="1" t="s">
        <v>13</v>
      </c>
      <c r="B1" s="4">
        <v>4.2200000000000001E-2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3028-815B-4AE5-BE83-BDC7A11C2493}">
  <sheetPr codeName="Sheet9"/>
  <dimension ref="A1:J1256"/>
  <sheetViews>
    <sheetView workbookViewId="0">
      <selection activeCell="M21" sqref="M21"/>
    </sheetView>
  </sheetViews>
  <sheetFormatPr defaultRowHeight="11.4" x14ac:dyDescent="0.2"/>
  <cols>
    <col min="1" max="1" width="10.33203125" style="1" bestFit="1" customWidth="1"/>
    <col min="2" max="16384" width="8.88671875" style="1"/>
  </cols>
  <sheetData>
    <row r="1" spans="1:10" x14ac:dyDescent="0.2">
      <c r="A1" s="1" t="s">
        <v>1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 spans="1:10" x14ac:dyDescent="0.2">
      <c r="A2" s="2">
        <v>44200</v>
      </c>
      <c r="B2" s="1">
        <f>VLOOKUP(A2,AAPL!A1:C1256,3)</f>
        <v>125.979</v>
      </c>
      <c r="C2" s="1">
        <f>VLOOKUP(A2,MSFT!A1:C1256,3)</f>
        <v>210.429</v>
      </c>
      <c r="D2" s="1">
        <f>VLOOKUP(A2,NVDA!A1:C1256,3)</f>
        <v>13.080399999999999</v>
      </c>
      <c r="E2" s="1">
        <f>VLOOKUP(A2,AMD!A1:C1256,3)</f>
        <v>92.3</v>
      </c>
      <c r="F2" s="1">
        <f>VLOOKUP(A2,AMZN!A1:C1256,3)</f>
        <v>159.33199999999999</v>
      </c>
      <c r="G2" s="1">
        <f>VLOOKUP(A2,TSLA!A1:C1256,3)</f>
        <v>243.25700000000001</v>
      </c>
      <c r="H2" s="1">
        <f>VLOOKUP(A2,GOOGL!A1:C1256,3)</f>
        <v>85.994799999999998</v>
      </c>
      <c r="I2" s="1">
        <f>VLOOKUP(A2,META!A1:C1256,3)</f>
        <v>268.94</v>
      </c>
      <c r="J2" s="1">
        <f>VLOOKUP(A2,Nasdaq!A1:C1256,3)</f>
        <v>12698.45</v>
      </c>
    </row>
    <row r="3" spans="1:10" x14ac:dyDescent="0.2">
      <c r="A3" s="2">
        <v>44201</v>
      </c>
      <c r="B3" s="1">
        <f>VLOOKUP(A3,AAPL!A2:C1257,3)</f>
        <v>127.52</v>
      </c>
      <c r="C3" s="1">
        <f>VLOOKUP(A3,MSFT!A2:C1257,3)</f>
        <v>210.62299999999999</v>
      </c>
      <c r="D3" s="1">
        <f>VLOOKUP(A3,NVDA!A2:C1257,3)</f>
        <v>13.3711</v>
      </c>
      <c r="E3" s="1">
        <f>VLOOKUP(A3,AMD!A2:C1257,3)</f>
        <v>92.77</v>
      </c>
      <c r="F3" s="1">
        <f>VLOOKUP(A3,AMZN!A2:C1257,3)</f>
        <v>160.92599999999999</v>
      </c>
      <c r="G3" s="1">
        <f>VLOOKUP(A3,TSLA!A2:C1257,3)</f>
        <v>245.03700000000001</v>
      </c>
      <c r="H3" s="1">
        <f>VLOOKUP(A3,GOOGL!A2:C1257,3)</f>
        <v>86.688199999999995</v>
      </c>
      <c r="I3" s="1">
        <f>VLOOKUP(A3,META!A2:C1257,3)</f>
        <v>270.97000000000003</v>
      </c>
      <c r="J3" s="1">
        <f>VLOOKUP(A3,Nasdaq!A2:C1257,3)</f>
        <v>12818.96</v>
      </c>
    </row>
    <row r="4" spans="1:10" x14ac:dyDescent="0.2">
      <c r="A4" s="2">
        <v>44202</v>
      </c>
      <c r="B4" s="1">
        <f>VLOOKUP(A4,AAPL!A3:C1258,3)</f>
        <v>123.249</v>
      </c>
      <c r="C4" s="1">
        <f>VLOOKUP(A4,MSFT!A3:C1258,3)</f>
        <v>205.161</v>
      </c>
      <c r="D4" s="1">
        <f>VLOOKUP(A4,NVDA!A3:C1258,3)</f>
        <v>12.5823</v>
      </c>
      <c r="E4" s="1">
        <f>VLOOKUP(A4,AMD!A3:C1258,3)</f>
        <v>90.33</v>
      </c>
      <c r="F4" s="1">
        <f>VLOOKUP(A4,AMZN!A3:C1258,3)</f>
        <v>156.91900000000001</v>
      </c>
      <c r="G4" s="1">
        <f>VLOOKUP(A4,TSLA!A3:C1258,3)</f>
        <v>251.99299999999999</v>
      </c>
      <c r="H4" s="1">
        <f>VLOOKUP(A4,GOOGL!A3:C1258,3)</f>
        <v>85.832800000000006</v>
      </c>
      <c r="I4" s="1">
        <f>VLOOKUP(A4,META!A3:C1258,3)</f>
        <v>263.31</v>
      </c>
      <c r="J4" s="1">
        <f>VLOOKUP(A4,Nasdaq!A3:C1258,3)</f>
        <v>12740.79</v>
      </c>
    </row>
    <row r="5" spans="1:10" x14ac:dyDescent="0.2">
      <c r="A5" s="2">
        <v>44203</v>
      </c>
      <c r="B5" s="1">
        <f>VLOOKUP(A5,AAPL!A4:C1259,3)</f>
        <v>127.43300000000001</v>
      </c>
      <c r="C5" s="1">
        <f>VLOOKUP(A5,MSFT!A4:C1259,3)</f>
        <v>210.99600000000001</v>
      </c>
      <c r="D5" s="1">
        <f>VLOOKUP(A5,NVDA!A4:C1259,3)</f>
        <v>13.3111</v>
      </c>
      <c r="E5" s="1">
        <f>VLOOKUP(A5,AMD!A4:C1259,3)</f>
        <v>95.16</v>
      </c>
      <c r="F5" s="1">
        <f>VLOOKUP(A5,AMZN!A4:C1259,3)</f>
        <v>158.108</v>
      </c>
      <c r="G5" s="1">
        <f>VLOOKUP(A5,TSLA!A4:C1259,3)</f>
        <v>272.01299999999998</v>
      </c>
      <c r="H5" s="1">
        <f>VLOOKUP(A5,GOOGL!A4:C1259,3)</f>
        <v>88.396600000000007</v>
      </c>
      <c r="I5" s="1">
        <f>VLOOKUP(A5,META!A4:C1259,3)</f>
        <v>268.74</v>
      </c>
      <c r="J5" s="1">
        <f>VLOOKUP(A5,Nasdaq!A4:C1259,3)</f>
        <v>13067.48</v>
      </c>
    </row>
    <row r="6" spans="1:10" x14ac:dyDescent="0.2">
      <c r="A6" s="2">
        <v>44204</v>
      </c>
      <c r="B6" s="1">
        <f>VLOOKUP(A6,AAPL!A5:C1260,3)</f>
        <v>128.542</v>
      </c>
      <c r="C6" s="1">
        <f>VLOOKUP(A6,MSFT!A5:C1260,3)</f>
        <v>212.29400000000001</v>
      </c>
      <c r="D6" s="1">
        <f>VLOOKUP(A6,NVDA!A5:C1260,3)</f>
        <v>13.2432</v>
      </c>
      <c r="E6" s="1">
        <f>VLOOKUP(A6,AMD!A5:C1260,3)</f>
        <v>94.58</v>
      </c>
      <c r="F6" s="1">
        <f>VLOOKUP(A6,AMZN!A5:C1260,3)</f>
        <v>159.13499999999999</v>
      </c>
      <c r="G6" s="1">
        <f>VLOOKUP(A6,TSLA!A5:C1260,3)</f>
        <v>293.33999999999997</v>
      </c>
      <c r="H6" s="1">
        <f>VLOOKUP(A6,GOOGL!A5:C1260,3)</f>
        <v>89.566800000000001</v>
      </c>
      <c r="I6" s="1">
        <f>VLOOKUP(A6,META!A5:C1260,3)</f>
        <v>267.57</v>
      </c>
      <c r="J6" s="1">
        <f>VLOOKUP(A6,Nasdaq!A5:C1260,3)</f>
        <v>13201.98</v>
      </c>
    </row>
    <row r="7" spans="1:10" x14ac:dyDescent="0.2">
      <c r="A7" s="2">
        <v>44207</v>
      </c>
      <c r="B7" s="1">
        <f>VLOOKUP(A7,AAPL!A6:C1261,3)</f>
        <v>125.557</v>
      </c>
      <c r="C7" s="1">
        <f>VLOOKUP(A7,MSFT!A6:C1261,3)</f>
        <v>210.232</v>
      </c>
      <c r="D7" s="1">
        <f>VLOOKUP(A7,NVDA!A6:C1261,3)</f>
        <v>13.5878</v>
      </c>
      <c r="E7" s="1">
        <f>VLOOKUP(A7,AMD!A6:C1261,3)</f>
        <v>97.25</v>
      </c>
      <c r="F7" s="1">
        <f>VLOOKUP(A7,AMZN!A6:C1261,3)</f>
        <v>155.71</v>
      </c>
      <c r="G7" s="1">
        <f>VLOOKUP(A7,TSLA!A6:C1261,3)</f>
        <v>270.39699999999999</v>
      </c>
      <c r="H7" s="1">
        <f>VLOOKUP(A7,GOOGL!A6:C1261,3)</f>
        <v>87.497299999999996</v>
      </c>
      <c r="I7" s="1">
        <f>VLOOKUP(A7,META!A6:C1261,3)</f>
        <v>256.83999999999997</v>
      </c>
      <c r="J7" s="1">
        <f>VLOOKUP(A7,Nasdaq!A6:C1261,3)</f>
        <v>13036.43</v>
      </c>
    </row>
    <row r="8" spans="1:10" x14ac:dyDescent="0.2">
      <c r="A8" s="2">
        <v>44208</v>
      </c>
      <c r="B8" s="1">
        <f>VLOOKUP(A8,AAPL!A7:C1262,3)</f>
        <v>125.38</v>
      </c>
      <c r="C8" s="1">
        <f>VLOOKUP(A8,MSFT!A7:C1262,3)</f>
        <v>207.762</v>
      </c>
      <c r="D8" s="1">
        <f>VLOOKUP(A8,NVDA!A7:C1262,3)</f>
        <v>13.451000000000001</v>
      </c>
      <c r="E8" s="1">
        <f>VLOOKUP(A8,AMD!A7:C1262,3)</f>
        <v>95.355000000000004</v>
      </c>
      <c r="F8" s="1">
        <f>VLOOKUP(A8,AMZN!A7:C1262,3)</f>
        <v>156.041</v>
      </c>
      <c r="G8" s="1">
        <f>VLOOKUP(A8,TSLA!A7:C1262,3)</f>
        <v>283.14699999999999</v>
      </c>
      <c r="H8" s="1">
        <f>VLOOKUP(A8,GOOGL!A7:C1262,3)</f>
        <v>86.557699999999997</v>
      </c>
      <c r="I8" s="1">
        <f>VLOOKUP(A8,META!A7:C1262,3)</f>
        <v>251.09</v>
      </c>
      <c r="J8" s="1">
        <f>VLOOKUP(A8,Nasdaq!A7:C1262,3)</f>
        <v>13072.43</v>
      </c>
    </row>
    <row r="9" spans="1:10" x14ac:dyDescent="0.2">
      <c r="A9" s="2">
        <v>44209</v>
      </c>
      <c r="B9" s="1">
        <f>VLOOKUP(A9,AAPL!A8:C1263,3)</f>
        <v>127.40300000000001</v>
      </c>
      <c r="C9" s="1">
        <f>VLOOKUP(A9,MSFT!A8:C1263,3)</f>
        <v>209.119</v>
      </c>
      <c r="D9" s="1">
        <f>VLOOKUP(A9,NVDA!A8:C1263,3)</f>
        <v>13.4978</v>
      </c>
      <c r="E9" s="1">
        <f>VLOOKUP(A9,AMD!A8:C1263,3)</f>
        <v>91.78</v>
      </c>
      <c r="F9" s="1">
        <f>VLOOKUP(A9,AMZN!A8:C1263,3)</f>
        <v>158.29400000000001</v>
      </c>
      <c r="G9" s="1">
        <f>VLOOKUP(A9,TSLA!A8:C1263,3)</f>
        <v>284.803</v>
      </c>
      <c r="H9" s="1">
        <f>VLOOKUP(A9,GOOGL!A8:C1263,3)</f>
        <v>87.046899999999994</v>
      </c>
      <c r="I9" s="1">
        <f>VLOOKUP(A9,META!A8:C1263,3)</f>
        <v>251.64</v>
      </c>
      <c r="J9" s="1">
        <f>VLOOKUP(A9,Nasdaq!A8:C1263,3)</f>
        <v>13128.95</v>
      </c>
    </row>
    <row r="10" spans="1:10" x14ac:dyDescent="0.2">
      <c r="A10" s="2">
        <v>44210</v>
      </c>
      <c r="B10" s="1">
        <f>VLOOKUP(A10,AAPL!A9:C1264,3)</f>
        <v>125.489</v>
      </c>
      <c r="C10" s="1">
        <f>VLOOKUP(A10,MSFT!A9:C1264,3)</f>
        <v>205.89599999999999</v>
      </c>
      <c r="D10" s="1">
        <f>VLOOKUP(A10,NVDA!A9:C1264,3)</f>
        <v>13.167299999999999</v>
      </c>
      <c r="E10" s="1">
        <f>VLOOKUP(A10,AMD!A9:C1264,3)</f>
        <v>90.79</v>
      </c>
      <c r="F10" s="1">
        <f>VLOOKUP(A10,AMZN!A9:C1264,3)</f>
        <v>156.37299999999999</v>
      </c>
      <c r="G10" s="1">
        <f>VLOOKUP(A10,TSLA!A9:C1264,3)</f>
        <v>281.66699999999997</v>
      </c>
      <c r="H10" s="1">
        <f>VLOOKUP(A10,GOOGL!A9:C1264,3)</f>
        <v>86.233400000000003</v>
      </c>
      <c r="I10" s="1">
        <f>VLOOKUP(A10,META!A9:C1264,3)</f>
        <v>245.64</v>
      </c>
      <c r="J10" s="1">
        <f>VLOOKUP(A10,Nasdaq!A9:C1264,3)</f>
        <v>13112.64</v>
      </c>
    </row>
    <row r="11" spans="1:10" x14ac:dyDescent="0.2">
      <c r="A11" s="2">
        <v>44211</v>
      </c>
      <c r="B11" s="1">
        <f>VLOOKUP(A11,AAPL!A10:C1265,3)</f>
        <v>123.758</v>
      </c>
      <c r="C11" s="1">
        <f>VLOOKUP(A11,MSFT!A10:C1265,3)</f>
        <v>205.54499999999999</v>
      </c>
      <c r="D11" s="1">
        <f>VLOOKUP(A11,NVDA!A10:C1265,3)</f>
        <v>12.8268</v>
      </c>
      <c r="E11" s="1">
        <f>VLOOKUP(A11,AMD!A10:C1265,3)</f>
        <v>88.21</v>
      </c>
      <c r="F11" s="1">
        <f>VLOOKUP(A11,AMZN!A10:C1265,3)</f>
        <v>155.21199999999999</v>
      </c>
      <c r="G11" s="1">
        <f>VLOOKUP(A11,TSLA!A10:C1265,3)</f>
        <v>275.387</v>
      </c>
      <c r="H11" s="1">
        <f>VLOOKUP(A11,GOOGL!A10:C1265,3)</f>
        <v>86.069100000000006</v>
      </c>
      <c r="I11" s="1">
        <f>VLOOKUP(A11,META!A10:C1265,3)</f>
        <v>251.36</v>
      </c>
      <c r="J11" s="1">
        <f>VLOOKUP(A11,Nasdaq!A10:C1265,3)</f>
        <v>12998.5</v>
      </c>
    </row>
    <row r="12" spans="1:10" x14ac:dyDescent="0.2">
      <c r="A12" s="2">
        <v>44215</v>
      </c>
      <c r="B12" s="1">
        <f>VLOOKUP(A12,AAPL!A11:C1266,3)</f>
        <v>124.426</v>
      </c>
      <c r="C12" s="1">
        <f>VLOOKUP(A12,MSFT!A11:C1266,3)</f>
        <v>209.21600000000001</v>
      </c>
      <c r="D12" s="1">
        <f>VLOOKUP(A12,NVDA!A11:C1266,3)</f>
        <v>12.992599999999999</v>
      </c>
      <c r="E12" s="1">
        <f>VLOOKUP(A12,AMD!A11:C1266,3)</f>
        <v>89.45</v>
      </c>
      <c r="F12" s="1">
        <f>VLOOKUP(A12,AMZN!A11:C1266,3)</f>
        <v>156.03800000000001</v>
      </c>
      <c r="G12" s="1">
        <f>VLOOKUP(A12,TSLA!A11:C1266,3)</f>
        <v>281.517</v>
      </c>
      <c r="H12" s="1">
        <f>VLOOKUP(A12,GOOGL!A11:C1266,3)</f>
        <v>88.901200000000003</v>
      </c>
      <c r="I12" s="1">
        <f>VLOOKUP(A12,META!A11:C1266,3)</f>
        <v>261.10000000000002</v>
      </c>
      <c r="J12" s="1">
        <f>VLOOKUP(A12,Nasdaq!A11:C1266,3)</f>
        <v>13197.18</v>
      </c>
    </row>
    <row r="13" spans="1:10" x14ac:dyDescent="0.2">
      <c r="A13" s="2">
        <v>44216</v>
      </c>
      <c r="B13" s="1">
        <f>VLOOKUP(A13,AAPL!A12:C1267,3)</f>
        <v>128.52199999999999</v>
      </c>
      <c r="C13" s="1">
        <f>VLOOKUP(A13,MSFT!A12:C1267,3)</f>
        <v>216.83500000000001</v>
      </c>
      <c r="D13" s="1">
        <f>VLOOKUP(A13,NVDA!A12:C1267,3)</f>
        <v>13.332100000000001</v>
      </c>
      <c r="E13" s="1">
        <f>VLOOKUP(A13,AMD!A12:C1267,3)</f>
        <v>88.75</v>
      </c>
      <c r="F13" s="1">
        <f>VLOOKUP(A13,AMZN!A12:C1267,3)</f>
        <v>163.16900000000001</v>
      </c>
      <c r="G13" s="1">
        <f>VLOOKUP(A13,TSLA!A12:C1267,3)</f>
        <v>283.483</v>
      </c>
      <c r="H13" s="1">
        <f>VLOOKUP(A13,GOOGL!A12:C1267,3)</f>
        <v>93.664000000000001</v>
      </c>
      <c r="I13" s="1">
        <f>VLOOKUP(A13,META!A12:C1267,3)</f>
        <v>267.48</v>
      </c>
      <c r="J13" s="1">
        <f>VLOOKUP(A13,Nasdaq!A12:C1267,3)</f>
        <v>13457.25</v>
      </c>
    </row>
    <row r="14" spans="1:10" x14ac:dyDescent="0.2">
      <c r="A14" s="2">
        <v>44217</v>
      </c>
      <c r="B14" s="1">
        <f>VLOOKUP(A14,AAPL!A13:C1268,3)</f>
        <v>133.249</v>
      </c>
      <c r="C14" s="1">
        <f>VLOOKUP(A14,MSFT!A13:C1268,3)</f>
        <v>217.45099999999999</v>
      </c>
      <c r="D14" s="1">
        <f>VLOOKUP(A14,NVDA!A13:C1268,3)</f>
        <v>13.833500000000001</v>
      </c>
      <c r="E14" s="1">
        <f>VLOOKUP(A14,AMD!A13:C1268,3)</f>
        <v>91.53</v>
      </c>
      <c r="F14" s="1">
        <f>VLOOKUP(A14,AMZN!A13:C1268,3)</f>
        <v>165.34899999999999</v>
      </c>
      <c r="G14" s="1">
        <f>VLOOKUP(A14,TSLA!A13:C1268,3)</f>
        <v>281.66300000000001</v>
      </c>
      <c r="H14" s="1">
        <f>VLOOKUP(A14,GOOGL!A13:C1268,3)</f>
        <v>93.867199999999997</v>
      </c>
      <c r="I14" s="1">
        <f>VLOOKUP(A14,META!A13:C1268,3)</f>
        <v>272.87</v>
      </c>
      <c r="J14" s="1">
        <f>VLOOKUP(A14,Nasdaq!A13:C1268,3)</f>
        <v>13530.92</v>
      </c>
    </row>
    <row r="15" spans="1:10" x14ac:dyDescent="0.2">
      <c r="A15" s="2">
        <v>44218</v>
      </c>
      <c r="B15" s="1">
        <f>VLOOKUP(A15,AAPL!A14:C1269,3)</f>
        <v>135.36799999999999</v>
      </c>
      <c r="C15" s="1">
        <f>VLOOKUP(A15,MSFT!A14:C1269,3)</f>
        <v>218.40700000000001</v>
      </c>
      <c r="D15" s="1">
        <f>VLOOKUP(A15,NVDA!A14:C1269,3)</f>
        <v>13.678699999999999</v>
      </c>
      <c r="E15" s="1">
        <f>VLOOKUP(A15,AMD!A14:C1269,3)</f>
        <v>92.79</v>
      </c>
      <c r="F15" s="1">
        <f>VLOOKUP(A15,AMZN!A14:C1269,3)</f>
        <v>164.61199999999999</v>
      </c>
      <c r="G15" s="1">
        <f>VLOOKUP(A15,TSLA!A14:C1269,3)</f>
        <v>282.21300000000002</v>
      </c>
      <c r="H15" s="1">
        <f>VLOOKUP(A15,GOOGL!A14:C1269,3)</f>
        <v>94.286100000000005</v>
      </c>
      <c r="I15" s="1">
        <f>VLOOKUP(A15,META!A14:C1269,3)</f>
        <v>274.5</v>
      </c>
      <c r="J15" s="1">
        <f>VLOOKUP(A15,Nasdaq!A14:C1269,3)</f>
        <v>13543.06</v>
      </c>
    </row>
    <row r="16" spans="1:10" x14ac:dyDescent="0.2">
      <c r="A16" s="2">
        <v>44221</v>
      </c>
      <c r="B16" s="1">
        <f>VLOOKUP(A16,AAPL!A15:C1270,3)</f>
        <v>139.13</v>
      </c>
      <c r="C16" s="1">
        <f>VLOOKUP(A16,MSFT!A15:C1270,3)</f>
        <v>221.85499999999999</v>
      </c>
      <c r="D16" s="1">
        <f>VLOOKUP(A16,NVDA!A15:C1270,3)</f>
        <v>13.6197</v>
      </c>
      <c r="E16" s="1">
        <f>VLOOKUP(A16,AMD!A15:C1270,3)</f>
        <v>94.13</v>
      </c>
      <c r="F16" s="1">
        <f>VLOOKUP(A16,AMZN!A15:C1270,3)</f>
        <v>164.7</v>
      </c>
      <c r="G16" s="1">
        <f>VLOOKUP(A16,TSLA!A15:C1270,3)</f>
        <v>293.60000000000002</v>
      </c>
      <c r="H16" s="1">
        <f>VLOOKUP(A16,GOOGL!A15:C1270,3)</f>
        <v>94.371799999999993</v>
      </c>
      <c r="I16" s="1">
        <f>VLOOKUP(A16,META!A15:C1270,3)</f>
        <v>278.01</v>
      </c>
      <c r="J16" s="1">
        <f>VLOOKUP(A16,Nasdaq!A15:C1270,3)</f>
        <v>13635.99</v>
      </c>
    </row>
    <row r="17" spans="1:10" x14ac:dyDescent="0.2">
      <c r="A17" s="2">
        <v>44222</v>
      </c>
      <c r="B17" s="1">
        <f>VLOOKUP(A17,AAPL!A16:C1271,3)</f>
        <v>139.36699999999999</v>
      </c>
      <c r="C17" s="1">
        <f>VLOOKUP(A17,MSFT!A16:C1271,3)</f>
        <v>224.58</v>
      </c>
      <c r="D17" s="1">
        <f>VLOOKUP(A17,NVDA!A16:C1271,3)</f>
        <v>13.4011</v>
      </c>
      <c r="E17" s="1">
        <f>VLOOKUP(A17,AMD!A16:C1271,3)</f>
        <v>94.71</v>
      </c>
      <c r="F17" s="1">
        <f>VLOOKUP(A17,AMZN!A16:C1271,3)</f>
        <v>166.30600000000001</v>
      </c>
      <c r="G17" s="1">
        <f>VLOOKUP(A17,TSLA!A16:C1271,3)</f>
        <v>294.363</v>
      </c>
      <c r="H17" s="1">
        <f>VLOOKUP(A17,GOOGL!A16:C1271,3)</f>
        <v>95.052899999999994</v>
      </c>
      <c r="I17" s="1">
        <f>VLOOKUP(A17,META!A16:C1271,3)</f>
        <v>282.05</v>
      </c>
      <c r="J17" s="1">
        <f>VLOOKUP(A17,Nasdaq!A16:C1271,3)</f>
        <v>13626.06</v>
      </c>
    </row>
    <row r="18" spans="1:10" x14ac:dyDescent="0.2">
      <c r="A18" s="2">
        <v>44223</v>
      </c>
      <c r="B18" s="1">
        <f>VLOOKUP(A18,AAPL!A17:C1272,3)</f>
        <v>138.28399999999999</v>
      </c>
      <c r="C18" s="1">
        <f>VLOOKUP(A18,MSFT!A17:C1272,3)</f>
        <v>225.11600000000001</v>
      </c>
      <c r="D18" s="1">
        <f>VLOOKUP(A18,NVDA!A17:C1272,3)</f>
        <v>12.8848</v>
      </c>
      <c r="E18" s="1">
        <f>VLOOKUP(A18,AMD!A17:C1272,3)</f>
        <v>88.84</v>
      </c>
      <c r="F18" s="1">
        <f>VLOOKUP(A18,AMZN!A17:C1272,3)</f>
        <v>161.62899999999999</v>
      </c>
      <c r="G18" s="1">
        <f>VLOOKUP(A18,TSLA!A17:C1272,3)</f>
        <v>288.053</v>
      </c>
      <c r="H18" s="1">
        <f>VLOOKUP(A18,GOOGL!A17:C1272,3)</f>
        <v>90.618399999999994</v>
      </c>
      <c r="I18" s="1">
        <f>VLOOKUP(A18,META!A17:C1272,3)</f>
        <v>272.14</v>
      </c>
      <c r="J18" s="1">
        <f>VLOOKUP(A18,Nasdaq!A17:C1272,3)</f>
        <v>13270.6</v>
      </c>
    </row>
    <row r="19" spans="1:10" x14ac:dyDescent="0.2">
      <c r="A19" s="2">
        <v>44224</v>
      </c>
      <c r="B19" s="1">
        <f>VLOOKUP(A19,AAPL!A18:C1273,3)</f>
        <v>133.464</v>
      </c>
      <c r="C19" s="1">
        <f>VLOOKUP(A19,MSFT!A18:C1273,3)</f>
        <v>230.959</v>
      </c>
      <c r="D19" s="1">
        <f>VLOOKUP(A19,NVDA!A18:C1273,3)</f>
        <v>13.0176</v>
      </c>
      <c r="E19" s="1">
        <f>VLOOKUP(A19,AMD!A18:C1273,3)</f>
        <v>87.52</v>
      </c>
      <c r="F19" s="1">
        <f>VLOOKUP(A19,AMZN!A18:C1273,3)</f>
        <v>161.881</v>
      </c>
      <c r="G19" s="1">
        <f>VLOOKUP(A19,TSLA!A18:C1273,3)</f>
        <v>278.47699999999998</v>
      </c>
      <c r="H19" s="1">
        <f>VLOOKUP(A19,GOOGL!A18:C1273,3)</f>
        <v>92.325299999999999</v>
      </c>
      <c r="I19" s="1">
        <f>VLOOKUP(A19,META!A18:C1273,3)</f>
        <v>265</v>
      </c>
      <c r="J19" s="1">
        <f>VLOOKUP(A19,Nasdaq!A18:C1273,3)</f>
        <v>13337.16</v>
      </c>
    </row>
    <row r="20" spans="1:10" x14ac:dyDescent="0.2">
      <c r="A20" s="2">
        <v>44225</v>
      </c>
      <c r="B20" s="1">
        <f>VLOOKUP(A20,AAPL!A19:C1274,3)</f>
        <v>128.45400000000001</v>
      </c>
      <c r="C20" s="1">
        <f>VLOOKUP(A20,MSFT!A19:C1274,3)</f>
        <v>224.23</v>
      </c>
      <c r="D20" s="1">
        <f>VLOOKUP(A20,NVDA!A19:C1274,3)</f>
        <v>12.9567</v>
      </c>
      <c r="E20" s="1">
        <f>VLOOKUP(A20,AMD!A19:C1274,3)</f>
        <v>85.64</v>
      </c>
      <c r="F20" s="1">
        <f>VLOOKUP(A20,AMZN!A19:C1274,3)</f>
        <v>160.31</v>
      </c>
      <c r="G20" s="1">
        <f>VLOOKUP(A20,TSLA!A19:C1274,3)</f>
        <v>264.51</v>
      </c>
      <c r="H20" s="1">
        <f>VLOOKUP(A20,GOOGL!A19:C1274,3)</f>
        <v>91.0381</v>
      </c>
      <c r="I20" s="1">
        <f>VLOOKUP(A20,META!A19:C1274,3)</f>
        <v>258.33</v>
      </c>
      <c r="J20" s="1">
        <f>VLOOKUP(A20,Nasdaq!A19:C1274,3)</f>
        <v>13070.69</v>
      </c>
    </row>
    <row r="21" spans="1:10" x14ac:dyDescent="0.2">
      <c r="A21" s="2">
        <v>44228</v>
      </c>
      <c r="B21" s="1">
        <f>VLOOKUP(A21,AAPL!A20:C1275,3)</f>
        <v>130.57599999999999</v>
      </c>
      <c r="C21" s="1">
        <f>VLOOKUP(A21,MSFT!A20:C1275,3)</f>
        <v>231.65299999999999</v>
      </c>
      <c r="D21" s="1">
        <f>VLOOKUP(A21,NVDA!A20:C1275,3)</f>
        <v>13.2033</v>
      </c>
      <c r="E21" s="1">
        <f>VLOOKUP(A21,AMD!A20:C1275,3)</f>
        <v>87.66</v>
      </c>
      <c r="F21" s="1">
        <f>VLOOKUP(A21,AMZN!A20:C1275,3)</f>
        <v>167.14400000000001</v>
      </c>
      <c r="G21" s="1">
        <f>VLOOKUP(A21,TSLA!A20:C1275,3)</f>
        <v>279.93700000000001</v>
      </c>
      <c r="H21" s="1">
        <f>VLOOKUP(A21,GOOGL!A20:C1275,3)</f>
        <v>94.311599999999999</v>
      </c>
      <c r="I21" s="1">
        <f>VLOOKUP(A21,META!A20:C1275,3)</f>
        <v>262.01</v>
      </c>
      <c r="J21" s="1">
        <f>VLOOKUP(A21,Nasdaq!A20:C1275,3)</f>
        <v>13403.39</v>
      </c>
    </row>
    <row r="22" spans="1:10" x14ac:dyDescent="0.2">
      <c r="A22" s="2">
        <v>44229</v>
      </c>
      <c r="B22" s="1">
        <f>VLOOKUP(A22,AAPL!A21:C1276,3)</f>
        <v>131.40199999999999</v>
      </c>
      <c r="C22" s="1">
        <f>VLOOKUP(A22,MSFT!A21:C1276,3)</f>
        <v>231.51599999999999</v>
      </c>
      <c r="D22" s="1">
        <f>VLOOKUP(A22,NVDA!A21:C1276,3)</f>
        <v>13.5228</v>
      </c>
      <c r="E22" s="1">
        <f>VLOOKUP(A22,AMD!A21:C1276,3)</f>
        <v>88.86</v>
      </c>
      <c r="F22" s="1">
        <f>VLOOKUP(A22,AMZN!A21:C1276,3)</f>
        <v>169</v>
      </c>
      <c r="G22" s="1">
        <f>VLOOKUP(A22,TSLA!A21:C1276,3)</f>
        <v>290.93</v>
      </c>
      <c r="H22" s="1">
        <f>VLOOKUP(A22,GOOGL!A21:C1276,3)</f>
        <v>95.609399999999994</v>
      </c>
      <c r="I22" s="1">
        <f>VLOOKUP(A22,META!A21:C1276,3)</f>
        <v>267.08</v>
      </c>
      <c r="J22" s="1">
        <f>VLOOKUP(A22,Nasdaq!A21:C1276,3)</f>
        <v>13612.78</v>
      </c>
    </row>
    <row r="23" spans="1:10" x14ac:dyDescent="0.2">
      <c r="A23" s="2">
        <v>44230</v>
      </c>
      <c r="B23" s="1">
        <f>VLOOKUP(A23,AAPL!A22:C1277,3)</f>
        <v>130.37899999999999</v>
      </c>
      <c r="C23" s="1">
        <f>VLOOKUP(A23,MSFT!A22:C1277,3)</f>
        <v>234.887</v>
      </c>
      <c r="D23" s="1">
        <f>VLOOKUP(A23,NVDA!A22:C1277,3)</f>
        <v>13.4968</v>
      </c>
      <c r="E23" s="1">
        <f>VLOOKUP(A23,AMD!A22:C1277,3)</f>
        <v>87.89</v>
      </c>
      <c r="F23" s="1">
        <f>VLOOKUP(A23,AMZN!A22:C1277,3)</f>
        <v>165.62700000000001</v>
      </c>
      <c r="G23" s="1">
        <f>VLOOKUP(A23,TSLA!A22:C1277,3)</f>
        <v>284.89699999999999</v>
      </c>
      <c r="H23" s="1">
        <f>VLOOKUP(A23,GOOGL!A22:C1277,3)</f>
        <v>102.572</v>
      </c>
      <c r="I23" s="1">
        <f>VLOOKUP(A23,META!A22:C1277,3)</f>
        <v>266.64999999999998</v>
      </c>
      <c r="J23" s="1">
        <f>VLOOKUP(A23,Nasdaq!A22:C1277,3)</f>
        <v>13610.54</v>
      </c>
    </row>
    <row r="24" spans="1:10" x14ac:dyDescent="0.2">
      <c r="A24" s="2">
        <v>44231</v>
      </c>
      <c r="B24" s="1">
        <f>VLOOKUP(A24,AAPL!A23:C1278,3)</f>
        <v>133.74600000000001</v>
      </c>
      <c r="C24" s="1">
        <f>VLOOKUP(A24,MSFT!A23:C1278,3)</f>
        <v>233.92</v>
      </c>
      <c r="D24" s="1">
        <f>VLOOKUP(A24,NVDA!A23:C1278,3)</f>
        <v>13.630699999999999</v>
      </c>
      <c r="E24" s="1">
        <f>VLOOKUP(A24,AMD!A23:C1278,3)</f>
        <v>87.84</v>
      </c>
      <c r="F24" s="1">
        <f>VLOOKUP(A24,AMZN!A23:C1278,3)</f>
        <v>166.55</v>
      </c>
      <c r="G24" s="1">
        <f>VLOOKUP(A24,TSLA!A23:C1278,3)</f>
        <v>283.33</v>
      </c>
      <c r="H24" s="1">
        <f>VLOOKUP(A24,GOOGL!A23:C1278,3)</f>
        <v>102.31100000000001</v>
      </c>
      <c r="I24" s="1">
        <f>VLOOKUP(A24,META!A23:C1278,3)</f>
        <v>266.49</v>
      </c>
      <c r="J24" s="1">
        <f>VLOOKUP(A24,Nasdaq!A23:C1278,3)</f>
        <v>13777.74</v>
      </c>
    </row>
    <row r="25" spans="1:10" x14ac:dyDescent="0.2">
      <c r="A25" s="2">
        <v>44232</v>
      </c>
      <c r="B25" s="1">
        <f>VLOOKUP(A25,AAPL!A24:C1279,3)</f>
        <v>133.33699999999999</v>
      </c>
      <c r="C25" s="1">
        <f>VLOOKUP(A25,MSFT!A24:C1279,3)</f>
        <v>234.10400000000001</v>
      </c>
      <c r="D25" s="1">
        <f>VLOOKUP(A25,NVDA!A24:C1279,3)</f>
        <v>13.556800000000001</v>
      </c>
      <c r="E25" s="1">
        <f>VLOOKUP(A25,AMD!A24:C1279,3)</f>
        <v>87.9</v>
      </c>
      <c r="F25" s="1">
        <f>VLOOKUP(A25,AMZN!A24:C1279,3)</f>
        <v>167.608</v>
      </c>
      <c r="G25" s="1">
        <f>VLOOKUP(A25,TSLA!A24:C1279,3)</f>
        <v>284.077</v>
      </c>
      <c r="H25" s="1">
        <f>VLOOKUP(A25,GOOGL!A24:C1279,3)</f>
        <v>104.06399999999999</v>
      </c>
      <c r="I25" s="1">
        <f>VLOOKUP(A25,META!A24:C1279,3)</f>
        <v>268.10000000000002</v>
      </c>
      <c r="J25" s="1">
        <f>VLOOKUP(A25,Nasdaq!A24:C1279,3)</f>
        <v>13856.3</v>
      </c>
    </row>
    <row r="26" spans="1:10" x14ac:dyDescent="0.2">
      <c r="A26" s="2">
        <v>44235</v>
      </c>
      <c r="B26" s="1">
        <f>VLOOKUP(A26,AAPL!A25:C1280,3)</f>
        <v>133.482</v>
      </c>
      <c r="C26" s="1">
        <f>VLOOKUP(A26,MSFT!A25:C1280,3)</f>
        <v>234.369</v>
      </c>
      <c r="D26" s="1">
        <f>VLOOKUP(A26,NVDA!A25:C1280,3)</f>
        <v>14.4025</v>
      </c>
      <c r="E26" s="1">
        <f>VLOOKUP(A26,AMD!A25:C1280,3)</f>
        <v>91.47</v>
      </c>
      <c r="F26" s="1">
        <f>VLOOKUP(A26,AMZN!A25:C1280,3)</f>
        <v>166.14699999999999</v>
      </c>
      <c r="G26" s="1">
        <f>VLOOKUP(A26,TSLA!A25:C1280,3)</f>
        <v>287.80700000000002</v>
      </c>
      <c r="H26" s="1">
        <f>VLOOKUP(A26,GOOGL!A25:C1280,3)</f>
        <v>103.85</v>
      </c>
      <c r="I26" s="1">
        <f>VLOOKUP(A26,META!A25:C1280,3)</f>
        <v>266.58</v>
      </c>
      <c r="J26" s="1">
        <f>VLOOKUP(A26,Nasdaq!A25:C1280,3)</f>
        <v>13987.64</v>
      </c>
    </row>
    <row r="27" spans="1:10" x14ac:dyDescent="0.2">
      <c r="A27" s="2">
        <v>44236</v>
      </c>
      <c r="B27" s="1">
        <f>VLOOKUP(A27,AAPL!A26:C1281,3)</f>
        <v>132.59899999999999</v>
      </c>
      <c r="C27" s="1">
        <f>VLOOKUP(A27,MSFT!A26:C1281,3)</f>
        <v>235.636</v>
      </c>
      <c r="D27" s="1">
        <f>VLOOKUP(A27,NVDA!A26:C1281,3)</f>
        <v>14.226699999999999</v>
      </c>
      <c r="E27" s="1">
        <f>VLOOKUP(A27,AMD!A26:C1281,3)</f>
        <v>90.91</v>
      </c>
      <c r="F27" s="1">
        <f>VLOOKUP(A27,AMZN!A26:C1281,3)</f>
        <v>165.25</v>
      </c>
      <c r="G27" s="1">
        <f>VLOOKUP(A27,TSLA!A26:C1281,3)</f>
        <v>283.15300000000002</v>
      </c>
      <c r="H27" s="1">
        <f>VLOOKUP(A27,GOOGL!A26:C1281,3)</f>
        <v>103.396</v>
      </c>
      <c r="I27" s="1">
        <f>VLOOKUP(A27,META!A26:C1281,3)</f>
        <v>269.45</v>
      </c>
      <c r="J27" s="1">
        <f>VLOOKUP(A27,Nasdaq!A26:C1281,3)</f>
        <v>14007.7</v>
      </c>
    </row>
    <row r="28" spans="1:10" x14ac:dyDescent="0.2">
      <c r="A28" s="2">
        <v>44237</v>
      </c>
      <c r="B28" s="1">
        <f>VLOOKUP(A28,AAPL!A27:C1282,3)</f>
        <v>131.99</v>
      </c>
      <c r="C28" s="1">
        <f>VLOOKUP(A28,MSFT!A27:C1282,3)</f>
        <v>234.71</v>
      </c>
      <c r="D28" s="1">
        <f>VLOOKUP(A28,NVDA!A27:C1282,3)</f>
        <v>14.726000000000001</v>
      </c>
      <c r="E28" s="1">
        <f>VLOOKUP(A28,AMD!A27:C1282,3)</f>
        <v>92.35</v>
      </c>
      <c r="F28" s="1">
        <f>VLOOKUP(A28,AMZN!A27:C1282,3)</f>
        <v>164.32900000000001</v>
      </c>
      <c r="G28" s="1">
        <f>VLOOKUP(A28,TSLA!A27:C1282,3)</f>
        <v>268.27300000000002</v>
      </c>
      <c r="H28" s="1">
        <f>VLOOKUP(A28,GOOGL!A27:C1282,3)</f>
        <v>103.947</v>
      </c>
      <c r="I28" s="1">
        <f>VLOOKUP(A28,META!A27:C1282,3)</f>
        <v>271.87</v>
      </c>
      <c r="J28" s="1">
        <f>VLOOKUP(A28,Nasdaq!A27:C1282,3)</f>
        <v>13972.53</v>
      </c>
    </row>
    <row r="29" spans="1:10" x14ac:dyDescent="0.2">
      <c r="A29" s="2">
        <v>44238</v>
      </c>
      <c r="B29" s="1">
        <f>VLOOKUP(A29,AAPL!A28:C1283,3)</f>
        <v>131.73500000000001</v>
      </c>
      <c r="C29" s="1">
        <f>VLOOKUP(A29,MSFT!A28:C1283,3)</f>
        <v>236.33199999999999</v>
      </c>
      <c r="D29" s="1">
        <f>VLOOKUP(A29,NVDA!A28:C1283,3)</f>
        <v>15.212400000000001</v>
      </c>
      <c r="E29" s="1">
        <f>VLOOKUP(A29,AMD!A28:C1283,3)</f>
        <v>92.66</v>
      </c>
      <c r="F29" s="1">
        <f>VLOOKUP(A29,AMZN!A28:C1283,3)</f>
        <v>163.10599999999999</v>
      </c>
      <c r="G29" s="1">
        <f>VLOOKUP(A29,TSLA!A28:C1283,3)</f>
        <v>270.553</v>
      </c>
      <c r="H29" s="1">
        <f>VLOOKUP(A29,GOOGL!A28:C1283,3)</f>
        <v>104.06100000000001</v>
      </c>
      <c r="I29" s="1">
        <f>VLOOKUP(A29,META!A28:C1283,3)</f>
        <v>270.39</v>
      </c>
      <c r="J29" s="1">
        <f>VLOOKUP(A29,Nasdaq!A28:C1283,3)</f>
        <v>14025.77</v>
      </c>
    </row>
    <row r="30" spans="1:10" x14ac:dyDescent="0.2">
      <c r="A30" s="2">
        <v>44239</v>
      </c>
      <c r="B30" s="1">
        <f>VLOOKUP(A30,AAPL!A29:C1284,3)</f>
        <v>131.97</v>
      </c>
      <c r="C30" s="1">
        <f>VLOOKUP(A30,MSFT!A29:C1284,3)</f>
        <v>236.821</v>
      </c>
      <c r="D30" s="1">
        <f>VLOOKUP(A30,NVDA!A29:C1284,3)</f>
        <v>14.9229</v>
      </c>
      <c r="E30" s="1">
        <f>VLOOKUP(A30,AMD!A29:C1284,3)</f>
        <v>93.77</v>
      </c>
      <c r="F30" s="1">
        <f>VLOOKUP(A30,AMZN!A29:C1284,3)</f>
        <v>163.886</v>
      </c>
      <c r="G30" s="1">
        <f>VLOOKUP(A30,TSLA!A29:C1284,3)</f>
        <v>272.04000000000002</v>
      </c>
      <c r="H30" s="1">
        <f>VLOOKUP(A30,GOOGL!A29:C1284,3)</f>
        <v>104.373</v>
      </c>
      <c r="I30" s="1">
        <f>VLOOKUP(A30,META!A29:C1284,3)</f>
        <v>270.5</v>
      </c>
      <c r="J30" s="1">
        <f>VLOOKUP(A30,Nasdaq!A29:C1284,3)</f>
        <v>14095.47</v>
      </c>
    </row>
    <row r="31" spans="1:10" x14ac:dyDescent="0.2">
      <c r="A31" s="2">
        <v>44243</v>
      </c>
      <c r="B31" s="1">
        <f>VLOOKUP(A31,AAPL!A30:C1285,3)</f>
        <v>129.84800000000001</v>
      </c>
      <c r="C31" s="1">
        <f>VLOOKUP(A31,MSFT!A30:C1285,3)</f>
        <v>235.56899999999999</v>
      </c>
      <c r="D31" s="1">
        <f>VLOOKUP(A31,NVDA!A30:C1285,3)</f>
        <v>15.2902</v>
      </c>
      <c r="E31" s="1">
        <f>VLOOKUP(A31,AMD!A30:C1285,3)</f>
        <v>91.46</v>
      </c>
      <c r="F31" s="1">
        <f>VLOOKUP(A31,AMZN!A30:C1285,3)</f>
        <v>163.44800000000001</v>
      </c>
      <c r="G31" s="1">
        <f>VLOOKUP(A31,TSLA!A30:C1285,3)</f>
        <v>265.40699999999998</v>
      </c>
      <c r="H31" s="1">
        <f>VLOOKUP(A31,GOOGL!A30:C1285,3)</f>
        <v>105.15300000000001</v>
      </c>
      <c r="I31" s="1">
        <f>VLOOKUP(A31,META!A30:C1285,3)</f>
        <v>273.97000000000003</v>
      </c>
      <c r="J31" s="1">
        <f>VLOOKUP(A31,Nasdaq!A30:C1285,3)</f>
        <v>14047.5</v>
      </c>
    </row>
    <row r="32" spans="1:10" x14ac:dyDescent="0.2">
      <c r="A32" s="2">
        <v>44244</v>
      </c>
      <c r="B32" s="1">
        <f>VLOOKUP(A32,AAPL!A31:C1286,3)</f>
        <v>127.55</v>
      </c>
      <c r="C32" s="1">
        <f>VLOOKUP(A32,MSFT!A31:C1286,3)</f>
        <v>236.59399999999999</v>
      </c>
      <c r="D32" s="1">
        <f>VLOOKUP(A32,NVDA!A31:C1286,3)</f>
        <v>14.868</v>
      </c>
      <c r="E32" s="1">
        <f>VLOOKUP(A32,AMD!A31:C1286,3)</f>
        <v>89.94</v>
      </c>
      <c r="F32" s="1">
        <f>VLOOKUP(A32,AMZN!A31:C1286,3)</f>
        <v>165.43199999999999</v>
      </c>
      <c r="G32" s="1">
        <f>VLOOKUP(A32,TSLA!A31:C1286,3)</f>
        <v>266.05</v>
      </c>
      <c r="H32" s="1">
        <f>VLOOKUP(A32,GOOGL!A31:C1286,3)</f>
        <v>105.54900000000001</v>
      </c>
      <c r="I32" s="1">
        <f>VLOOKUP(A32,META!A31:C1286,3)</f>
        <v>273.57</v>
      </c>
      <c r="J32" s="1">
        <f>VLOOKUP(A32,Nasdaq!A31:C1286,3)</f>
        <v>13965.5</v>
      </c>
    </row>
    <row r="33" spans="1:10" x14ac:dyDescent="0.2">
      <c r="A33" s="2">
        <v>44245</v>
      </c>
      <c r="B33" s="1">
        <f>VLOOKUP(A33,AAPL!A32:C1287,3)</f>
        <v>126.458</v>
      </c>
      <c r="C33" s="1">
        <f>VLOOKUP(A33,MSFT!A32:C1287,3)</f>
        <v>236.203</v>
      </c>
      <c r="D33" s="1">
        <f>VLOOKUP(A33,NVDA!A32:C1287,3)</f>
        <v>14.791</v>
      </c>
      <c r="E33" s="1">
        <f>VLOOKUP(A33,AMD!A32:C1287,3)</f>
        <v>88.64</v>
      </c>
      <c r="F33" s="1">
        <f>VLOOKUP(A33,AMZN!A32:C1287,3)</f>
        <v>166.41200000000001</v>
      </c>
      <c r="G33" s="1">
        <f>VLOOKUP(A33,TSLA!A32:C1287,3)</f>
        <v>262.45999999999998</v>
      </c>
      <c r="H33" s="1">
        <f>VLOOKUP(A33,GOOGL!A32:C1287,3)</f>
        <v>104.91</v>
      </c>
      <c r="I33" s="1">
        <f>VLOOKUP(A33,META!A32:C1287,3)</f>
        <v>269.39</v>
      </c>
      <c r="J33" s="1">
        <f>VLOOKUP(A33,Nasdaq!A32:C1287,3)</f>
        <v>13865.36</v>
      </c>
    </row>
    <row r="34" spans="1:10" x14ac:dyDescent="0.2">
      <c r="A34" s="2">
        <v>44246</v>
      </c>
      <c r="B34" s="1">
        <f>VLOOKUP(A34,AAPL!A33:C1288,3)</f>
        <v>126.61799999999999</v>
      </c>
      <c r="C34" s="1">
        <f>VLOOKUP(A34,MSFT!A33:C1288,3)</f>
        <v>233.46</v>
      </c>
      <c r="D34" s="1">
        <f>VLOOKUP(A34,NVDA!A33:C1288,3)</f>
        <v>14.8879</v>
      </c>
      <c r="E34" s="1">
        <f>VLOOKUP(A34,AMD!A33:C1288,3)</f>
        <v>89.58</v>
      </c>
      <c r="F34" s="1">
        <f>VLOOKUP(A34,AMZN!A33:C1288,3)</f>
        <v>162.495</v>
      </c>
      <c r="G34" s="1">
        <f>VLOOKUP(A34,TSLA!A33:C1288,3)</f>
        <v>260.43299999999999</v>
      </c>
      <c r="H34" s="1">
        <f>VLOOKUP(A34,GOOGL!A33:C1288,3)</f>
        <v>104.063</v>
      </c>
      <c r="I34" s="1">
        <f>VLOOKUP(A34,META!A33:C1288,3)</f>
        <v>261.56</v>
      </c>
      <c r="J34" s="1">
        <f>VLOOKUP(A34,Nasdaq!A33:C1288,3)</f>
        <v>13874.46</v>
      </c>
    </row>
    <row r="35" spans="1:10" x14ac:dyDescent="0.2">
      <c r="A35" s="2">
        <v>44249</v>
      </c>
      <c r="B35" s="1">
        <f>VLOOKUP(A35,AAPL!A34:C1289,3)</f>
        <v>122.845</v>
      </c>
      <c r="C35" s="1">
        <f>VLOOKUP(A35,MSFT!A34:C1289,3)</f>
        <v>227.197</v>
      </c>
      <c r="D35" s="1">
        <f>VLOOKUP(A35,NVDA!A34:C1289,3)</f>
        <v>14.3195</v>
      </c>
      <c r="E35" s="1">
        <f>VLOOKUP(A35,AMD!A34:C1289,3)</f>
        <v>85.37</v>
      </c>
      <c r="F35" s="1">
        <f>VLOOKUP(A35,AMZN!A34:C1289,3)</f>
        <v>159.03700000000001</v>
      </c>
      <c r="G35" s="1">
        <f>VLOOKUP(A35,TSLA!A34:C1289,3)</f>
        <v>238.167</v>
      </c>
      <c r="H35" s="1">
        <f>VLOOKUP(A35,GOOGL!A34:C1289,3)</f>
        <v>102.342</v>
      </c>
      <c r="I35" s="1">
        <f>VLOOKUP(A35,META!A34:C1289,3)</f>
        <v>260.33</v>
      </c>
      <c r="J35" s="1">
        <f>VLOOKUP(A35,Nasdaq!A34:C1289,3)</f>
        <v>13533.05</v>
      </c>
    </row>
    <row r="36" spans="1:10" x14ac:dyDescent="0.2">
      <c r="A36" s="2">
        <v>44250</v>
      </c>
      <c r="B36" s="1">
        <f>VLOOKUP(A36,AAPL!A35:C1290,3)</f>
        <v>122.709</v>
      </c>
      <c r="C36" s="1">
        <f>VLOOKUP(A36,MSFT!A35:C1290,3)</f>
        <v>226.00800000000001</v>
      </c>
      <c r="D36" s="1">
        <f>VLOOKUP(A36,NVDA!A35:C1290,3)</f>
        <v>14.1068</v>
      </c>
      <c r="E36" s="1">
        <f>VLOOKUP(A36,AMD!A35:C1290,3)</f>
        <v>84.74</v>
      </c>
      <c r="F36" s="1">
        <f>VLOOKUP(A36,AMZN!A35:C1290,3)</f>
        <v>159.72499999999999</v>
      </c>
      <c r="G36" s="1">
        <f>VLOOKUP(A36,TSLA!A35:C1290,3)</f>
        <v>232.947</v>
      </c>
      <c r="H36" s="1">
        <f>VLOOKUP(A36,GOOGL!A35:C1290,3)</f>
        <v>102.634</v>
      </c>
      <c r="I36" s="1">
        <f>VLOOKUP(A36,META!A35:C1290,3)</f>
        <v>265.85500000000002</v>
      </c>
      <c r="J36" s="1">
        <f>VLOOKUP(A36,Nasdaq!A35:C1290,3)</f>
        <v>13465.2</v>
      </c>
    </row>
    <row r="37" spans="1:10" x14ac:dyDescent="0.2">
      <c r="A37" s="2">
        <v>44251</v>
      </c>
      <c r="B37" s="1">
        <f>VLOOKUP(A37,AAPL!A36:C1291,3)</f>
        <v>122.20699999999999</v>
      </c>
      <c r="C37" s="1">
        <f>VLOOKUP(A37,MSFT!A36:C1291,3)</f>
        <v>227.23599999999999</v>
      </c>
      <c r="D37" s="1">
        <f>VLOOKUP(A37,NVDA!A36:C1291,3)</f>
        <v>14.462300000000001</v>
      </c>
      <c r="E37" s="1">
        <f>VLOOKUP(A37,AMD!A36:C1291,3)</f>
        <v>86.94</v>
      </c>
      <c r="F37" s="1">
        <f>VLOOKUP(A37,AMZN!A36:C1291,3)</f>
        <v>157.977</v>
      </c>
      <c r="G37" s="1">
        <f>VLOOKUP(A37,TSLA!A36:C1291,3)</f>
        <v>247.34</v>
      </c>
      <c r="H37" s="1">
        <f>VLOOKUP(A37,GOOGL!A36:C1291,3)</f>
        <v>103.81399999999999</v>
      </c>
      <c r="I37" s="1">
        <f>VLOOKUP(A37,META!A36:C1291,3)</f>
        <v>264.31</v>
      </c>
      <c r="J37" s="1">
        <f>VLOOKUP(A37,Nasdaq!A36:C1291,3)</f>
        <v>13597.97</v>
      </c>
    </row>
    <row r="38" spans="1:10" x14ac:dyDescent="0.2">
      <c r="A38" s="2">
        <v>44252</v>
      </c>
      <c r="B38" s="1">
        <f>VLOOKUP(A38,AAPL!A37:C1292,3)</f>
        <v>117.94499999999999</v>
      </c>
      <c r="C38" s="1">
        <f>VLOOKUP(A38,MSFT!A37:C1292,3)</f>
        <v>221.845</v>
      </c>
      <c r="D38" s="1">
        <f>VLOOKUP(A38,NVDA!A37:C1292,3)</f>
        <v>13.2742</v>
      </c>
      <c r="E38" s="1">
        <f>VLOOKUP(A38,AMD!A37:C1292,3)</f>
        <v>82.42</v>
      </c>
      <c r="F38" s="1">
        <f>VLOOKUP(A38,AMZN!A37:C1292,3)</f>
        <v>152.858</v>
      </c>
      <c r="G38" s="1">
        <f>VLOOKUP(A38,TSLA!A37:C1292,3)</f>
        <v>227.40700000000001</v>
      </c>
      <c r="H38" s="1">
        <f>VLOOKUP(A38,GOOGL!A37:C1292,3)</f>
        <v>100.434</v>
      </c>
      <c r="I38" s="1">
        <f>VLOOKUP(A38,META!A37:C1292,3)</f>
        <v>254.69</v>
      </c>
      <c r="J38" s="1">
        <f>VLOOKUP(A38,Nasdaq!A37:C1292,3)</f>
        <v>13119.43</v>
      </c>
    </row>
    <row r="39" spans="1:10" x14ac:dyDescent="0.2">
      <c r="A39" s="2">
        <v>44253</v>
      </c>
      <c r="B39" s="1">
        <f>VLOOKUP(A39,AAPL!A38:C1293,3)</f>
        <v>118.212</v>
      </c>
      <c r="C39" s="1">
        <f>VLOOKUP(A39,MSFT!A38:C1293,3)</f>
        <v>225.136</v>
      </c>
      <c r="D39" s="1">
        <f>VLOOKUP(A39,NVDA!A38:C1293,3)</f>
        <v>13.6807</v>
      </c>
      <c r="E39" s="1">
        <f>VLOOKUP(A39,AMD!A38:C1293,3)</f>
        <v>84.51</v>
      </c>
      <c r="F39" s="1">
        <f>VLOOKUP(A39,AMZN!A38:C1293,3)</f>
        <v>154.64599999999999</v>
      </c>
      <c r="G39" s="1">
        <f>VLOOKUP(A39,TSLA!A38:C1293,3)</f>
        <v>225.167</v>
      </c>
      <c r="H39" s="1">
        <f>VLOOKUP(A39,GOOGL!A38:C1293,3)</f>
        <v>100.73099999999999</v>
      </c>
      <c r="I39" s="1">
        <f>VLOOKUP(A39,META!A38:C1293,3)</f>
        <v>257.62</v>
      </c>
      <c r="J39" s="1">
        <f>VLOOKUP(A39,Nasdaq!A38:C1293,3)</f>
        <v>13192.35</v>
      </c>
    </row>
    <row r="40" spans="1:10" x14ac:dyDescent="0.2">
      <c r="A40" s="2">
        <v>44256</v>
      </c>
      <c r="B40" s="1">
        <f>VLOOKUP(A40,AAPL!A39:C1294,3)</f>
        <v>124.574</v>
      </c>
      <c r="C40" s="1">
        <f>VLOOKUP(A40,MSFT!A39:C1294,3)</f>
        <v>229.55099999999999</v>
      </c>
      <c r="D40" s="1">
        <f>VLOOKUP(A40,NVDA!A39:C1294,3)</f>
        <v>13.807600000000001</v>
      </c>
      <c r="E40" s="1">
        <f>VLOOKUP(A40,AMD!A39:C1294,3)</f>
        <v>86.39</v>
      </c>
      <c r="F40" s="1">
        <f>VLOOKUP(A40,AMZN!A39:C1294,3)</f>
        <v>157.30699999999999</v>
      </c>
      <c r="G40" s="1">
        <f>VLOOKUP(A40,TSLA!A39:C1294,3)</f>
        <v>239.477</v>
      </c>
      <c r="H40" s="1">
        <f>VLOOKUP(A40,GOOGL!A39:C1294,3)</f>
        <v>103.10899999999999</v>
      </c>
      <c r="I40" s="1">
        <f>VLOOKUP(A40,META!A39:C1294,3)</f>
        <v>264.91000000000003</v>
      </c>
      <c r="J40" s="1">
        <f>VLOOKUP(A40,Nasdaq!A39:C1294,3)</f>
        <v>13588.83</v>
      </c>
    </row>
    <row r="41" spans="1:10" x14ac:dyDescent="0.2">
      <c r="A41" s="2">
        <v>44257</v>
      </c>
      <c r="B41" s="1">
        <f>VLOOKUP(A41,AAPL!A40:C1295,3)</f>
        <v>121.982</v>
      </c>
      <c r="C41" s="1">
        <f>VLOOKUP(A41,MSFT!A40:C1295,3)</f>
        <v>226.57499999999999</v>
      </c>
      <c r="D41" s="1">
        <f>VLOOKUP(A41,NVDA!A40:C1295,3)</f>
        <v>13.3721</v>
      </c>
      <c r="E41" s="1">
        <f>VLOOKUP(A41,AMD!A40:C1295,3)</f>
        <v>84.13</v>
      </c>
      <c r="F41" s="1">
        <f>VLOOKUP(A41,AMZN!A40:C1295,3)</f>
        <v>154.727</v>
      </c>
      <c r="G41" s="1">
        <f>VLOOKUP(A41,TSLA!A40:C1295,3)</f>
        <v>228.81299999999999</v>
      </c>
      <c r="H41" s="1">
        <f>VLOOKUP(A41,GOOGL!A40:C1295,3)</f>
        <v>102.851</v>
      </c>
      <c r="I41" s="1">
        <f>VLOOKUP(A41,META!A40:C1295,3)</f>
        <v>259</v>
      </c>
      <c r="J41" s="1">
        <f>VLOOKUP(A41,Nasdaq!A40:C1295,3)</f>
        <v>13358.79</v>
      </c>
    </row>
    <row r="42" spans="1:10" x14ac:dyDescent="0.2">
      <c r="A42" s="2">
        <v>44258</v>
      </c>
      <c r="B42" s="1">
        <f>VLOOKUP(A42,AAPL!A41:C1296,3)</f>
        <v>118.998</v>
      </c>
      <c r="C42" s="1">
        <f>VLOOKUP(A42,MSFT!A41:C1296,3)</f>
        <v>220.47800000000001</v>
      </c>
      <c r="D42" s="1">
        <f>VLOOKUP(A42,NVDA!A41:C1296,3)</f>
        <v>12.7719</v>
      </c>
      <c r="E42" s="1">
        <f>VLOOKUP(A42,AMD!A41:C1296,3)</f>
        <v>80.86</v>
      </c>
      <c r="F42" s="1">
        <f>VLOOKUP(A42,AMZN!A41:C1296,3)</f>
        <v>150.25</v>
      </c>
      <c r="G42" s="1">
        <f>VLOOKUP(A42,TSLA!A41:C1296,3)</f>
        <v>217.733</v>
      </c>
      <c r="H42" s="1">
        <f>VLOOKUP(A42,GOOGL!A41:C1296,3)</f>
        <v>100.208</v>
      </c>
      <c r="I42" s="1">
        <f>VLOOKUP(A42,META!A41:C1296,3)</f>
        <v>255.41</v>
      </c>
      <c r="J42" s="1">
        <f>VLOOKUP(A42,Nasdaq!A41:C1296,3)</f>
        <v>12997.75</v>
      </c>
    </row>
    <row r="43" spans="1:10" x14ac:dyDescent="0.2">
      <c r="A43" s="2">
        <v>44259</v>
      </c>
      <c r="B43" s="1">
        <f>VLOOKUP(A43,AAPL!A42:C1297,3)</f>
        <v>117.121</v>
      </c>
      <c r="C43" s="1">
        <f>VLOOKUP(A43,MSFT!A42:C1297,3)</f>
        <v>219.666</v>
      </c>
      <c r="D43" s="1">
        <f>VLOOKUP(A43,NVDA!A42:C1297,3)</f>
        <v>12.3384</v>
      </c>
      <c r="E43" s="1">
        <f>VLOOKUP(A43,AMD!A42:C1297,3)</f>
        <v>77.75</v>
      </c>
      <c r="F43" s="1">
        <f>VLOOKUP(A43,AMZN!A42:C1297,3)</f>
        <v>148.87799999999999</v>
      </c>
      <c r="G43" s="1">
        <f>VLOOKUP(A43,TSLA!A42:C1297,3)</f>
        <v>207.14699999999999</v>
      </c>
      <c r="H43" s="1">
        <f>VLOOKUP(A43,GOOGL!A42:C1297,3)</f>
        <v>101.328</v>
      </c>
      <c r="I43" s="1">
        <f>VLOOKUP(A43,META!A42:C1297,3)</f>
        <v>257.64</v>
      </c>
      <c r="J43" s="1">
        <f>VLOOKUP(A43,Nasdaq!A42:C1297,3)</f>
        <v>12723.47</v>
      </c>
    </row>
    <row r="44" spans="1:10" x14ac:dyDescent="0.2">
      <c r="A44" s="2">
        <v>44260</v>
      </c>
      <c r="B44" s="1">
        <f>VLOOKUP(A44,AAPL!A43:C1298,3)</f>
        <v>118.367</v>
      </c>
      <c r="C44" s="1">
        <f>VLOOKUP(A44,MSFT!A43:C1298,3)</f>
        <v>224.386</v>
      </c>
      <c r="D44" s="1">
        <f>VLOOKUP(A44,NVDA!A43:C1298,3)</f>
        <v>12.429399999999999</v>
      </c>
      <c r="E44" s="1">
        <f>VLOOKUP(A44,AMD!A43:C1298,3)</f>
        <v>78.52</v>
      </c>
      <c r="F44" s="1">
        <f>VLOOKUP(A44,AMZN!A43:C1298,3)</f>
        <v>150.023</v>
      </c>
      <c r="G44" s="1">
        <f>VLOOKUP(A44,TSLA!A43:C1298,3)</f>
        <v>199.31700000000001</v>
      </c>
      <c r="H44" s="1">
        <f>VLOOKUP(A44,GOOGL!A43:C1298,3)</f>
        <v>104.47499999999999</v>
      </c>
      <c r="I44" s="1">
        <f>VLOOKUP(A44,META!A43:C1298,3)</f>
        <v>264.27999999999997</v>
      </c>
      <c r="J44" s="1">
        <f>VLOOKUP(A44,Nasdaq!A43:C1298,3)</f>
        <v>12920.15</v>
      </c>
    </row>
    <row r="45" spans="1:10" x14ac:dyDescent="0.2">
      <c r="A45" s="2">
        <v>44263</v>
      </c>
      <c r="B45" s="1">
        <f>VLOOKUP(A45,AAPL!A44:C1299,3)</f>
        <v>113.437</v>
      </c>
      <c r="C45" s="1">
        <f>VLOOKUP(A45,MSFT!A44:C1299,3)</f>
        <v>220.31200000000001</v>
      </c>
      <c r="D45" s="1">
        <f>VLOOKUP(A45,NVDA!A44:C1299,3)</f>
        <v>11.563800000000001</v>
      </c>
      <c r="E45" s="1">
        <f>VLOOKUP(A45,AMD!A44:C1299,3)</f>
        <v>73.959999999999994</v>
      </c>
      <c r="F45" s="1">
        <f>VLOOKUP(A45,AMZN!A44:C1299,3)</f>
        <v>147.59800000000001</v>
      </c>
      <c r="G45" s="1">
        <f>VLOOKUP(A45,TSLA!A44:C1299,3)</f>
        <v>187.667</v>
      </c>
      <c r="H45" s="1">
        <f>VLOOKUP(A45,GOOGL!A44:C1299,3)</f>
        <v>100.012</v>
      </c>
      <c r="I45" s="1">
        <f>VLOOKUP(A45,META!A44:C1299,3)</f>
        <v>255.31</v>
      </c>
      <c r="J45" s="1">
        <f>VLOOKUP(A45,Nasdaq!A44:C1299,3)</f>
        <v>12609.16</v>
      </c>
    </row>
    <row r="46" spans="1:10" x14ac:dyDescent="0.2">
      <c r="A46" s="2">
        <v>44264</v>
      </c>
      <c r="B46" s="1">
        <f>VLOOKUP(A46,AAPL!A45:C1300,3)</f>
        <v>118.045</v>
      </c>
      <c r="C46" s="1">
        <f>VLOOKUP(A46,MSFT!A45:C1300,3)</f>
        <v>226.48599999999999</v>
      </c>
      <c r="D46" s="1">
        <f>VLOOKUP(A46,NVDA!A45:C1300,3)</f>
        <v>12.4924</v>
      </c>
      <c r="E46" s="1">
        <f>VLOOKUP(A46,AMD!A45:C1300,3)</f>
        <v>78.53</v>
      </c>
      <c r="F46" s="1">
        <f>VLOOKUP(A46,AMZN!A45:C1300,3)</f>
        <v>153.142</v>
      </c>
      <c r="G46" s="1">
        <f>VLOOKUP(A46,TSLA!A45:C1300,3)</f>
        <v>224.52699999999999</v>
      </c>
      <c r="H46" s="1">
        <f>VLOOKUP(A46,GOOGL!A45:C1300,3)</f>
        <v>101.65</v>
      </c>
      <c r="I46" s="1">
        <f>VLOOKUP(A46,META!A45:C1300,3)</f>
        <v>265.74</v>
      </c>
      <c r="J46" s="1">
        <f>VLOOKUP(A46,Nasdaq!A45:C1300,3)</f>
        <v>13073.82</v>
      </c>
    </row>
    <row r="47" spans="1:10" x14ac:dyDescent="0.2">
      <c r="A47" s="2">
        <v>44265</v>
      </c>
      <c r="B47" s="1">
        <f>VLOOKUP(A47,AAPL!A46:C1301,3)</f>
        <v>116.983</v>
      </c>
      <c r="C47" s="1">
        <f>VLOOKUP(A47,MSFT!A46:C1301,3)</f>
        <v>225.17599999999999</v>
      </c>
      <c r="D47" s="1">
        <f>VLOOKUP(A47,NVDA!A46:C1301,3)</f>
        <v>12.4404</v>
      </c>
      <c r="E47" s="1">
        <f>VLOOKUP(A47,AMD!A46:C1301,3)</f>
        <v>77.52</v>
      </c>
      <c r="F47" s="1">
        <f>VLOOKUP(A47,AMZN!A46:C1301,3)</f>
        <v>152.88200000000001</v>
      </c>
      <c r="G47" s="1">
        <f>VLOOKUP(A47,TSLA!A46:C1301,3)</f>
        <v>222.68700000000001</v>
      </c>
      <c r="H47" s="1">
        <f>VLOOKUP(A47,GOOGL!A46:C1301,3)</f>
        <v>101.44199999999999</v>
      </c>
      <c r="I47" s="1">
        <f>VLOOKUP(A47,META!A46:C1301,3)</f>
        <v>264.89999999999998</v>
      </c>
      <c r="J47" s="1">
        <f>VLOOKUP(A47,Nasdaq!A46:C1301,3)</f>
        <v>13068.83</v>
      </c>
    </row>
    <row r="48" spans="1:10" x14ac:dyDescent="0.2">
      <c r="A48" s="2">
        <v>44266</v>
      </c>
      <c r="B48" s="1">
        <f>VLOOKUP(A48,AAPL!A47:C1302,3)</f>
        <v>118.901</v>
      </c>
      <c r="C48" s="1">
        <f>VLOOKUP(A48,MSFT!A47:C1302,3)</f>
        <v>229.738</v>
      </c>
      <c r="D48" s="1">
        <f>VLOOKUP(A48,NVDA!A47:C1302,3)</f>
        <v>12.9657</v>
      </c>
      <c r="E48" s="1">
        <f>VLOOKUP(A48,AMD!A47:C1302,3)</f>
        <v>81.23</v>
      </c>
      <c r="F48" s="1">
        <f>VLOOKUP(A48,AMZN!A47:C1302,3)</f>
        <v>155.68</v>
      </c>
      <c r="G48" s="1">
        <f>VLOOKUP(A48,TSLA!A47:C1302,3)</f>
        <v>233.2</v>
      </c>
      <c r="H48" s="1">
        <f>VLOOKUP(A48,GOOGL!A47:C1302,3)</f>
        <v>104.648</v>
      </c>
      <c r="I48" s="1">
        <f>VLOOKUP(A48,META!A47:C1302,3)</f>
        <v>273.88</v>
      </c>
      <c r="J48" s="1">
        <f>VLOOKUP(A48,Nasdaq!A47:C1302,3)</f>
        <v>13398.67</v>
      </c>
    </row>
    <row r="49" spans="1:10" x14ac:dyDescent="0.2">
      <c r="A49" s="2">
        <v>44267</v>
      </c>
      <c r="B49" s="1">
        <f>VLOOKUP(A49,AAPL!A48:C1303,3)</f>
        <v>117.985</v>
      </c>
      <c r="C49" s="1">
        <f>VLOOKUP(A49,MSFT!A48:C1303,3)</f>
        <v>228.41</v>
      </c>
      <c r="D49" s="1">
        <f>VLOOKUP(A49,NVDA!A48:C1303,3)</f>
        <v>12.8278</v>
      </c>
      <c r="E49" s="1">
        <f>VLOOKUP(A49,AMD!A48:C1303,3)</f>
        <v>81.05</v>
      </c>
      <c r="F49" s="1">
        <f>VLOOKUP(A49,AMZN!A48:C1303,3)</f>
        <v>154.47399999999999</v>
      </c>
      <c r="G49" s="1">
        <f>VLOOKUP(A49,TSLA!A48:C1303,3)</f>
        <v>231.24299999999999</v>
      </c>
      <c r="H49" s="1">
        <f>VLOOKUP(A49,GOOGL!A48:C1303,3)</f>
        <v>102.129</v>
      </c>
      <c r="I49" s="1">
        <f>VLOOKUP(A49,META!A48:C1303,3)</f>
        <v>268.39999999999998</v>
      </c>
      <c r="J49" s="1">
        <f>VLOOKUP(A49,Nasdaq!A48:C1303,3)</f>
        <v>13319.86</v>
      </c>
    </row>
    <row r="50" spans="1:10" x14ac:dyDescent="0.2">
      <c r="A50" s="2">
        <v>44270</v>
      </c>
      <c r="B50" s="1">
        <f>VLOOKUP(A50,AAPL!A49:C1304,3)</f>
        <v>120.872</v>
      </c>
      <c r="C50" s="1">
        <f>VLOOKUP(A50,MSFT!A49:C1304,3)</f>
        <v>227.49199999999999</v>
      </c>
      <c r="D50" s="1">
        <f>VLOOKUP(A50,NVDA!A49:C1304,3)</f>
        <v>13.1623</v>
      </c>
      <c r="E50" s="1">
        <f>VLOOKUP(A50,AMD!A49:C1304,3)</f>
        <v>82.5</v>
      </c>
      <c r="F50" s="1">
        <f>VLOOKUP(A50,AMZN!A49:C1304,3)</f>
        <v>154.084</v>
      </c>
      <c r="G50" s="1">
        <f>VLOOKUP(A50,TSLA!A49:C1304,3)</f>
        <v>235.98</v>
      </c>
      <c r="H50" s="1">
        <f>VLOOKUP(A50,GOOGL!A49:C1304,3)</f>
        <v>102.351</v>
      </c>
      <c r="I50" s="1">
        <f>VLOOKUP(A50,META!A49:C1304,3)</f>
        <v>273.75</v>
      </c>
      <c r="J50" s="1">
        <f>VLOOKUP(A50,Nasdaq!A49:C1304,3)</f>
        <v>13459.71</v>
      </c>
    </row>
    <row r="51" spans="1:10" x14ac:dyDescent="0.2">
      <c r="A51" s="2">
        <v>44271</v>
      </c>
      <c r="B51" s="1">
        <f>VLOOKUP(A51,AAPL!A50:C1305,3)</f>
        <v>122.425</v>
      </c>
      <c r="C51" s="1">
        <f>VLOOKUP(A51,MSFT!A50:C1305,3)</f>
        <v>230.30500000000001</v>
      </c>
      <c r="D51" s="1">
        <f>VLOOKUP(A51,NVDA!A50:C1305,3)</f>
        <v>13.2622</v>
      </c>
      <c r="E51" s="1">
        <f>VLOOKUP(A51,AMD!A50:C1305,3)</f>
        <v>82.75</v>
      </c>
      <c r="F51" s="1">
        <f>VLOOKUP(A51,AMZN!A50:C1305,3)</f>
        <v>154.59299999999999</v>
      </c>
      <c r="G51" s="1">
        <f>VLOOKUP(A51,TSLA!A50:C1305,3)</f>
        <v>225.62700000000001</v>
      </c>
      <c r="H51" s="1">
        <f>VLOOKUP(A51,GOOGL!A50:C1305,3)</f>
        <v>103.818</v>
      </c>
      <c r="I51" s="1">
        <f>VLOOKUP(A51,META!A50:C1305,3)</f>
        <v>279.27999999999997</v>
      </c>
      <c r="J51" s="1">
        <f>VLOOKUP(A51,Nasdaq!A50:C1305,3)</f>
        <v>13471.57</v>
      </c>
    </row>
    <row r="52" spans="1:10" x14ac:dyDescent="0.2">
      <c r="A52" s="2">
        <v>44272</v>
      </c>
      <c r="B52" s="1">
        <f>VLOOKUP(A52,AAPL!A51:C1306,3)</f>
        <v>121.629</v>
      </c>
      <c r="C52" s="1">
        <f>VLOOKUP(A52,MSFT!A51:C1306,3)</f>
        <v>229.649</v>
      </c>
      <c r="D52" s="1">
        <f>VLOOKUP(A52,NVDA!A51:C1306,3)</f>
        <v>13.312099999999999</v>
      </c>
      <c r="E52" s="1">
        <f>VLOOKUP(A52,AMD!A51:C1306,3)</f>
        <v>82.63</v>
      </c>
      <c r="F52" s="1">
        <f>VLOOKUP(A52,AMZN!A51:C1306,3)</f>
        <v>156.786</v>
      </c>
      <c r="G52" s="1">
        <f>VLOOKUP(A52,TSLA!A51:C1306,3)</f>
        <v>233.93700000000001</v>
      </c>
      <c r="H52" s="1">
        <f>VLOOKUP(A52,GOOGL!A51:C1306,3)</f>
        <v>103.735</v>
      </c>
      <c r="I52" s="1">
        <f>VLOOKUP(A52,META!A51:C1306,3)</f>
        <v>284.01</v>
      </c>
      <c r="J52" s="1">
        <f>VLOOKUP(A52,Nasdaq!A51:C1306,3)</f>
        <v>13525.2</v>
      </c>
    </row>
    <row r="53" spans="1:10" x14ac:dyDescent="0.2">
      <c r="A53" s="2">
        <v>44273</v>
      </c>
      <c r="B53" s="1">
        <f>VLOOKUP(A53,AAPL!A52:C1307,3)</f>
        <v>117.504</v>
      </c>
      <c r="C53" s="1">
        <f>VLOOKUP(A53,MSFT!A52:C1307,3)</f>
        <v>223.535</v>
      </c>
      <c r="D53" s="1">
        <f>VLOOKUP(A53,NVDA!A52:C1307,3)</f>
        <v>12.694100000000001</v>
      </c>
      <c r="E53" s="1">
        <f>VLOOKUP(A53,AMD!A52:C1307,3)</f>
        <v>78.12</v>
      </c>
      <c r="F53" s="1">
        <f>VLOOKUP(A53,AMZN!A52:C1307,3)</f>
        <v>151.4</v>
      </c>
      <c r="G53" s="1">
        <f>VLOOKUP(A53,TSLA!A52:C1307,3)</f>
        <v>217.72</v>
      </c>
      <c r="H53" s="1">
        <f>VLOOKUP(A53,GOOGL!A52:C1307,3)</f>
        <v>100.702</v>
      </c>
      <c r="I53" s="1">
        <f>VLOOKUP(A53,META!A52:C1307,3)</f>
        <v>278.62</v>
      </c>
      <c r="J53" s="1">
        <f>VLOOKUP(A53,Nasdaq!A52:C1307,3)</f>
        <v>13116.17</v>
      </c>
    </row>
    <row r="54" spans="1:10" x14ac:dyDescent="0.2">
      <c r="A54" s="2">
        <v>44274</v>
      </c>
      <c r="B54" s="1">
        <f>VLOOKUP(A54,AAPL!A53:C1308,3)</f>
        <v>116.983</v>
      </c>
      <c r="C54" s="1">
        <f>VLOOKUP(A54,MSFT!A53:C1308,3)</f>
        <v>223.17400000000001</v>
      </c>
      <c r="D54" s="1">
        <f>VLOOKUP(A54,NVDA!A53:C1308,3)</f>
        <v>12.8178</v>
      </c>
      <c r="E54" s="1">
        <f>VLOOKUP(A54,AMD!A53:C1308,3)</f>
        <v>79.06</v>
      </c>
      <c r="F54" s="1">
        <f>VLOOKUP(A54,AMZN!A53:C1308,3)</f>
        <v>153.74799999999999</v>
      </c>
      <c r="G54" s="1">
        <f>VLOOKUP(A54,TSLA!A53:C1308,3)</f>
        <v>218.29</v>
      </c>
      <c r="H54" s="1">
        <f>VLOOKUP(A54,GOOGL!A53:C1308,3)</f>
        <v>100.982</v>
      </c>
      <c r="I54" s="1">
        <f>VLOOKUP(A54,META!A53:C1308,3)</f>
        <v>290.11</v>
      </c>
      <c r="J54" s="1">
        <f>VLOOKUP(A54,Nasdaq!A53:C1308,3)</f>
        <v>13215.24</v>
      </c>
    </row>
    <row r="55" spans="1:10" x14ac:dyDescent="0.2">
      <c r="A55" s="2">
        <v>44277</v>
      </c>
      <c r="B55" s="1">
        <f>VLOOKUP(A55,AAPL!A54:C1309,3)</f>
        <v>120.292</v>
      </c>
      <c r="C55" s="1">
        <f>VLOOKUP(A55,MSFT!A54:C1309,3)</f>
        <v>228.642</v>
      </c>
      <c r="D55" s="1">
        <f>VLOOKUP(A55,NVDA!A54:C1309,3)</f>
        <v>13.157299999999999</v>
      </c>
      <c r="E55" s="1">
        <f>VLOOKUP(A55,AMD!A54:C1309,3)</f>
        <v>80.3</v>
      </c>
      <c r="F55" s="1">
        <f>VLOOKUP(A55,AMZN!A54:C1309,3)</f>
        <v>155.54400000000001</v>
      </c>
      <c r="G55" s="1">
        <f>VLOOKUP(A55,TSLA!A54:C1309,3)</f>
        <v>223.333</v>
      </c>
      <c r="H55" s="1">
        <f>VLOOKUP(A55,GOOGL!A54:C1309,3)</f>
        <v>101.169</v>
      </c>
      <c r="I55" s="1">
        <f>VLOOKUP(A55,META!A54:C1309,3)</f>
        <v>293.54000000000002</v>
      </c>
      <c r="J55" s="1">
        <f>VLOOKUP(A55,Nasdaq!A54:C1309,3)</f>
        <v>13377.54</v>
      </c>
    </row>
    <row r="56" spans="1:10" x14ac:dyDescent="0.2">
      <c r="A56" s="2">
        <v>44278</v>
      </c>
      <c r="B56" s="1">
        <f>VLOOKUP(A56,AAPL!A55:C1310,3)</f>
        <v>119.45699999999999</v>
      </c>
      <c r="C56" s="1">
        <f>VLOOKUP(A56,MSFT!A55:C1310,3)</f>
        <v>230.17599999999999</v>
      </c>
      <c r="D56" s="1">
        <f>VLOOKUP(A56,NVDA!A55:C1310,3)</f>
        <v>13.0425</v>
      </c>
      <c r="E56" s="1">
        <f>VLOOKUP(A56,AMD!A55:C1310,3)</f>
        <v>78.38</v>
      </c>
      <c r="F56" s="1">
        <f>VLOOKUP(A56,AMZN!A55:C1310,3)</f>
        <v>156.875</v>
      </c>
      <c r="G56" s="1">
        <f>VLOOKUP(A56,TSLA!A55:C1310,3)</f>
        <v>220.72</v>
      </c>
      <c r="H56" s="1">
        <f>VLOOKUP(A56,GOOGL!A55:C1310,3)</f>
        <v>101.697</v>
      </c>
      <c r="I56" s="1">
        <f>VLOOKUP(A56,META!A55:C1310,3)</f>
        <v>290.63</v>
      </c>
      <c r="J56" s="1">
        <f>VLOOKUP(A56,Nasdaq!A55:C1310,3)</f>
        <v>13227.7</v>
      </c>
    </row>
    <row r="57" spans="1:10" x14ac:dyDescent="0.2">
      <c r="A57" s="2">
        <v>44279</v>
      </c>
      <c r="B57" s="1">
        <f>VLOOKUP(A57,AAPL!A56:C1311,3)</f>
        <v>117.08199999999999</v>
      </c>
      <c r="C57" s="1">
        <f>VLOOKUP(A57,MSFT!A56:C1311,3)</f>
        <v>228.126</v>
      </c>
      <c r="D57" s="1">
        <f>VLOOKUP(A57,NVDA!A56:C1311,3)</f>
        <v>12.6152</v>
      </c>
      <c r="E57" s="1">
        <f>VLOOKUP(A57,AMD!A56:C1311,3)</f>
        <v>76.48</v>
      </c>
      <c r="F57" s="1">
        <f>VLOOKUP(A57,AMZN!A56:C1311,3)</f>
        <v>154.35400000000001</v>
      </c>
      <c r="G57" s="1">
        <f>VLOOKUP(A57,TSLA!A56:C1311,3)</f>
        <v>210.09</v>
      </c>
      <c r="H57" s="1">
        <f>VLOOKUP(A57,GOOGL!A56:C1311,3)</f>
        <v>101.258</v>
      </c>
      <c r="I57" s="1">
        <f>VLOOKUP(A57,META!A56:C1311,3)</f>
        <v>282.14</v>
      </c>
      <c r="J57" s="1">
        <f>VLOOKUP(A57,Nasdaq!A56:C1311,3)</f>
        <v>12961.89</v>
      </c>
    </row>
    <row r="58" spans="1:10" x14ac:dyDescent="0.2">
      <c r="A58" s="2">
        <v>44280</v>
      </c>
      <c r="B58" s="1">
        <f>VLOOKUP(A58,AAPL!A57:C1312,3)</f>
        <v>117.562</v>
      </c>
      <c r="C58" s="1">
        <f>VLOOKUP(A58,MSFT!A57:C1312,3)</f>
        <v>225.096</v>
      </c>
      <c r="D58" s="1">
        <f>VLOOKUP(A58,NVDA!A57:C1312,3)</f>
        <v>12.507400000000001</v>
      </c>
      <c r="E58" s="1">
        <f>VLOOKUP(A58,AMD!A57:C1312,3)</f>
        <v>76.22</v>
      </c>
      <c r="F58" s="1">
        <f>VLOOKUP(A58,AMZN!A57:C1312,3)</f>
        <v>152.31299999999999</v>
      </c>
      <c r="G58" s="1">
        <f>VLOOKUP(A58,TSLA!A57:C1312,3)</f>
        <v>213.46299999999999</v>
      </c>
      <c r="H58" s="1">
        <f>VLOOKUP(A58,GOOGL!A57:C1312,3)</f>
        <v>101.255</v>
      </c>
      <c r="I58" s="1">
        <f>VLOOKUP(A58,META!A57:C1312,3)</f>
        <v>278.74</v>
      </c>
      <c r="J58" s="1">
        <f>VLOOKUP(A58,Nasdaq!A57:C1312,3)</f>
        <v>12977.68</v>
      </c>
    </row>
    <row r="59" spans="1:10" x14ac:dyDescent="0.2">
      <c r="A59" s="2">
        <v>44281</v>
      </c>
      <c r="B59" s="1">
        <f>VLOOKUP(A59,AAPL!A58:C1313,3)</f>
        <v>118.16200000000001</v>
      </c>
      <c r="C59" s="1">
        <f>VLOOKUP(A59,MSFT!A58:C1313,3)</f>
        <v>229.11199999999999</v>
      </c>
      <c r="D59" s="1">
        <f>VLOOKUP(A59,NVDA!A58:C1313,3)</f>
        <v>12.8108</v>
      </c>
      <c r="E59" s="1">
        <f>VLOOKUP(A59,AMD!A58:C1313,3)</f>
        <v>77.41</v>
      </c>
      <c r="F59" s="1">
        <f>VLOOKUP(A59,AMZN!A58:C1313,3)</f>
        <v>152.602</v>
      </c>
      <c r="G59" s="1">
        <f>VLOOKUP(A59,TSLA!A58:C1313,3)</f>
        <v>206.23699999999999</v>
      </c>
      <c r="H59" s="1">
        <f>VLOOKUP(A59,GOOGL!A58:C1313,3)</f>
        <v>100.87</v>
      </c>
      <c r="I59" s="1">
        <f>VLOOKUP(A59,META!A58:C1313,3)</f>
        <v>283.02</v>
      </c>
      <c r="J59" s="1">
        <f>VLOOKUP(A59,Nasdaq!A58:C1313,3)</f>
        <v>13138.72</v>
      </c>
    </row>
    <row r="60" spans="1:10" x14ac:dyDescent="0.2">
      <c r="A60" s="2">
        <v>44284</v>
      </c>
      <c r="B60" s="1">
        <f>VLOOKUP(A60,AAPL!A59:C1314,3)</f>
        <v>118.337</v>
      </c>
      <c r="C60" s="1">
        <f>VLOOKUP(A60,MSFT!A59:C1314,3)</f>
        <v>227.911</v>
      </c>
      <c r="D60" s="1">
        <f>VLOOKUP(A60,NVDA!A59:C1314,3)</f>
        <v>12.9198</v>
      </c>
      <c r="E60" s="1">
        <f>VLOOKUP(A60,AMD!A59:C1314,3)</f>
        <v>77.14</v>
      </c>
      <c r="F60" s="1">
        <f>VLOOKUP(A60,AMZN!A59:C1314,3)</f>
        <v>153.786</v>
      </c>
      <c r="G60" s="1">
        <f>VLOOKUP(A60,TSLA!A59:C1314,3)</f>
        <v>203.76300000000001</v>
      </c>
      <c r="H60" s="1">
        <f>VLOOKUP(A60,GOOGL!A59:C1314,3)</f>
        <v>101.92100000000001</v>
      </c>
      <c r="I60" s="1">
        <f>VLOOKUP(A60,META!A59:C1314,3)</f>
        <v>290.82</v>
      </c>
      <c r="J60" s="1">
        <f>VLOOKUP(A60,Nasdaq!A59:C1314,3)</f>
        <v>13059.65</v>
      </c>
    </row>
    <row r="61" spans="1:10" x14ac:dyDescent="0.2">
      <c r="A61" s="2">
        <v>44285</v>
      </c>
      <c r="B61" s="1">
        <f>VLOOKUP(A61,AAPL!A60:C1315,3)</f>
        <v>116.904</v>
      </c>
      <c r="C61" s="1">
        <f>VLOOKUP(A61,MSFT!A60:C1315,3)</f>
        <v>224.63</v>
      </c>
      <c r="D61" s="1">
        <f>VLOOKUP(A61,NVDA!A60:C1315,3)</f>
        <v>12.8438</v>
      </c>
      <c r="E61" s="1">
        <f>VLOOKUP(A61,AMD!A60:C1315,3)</f>
        <v>76</v>
      </c>
      <c r="F61" s="1">
        <f>VLOOKUP(A61,AMZN!A60:C1315,3)</f>
        <v>152.76400000000001</v>
      </c>
      <c r="G61" s="1">
        <f>VLOOKUP(A61,TSLA!A60:C1315,3)</f>
        <v>211.87299999999999</v>
      </c>
      <c r="H61" s="1">
        <f>VLOOKUP(A61,GOOGL!A60:C1315,3)</f>
        <v>101.955</v>
      </c>
      <c r="I61" s="1">
        <f>VLOOKUP(A61,META!A60:C1315,3)</f>
        <v>288</v>
      </c>
      <c r="J61" s="1">
        <f>VLOOKUP(A61,Nasdaq!A60:C1315,3)</f>
        <v>13045.39</v>
      </c>
    </row>
    <row r="62" spans="1:10" x14ac:dyDescent="0.2">
      <c r="A62" s="2">
        <v>44286</v>
      </c>
      <c r="B62" s="1">
        <f>VLOOKUP(A62,AAPL!A61:C1316,3)</f>
        <v>119.08499999999999</v>
      </c>
      <c r="C62" s="1">
        <f>VLOOKUP(A62,MSFT!A61:C1316,3)</f>
        <v>228.43</v>
      </c>
      <c r="D62" s="1">
        <f>VLOOKUP(A62,NVDA!A61:C1316,3)</f>
        <v>13.319100000000001</v>
      </c>
      <c r="E62" s="1">
        <f>VLOOKUP(A62,AMD!A61:C1316,3)</f>
        <v>78.5</v>
      </c>
      <c r="F62" s="1">
        <f>VLOOKUP(A62,AMZN!A61:C1316,3)</f>
        <v>154.70400000000001</v>
      </c>
      <c r="G62" s="1">
        <f>VLOOKUP(A62,TSLA!A61:C1316,3)</f>
        <v>222.643</v>
      </c>
      <c r="H62" s="1">
        <f>VLOOKUP(A62,GOOGL!A61:C1316,3)</f>
        <v>102.753</v>
      </c>
      <c r="I62" s="1">
        <f>VLOOKUP(A62,META!A61:C1316,3)</f>
        <v>294.52999999999997</v>
      </c>
      <c r="J62" s="1">
        <f>VLOOKUP(A62,Nasdaq!A61:C1316,3)</f>
        <v>13246.87</v>
      </c>
    </row>
    <row r="63" spans="1:10" x14ac:dyDescent="0.2">
      <c r="A63" s="2">
        <v>44287</v>
      </c>
      <c r="B63" s="1">
        <f>VLOOKUP(A63,AAPL!A62:C1317,3)</f>
        <v>119.90900000000001</v>
      </c>
      <c r="C63" s="1">
        <f>VLOOKUP(A63,MSFT!A62:C1317,3)</f>
        <v>234.797</v>
      </c>
      <c r="D63" s="1">
        <f>VLOOKUP(A63,NVDA!A62:C1317,3)</f>
        <v>13.7827</v>
      </c>
      <c r="E63" s="1">
        <f>VLOOKUP(A63,AMD!A62:C1317,3)</f>
        <v>81.09</v>
      </c>
      <c r="F63" s="1">
        <f>VLOOKUP(A63,AMZN!A62:C1317,3)</f>
        <v>158.05000000000001</v>
      </c>
      <c r="G63" s="1">
        <f>VLOOKUP(A63,TSLA!A62:C1317,3)</f>
        <v>220.583</v>
      </c>
      <c r="H63" s="1">
        <f>VLOOKUP(A63,GOOGL!A62:C1317,3)</f>
        <v>106.104</v>
      </c>
      <c r="I63" s="1">
        <f>VLOOKUP(A63,META!A62:C1317,3)</f>
        <v>298.66000000000003</v>
      </c>
      <c r="J63" s="1">
        <f>VLOOKUP(A63,Nasdaq!A62:C1317,3)</f>
        <v>13480.11</v>
      </c>
    </row>
    <row r="64" spans="1:10" x14ac:dyDescent="0.2">
      <c r="A64" s="2">
        <v>44291</v>
      </c>
      <c r="B64" s="1">
        <f>VLOOKUP(A64,AAPL!A63:C1318,3)</f>
        <v>122.748</v>
      </c>
      <c r="C64" s="1">
        <f>VLOOKUP(A64,MSFT!A63:C1318,3)</f>
        <v>241.322</v>
      </c>
      <c r="D64" s="1">
        <f>VLOOKUP(A64,NVDA!A63:C1318,3)</f>
        <v>13.958</v>
      </c>
      <c r="E64" s="1">
        <f>VLOOKUP(A64,AMD!A63:C1318,3)</f>
        <v>81.430000000000007</v>
      </c>
      <c r="F64" s="1">
        <f>VLOOKUP(A64,AMZN!A63:C1318,3)</f>
        <v>161.33600000000001</v>
      </c>
      <c r="G64" s="1">
        <f>VLOOKUP(A64,TSLA!A63:C1318,3)</f>
        <v>230.35</v>
      </c>
      <c r="H64" s="1">
        <f>VLOOKUP(A64,GOOGL!A63:C1318,3)</f>
        <v>110.547</v>
      </c>
      <c r="I64" s="1">
        <f>VLOOKUP(A64,META!A63:C1318,3)</f>
        <v>308.91000000000003</v>
      </c>
      <c r="J64" s="1">
        <f>VLOOKUP(A64,Nasdaq!A63:C1318,3)</f>
        <v>13705.59</v>
      </c>
    </row>
    <row r="65" spans="1:10" x14ac:dyDescent="0.2">
      <c r="A65" s="2">
        <v>44292</v>
      </c>
      <c r="B65" s="1">
        <f>VLOOKUP(A65,AAPL!A64:C1319,3)</f>
        <v>123.053</v>
      </c>
      <c r="C65" s="1">
        <f>VLOOKUP(A65,MSFT!A64:C1319,3)</f>
        <v>240.13900000000001</v>
      </c>
      <c r="D65" s="1">
        <f>VLOOKUP(A65,NVDA!A64:C1319,3)</f>
        <v>13.8325</v>
      </c>
      <c r="E65" s="1">
        <f>VLOOKUP(A65,AMD!A64:C1319,3)</f>
        <v>81.44</v>
      </c>
      <c r="F65" s="1">
        <f>VLOOKUP(A65,AMZN!A64:C1319,3)</f>
        <v>161.191</v>
      </c>
      <c r="G65" s="1">
        <f>VLOOKUP(A65,TSLA!A64:C1319,3)</f>
        <v>230.54</v>
      </c>
      <c r="H65" s="1">
        <f>VLOOKUP(A65,GOOGL!A64:C1319,3)</f>
        <v>110.06399999999999</v>
      </c>
      <c r="I65" s="1">
        <f>VLOOKUP(A65,META!A64:C1319,3)</f>
        <v>306.26</v>
      </c>
      <c r="J65" s="1">
        <f>VLOOKUP(A65,Nasdaq!A64:C1319,3)</f>
        <v>13698.38</v>
      </c>
    </row>
    <row r="66" spans="1:10" x14ac:dyDescent="0.2">
      <c r="A66" s="2">
        <v>44293</v>
      </c>
      <c r="B66" s="1">
        <f>VLOOKUP(A66,AAPL!A65:C1320,3)</f>
        <v>124.682</v>
      </c>
      <c r="C66" s="1">
        <f>VLOOKUP(A66,MSFT!A65:C1320,3)</f>
        <v>242.114</v>
      </c>
      <c r="D66" s="1">
        <f>VLOOKUP(A66,NVDA!A65:C1320,3)</f>
        <v>14.113799999999999</v>
      </c>
      <c r="E66" s="1">
        <f>VLOOKUP(A66,AMD!A65:C1320,3)</f>
        <v>82.2</v>
      </c>
      <c r="F66" s="1">
        <f>VLOOKUP(A66,AMZN!A65:C1320,3)</f>
        <v>163.96899999999999</v>
      </c>
      <c r="G66" s="1">
        <f>VLOOKUP(A66,TSLA!A65:C1320,3)</f>
        <v>223.65700000000001</v>
      </c>
      <c r="H66" s="1">
        <f>VLOOKUP(A66,GOOGL!A65:C1320,3)</f>
        <v>111.548</v>
      </c>
      <c r="I66" s="1">
        <f>VLOOKUP(A66,META!A65:C1320,3)</f>
        <v>313.08999999999997</v>
      </c>
      <c r="J66" s="1">
        <f>VLOOKUP(A66,Nasdaq!A65:C1320,3)</f>
        <v>13688.84</v>
      </c>
    </row>
    <row r="67" spans="1:10" x14ac:dyDescent="0.2">
      <c r="A67" s="2">
        <v>44294</v>
      </c>
      <c r="B67" s="1">
        <f>VLOOKUP(A67,AAPL!A66:C1321,3)</f>
        <v>127.09099999999999</v>
      </c>
      <c r="C67" s="1">
        <f>VLOOKUP(A67,MSFT!A66:C1321,3)</f>
        <v>245.36600000000001</v>
      </c>
      <c r="D67" s="1">
        <f>VLOOKUP(A67,NVDA!A66:C1321,3)</f>
        <v>14.285600000000001</v>
      </c>
      <c r="E67" s="1">
        <f>VLOOKUP(A67,AMD!A66:C1321,3)</f>
        <v>83.35</v>
      </c>
      <c r="F67" s="1">
        <f>VLOOKUP(A67,AMZN!A66:C1321,3)</f>
        <v>164.965</v>
      </c>
      <c r="G67" s="1">
        <f>VLOOKUP(A67,TSLA!A66:C1321,3)</f>
        <v>227.93299999999999</v>
      </c>
      <c r="H67" s="1">
        <f>VLOOKUP(A67,GOOGL!A66:C1321,3)</f>
        <v>112.11499999999999</v>
      </c>
      <c r="I67" s="1">
        <f>VLOOKUP(A67,META!A66:C1321,3)</f>
        <v>313.02</v>
      </c>
      <c r="J67" s="1">
        <f>VLOOKUP(A67,Nasdaq!A66:C1321,3)</f>
        <v>13829.31</v>
      </c>
    </row>
    <row r="68" spans="1:10" x14ac:dyDescent="0.2">
      <c r="A68" s="2">
        <v>44295</v>
      </c>
      <c r="B68" s="1">
        <f>VLOOKUP(A68,AAPL!A67:C1322,3)</f>
        <v>129.66300000000001</v>
      </c>
      <c r="C68" s="1">
        <f>VLOOKUP(A68,MSFT!A67:C1322,3)</f>
        <v>247.876</v>
      </c>
      <c r="D68" s="1">
        <f>VLOOKUP(A68,NVDA!A67:C1322,3)</f>
        <v>14.368499999999999</v>
      </c>
      <c r="E68" s="1">
        <f>VLOOKUP(A68,AMD!A67:C1322,3)</f>
        <v>82.76</v>
      </c>
      <c r="F68" s="1">
        <f>VLOOKUP(A68,AMZN!A67:C1322,3)</f>
        <v>168.61</v>
      </c>
      <c r="G68" s="1">
        <f>VLOOKUP(A68,TSLA!A67:C1322,3)</f>
        <v>225.673</v>
      </c>
      <c r="H68" s="1">
        <f>VLOOKUP(A68,GOOGL!A67:C1322,3)</f>
        <v>113.124</v>
      </c>
      <c r="I68" s="1">
        <f>VLOOKUP(A68,META!A67:C1322,3)</f>
        <v>312.45999999999998</v>
      </c>
      <c r="J68" s="1">
        <f>VLOOKUP(A68,Nasdaq!A67:C1322,3)</f>
        <v>13900.19</v>
      </c>
    </row>
    <row r="69" spans="1:10" x14ac:dyDescent="0.2">
      <c r="A69" s="2">
        <v>44298</v>
      </c>
      <c r="B69" s="1">
        <f>VLOOKUP(A69,AAPL!A68:C1323,3)</f>
        <v>127.944</v>
      </c>
      <c r="C69" s="1">
        <f>VLOOKUP(A69,MSFT!A68:C1323,3)</f>
        <v>247.935</v>
      </c>
      <c r="D69" s="1">
        <f>VLOOKUP(A69,NVDA!A68:C1323,3)</f>
        <v>15.1754</v>
      </c>
      <c r="E69" s="1">
        <f>VLOOKUP(A69,AMD!A68:C1323,3)</f>
        <v>78.58</v>
      </c>
      <c r="F69" s="1">
        <f>VLOOKUP(A69,AMZN!A68:C1323,3)</f>
        <v>168.96899999999999</v>
      </c>
      <c r="G69" s="1">
        <f>VLOOKUP(A69,TSLA!A68:C1323,3)</f>
        <v>233.99299999999999</v>
      </c>
      <c r="H69" s="1">
        <f>VLOOKUP(A69,GOOGL!A68:C1323,3)</f>
        <v>111.825</v>
      </c>
      <c r="I69" s="1">
        <f>VLOOKUP(A69,META!A68:C1323,3)</f>
        <v>311.54000000000002</v>
      </c>
      <c r="J69" s="1">
        <f>VLOOKUP(A69,Nasdaq!A68:C1323,3)</f>
        <v>13850</v>
      </c>
    </row>
    <row r="70" spans="1:10" x14ac:dyDescent="0.2">
      <c r="A70" s="2">
        <v>44299</v>
      </c>
      <c r="B70" s="1">
        <f>VLOOKUP(A70,AAPL!A69:C1324,3)</f>
        <v>131.04599999999999</v>
      </c>
      <c r="C70" s="1">
        <f>VLOOKUP(A70,MSFT!A69:C1324,3)</f>
        <v>250.43600000000001</v>
      </c>
      <c r="D70" s="1">
        <f>VLOOKUP(A70,NVDA!A69:C1324,3)</f>
        <v>15.643599999999999</v>
      </c>
      <c r="E70" s="1">
        <f>VLOOKUP(A70,AMD!A69:C1324,3)</f>
        <v>80.19</v>
      </c>
      <c r="F70" s="1">
        <f>VLOOKUP(A70,AMZN!A69:C1324,3)</f>
        <v>170</v>
      </c>
      <c r="G70" s="1">
        <f>VLOOKUP(A70,TSLA!A69:C1324,3)</f>
        <v>254.107</v>
      </c>
      <c r="H70" s="1">
        <f>VLOOKUP(A70,GOOGL!A69:C1324,3)</f>
        <v>112.31399999999999</v>
      </c>
      <c r="I70" s="1">
        <f>VLOOKUP(A70,META!A69:C1324,3)</f>
        <v>309.76</v>
      </c>
      <c r="J70" s="1">
        <f>VLOOKUP(A70,Nasdaq!A69:C1324,3)</f>
        <v>13996.1</v>
      </c>
    </row>
    <row r="71" spans="1:10" x14ac:dyDescent="0.2">
      <c r="A71" s="2">
        <v>44300</v>
      </c>
      <c r="B71" s="1">
        <f>VLOOKUP(A71,AAPL!A70:C1325,3)</f>
        <v>128.71899999999999</v>
      </c>
      <c r="C71" s="1">
        <f>VLOOKUP(A71,MSFT!A70:C1325,3)</f>
        <v>247.63200000000001</v>
      </c>
      <c r="D71" s="1">
        <f>VLOOKUP(A71,NVDA!A70:C1325,3)</f>
        <v>15.2422</v>
      </c>
      <c r="E71" s="1">
        <f>VLOOKUP(A71,AMD!A70:C1325,3)</f>
        <v>78.55</v>
      </c>
      <c r="F71" s="1">
        <f>VLOOKUP(A71,AMZN!A70:C1325,3)</f>
        <v>166.65</v>
      </c>
      <c r="G71" s="1">
        <f>VLOOKUP(A71,TSLA!A70:C1325,3)</f>
        <v>244.077</v>
      </c>
      <c r="H71" s="1">
        <f>VLOOKUP(A71,GOOGL!A70:C1325,3)</f>
        <v>111.69</v>
      </c>
      <c r="I71" s="1">
        <f>VLOOKUP(A71,META!A70:C1325,3)</f>
        <v>302.82</v>
      </c>
      <c r="J71" s="1">
        <f>VLOOKUP(A71,Nasdaq!A70:C1325,3)</f>
        <v>13857.84</v>
      </c>
    </row>
    <row r="72" spans="1:10" x14ac:dyDescent="0.2">
      <c r="A72" s="2">
        <v>44301</v>
      </c>
      <c r="B72" s="1">
        <f>VLOOKUP(A72,AAPL!A71:C1326,3)</f>
        <v>131.11500000000001</v>
      </c>
      <c r="C72" s="1">
        <f>VLOOKUP(A72,MSFT!A71:C1326,3)</f>
        <v>251.423</v>
      </c>
      <c r="D72" s="1">
        <f>VLOOKUP(A72,NVDA!A71:C1326,3)</f>
        <v>16.100999999999999</v>
      </c>
      <c r="E72" s="1">
        <f>VLOOKUP(A72,AMD!A71:C1326,3)</f>
        <v>83.01</v>
      </c>
      <c r="F72" s="1">
        <f>VLOOKUP(A72,AMZN!A71:C1326,3)</f>
        <v>168.95400000000001</v>
      </c>
      <c r="G72" s="1">
        <f>VLOOKUP(A72,TSLA!A71:C1326,3)</f>
        <v>246.28299999999999</v>
      </c>
      <c r="H72" s="1">
        <f>VLOOKUP(A72,GOOGL!A71:C1326,3)</f>
        <v>113.85</v>
      </c>
      <c r="I72" s="1">
        <f>VLOOKUP(A72,META!A71:C1326,3)</f>
        <v>307.82</v>
      </c>
      <c r="J72" s="1">
        <f>VLOOKUP(A72,Nasdaq!A71:C1326,3)</f>
        <v>14038.76</v>
      </c>
    </row>
    <row r="73" spans="1:10" x14ac:dyDescent="0.2">
      <c r="A73" s="2">
        <v>44302</v>
      </c>
      <c r="B73" s="1">
        <f>VLOOKUP(A73,AAPL!A72:C1327,3)</f>
        <v>130.791</v>
      </c>
      <c r="C73" s="1">
        <f>VLOOKUP(A73,MSFT!A72:C1327,3)</f>
        <v>252.62100000000001</v>
      </c>
      <c r="D73" s="1">
        <f>VLOOKUP(A73,NVDA!A72:C1327,3)</f>
        <v>15.876300000000001</v>
      </c>
      <c r="E73" s="1">
        <f>VLOOKUP(A73,AMD!A72:C1327,3)</f>
        <v>82.15</v>
      </c>
      <c r="F73" s="1">
        <f>VLOOKUP(A73,AMZN!A72:C1327,3)</f>
        <v>169.97200000000001</v>
      </c>
      <c r="G73" s="1">
        <f>VLOOKUP(A73,TSLA!A72:C1327,3)</f>
        <v>246.59299999999999</v>
      </c>
      <c r="H73" s="1">
        <f>VLOOKUP(A73,GOOGL!A72:C1327,3)</f>
        <v>113.726</v>
      </c>
      <c r="I73" s="1">
        <f>VLOOKUP(A73,META!A72:C1327,3)</f>
        <v>306.18</v>
      </c>
      <c r="J73" s="1">
        <f>VLOOKUP(A73,Nasdaq!A72:C1327,3)</f>
        <v>14052.34</v>
      </c>
    </row>
    <row r="74" spans="1:10" x14ac:dyDescent="0.2">
      <c r="A74" s="2">
        <v>44305</v>
      </c>
      <c r="B74" s="1">
        <f>VLOOKUP(A74,AAPL!A73:C1328,3)</f>
        <v>131.45099999999999</v>
      </c>
      <c r="C74" s="1">
        <f>VLOOKUP(A74,MSFT!A73:C1328,3)</f>
        <v>250.679</v>
      </c>
      <c r="D74" s="1">
        <f>VLOOKUP(A74,NVDA!A73:C1328,3)</f>
        <v>15.3271</v>
      </c>
      <c r="E74" s="1">
        <f>VLOOKUP(A74,AMD!A73:C1328,3)</f>
        <v>81.11</v>
      </c>
      <c r="F74" s="1">
        <f>VLOOKUP(A74,AMZN!A73:C1328,3)</f>
        <v>168.6</v>
      </c>
      <c r="G74" s="1">
        <f>VLOOKUP(A74,TSLA!A73:C1328,3)</f>
        <v>238.21</v>
      </c>
      <c r="H74" s="1">
        <f>VLOOKUP(A74,GOOGL!A73:C1328,3)</f>
        <v>114.074</v>
      </c>
      <c r="I74" s="1">
        <f>VLOOKUP(A74,META!A73:C1328,3)</f>
        <v>302.24</v>
      </c>
      <c r="J74" s="1">
        <f>VLOOKUP(A74,Nasdaq!A73:C1328,3)</f>
        <v>13914.77</v>
      </c>
    </row>
    <row r="75" spans="1:10" x14ac:dyDescent="0.2">
      <c r="A75" s="2">
        <v>44306</v>
      </c>
      <c r="B75" s="1">
        <f>VLOOKUP(A75,AAPL!A74:C1329,3)</f>
        <v>129.77000000000001</v>
      </c>
      <c r="C75" s="1">
        <f>VLOOKUP(A75,MSFT!A74:C1329,3)</f>
        <v>250.221</v>
      </c>
      <c r="D75" s="1">
        <f>VLOOKUP(A75,NVDA!A74:C1329,3)</f>
        <v>15.137499999999999</v>
      </c>
      <c r="E75" s="1">
        <f>VLOOKUP(A75,AMD!A74:C1329,3)</f>
        <v>79.27</v>
      </c>
      <c r="F75" s="1">
        <f>VLOOKUP(A75,AMZN!A74:C1329,3)</f>
        <v>166.73400000000001</v>
      </c>
      <c r="G75" s="1">
        <f>VLOOKUP(A75,TSLA!A74:C1329,3)</f>
        <v>239.66300000000001</v>
      </c>
      <c r="H75" s="1">
        <f>VLOOKUP(A75,GOOGL!A74:C1329,3)</f>
        <v>113.538</v>
      </c>
      <c r="I75" s="1">
        <f>VLOOKUP(A75,META!A74:C1329,3)</f>
        <v>302.64999999999998</v>
      </c>
      <c r="J75" s="1">
        <f>VLOOKUP(A75,Nasdaq!A74:C1329,3)</f>
        <v>13786.27</v>
      </c>
    </row>
    <row r="76" spans="1:10" x14ac:dyDescent="0.2">
      <c r="A76" s="2">
        <v>44307</v>
      </c>
      <c r="B76" s="1">
        <f>VLOOKUP(A76,AAPL!A75:C1330,3)</f>
        <v>130.154</v>
      </c>
      <c r="C76" s="1">
        <f>VLOOKUP(A76,MSFT!A75:C1330,3)</f>
        <v>252.46799999999999</v>
      </c>
      <c r="D76" s="1">
        <f>VLOOKUP(A76,NVDA!A75:C1330,3)</f>
        <v>15.325100000000001</v>
      </c>
      <c r="E76" s="1">
        <f>VLOOKUP(A76,AMD!A75:C1330,3)</f>
        <v>81.61</v>
      </c>
      <c r="F76" s="1">
        <f>VLOOKUP(A76,AMZN!A75:C1330,3)</f>
        <v>168.101</v>
      </c>
      <c r="G76" s="1">
        <f>VLOOKUP(A76,TSLA!A75:C1330,3)</f>
        <v>248.04</v>
      </c>
      <c r="H76" s="1">
        <f>VLOOKUP(A76,GOOGL!A75:C1330,3)</f>
        <v>113.505</v>
      </c>
      <c r="I76" s="1">
        <f>VLOOKUP(A76,META!A75:C1330,3)</f>
        <v>301.47000000000003</v>
      </c>
      <c r="J76" s="1">
        <f>VLOOKUP(A76,Nasdaq!A75:C1330,3)</f>
        <v>13950.22</v>
      </c>
    </row>
    <row r="77" spans="1:10" x14ac:dyDescent="0.2">
      <c r="A77" s="2">
        <v>44308</v>
      </c>
      <c r="B77" s="1">
        <f>VLOOKUP(A77,AAPL!A76:C1331,3)</f>
        <v>128.63</v>
      </c>
      <c r="C77" s="1">
        <f>VLOOKUP(A77,MSFT!A76:C1331,3)</f>
        <v>249.155</v>
      </c>
      <c r="D77" s="1">
        <f>VLOOKUP(A77,NVDA!A76:C1331,3)</f>
        <v>14.817</v>
      </c>
      <c r="E77" s="1">
        <f>VLOOKUP(A77,AMD!A76:C1331,3)</f>
        <v>79.06</v>
      </c>
      <c r="F77" s="1">
        <f>VLOOKUP(A77,AMZN!A76:C1331,3)</f>
        <v>165.452</v>
      </c>
      <c r="G77" s="1">
        <f>VLOOKUP(A77,TSLA!A76:C1331,3)</f>
        <v>239.89699999999999</v>
      </c>
      <c r="H77" s="1">
        <f>VLOOKUP(A77,GOOGL!A76:C1331,3)</f>
        <v>112.21899999999999</v>
      </c>
      <c r="I77" s="1">
        <f>VLOOKUP(A77,META!A76:C1331,3)</f>
        <v>296.52</v>
      </c>
      <c r="J77" s="1">
        <f>VLOOKUP(A77,Nasdaq!A76:C1331,3)</f>
        <v>13818.41</v>
      </c>
    </row>
    <row r="78" spans="1:10" x14ac:dyDescent="0.2">
      <c r="A78" s="2">
        <v>44309</v>
      </c>
      <c r="B78" s="1">
        <f>VLOOKUP(A78,AAPL!A77:C1332,3)</f>
        <v>130.94</v>
      </c>
      <c r="C78" s="1">
        <f>VLOOKUP(A78,MSFT!A77:C1332,3)</f>
        <v>253.01300000000001</v>
      </c>
      <c r="D78" s="1">
        <f>VLOOKUP(A78,NVDA!A77:C1332,3)</f>
        <v>15.231299999999999</v>
      </c>
      <c r="E78" s="1">
        <f>VLOOKUP(A78,AMD!A77:C1332,3)</f>
        <v>82.76</v>
      </c>
      <c r="F78" s="1">
        <f>VLOOKUP(A78,AMZN!A77:C1332,3)</f>
        <v>167.04400000000001</v>
      </c>
      <c r="G78" s="1">
        <f>VLOOKUP(A78,TSLA!A77:C1332,3)</f>
        <v>243.13300000000001</v>
      </c>
      <c r="H78" s="1">
        <f>VLOOKUP(A78,GOOGL!A77:C1332,3)</f>
        <v>114.581</v>
      </c>
      <c r="I78" s="1">
        <f>VLOOKUP(A78,META!A77:C1332,3)</f>
        <v>301.13</v>
      </c>
      <c r="J78" s="1">
        <f>VLOOKUP(A78,Nasdaq!A77:C1332,3)</f>
        <v>14016.81</v>
      </c>
    </row>
    <row r="79" spans="1:10" x14ac:dyDescent="0.2">
      <c r="A79" s="2">
        <v>44312</v>
      </c>
      <c r="B79" s="1">
        <f>VLOOKUP(A79,AAPL!A78:C1333,3)</f>
        <v>131.333</v>
      </c>
      <c r="C79" s="1">
        <f>VLOOKUP(A79,MSFT!A78:C1333,3)</f>
        <v>253.39500000000001</v>
      </c>
      <c r="D79" s="1">
        <f>VLOOKUP(A79,NVDA!A78:C1333,3)</f>
        <v>15.4428</v>
      </c>
      <c r="E79" s="1">
        <f>VLOOKUP(A79,AMD!A78:C1333,3)</f>
        <v>85.41</v>
      </c>
      <c r="F79" s="1">
        <f>VLOOKUP(A79,AMZN!A78:C1333,3)</f>
        <v>170.45</v>
      </c>
      <c r="G79" s="1">
        <f>VLOOKUP(A79,TSLA!A78:C1333,3)</f>
        <v>246.06700000000001</v>
      </c>
      <c r="H79" s="1">
        <f>VLOOKUP(A79,GOOGL!A78:C1333,3)</f>
        <v>115.07899999999999</v>
      </c>
      <c r="I79" s="1">
        <f>VLOOKUP(A79,META!A78:C1333,3)</f>
        <v>303.04000000000002</v>
      </c>
      <c r="J79" s="1">
        <f>VLOOKUP(A79,Nasdaq!A78:C1333,3)</f>
        <v>14138.78</v>
      </c>
    </row>
    <row r="80" spans="1:10" x14ac:dyDescent="0.2">
      <c r="A80" s="2">
        <v>44313</v>
      </c>
      <c r="B80" s="1">
        <f>VLOOKUP(A80,AAPL!A79:C1334,3)</f>
        <v>131.00700000000001</v>
      </c>
      <c r="C80" s="1">
        <f>VLOOKUP(A80,MSFT!A79:C1334,3)</f>
        <v>253.80500000000001</v>
      </c>
      <c r="D80" s="1">
        <f>VLOOKUP(A80,NVDA!A79:C1334,3)</f>
        <v>15.347099999999999</v>
      </c>
      <c r="E80" s="1">
        <f>VLOOKUP(A80,AMD!A79:C1334,3)</f>
        <v>85.21</v>
      </c>
      <c r="F80" s="1">
        <f>VLOOKUP(A80,AMZN!A79:C1334,3)</f>
        <v>170.87200000000001</v>
      </c>
      <c r="G80" s="1">
        <f>VLOOKUP(A80,TSLA!A79:C1334,3)</f>
        <v>234.91300000000001</v>
      </c>
      <c r="H80" s="1">
        <f>VLOOKUP(A80,GOOGL!A79:C1334,3)</f>
        <v>114.13500000000001</v>
      </c>
      <c r="I80" s="1">
        <f>VLOOKUP(A80,META!A79:C1334,3)</f>
        <v>303.57</v>
      </c>
      <c r="J80" s="1">
        <f>VLOOKUP(A80,Nasdaq!A79:C1334,3)</f>
        <v>14090.22</v>
      </c>
    </row>
    <row r="81" spans="1:10" x14ac:dyDescent="0.2">
      <c r="A81" s="2">
        <v>44314</v>
      </c>
      <c r="B81" s="1">
        <f>VLOOKUP(A81,AAPL!A80:C1335,3)</f>
        <v>130.23099999999999</v>
      </c>
      <c r="C81" s="1">
        <f>VLOOKUP(A81,MSFT!A80:C1335,3)</f>
        <v>246.626</v>
      </c>
      <c r="D81" s="1">
        <f>VLOOKUP(A81,NVDA!A80:C1335,3)</f>
        <v>15.2422</v>
      </c>
      <c r="E81" s="1">
        <f>VLOOKUP(A81,AMD!A80:C1335,3)</f>
        <v>84.02</v>
      </c>
      <c r="F81" s="1">
        <f>VLOOKUP(A81,AMZN!A80:C1335,3)</f>
        <v>172.92500000000001</v>
      </c>
      <c r="G81" s="1">
        <f>VLOOKUP(A81,TSLA!A80:C1335,3)</f>
        <v>231.46700000000001</v>
      </c>
      <c r="H81" s="1">
        <f>VLOOKUP(A81,GOOGL!A80:C1335,3)</f>
        <v>117.526</v>
      </c>
      <c r="I81" s="1">
        <f>VLOOKUP(A81,META!A80:C1335,3)</f>
        <v>307.10000000000002</v>
      </c>
      <c r="J81" s="1">
        <f>VLOOKUP(A81,Nasdaq!A80:C1335,3)</f>
        <v>14051.03</v>
      </c>
    </row>
    <row r="82" spans="1:10" x14ac:dyDescent="0.2">
      <c r="A82" s="2">
        <v>44315</v>
      </c>
      <c r="B82" s="1">
        <f>VLOOKUP(A82,AAPL!A81:C1336,3)</f>
        <v>130.13399999999999</v>
      </c>
      <c r="C82" s="1">
        <f>VLOOKUP(A82,MSFT!A81:C1336,3)</f>
        <v>244.643</v>
      </c>
      <c r="D82" s="1">
        <f>VLOOKUP(A82,NVDA!A81:C1336,3)</f>
        <v>15.2902</v>
      </c>
      <c r="E82" s="1">
        <f>VLOOKUP(A82,AMD!A81:C1336,3)</f>
        <v>83.91</v>
      </c>
      <c r="F82" s="1">
        <f>VLOOKUP(A82,AMZN!A81:C1336,3)</f>
        <v>173.566</v>
      </c>
      <c r="G82" s="1">
        <f>VLOOKUP(A82,TSLA!A81:C1336,3)</f>
        <v>225.667</v>
      </c>
      <c r="H82" s="1">
        <f>VLOOKUP(A82,GOOGL!A81:C1336,3)</f>
        <v>119.206</v>
      </c>
      <c r="I82" s="1">
        <f>VLOOKUP(A82,META!A81:C1336,3)</f>
        <v>329.51</v>
      </c>
      <c r="J82" s="1">
        <f>VLOOKUP(A82,Nasdaq!A81:C1336,3)</f>
        <v>14082.55</v>
      </c>
    </row>
    <row r="83" spans="1:10" x14ac:dyDescent="0.2">
      <c r="A83" s="2">
        <v>44316</v>
      </c>
      <c r="B83" s="1">
        <f>VLOOKUP(A83,AAPL!A82:C1337,3)</f>
        <v>128.161</v>
      </c>
      <c r="C83" s="1">
        <f>VLOOKUP(A83,MSFT!A82:C1337,3)</f>
        <v>244.322</v>
      </c>
      <c r="D83" s="1">
        <f>VLOOKUP(A83,NVDA!A82:C1337,3)</f>
        <v>14.976699999999999</v>
      </c>
      <c r="E83" s="1">
        <f>VLOOKUP(A83,AMD!A82:C1337,3)</f>
        <v>81.62</v>
      </c>
      <c r="F83" s="1">
        <f>VLOOKUP(A83,AMZN!A82:C1337,3)</f>
        <v>173.37100000000001</v>
      </c>
      <c r="G83" s="1">
        <f>VLOOKUP(A83,TSLA!A82:C1337,3)</f>
        <v>236.48</v>
      </c>
      <c r="H83" s="1">
        <f>VLOOKUP(A83,GOOGL!A82:C1337,3)</f>
        <v>117.25</v>
      </c>
      <c r="I83" s="1">
        <f>VLOOKUP(A83,META!A82:C1337,3)</f>
        <v>325.08</v>
      </c>
      <c r="J83" s="1">
        <f>VLOOKUP(A83,Nasdaq!A82:C1337,3)</f>
        <v>13962.68</v>
      </c>
    </row>
    <row r="84" spans="1:10" x14ac:dyDescent="0.2">
      <c r="A84" s="2">
        <v>44319</v>
      </c>
      <c r="B84" s="1">
        <f>VLOOKUP(A84,AAPL!A83:C1338,3)</f>
        <v>129.22</v>
      </c>
      <c r="C84" s="1">
        <f>VLOOKUP(A84,MSFT!A83:C1338,3)</f>
        <v>244.00700000000001</v>
      </c>
      <c r="D84" s="1">
        <f>VLOOKUP(A84,NVDA!A83:C1338,3)</f>
        <v>14.804</v>
      </c>
      <c r="E84" s="1">
        <f>VLOOKUP(A84,AMD!A83:C1338,3)</f>
        <v>78.55</v>
      </c>
      <c r="F84" s="1">
        <f>VLOOKUP(A84,AMZN!A83:C1338,3)</f>
        <v>169.32400000000001</v>
      </c>
      <c r="G84" s="1">
        <f>VLOOKUP(A84,TSLA!A83:C1338,3)</f>
        <v>228.3</v>
      </c>
      <c r="H84" s="1">
        <f>VLOOKUP(A84,GOOGL!A83:C1338,3)</f>
        <v>116.73099999999999</v>
      </c>
      <c r="I84" s="1">
        <f>VLOOKUP(A84,META!A83:C1338,3)</f>
        <v>322.58</v>
      </c>
      <c r="J84" s="1">
        <f>VLOOKUP(A84,Nasdaq!A83:C1338,3)</f>
        <v>13895.12</v>
      </c>
    </row>
    <row r="85" spans="1:10" x14ac:dyDescent="0.2">
      <c r="A85" s="2">
        <v>44320</v>
      </c>
      <c r="B85" s="1">
        <f>VLOOKUP(A85,AAPL!A84:C1339,3)</f>
        <v>124.633</v>
      </c>
      <c r="C85" s="1">
        <f>VLOOKUP(A85,MSFT!A84:C1339,3)</f>
        <v>240.071</v>
      </c>
      <c r="D85" s="1">
        <f>VLOOKUP(A85,NVDA!A84:C1339,3)</f>
        <v>14.3195</v>
      </c>
      <c r="E85" s="1">
        <f>VLOOKUP(A85,AMD!A84:C1339,3)</f>
        <v>78.61</v>
      </c>
      <c r="F85" s="1">
        <f>VLOOKUP(A85,AMZN!A84:C1339,3)</f>
        <v>165.59399999999999</v>
      </c>
      <c r="G85" s="1">
        <f>VLOOKUP(A85,TSLA!A84:C1339,3)</f>
        <v>224.53299999999999</v>
      </c>
      <c r="H85" s="1">
        <f>VLOOKUP(A85,GOOGL!A84:C1339,3)</f>
        <v>114.925</v>
      </c>
      <c r="I85" s="1">
        <f>VLOOKUP(A85,META!A84:C1339,3)</f>
        <v>318.36</v>
      </c>
      <c r="J85" s="1">
        <f>VLOOKUP(A85,Nasdaq!A84:C1339,3)</f>
        <v>13633.5</v>
      </c>
    </row>
    <row r="86" spans="1:10" x14ac:dyDescent="0.2">
      <c r="A86" s="2">
        <v>44321</v>
      </c>
      <c r="B86" s="1">
        <f>VLOOKUP(A86,AAPL!A85:C1340,3)</f>
        <v>124.88</v>
      </c>
      <c r="C86" s="1">
        <f>VLOOKUP(A86,MSFT!A85:C1340,3)</f>
        <v>238.78399999999999</v>
      </c>
      <c r="D86" s="1">
        <f>VLOOKUP(A86,NVDA!A85:C1340,3)</f>
        <v>14.426299999999999</v>
      </c>
      <c r="E86" s="1">
        <f>VLOOKUP(A86,AMD!A85:C1340,3)</f>
        <v>77.83</v>
      </c>
      <c r="F86" s="1">
        <f>VLOOKUP(A86,AMZN!A85:C1340,3)</f>
        <v>163.52699999999999</v>
      </c>
      <c r="G86" s="1">
        <f>VLOOKUP(A86,TSLA!A85:C1340,3)</f>
        <v>223.64699999999999</v>
      </c>
      <c r="H86" s="1">
        <f>VLOOKUP(A86,GOOGL!A85:C1340,3)</f>
        <v>115.32</v>
      </c>
      <c r="I86" s="1">
        <f>VLOOKUP(A86,META!A85:C1340,3)</f>
        <v>315.02</v>
      </c>
      <c r="J86" s="1">
        <f>VLOOKUP(A86,Nasdaq!A85:C1340,3)</f>
        <v>13582.42</v>
      </c>
    </row>
    <row r="87" spans="1:10" x14ac:dyDescent="0.2">
      <c r="A87" s="2">
        <v>44322</v>
      </c>
      <c r="B87" s="1">
        <f>VLOOKUP(A87,AAPL!A86:C1341,3)</f>
        <v>126.488</v>
      </c>
      <c r="C87" s="1">
        <f>VLOOKUP(A87,MSFT!A86:C1341,3)</f>
        <v>241.94800000000001</v>
      </c>
      <c r="D87" s="1">
        <f>VLOOKUP(A87,NVDA!A86:C1341,3)</f>
        <v>14.491300000000001</v>
      </c>
      <c r="E87" s="1">
        <f>VLOOKUP(A87,AMD!A86:C1341,3)</f>
        <v>77.89</v>
      </c>
      <c r="F87" s="1">
        <f>VLOOKUP(A87,AMZN!A86:C1341,3)</f>
        <v>165.31800000000001</v>
      </c>
      <c r="G87" s="1">
        <f>VLOOKUP(A87,TSLA!A86:C1341,3)</f>
        <v>221.18</v>
      </c>
      <c r="H87" s="1">
        <f>VLOOKUP(A87,GOOGL!A86:C1341,3)</f>
        <v>116.44499999999999</v>
      </c>
      <c r="I87" s="1">
        <f>VLOOKUP(A87,META!A86:C1341,3)</f>
        <v>320.02</v>
      </c>
      <c r="J87" s="1">
        <f>VLOOKUP(A87,Nasdaq!A86:C1341,3)</f>
        <v>13632.84</v>
      </c>
    </row>
    <row r="88" spans="1:10" x14ac:dyDescent="0.2">
      <c r="A88" s="2">
        <v>44323</v>
      </c>
      <c r="B88" s="1">
        <f>VLOOKUP(A88,AAPL!A87:C1342,3)</f>
        <v>127.157</v>
      </c>
      <c r="C88" s="1">
        <f>VLOOKUP(A88,MSFT!A87:C1342,3)</f>
        <v>244.59299999999999</v>
      </c>
      <c r="D88" s="1">
        <f>VLOOKUP(A88,NVDA!A87:C1342,3)</f>
        <v>14.779</v>
      </c>
      <c r="E88" s="1">
        <f>VLOOKUP(A88,AMD!A87:C1342,3)</f>
        <v>78.81</v>
      </c>
      <c r="F88" s="1">
        <f>VLOOKUP(A88,AMZN!A87:C1342,3)</f>
        <v>164.58</v>
      </c>
      <c r="G88" s="1">
        <f>VLOOKUP(A88,TSLA!A87:C1342,3)</f>
        <v>224.12299999999999</v>
      </c>
      <c r="H88" s="1">
        <f>VLOOKUP(A88,GOOGL!A87:C1342,3)</f>
        <v>117.17100000000001</v>
      </c>
      <c r="I88" s="1">
        <f>VLOOKUP(A88,META!A87:C1342,3)</f>
        <v>319.08</v>
      </c>
      <c r="J88" s="1">
        <f>VLOOKUP(A88,Nasdaq!A87:C1342,3)</f>
        <v>13752.24</v>
      </c>
    </row>
    <row r="89" spans="1:10" x14ac:dyDescent="0.2">
      <c r="A89" s="2">
        <v>44326</v>
      </c>
      <c r="B89" s="1">
        <f>VLOOKUP(A89,AAPL!A88:C1343,3)</f>
        <v>123.877</v>
      </c>
      <c r="C89" s="1">
        <f>VLOOKUP(A89,MSFT!A88:C1343,3)</f>
        <v>239.476</v>
      </c>
      <c r="D89" s="1">
        <f>VLOOKUP(A89,NVDA!A88:C1343,3)</f>
        <v>14.2347</v>
      </c>
      <c r="E89" s="1">
        <f>VLOOKUP(A89,AMD!A88:C1343,3)</f>
        <v>75.989999999999995</v>
      </c>
      <c r="F89" s="1">
        <f>VLOOKUP(A89,AMZN!A88:C1343,3)</f>
        <v>159.524</v>
      </c>
      <c r="G89" s="1">
        <f>VLOOKUP(A89,TSLA!A88:C1343,3)</f>
        <v>209.68</v>
      </c>
      <c r="H89" s="1">
        <f>VLOOKUP(A89,GOOGL!A88:C1343,3)</f>
        <v>114.17400000000001</v>
      </c>
      <c r="I89" s="1">
        <f>VLOOKUP(A89,META!A88:C1343,3)</f>
        <v>305.97000000000003</v>
      </c>
      <c r="J89" s="1">
        <f>VLOOKUP(A89,Nasdaq!A88:C1343,3)</f>
        <v>13401.86</v>
      </c>
    </row>
    <row r="90" spans="1:10" x14ac:dyDescent="0.2">
      <c r="A90" s="2">
        <v>44327</v>
      </c>
      <c r="B90" s="1">
        <f>VLOOKUP(A90,AAPL!A89:C1344,3)</f>
        <v>122.96299999999999</v>
      </c>
      <c r="C90" s="1">
        <f>VLOOKUP(A90,MSFT!A89:C1344,3)</f>
        <v>238.547</v>
      </c>
      <c r="D90" s="1">
        <f>VLOOKUP(A90,NVDA!A89:C1344,3)</f>
        <v>14.2746</v>
      </c>
      <c r="E90" s="1">
        <f>VLOOKUP(A90,AMD!A89:C1344,3)</f>
        <v>76.83</v>
      </c>
      <c r="F90" s="1">
        <f>VLOOKUP(A90,AMZN!A89:C1344,3)</f>
        <v>161.19499999999999</v>
      </c>
      <c r="G90" s="1">
        <f>VLOOKUP(A90,TSLA!A89:C1344,3)</f>
        <v>205.733</v>
      </c>
      <c r="H90" s="1">
        <f>VLOOKUP(A90,GOOGL!A89:C1344,3)</f>
        <v>113.093</v>
      </c>
      <c r="I90" s="1">
        <f>VLOOKUP(A90,META!A89:C1344,3)</f>
        <v>306.52999999999997</v>
      </c>
      <c r="J90" s="1">
        <f>VLOOKUP(A90,Nasdaq!A89:C1344,3)</f>
        <v>13389.43</v>
      </c>
    </row>
    <row r="91" spans="1:10" x14ac:dyDescent="0.2">
      <c r="A91" s="2">
        <v>44328</v>
      </c>
      <c r="B91" s="1">
        <f>VLOOKUP(A91,AAPL!A90:C1345,3)</f>
        <v>119.89</v>
      </c>
      <c r="C91" s="1">
        <f>VLOOKUP(A91,MSFT!A90:C1345,3)</f>
        <v>231.55600000000001</v>
      </c>
      <c r="D91" s="1">
        <f>VLOOKUP(A91,NVDA!A90:C1345,3)</f>
        <v>13.7287</v>
      </c>
      <c r="E91" s="1">
        <f>VLOOKUP(A91,AMD!A90:C1345,3)</f>
        <v>74.64</v>
      </c>
      <c r="F91" s="1">
        <f>VLOOKUP(A91,AMZN!A90:C1345,3)</f>
        <v>157.59700000000001</v>
      </c>
      <c r="G91" s="1">
        <f>VLOOKUP(A91,TSLA!A90:C1345,3)</f>
        <v>196.63</v>
      </c>
      <c r="H91" s="1">
        <f>VLOOKUP(A91,GOOGL!A90:C1345,3)</f>
        <v>109.614</v>
      </c>
      <c r="I91" s="1">
        <f>VLOOKUP(A91,META!A90:C1345,3)</f>
        <v>302.55</v>
      </c>
      <c r="J91" s="1">
        <f>VLOOKUP(A91,Nasdaq!A90:C1345,3)</f>
        <v>13031.68</v>
      </c>
    </row>
    <row r="92" spans="1:10" x14ac:dyDescent="0.2">
      <c r="A92" s="2">
        <v>44329</v>
      </c>
      <c r="B92" s="1">
        <f>VLOOKUP(A92,AAPL!A91:C1346,3)</f>
        <v>122.04</v>
      </c>
      <c r="C92" s="1">
        <f>VLOOKUP(A92,MSFT!A91:C1346,3)</f>
        <v>235.464</v>
      </c>
      <c r="D92" s="1">
        <f>VLOOKUP(A92,NVDA!A91:C1346,3)</f>
        <v>13.6357</v>
      </c>
      <c r="E92" s="1">
        <f>VLOOKUP(A92,AMD!A91:C1346,3)</f>
        <v>73.09</v>
      </c>
      <c r="F92" s="1">
        <f>VLOOKUP(A92,AMZN!A91:C1346,3)</f>
        <v>158.07400000000001</v>
      </c>
      <c r="G92" s="1">
        <f>VLOOKUP(A92,TSLA!A91:C1346,3)</f>
        <v>190.56299999999999</v>
      </c>
      <c r="H92" s="1">
        <f>VLOOKUP(A92,GOOGL!A91:C1346,3)</f>
        <v>111.04900000000001</v>
      </c>
      <c r="I92" s="1">
        <f>VLOOKUP(A92,META!A91:C1346,3)</f>
        <v>305.26</v>
      </c>
      <c r="J92" s="1">
        <f>VLOOKUP(A92,Nasdaq!A91:C1346,3)</f>
        <v>13124.99</v>
      </c>
    </row>
    <row r="93" spans="1:10" x14ac:dyDescent="0.2">
      <c r="A93" s="2">
        <v>44330</v>
      </c>
      <c r="B93" s="1">
        <f>VLOOKUP(A93,AAPL!A92:C1347,3)</f>
        <v>124.455</v>
      </c>
      <c r="C93" s="1">
        <f>VLOOKUP(A93,MSFT!A92:C1347,3)</f>
        <v>240.423</v>
      </c>
      <c r="D93" s="1">
        <f>VLOOKUP(A93,NVDA!A92:C1347,3)</f>
        <v>14.2118</v>
      </c>
      <c r="E93" s="1">
        <f>VLOOKUP(A93,AMD!A92:C1347,3)</f>
        <v>74.59</v>
      </c>
      <c r="F93" s="1">
        <f>VLOOKUP(A93,AMZN!A92:C1347,3)</f>
        <v>161.14500000000001</v>
      </c>
      <c r="G93" s="1">
        <f>VLOOKUP(A93,TSLA!A92:C1347,3)</f>
        <v>196.58</v>
      </c>
      <c r="H93" s="1">
        <f>VLOOKUP(A93,GOOGL!A92:C1347,3)</f>
        <v>113.50700000000001</v>
      </c>
      <c r="I93" s="1">
        <f>VLOOKUP(A93,META!A92:C1347,3)</f>
        <v>315.94</v>
      </c>
      <c r="J93" s="1">
        <f>VLOOKUP(A93,Nasdaq!A92:C1347,3)</f>
        <v>13429.98</v>
      </c>
    </row>
    <row r="94" spans="1:10" x14ac:dyDescent="0.2">
      <c r="A94" s="2">
        <v>44333</v>
      </c>
      <c r="B94" s="1">
        <f>VLOOKUP(A94,AAPL!A93:C1348,3)</f>
        <v>123.31699999999999</v>
      </c>
      <c r="C94" s="1">
        <f>VLOOKUP(A94,MSFT!A93:C1348,3)</f>
        <v>237.54300000000001</v>
      </c>
      <c r="D94" s="1">
        <f>VLOOKUP(A94,NVDA!A93:C1348,3)</f>
        <v>14.1358</v>
      </c>
      <c r="E94" s="1">
        <f>VLOOKUP(A94,AMD!A93:C1348,3)</f>
        <v>74.650000000000006</v>
      </c>
      <c r="F94" s="1">
        <f>VLOOKUP(A94,AMZN!A93:C1348,3)</f>
        <v>163.52000000000001</v>
      </c>
      <c r="G94" s="1">
        <f>VLOOKUP(A94,TSLA!A93:C1348,3)</f>
        <v>192.27699999999999</v>
      </c>
      <c r="H94" s="1">
        <f>VLOOKUP(A94,GOOGL!A93:C1348,3)</f>
        <v>114.033</v>
      </c>
      <c r="I94" s="1">
        <f>VLOOKUP(A94,META!A93:C1348,3)</f>
        <v>315.45999999999998</v>
      </c>
      <c r="J94" s="1">
        <f>VLOOKUP(A94,Nasdaq!A93:C1348,3)</f>
        <v>13379.05</v>
      </c>
    </row>
    <row r="95" spans="1:10" x14ac:dyDescent="0.2">
      <c r="A95" s="2">
        <v>44334</v>
      </c>
      <c r="B95" s="1">
        <f>VLOOKUP(A95,AAPL!A94:C1349,3)</f>
        <v>121.923</v>
      </c>
      <c r="C95" s="1">
        <f>VLOOKUP(A95,MSFT!A94:C1349,3)</f>
        <v>235.511</v>
      </c>
      <c r="D95" s="1">
        <f>VLOOKUP(A95,NVDA!A94:C1349,3)</f>
        <v>13.986000000000001</v>
      </c>
      <c r="E95" s="1">
        <f>VLOOKUP(A95,AMD!A94:C1349,3)</f>
        <v>74.44</v>
      </c>
      <c r="F95" s="1">
        <f>VLOOKUP(A95,AMZN!A94:C1349,3)</f>
        <v>161.614</v>
      </c>
      <c r="G95" s="1">
        <f>VLOOKUP(A95,TSLA!A94:C1349,3)</f>
        <v>192.62299999999999</v>
      </c>
      <c r="H95" s="1">
        <f>VLOOKUP(A95,GOOGL!A94:C1349,3)</f>
        <v>112.715</v>
      </c>
      <c r="I95" s="1">
        <f>VLOOKUP(A95,META!A94:C1349,3)</f>
        <v>309.95999999999998</v>
      </c>
      <c r="J95" s="1">
        <f>VLOOKUP(A95,Nasdaq!A94:C1349,3)</f>
        <v>13303.64</v>
      </c>
    </row>
    <row r="96" spans="1:10" x14ac:dyDescent="0.2">
      <c r="A96" s="2">
        <v>44335</v>
      </c>
      <c r="B96" s="1">
        <f>VLOOKUP(A96,AAPL!A95:C1350,3)</f>
        <v>121.767</v>
      </c>
      <c r="C96" s="1">
        <f>VLOOKUP(A96,MSFT!A95:C1350,3)</f>
        <v>236.096</v>
      </c>
      <c r="D96" s="1">
        <f>VLOOKUP(A96,NVDA!A95:C1350,3)</f>
        <v>14.0358</v>
      </c>
      <c r="E96" s="1">
        <f>VLOOKUP(A96,AMD!A95:C1350,3)</f>
        <v>76.23</v>
      </c>
      <c r="F96" s="1">
        <f>VLOOKUP(A96,AMZN!A95:C1350,3)</f>
        <v>161.59</v>
      </c>
      <c r="G96" s="1">
        <f>VLOOKUP(A96,TSLA!A95:C1350,3)</f>
        <v>187.82</v>
      </c>
      <c r="H96" s="1">
        <f>VLOOKUP(A96,GOOGL!A95:C1350,3)</f>
        <v>113.16500000000001</v>
      </c>
      <c r="I96" s="1">
        <f>VLOOKUP(A96,META!A95:C1350,3)</f>
        <v>313.58999999999997</v>
      </c>
      <c r="J96" s="1">
        <f>VLOOKUP(A96,Nasdaq!A95:C1350,3)</f>
        <v>13299.74</v>
      </c>
    </row>
    <row r="97" spans="1:10" x14ac:dyDescent="0.2">
      <c r="A97" s="2">
        <v>44336</v>
      </c>
      <c r="B97" s="1">
        <f>VLOOKUP(A97,AAPL!A96:C1351,3)</f>
        <v>124.32</v>
      </c>
      <c r="C97" s="1">
        <f>VLOOKUP(A97,MSFT!A96:C1351,3)</f>
        <v>239.35</v>
      </c>
      <c r="D97" s="1">
        <f>VLOOKUP(A97,NVDA!A96:C1351,3)</f>
        <v>14.580299999999999</v>
      </c>
      <c r="E97" s="1">
        <f>VLOOKUP(A97,AMD!A96:C1351,3)</f>
        <v>78.06</v>
      </c>
      <c r="F97" s="1">
        <f>VLOOKUP(A97,AMZN!A96:C1351,3)</f>
        <v>162.38399999999999</v>
      </c>
      <c r="G97" s="1">
        <f>VLOOKUP(A97,TSLA!A96:C1351,3)</f>
        <v>195.59299999999999</v>
      </c>
      <c r="H97" s="1">
        <f>VLOOKUP(A97,GOOGL!A96:C1351,3)</f>
        <v>114.931</v>
      </c>
      <c r="I97" s="1">
        <f>VLOOKUP(A97,META!A96:C1351,3)</f>
        <v>318.61</v>
      </c>
      <c r="J97" s="1">
        <f>VLOOKUP(A97,Nasdaq!A96:C1351,3)</f>
        <v>13535.74</v>
      </c>
    </row>
    <row r="98" spans="1:10" x14ac:dyDescent="0.2">
      <c r="A98" s="2">
        <v>44337</v>
      </c>
      <c r="B98" s="1">
        <f>VLOOKUP(A98,AAPL!A97:C1352,3)</f>
        <v>122.49299999999999</v>
      </c>
      <c r="C98" s="1">
        <f>VLOOKUP(A98,MSFT!A97:C1352,3)</f>
        <v>238.078</v>
      </c>
      <c r="D98" s="1">
        <f>VLOOKUP(A98,NVDA!A97:C1352,3)</f>
        <v>14.9589</v>
      </c>
      <c r="E98" s="1">
        <f>VLOOKUP(A98,AMD!A97:C1352,3)</f>
        <v>77.17</v>
      </c>
      <c r="F98" s="1">
        <f>VLOOKUP(A98,AMZN!A97:C1352,3)</f>
        <v>160.154</v>
      </c>
      <c r="G98" s="1">
        <f>VLOOKUP(A98,TSLA!A97:C1352,3)</f>
        <v>193.62700000000001</v>
      </c>
      <c r="H98" s="1">
        <f>VLOOKUP(A98,GOOGL!A97:C1352,3)</f>
        <v>114.292</v>
      </c>
      <c r="I98" s="1">
        <f>VLOOKUP(A98,META!A97:C1352,3)</f>
        <v>316.23</v>
      </c>
      <c r="J98" s="1">
        <f>VLOOKUP(A98,Nasdaq!A97:C1352,3)</f>
        <v>13470.99</v>
      </c>
    </row>
    <row r="99" spans="1:10" x14ac:dyDescent="0.2">
      <c r="A99" s="2">
        <v>44340</v>
      </c>
      <c r="B99" s="1">
        <f>VLOOKUP(A99,AAPL!A98:C1353,3)</f>
        <v>124.125</v>
      </c>
      <c r="C99" s="1">
        <f>VLOOKUP(A99,MSFT!A98:C1353,3)</f>
        <v>243.52</v>
      </c>
      <c r="D99" s="1">
        <f>VLOOKUP(A99,NVDA!A98:C1353,3)</f>
        <v>15.5768</v>
      </c>
      <c r="E99" s="1">
        <f>VLOOKUP(A99,AMD!A98:C1353,3)</f>
        <v>77.44</v>
      </c>
      <c r="F99" s="1">
        <f>VLOOKUP(A99,AMZN!A98:C1353,3)</f>
        <v>162.249</v>
      </c>
      <c r="G99" s="1">
        <f>VLOOKUP(A99,TSLA!A98:C1353,3)</f>
        <v>202.14699999999999</v>
      </c>
      <c r="H99" s="1">
        <f>VLOOKUP(A99,GOOGL!A98:C1353,3)</f>
        <v>117.626</v>
      </c>
      <c r="I99" s="1">
        <f>VLOOKUP(A99,META!A98:C1353,3)</f>
        <v>324.63</v>
      </c>
      <c r="J99" s="1">
        <f>VLOOKUP(A99,Nasdaq!A98:C1353,3)</f>
        <v>13661.17</v>
      </c>
    </row>
    <row r="100" spans="1:10" x14ac:dyDescent="0.2">
      <c r="A100" s="2">
        <v>44341</v>
      </c>
      <c r="B100" s="1">
        <f>VLOOKUP(A100,AAPL!A99:C1354,3)</f>
        <v>123.92700000000001</v>
      </c>
      <c r="C100" s="1">
        <f>VLOOKUP(A100,MSFT!A99:C1354,3)</f>
        <v>244.43700000000001</v>
      </c>
      <c r="D100" s="1">
        <f>VLOOKUP(A100,NVDA!A99:C1354,3)</f>
        <v>15.6127</v>
      </c>
      <c r="E100" s="1">
        <f>VLOOKUP(A100,AMD!A99:C1354,3)</f>
        <v>77.86</v>
      </c>
      <c r="F100" s="1">
        <f>VLOOKUP(A100,AMZN!A99:C1354,3)</f>
        <v>162.953</v>
      </c>
      <c r="G100" s="1">
        <f>VLOOKUP(A100,TSLA!A99:C1354,3)</f>
        <v>201.56299999999999</v>
      </c>
      <c r="H100" s="1">
        <f>VLOOKUP(A100,GOOGL!A99:C1354,3)</f>
        <v>117.717</v>
      </c>
      <c r="I100" s="1">
        <f>VLOOKUP(A100,META!A99:C1354,3)</f>
        <v>327.79</v>
      </c>
      <c r="J100" s="1">
        <f>VLOOKUP(A100,Nasdaq!A99:C1354,3)</f>
        <v>13657.17</v>
      </c>
    </row>
    <row r="101" spans="1:10" x14ac:dyDescent="0.2">
      <c r="A101" s="2">
        <v>44342</v>
      </c>
      <c r="B101" s="1">
        <f>VLOOKUP(A101,AAPL!A100:C1355,3)</f>
        <v>123.877</v>
      </c>
      <c r="C101" s="1">
        <f>VLOOKUP(A101,MSFT!A100:C1355,3)</f>
        <v>244.214</v>
      </c>
      <c r="D101" s="1">
        <f>VLOOKUP(A101,NVDA!A100:C1355,3)</f>
        <v>15.6646</v>
      </c>
      <c r="E101" s="1">
        <f>VLOOKUP(A101,AMD!A100:C1355,3)</f>
        <v>78.34</v>
      </c>
      <c r="F101" s="1">
        <f>VLOOKUP(A101,AMZN!A100:C1355,3)</f>
        <v>163.25800000000001</v>
      </c>
      <c r="G101" s="1">
        <f>VLOOKUP(A101,TSLA!A100:C1355,3)</f>
        <v>206.37700000000001</v>
      </c>
      <c r="H101" s="1">
        <f>VLOOKUP(A101,GOOGL!A100:C1355,3)</f>
        <v>118.586</v>
      </c>
      <c r="I101" s="1">
        <f>VLOOKUP(A101,META!A100:C1355,3)</f>
        <v>327.66000000000003</v>
      </c>
      <c r="J101" s="1">
        <f>VLOOKUP(A101,Nasdaq!A100:C1355,3)</f>
        <v>13738</v>
      </c>
    </row>
    <row r="102" spans="1:10" x14ac:dyDescent="0.2">
      <c r="A102" s="2">
        <v>44343</v>
      </c>
      <c r="B102" s="1">
        <f>VLOOKUP(A102,AAPL!A101:C1356,3)</f>
        <v>122.346</v>
      </c>
      <c r="C102" s="1">
        <f>VLOOKUP(A102,MSFT!A101:C1356,3)</f>
        <v>242.10499999999999</v>
      </c>
      <c r="D102" s="1">
        <f>VLOOKUP(A102,NVDA!A101:C1356,3)</f>
        <v>15.4528</v>
      </c>
      <c r="E102" s="1">
        <f>VLOOKUP(A102,AMD!A101:C1356,3)</f>
        <v>78.42</v>
      </c>
      <c r="F102" s="1">
        <f>VLOOKUP(A102,AMZN!A101:C1356,3)</f>
        <v>161.506</v>
      </c>
      <c r="G102" s="1">
        <f>VLOOKUP(A102,TSLA!A101:C1356,3)</f>
        <v>210.28299999999999</v>
      </c>
      <c r="H102" s="1">
        <f>VLOOKUP(A102,GOOGL!A101:C1356,3)</f>
        <v>117.708</v>
      </c>
      <c r="I102" s="1">
        <f>VLOOKUP(A102,META!A101:C1356,3)</f>
        <v>332.75</v>
      </c>
      <c r="J102" s="1">
        <f>VLOOKUP(A102,Nasdaq!A101:C1356,3)</f>
        <v>13736.28</v>
      </c>
    </row>
    <row r="103" spans="1:10" x14ac:dyDescent="0.2">
      <c r="A103" s="2">
        <v>44344</v>
      </c>
      <c r="B103" s="1">
        <f>VLOOKUP(A103,AAPL!A102:C1357,3)</f>
        <v>121.688</v>
      </c>
      <c r="C103" s="1">
        <f>VLOOKUP(A103,MSFT!A102:C1357,3)</f>
        <v>242.45500000000001</v>
      </c>
      <c r="D103" s="1">
        <f>VLOOKUP(A103,NVDA!A102:C1357,3)</f>
        <v>16.207899999999999</v>
      </c>
      <c r="E103" s="1">
        <f>VLOOKUP(A103,AMD!A102:C1357,3)</f>
        <v>80.08</v>
      </c>
      <c r="F103" s="1">
        <f>VLOOKUP(A103,AMZN!A102:C1357,3)</f>
        <v>161.154</v>
      </c>
      <c r="G103" s="1">
        <f>VLOOKUP(A103,TSLA!A102:C1357,3)</f>
        <v>208.40700000000001</v>
      </c>
      <c r="H103" s="1">
        <f>VLOOKUP(A103,GOOGL!A102:C1357,3)</f>
        <v>117.416</v>
      </c>
      <c r="I103" s="1">
        <f>VLOOKUP(A103,META!A102:C1357,3)</f>
        <v>328.73</v>
      </c>
      <c r="J103" s="1">
        <f>VLOOKUP(A103,Nasdaq!A102:C1357,3)</f>
        <v>13748.74</v>
      </c>
    </row>
    <row r="104" spans="1:10" x14ac:dyDescent="0.2">
      <c r="A104" s="2">
        <v>44348</v>
      </c>
      <c r="B104" s="1">
        <f>VLOOKUP(A104,AAPL!A103:C1358,3)</f>
        <v>121.364</v>
      </c>
      <c r="C104" s="1">
        <f>VLOOKUP(A104,MSFT!A103:C1358,3)</f>
        <v>240.24799999999999</v>
      </c>
      <c r="D104" s="1">
        <f>VLOOKUP(A104,NVDA!A103:C1358,3)</f>
        <v>16.2288</v>
      </c>
      <c r="E104" s="1">
        <f>VLOOKUP(A104,AMD!A103:C1358,3)</f>
        <v>80.81</v>
      </c>
      <c r="F104" s="1">
        <f>VLOOKUP(A104,AMZN!A103:C1358,3)</f>
        <v>160.93199999999999</v>
      </c>
      <c r="G104" s="1">
        <f>VLOOKUP(A104,TSLA!A103:C1358,3)</f>
        <v>207.96700000000001</v>
      </c>
      <c r="H104" s="1">
        <f>VLOOKUP(A104,GOOGL!A103:C1358,3)</f>
        <v>118.629</v>
      </c>
      <c r="I104" s="1">
        <f>VLOOKUP(A104,META!A103:C1358,3)</f>
        <v>329.13</v>
      </c>
      <c r="J104" s="1">
        <f>VLOOKUP(A104,Nasdaq!A103:C1358,3)</f>
        <v>13736.48</v>
      </c>
    </row>
    <row r="105" spans="1:10" x14ac:dyDescent="0.2">
      <c r="A105" s="2">
        <v>44349</v>
      </c>
      <c r="B105" s="1">
        <f>VLOOKUP(A105,AAPL!A104:C1359,3)</f>
        <v>122.13</v>
      </c>
      <c r="C105" s="1">
        <f>VLOOKUP(A105,MSFT!A104:C1359,3)</f>
        <v>240.149</v>
      </c>
      <c r="D105" s="1">
        <f>VLOOKUP(A105,NVDA!A104:C1359,3)</f>
        <v>16.741</v>
      </c>
      <c r="E105" s="1">
        <f>VLOOKUP(A105,AMD!A104:C1359,3)</f>
        <v>81.97</v>
      </c>
      <c r="F105" s="1">
        <f>VLOOKUP(A105,AMZN!A104:C1359,3)</f>
        <v>161.69999999999999</v>
      </c>
      <c r="G105" s="1">
        <f>VLOOKUP(A105,TSLA!A104:C1359,3)</f>
        <v>201.70699999999999</v>
      </c>
      <c r="H105" s="1">
        <f>VLOOKUP(A105,GOOGL!A104:C1359,3)</f>
        <v>118.102</v>
      </c>
      <c r="I105" s="1">
        <f>VLOOKUP(A105,META!A104:C1359,3)</f>
        <v>329.15</v>
      </c>
      <c r="J105" s="1">
        <f>VLOOKUP(A105,Nasdaq!A104:C1359,3)</f>
        <v>13756.33</v>
      </c>
    </row>
    <row r="106" spans="1:10" x14ac:dyDescent="0.2">
      <c r="A106" s="2">
        <v>44350</v>
      </c>
      <c r="B106" s="1">
        <f>VLOOKUP(A106,AAPL!A105:C1360,3)</f>
        <v>120.64700000000001</v>
      </c>
      <c r="C106" s="1">
        <f>VLOOKUP(A106,MSFT!A105:C1360,3)</f>
        <v>238.596</v>
      </c>
      <c r="D106" s="1">
        <f>VLOOKUP(A106,NVDA!A105:C1360,3)</f>
        <v>16.932700000000001</v>
      </c>
      <c r="E106" s="1">
        <f>VLOOKUP(A106,AMD!A105:C1360,3)</f>
        <v>80.28</v>
      </c>
      <c r="F106" s="1">
        <f>VLOOKUP(A106,AMZN!A105:C1360,3)</f>
        <v>159.35</v>
      </c>
      <c r="G106" s="1">
        <f>VLOOKUP(A106,TSLA!A105:C1360,3)</f>
        <v>190.947</v>
      </c>
      <c r="H106" s="1">
        <f>VLOOKUP(A106,GOOGL!A105:C1360,3)</f>
        <v>116.955</v>
      </c>
      <c r="I106" s="1">
        <f>VLOOKUP(A106,META!A105:C1360,3)</f>
        <v>326.04000000000002</v>
      </c>
      <c r="J106" s="1">
        <f>VLOOKUP(A106,Nasdaq!A105:C1360,3)</f>
        <v>13614.51</v>
      </c>
    </row>
    <row r="107" spans="1:10" x14ac:dyDescent="0.2">
      <c r="A107" s="2">
        <v>44351</v>
      </c>
      <c r="B107" s="1">
        <f>VLOOKUP(A107,AAPL!A106:C1361,3)</f>
        <v>122.943</v>
      </c>
      <c r="C107" s="1">
        <f>VLOOKUP(A107,MSFT!A106:C1361,3)</f>
        <v>243.529</v>
      </c>
      <c r="D107" s="1">
        <f>VLOOKUP(A107,NVDA!A106:C1361,3)</f>
        <v>17.54</v>
      </c>
      <c r="E107" s="1">
        <f>VLOOKUP(A107,AMD!A106:C1361,3)</f>
        <v>81.58</v>
      </c>
      <c r="F107" s="1">
        <f>VLOOKUP(A107,AMZN!A106:C1361,3)</f>
        <v>160.31100000000001</v>
      </c>
      <c r="G107" s="1">
        <f>VLOOKUP(A107,TSLA!A106:C1361,3)</f>
        <v>199.68299999999999</v>
      </c>
      <c r="H107" s="1">
        <f>VLOOKUP(A107,GOOGL!A106:C1361,3)</f>
        <v>119.247</v>
      </c>
      <c r="I107" s="1">
        <f>VLOOKUP(A107,META!A106:C1361,3)</f>
        <v>330.35</v>
      </c>
      <c r="J107" s="1">
        <f>VLOOKUP(A107,Nasdaq!A106:C1361,3)</f>
        <v>13814.49</v>
      </c>
    </row>
    <row r="108" spans="1:10" x14ac:dyDescent="0.2">
      <c r="A108" s="2">
        <v>44354</v>
      </c>
      <c r="B108" s="1">
        <f>VLOOKUP(A108,AAPL!A107:C1362,3)</f>
        <v>122.953</v>
      </c>
      <c r="C108" s="1">
        <f>VLOOKUP(A108,MSFT!A107:C1362,3)</f>
        <v>246.48099999999999</v>
      </c>
      <c r="D108" s="1">
        <f>VLOOKUP(A108,NVDA!A107:C1362,3)</f>
        <v>17.581</v>
      </c>
      <c r="E108" s="1">
        <f>VLOOKUP(A108,AMD!A107:C1362,3)</f>
        <v>81.349999999999994</v>
      </c>
      <c r="F108" s="1">
        <f>VLOOKUP(A108,AMZN!A107:C1362,3)</f>
        <v>159.90100000000001</v>
      </c>
      <c r="G108" s="1">
        <f>VLOOKUP(A108,TSLA!A107:C1362,3)</f>
        <v>201.71</v>
      </c>
      <c r="H108" s="1">
        <f>VLOOKUP(A108,GOOGL!A107:C1362,3)</f>
        <v>119.681</v>
      </c>
      <c r="I108" s="1">
        <f>VLOOKUP(A108,META!A107:C1362,3)</f>
        <v>336.58</v>
      </c>
      <c r="J108" s="1">
        <f>VLOOKUP(A108,Nasdaq!A107:C1362,3)</f>
        <v>13881.72</v>
      </c>
    </row>
    <row r="109" spans="1:10" x14ac:dyDescent="0.2">
      <c r="A109" s="2">
        <v>44355</v>
      </c>
      <c r="B109" s="1">
        <f>VLOOKUP(A109,AAPL!A108:C1363,3)</f>
        <v>123.768</v>
      </c>
      <c r="C109" s="1">
        <f>VLOOKUP(A109,MSFT!A108:C1363,3)</f>
        <v>245.268</v>
      </c>
      <c r="D109" s="1">
        <f>VLOOKUP(A109,NVDA!A108:C1363,3)</f>
        <v>17.419</v>
      </c>
      <c r="E109" s="1">
        <f>VLOOKUP(A109,AMD!A108:C1363,3)</f>
        <v>80.89</v>
      </c>
      <c r="F109" s="1">
        <f>VLOOKUP(A109,AMZN!A108:C1363,3)</f>
        <v>163.20599999999999</v>
      </c>
      <c r="G109" s="1">
        <f>VLOOKUP(A109,TSLA!A108:C1363,3)</f>
        <v>201.197</v>
      </c>
      <c r="H109" s="1">
        <f>VLOOKUP(A109,GOOGL!A108:C1363,3)</f>
        <v>119.489</v>
      </c>
      <c r="I109" s="1">
        <f>VLOOKUP(A109,META!A108:C1363,3)</f>
        <v>333.68</v>
      </c>
      <c r="J109" s="1">
        <f>VLOOKUP(A109,Nasdaq!A108:C1363,3)</f>
        <v>13924.91</v>
      </c>
    </row>
    <row r="110" spans="1:10" x14ac:dyDescent="0.2">
      <c r="A110" s="2">
        <v>44356</v>
      </c>
      <c r="B110" s="1">
        <f>VLOOKUP(A110,AAPL!A109:C1364,3)</f>
        <v>124.15300000000001</v>
      </c>
      <c r="C110" s="1">
        <f>VLOOKUP(A110,MSFT!A109:C1364,3)</f>
        <v>246.26400000000001</v>
      </c>
      <c r="D110" s="1">
        <f>VLOOKUP(A110,NVDA!A109:C1364,3)</f>
        <v>17.324200000000001</v>
      </c>
      <c r="E110" s="1">
        <f>VLOOKUP(A110,AMD!A109:C1364,3)</f>
        <v>79.959999999999994</v>
      </c>
      <c r="F110" s="1">
        <f>VLOOKUP(A110,AMZN!A109:C1364,3)</f>
        <v>164.05799999999999</v>
      </c>
      <c r="G110" s="1">
        <f>VLOOKUP(A110,TSLA!A109:C1364,3)</f>
        <v>199.59299999999999</v>
      </c>
      <c r="H110" s="1">
        <f>VLOOKUP(A110,GOOGL!A109:C1364,3)</f>
        <v>119.96299999999999</v>
      </c>
      <c r="I110" s="1">
        <f>VLOOKUP(A110,META!A109:C1364,3)</f>
        <v>330.25</v>
      </c>
      <c r="J110" s="1">
        <f>VLOOKUP(A110,Nasdaq!A109:C1364,3)</f>
        <v>13911.75</v>
      </c>
    </row>
    <row r="111" spans="1:10" x14ac:dyDescent="0.2">
      <c r="A111" s="2">
        <v>44357</v>
      </c>
      <c r="B111" s="1">
        <f>VLOOKUP(A111,AAPL!A110:C1365,3)</f>
        <v>123.16200000000001</v>
      </c>
      <c r="C111" s="1">
        <f>VLOOKUP(A111,MSFT!A110:C1365,3)</f>
        <v>249.80099999999999</v>
      </c>
      <c r="D111" s="1">
        <f>VLOOKUP(A111,NVDA!A110:C1365,3)</f>
        <v>17.390999999999998</v>
      </c>
      <c r="E111" s="1">
        <f>VLOOKUP(A111,AMD!A110:C1365,3)</f>
        <v>81.56</v>
      </c>
      <c r="F111" s="1">
        <f>VLOOKUP(A111,AMZN!A110:C1365,3)</f>
        <v>167.483</v>
      </c>
      <c r="G111" s="1">
        <f>VLOOKUP(A111,TSLA!A110:C1365,3)</f>
        <v>203.37299999999999</v>
      </c>
      <c r="H111" s="1">
        <f>VLOOKUP(A111,GOOGL!A110:C1365,3)</f>
        <v>121.316</v>
      </c>
      <c r="I111" s="1">
        <f>VLOOKUP(A111,META!A110:C1365,3)</f>
        <v>332.46</v>
      </c>
      <c r="J111" s="1">
        <f>VLOOKUP(A111,Nasdaq!A110:C1365,3)</f>
        <v>14020.33</v>
      </c>
    </row>
    <row r="112" spans="1:10" x14ac:dyDescent="0.2">
      <c r="A112" s="2">
        <v>44358</v>
      </c>
      <c r="B112" s="1">
        <f>VLOOKUP(A112,AAPL!A111:C1366,3)</f>
        <v>124.36</v>
      </c>
      <c r="C112" s="1">
        <f>VLOOKUP(A112,MSFT!A111:C1366,3)</f>
        <v>250.43600000000001</v>
      </c>
      <c r="D112" s="1">
        <f>VLOOKUP(A112,NVDA!A111:C1366,3)</f>
        <v>17.790400000000002</v>
      </c>
      <c r="E112" s="1">
        <f>VLOOKUP(A112,AMD!A111:C1366,3)</f>
        <v>81.31</v>
      </c>
      <c r="F112" s="1">
        <f>VLOOKUP(A112,AMZN!A111:C1366,3)</f>
        <v>167.34200000000001</v>
      </c>
      <c r="G112" s="1">
        <f>VLOOKUP(A112,TSLA!A111:C1366,3)</f>
        <v>203.297</v>
      </c>
      <c r="H112" s="1">
        <f>VLOOKUP(A112,GOOGL!A111:C1366,3)</f>
        <v>121.071</v>
      </c>
      <c r="I112" s="1">
        <f>VLOOKUP(A112,META!A111:C1366,3)</f>
        <v>331.26</v>
      </c>
      <c r="J112" s="1">
        <f>VLOOKUP(A112,Nasdaq!A111:C1366,3)</f>
        <v>14069.42</v>
      </c>
    </row>
    <row r="113" spans="1:10" x14ac:dyDescent="0.2">
      <c r="A113" s="2">
        <v>44361</v>
      </c>
      <c r="B113" s="1">
        <f>VLOOKUP(A113,AAPL!A112:C1367,3)</f>
        <v>127.413</v>
      </c>
      <c r="C113" s="1">
        <f>VLOOKUP(A113,MSFT!A112:C1367,3)</f>
        <v>252.38</v>
      </c>
      <c r="D113" s="1">
        <f>VLOOKUP(A113,NVDA!A112:C1367,3)</f>
        <v>17.984200000000001</v>
      </c>
      <c r="E113" s="1">
        <f>VLOOKUP(A113,AMD!A112:C1367,3)</f>
        <v>81.55</v>
      </c>
      <c r="F113" s="1">
        <f>VLOOKUP(A113,AMZN!A112:C1367,3)</f>
        <v>169.19399999999999</v>
      </c>
      <c r="G113" s="1">
        <f>VLOOKUP(A113,TSLA!A112:C1367,3)</f>
        <v>205.89699999999999</v>
      </c>
      <c r="H113" s="1">
        <f>VLOOKUP(A113,GOOGL!A112:C1367,3)</f>
        <v>122.004</v>
      </c>
      <c r="I113" s="1">
        <f>VLOOKUP(A113,META!A112:C1367,3)</f>
        <v>336.77</v>
      </c>
      <c r="J113" s="1">
        <f>VLOOKUP(A113,Nasdaq!A112:C1367,3)</f>
        <v>14174.14</v>
      </c>
    </row>
    <row r="114" spans="1:10" x14ac:dyDescent="0.2">
      <c r="A114" s="2">
        <v>44362</v>
      </c>
      <c r="B114" s="1">
        <f>VLOOKUP(A114,AAPL!A113:C1368,3)</f>
        <v>126.608</v>
      </c>
      <c r="C114" s="1">
        <f>VLOOKUP(A114,MSFT!A113:C1368,3)</f>
        <v>250.89400000000001</v>
      </c>
      <c r="D114" s="1">
        <f>VLOOKUP(A114,NVDA!A113:C1368,3)</f>
        <v>17.753499999999999</v>
      </c>
      <c r="E114" s="1">
        <f>VLOOKUP(A114,AMD!A113:C1368,3)</f>
        <v>80.47</v>
      </c>
      <c r="F114" s="1">
        <f>VLOOKUP(A114,AMZN!A113:C1368,3)</f>
        <v>169.15600000000001</v>
      </c>
      <c r="G114" s="1">
        <f>VLOOKUP(A114,TSLA!A113:C1368,3)</f>
        <v>199.78700000000001</v>
      </c>
      <c r="H114" s="1">
        <f>VLOOKUP(A114,GOOGL!A113:C1368,3)</f>
        <v>120.98099999999999</v>
      </c>
      <c r="I114" s="1">
        <f>VLOOKUP(A114,META!A113:C1368,3)</f>
        <v>336.75</v>
      </c>
      <c r="J114" s="1">
        <f>VLOOKUP(A114,Nasdaq!A113:C1368,3)</f>
        <v>14072.86</v>
      </c>
    </row>
    <row r="115" spans="1:10" x14ac:dyDescent="0.2">
      <c r="A115" s="2">
        <v>44363</v>
      </c>
      <c r="B115" s="1">
        <f>VLOOKUP(A115,AAPL!A114:C1369,3)</f>
        <v>127.099</v>
      </c>
      <c r="C115" s="1">
        <f>VLOOKUP(A115,MSFT!A114:C1369,3)</f>
        <v>249.93600000000001</v>
      </c>
      <c r="D115" s="1">
        <f>VLOOKUP(A115,NVDA!A114:C1369,3)</f>
        <v>17.775400000000001</v>
      </c>
      <c r="E115" s="1">
        <f>VLOOKUP(A115,AMD!A114:C1369,3)</f>
        <v>80.11</v>
      </c>
      <c r="F115" s="1">
        <f>VLOOKUP(A115,AMZN!A114:C1369,3)</f>
        <v>170.762</v>
      </c>
      <c r="G115" s="1">
        <f>VLOOKUP(A115,TSLA!A114:C1369,3)</f>
        <v>201.62299999999999</v>
      </c>
      <c r="H115" s="1">
        <f>VLOOKUP(A115,GOOGL!A114:C1369,3)</f>
        <v>120.336</v>
      </c>
      <c r="I115" s="1">
        <f>VLOOKUP(A115,META!A114:C1369,3)</f>
        <v>331.08</v>
      </c>
      <c r="J115" s="1">
        <f>VLOOKUP(A115,Nasdaq!A114:C1369,3)</f>
        <v>14039.68</v>
      </c>
    </row>
    <row r="116" spans="1:10" x14ac:dyDescent="0.2">
      <c r="A116" s="2">
        <v>44364</v>
      </c>
      <c r="B116" s="1">
        <f>VLOOKUP(A116,AAPL!A115:C1370,3)</f>
        <v>128.69900000000001</v>
      </c>
      <c r="C116" s="1">
        <f>VLOOKUP(A116,MSFT!A115:C1370,3)</f>
        <v>253.346</v>
      </c>
      <c r="D116" s="1">
        <f>VLOOKUP(A116,NVDA!A115:C1370,3)</f>
        <v>18.621300000000002</v>
      </c>
      <c r="E116" s="1">
        <f>VLOOKUP(A116,AMD!A115:C1370,3)</f>
        <v>84.56</v>
      </c>
      <c r="F116" s="1">
        <f>VLOOKUP(A116,AMZN!A115:C1370,3)</f>
        <v>174.46199999999999</v>
      </c>
      <c r="G116" s="1">
        <f>VLOOKUP(A116,TSLA!A115:C1370,3)</f>
        <v>205.53299999999999</v>
      </c>
      <c r="H116" s="1">
        <f>VLOOKUP(A116,GOOGL!A115:C1370,3)</f>
        <v>121.304</v>
      </c>
      <c r="I116" s="1">
        <f>VLOOKUP(A116,META!A115:C1370,3)</f>
        <v>336.51</v>
      </c>
      <c r="J116" s="1">
        <f>VLOOKUP(A116,Nasdaq!A115:C1370,3)</f>
        <v>14161.35</v>
      </c>
    </row>
    <row r="117" spans="1:10" x14ac:dyDescent="0.2">
      <c r="A117" s="2">
        <v>44365</v>
      </c>
      <c r="B117" s="1">
        <f>VLOOKUP(A117,AAPL!A116:C1371,3)</f>
        <v>127.39400000000001</v>
      </c>
      <c r="C117" s="1">
        <f>VLOOKUP(A117,MSFT!A116:C1371,3)</f>
        <v>251.93100000000001</v>
      </c>
      <c r="D117" s="1">
        <f>VLOOKUP(A117,NVDA!A116:C1371,3)</f>
        <v>18.603300000000001</v>
      </c>
      <c r="E117" s="1">
        <f>VLOOKUP(A117,AMD!A116:C1371,3)</f>
        <v>84.65</v>
      </c>
      <c r="F117" s="1">
        <f>VLOOKUP(A117,AMZN!A116:C1371,3)</f>
        <v>174.345</v>
      </c>
      <c r="G117" s="1">
        <f>VLOOKUP(A117,TSLA!A116:C1371,3)</f>
        <v>207.77</v>
      </c>
      <c r="H117" s="1">
        <f>VLOOKUP(A117,GOOGL!A116:C1371,3)</f>
        <v>119.67700000000001</v>
      </c>
      <c r="I117" s="1">
        <f>VLOOKUP(A117,META!A116:C1371,3)</f>
        <v>329.66</v>
      </c>
      <c r="J117" s="1">
        <f>VLOOKUP(A117,Nasdaq!A116:C1371,3)</f>
        <v>14030.38</v>
      </c>
    </row>
    <row r="118" spans="1:10" x14ac:dyDescent="0.2">
      <c r="A118" s="2">
        <v>44368</v>
      </c>
      <c r="B118" s="1">
        <f>VLOOKUP(A118,AAPL!A117:C1372,3)</f>
        <v>129.20099999999999</v>
      </c>
      <c r="C118" s="1">
        <f>VLOOKUP(A118,MSFT!A117:C1372,3)</f>
        <v>255.03399999999999</v>
      </c>
      <c r="D118" s="1">
        <f>VLOOKUP(A118,NVDA!A117:C1372,3)</f>
        <v>18.391500000000001</v>
      </c>
      <c r="E118" s="1">
        <f>VLOOKUP(A118,AMD!A117:C1372,3)</f>
        <v>82.59</v>
      </c>
      <c r="F118" s="1">
        <f>VLOOKUP(A118,AMZN!A117:C1372,3)</f>
        <v>172.69800000000001</v>
      </c>
      <c r="G118" s="1">
        <f>VLOOKUP(A118,TSLA!A117:C1372,3)</f>
        <v>206.94300000000001</v>
      </c>
      <c r="H118" s="1">
        <f>VLOOKUP(A118,GOOGL!A117:C1372,3)</f>
        <v>121.372</v>
      </c>
      <c r="I118" s="1">
        <f>VLOOKUP(A118,META!A117:C1372,3)</f>
        <v>332.29</v>
      </c>
      <c r="J118" s="1">
        <f>VLOOKUP(A118,Nasdaq!A117:C1372,3)</f>
        <v>14141.48</v>
      </c>
    </row>
    <row r="119" spans="1:10" x14ac:dyDescent="0.2">
      <c r="A119" s="2">
        <v>44369</v>
      </c>
      <c r="B119" s="1">
        <f>VLOOKUP(A119,AAPL!A118:C1373,3)</f>
        <v>130.84100000000001</v>
      </c>
      <c r="C119" s="1">
        <f>VLOOKUP(A119,MSFT!A118:C1373,3)</f>
        <v>257.82900000000001</v>
      </c>
      <c r="D119" s="1">
        <f>VLOOKUP(A119,NVDA!A118:C1373,3)</f>
        <v>18.8508</v>
      </c>
      <c r="E119" s="1">
        <f>VLOOKUP(A119,AMD!A118:C1373,3)</f>
        <v>83.58</v>
      </c>
      <c r="F119" s="1">
        <f>VLOOKUP(A119,AMZN!A118:C1373,3)</f>
        <v>175.27199999999999</v>
      </c>
      <c r="G119" s="1">
        <f>VLOOKUP(A119,TSLA!A118:C1373,3)</f>
        <v>207.90299999999999</v>
      </c>
      <c r="H119" s="1">
        <f>VLOOKUP(A119,GOOGL!A118:C1373,3)</f>
        <v>121.88800000000001</v>
      </c>
      <c r="I119" s="1">
        <f>VLOOKUP(A119,META!A118:C1373,3)</f>
        <v>339.03</v>
      </c>
      <c r="J119" s="1">
        <f>VLOOKUP(A119,Nasdaq!A118:C1373,3)</f>
        <v>14253.27</v>
      </c>
    </row>
    <row r="120" spans="1:10" x14ac:dyDescent="0.2">
      <c r="A120" s="2">
        <v>44370</v>
      </c>
      <c r="B120" s="1">
        <f>VLOOKUP(A120,AAPL!A119:C1374,3)</f>
        <v>130.566</v>
      </c>
      <c r="C120" s="1">
        <f>VLOOKUP(A120,MSFT!A119:C1374,3)</f>
        <v>257.60399999999998</v>
      </c>
      <c r="D120" s="1">
        <f>VLOOKUP(A120,NVDA!A119:C1374,3)</f>
        <v>19.020499999999998</v>
      </c>
      <c r="E120" s="1">
        <f>VLOOKUP(A120,AMD!A119:C1374,3)</f>
        <v>83.82</v>
      </c>
      <c r="F120" s="1">
        <f>VLOOKUP(A120,AMZN!A119:C1374,3)</f>
        <v>175.191</v>
      </c>
      <c r="G120" s="1">
        <f>VLOOKUP(A120,TSLA!A119:C1374,3)</f>
        <v>218.857</v>
      </c>
      <c r="H120" s="1">
        <f>VLOOKUP(A120,GOOGL!A119:C1374,3)</f>
        <v>121.68600000000001</v>
      </c>
      <c r="I120" s="1">
        <f>VLOOKUP(A120,META!A119:C1374,3)</f>
        <v>340.59</v>
      </c>
      <c r="J120" s="1">
        <f>VLOOKUP(A120,Nasdaq!A119:C1374,3)</f>
        <v>14271.73</v>
      </c>
    </row>
    <row r="121" spans="1:10" x14ac:dyDescent="0.2">
      <c r="A121" s="2">
        <v>44371</v>
      </c>
      <c r="B121" s="1">
        <f>VLOOKUP(A121,AAPL!A120:C1375,3)</f>
        <v>130.291</v>
      </c>
      <c r="C121" s="1">
        <f>VLOOKUP(A121,MSFT!A120:C1375,3)</f>
        <v>258.97000000000003</v>
      </c>
      <c r="D121" s="1">
        <f>VLOOKUP(A121,NVDA!A120:C1375,3)</f>
        <v>19.1693</v>
      </c>
      <c r="E121" s="1">
        <f>VLOOKUP(A121,AMD!A120:C1375,3)</f>
        <v>86.1</v>
      </c>
      <c r="F121" s="1">
        <f>VLOOKUP(A121,AMZN!A120:C1375,3)</f>
        <v>172.45400000000001</v>
      </c>
      <c r="G121" s="1">
        <f>VLOOKUP(A121,TSLA!A120:C1375,3)</f>
        <v>226.607</v>
      </c>
      <c r="H121" s="1">
        <f>VLOOKUP(A121,GOOGL!A120:C1375,3)</f>
        <v>122.05800000000001</v>
      </c>
      <c r="I121" s="1">
        <f>VLOOKUP(A121,META!A120:C1375,3)</f>
        <v>343.18</v>
      </c>
      <c r="J121" s="1">
        <f>VLOOKUP(A121,Nasdaq!A120:C1375,3)</f>
        <v>14369.71</v>
      </c>
    </row>
    <row r="122" spans="1:10" x14ac:dyDescent="0.2">
      <c r="A122" s="2">
        <v>44372</v>
      </c>
      <c r="B122" s="1">
        <f>VLOOKUP(A122,AAPL!A121:C1376,3)</f>
        <v>129.99600000000001</v>
      </c>
      <c r="C122" s="1">
        <f>VLOOKUP(A122,MSFT!A121:C1376,3)</f>
        <v>257.36</v>
      </c>
      <c r="D122" s="1">
        <f>VLOOKUP(A122,NVDA!A121:C1376,3)</f>
        <v>18.994599999999998</v>
      </c>
      <c r="E122" s="1">
        <f>VLOOKUP(A122,AMD!A121:C1376,3)</f>
        <v>85.62</v>
      </c>
      <c r="F122" s="1">
        <f>VLOOKUP(A122,AMZN!A121:C1376,3)</f>
        <v>170.07300000000001</v>
      </c>
      <c r="G122" s="1">
        <f>VLOOKUP(A122,TSLA!A121:C1376,3)</f>
        <v>223.95699999999999</v>
      </c>
      <c r="H122" s="1">
        <f>VLOOKUP(A122,GOOGL!A121:C1376,3)</f>
        <v>122.066</v>
      </c>
      <c r="I122" s="1">
        <f>VLOOKUP(A122,META!A121:C1376,3)</f>
        <v>341.37</v>
      </c>
      <c r="J122" s="1">
        <f>VLOOKUP(A122,Nasdaq!A121:C1376,3)</f>
        <v>14360.39</v>
      </c>
    </row>
    <row r="123" spans="1:10" x14ac:dyDescent="0.2">
      <c r="A123" s="2">
        <v>44375</v>
      </c>
      <c r="B123" s="1">
        <f>VLOOKUP(A123,AAPL!A122:C1377,3)</f>
        <v>131.61600000000001</v>
      </c>
      <c r="C123" s="1">
        <f>VLOOKUP(A123,MSFT!A122:C1377,3)</f>
        <v>260.95499999999998</v>
      </c>
      <c r="D123" s="1">
        <f>VLOOKUP(A123,NVDA!A122:C1377,3)</f>
        <v>19.946300000000001</v>
      </c>
      <c r="E123" s="1">
        <f>VLOOKUP(A123,AMD!A122:C1377,3)</f>
        <v>87.08</v>
      </c>
      <c r="F123" s="1">
        <f>VLOOKUP(A123,AMZN!A122:C1377,3)</f>
        <v>172.19399999999999</v>
      </c>
      <c r="G123" s="1">
        <f>VLOOKUP(A123,TSLA!A122:C1377,3)</f>
        <v>229.57300000000001</v>
      </c>
      <c r="H123" s="1">
        <f>VLOOKUP(A123,GOOGL!A122:C1377,3)</f>
        <v>122.09399999999999</v>
      </c>
      <c r="I123" s="1">
        <f>VLOOKUP(A123,META!A122:C1377,3)</f>
        <v>355.64</v>
      </c>
      <c r="J123" s="1">
        <f>VLOOKUP(A123,Nasdaq!A122:C1377,3)</f>
        <v>14500.51</v>
      </c>
    </row>
    <row r="124" spans="1:10" x14ac:dyDescent="0.2">
      <c r="A124" s="2">
        <v>44376</v>
      </c>
      <c r="B124" s="1">
        <f>VLOOKUP(A124,AAPL!A123:C1378,3)</f>
        <v>133.13999999999999</v>
      </c>
      <c r="C124" s="1">
        <f>VLOOKUP(A124,MSFT!A123:C1378,3)</f>
        <v>263.553</v>
      </c>
      <c r="D124" s="1">
        <f>VLOOKUP(A124,NVDA!A123:C1378,3)</f>
        <v>19.988299999999999</v>
      </c>
      <c r="E124" s="1">
        <f>VLOOKUP(A124,AMD!A123:C1378,3)</f>
        <v>89.52</v>
      </c>
      <c r="F124" s="1">
        <f>VLOOKUP(A124,AMZN!A123:C1378,3)</f>
        <v>172.40700000000001</v>
      </c>
      <c r="G124" s="1">
        <f>VLOOKUP(A124,TSLA!A123:C1378,3)</f>
        <v>226.92</v>
      </c>
      <c r="H124" s="1">
        <f>VLOOKUP(A124,GOOGL!A123:C1378,3)</f>
        <v>121.83</v>
      </c>
      <c r="I124" s="1">
        <f>VLOOKUP(A124,META!A123:C1378,3)</f>
        <v>351.89</v>
      </c>
      <c r="J124" s="1">
        <f>VLOOKUP(A124,Nasdaq!A123:C1378,3)</f>
        <v>14528.33</v>
      </c>
    </row>
    <row r="125" spans="1:10" x14ac:dyDescent="0.2">
      <c r="A125" s="2">
        <v>44377</v>
      </c>
      <c r="B125" s="1">
        <f>VLOOKUP(A125,AAPL!A124:C1379,3)</f>
        <v>133.756</v>
      </c>
      <c r="C125" s="1">
        <f>VLOOKUP(A125,MSFT!A124:C1379,3)</f>
        <v>263.06400000000002</v>
      </c>
      <c r="D125" s="1">
        <f>VLOOKUP(A125,NVDA!A124:C1379,3)</f>
        <v>19.9633</v>
      </c>
      <c r="E125" s="1">
        <f>VLOOKUP(A125,AMD!A124:C1379,3)</f>
        <v>93.93</v>
      </c>
      <c r="F125" s="1">
        <f>VLOOKUP(A125,AMZN!A124:C1379,3)</f>
        <v>172.00800000000001</v>
      </c>
      <c r="G125" s="1">
        <f>VLOOKUP(A125,TSLA!A124:C1379,3)</f>
        <v>226.56700000000001</v>
      </c>
      <c r="H125" s="1">
        <f>VLOOKUP(A125,GOOGL!A124:C1379,3)</f>
        <v>121.649</v>
      </c>
      <c r="I125" s="1">
        <f>VLOOKUP(A125,META!A124:C1379,3)</f>
        <v>347.71</v>
      </c>
      <c r="J125" s="1">
        <f>VLOOKUP(A125,Nasdaq!A124:C1379,3)</f>
        <v>14503.95</v>
      </c>
    </row>
    <row r="126" spans="1:10" x14ac:dyDescent="0.2">
      <c r="A126" s="2">
        <v>44378</v>
      </c>
      <c r="B126" s="1">
        <f>VLOOKUP(A126,AAPL!A125:C1380,3)</f>
        <v>134.054</v>
      </c>
      <c r="C126" s="1">
        <f>VLOOKUP(A126,MSFT!A125:C1380,3)</f>
        <v>263.73899999999998</v>
      </c>
      <c r="D126" s="1">
        <f>VLOOKUP(A126,NVDA!A125:C1380,3)</f>
        <v>20.172799999999999</v>
      </c>
      <c r="E126" s="1">
        <f>VLOOKUP(A126,AMD!A125:C1380,3)</f>
        <v>93.31</v>
      </c>
      <c r="F126" s="1">
        <f>VLOOKUP(A126,AMZN!A125:C1380,3)</f>
        <v>171.648</v>
      </c>
      <c r="G126" s="1">
        <f>VLOOKUP(A126,TSLA!A125:C1380,3)</f>
        <v>225.97300000000001</v>
      </c>
      <c r="H126" s="1">
        <f>VLOOKUP(A126,GOOGL!A125:C1380,3)</f>
        <v>122.002</v>
      </c>
      <c r="I126" s="1">
        <f>VLOOKUP(A126,META!A125:C1380,3)</f>
        <v>354.39</v>
      </c>
      <c r="J126" s="1">
        <f>VLOOKUP(A126,Nasdaq!A125:C1380,3)</f>
        <v>14522.38</v>
      </c>
    </row>
    <row r="127" spans="1:10" x14ac:dyDescent="0.2">
      <c r="A127" s="2">
        <v>44379</v>
      </c>
      <c r="B127" s="1">
        <f>VLOOKUP(A127,AAPL!A126:C1381,3)</f>
        <v>136.684</v>
      </c>
      <c r="C127" s="1">
        <f>VLOOKUP(A127,MSFT!A126:C1381,3)</f>
        <v>269.62</v>
      </c>
      <c r="D127" s="1">
        <f>VLOOKUP(A127,NVDA!A126:C1381,3)</f>
        <v>20.4465</v>
      </c>
      <c r="E127" s="1">
        <f>VLOOKUP(A127,AMD!A126:C1381,3)</f>
        <v>94.7</v>
      </c>
      <c r="F127" s="1">
        <f>VLOOKUP(A127,AMZN!A126:C1381,3)</f>
        <v>175.54900000000001</v>
      </c>
      <c r="G127" s="1">
        <f>VLOOKUP(A127,TSLA!A126:C1381,3)</f>
        <v>226.3</v>
      </c>
      <c r="H127" s="1">
        <f>VLOOKUP(A127,GOOGL!A126:C1381,3)</f>
        <v>124.80500000000001</v>
      </c>
      <c r="I127" s="1">
        <f>VLOOKUP(A127,META!A126:C1381,3)</f>
        <v>354.7</v>
      </c>
      <c r="J127" s="1">
        <f>VLOOKUP(A127,Nasdaq!A126:C1381,3)</f>
        <v>14639.33</v>
      </c>
    </row>
    <row r="128" spans="1:10" x14ac:dyDescent="0.2">
      <c r="A128" s="2">
        <v>44383</v>
      </c>
      <c r="B128" s="1">
        <f>VLOOKUP(A128,AAPL!A127:C1382,3)</f>
        <v>138.69</v>
      </c>
      <c r="C128" s="1">
        <f>VLOOKUP(A128,MSFT!A127:C1382,3)</f>
        <v>269.63</v>
      </c>
      <c r="D128" s="1">
        <f>VLOOKUP(A128,NVDA!A127:C1382,3)</f>
        <v>20.656199999999998</v>
      </c>
      <c r="E128" s="1">
        <f>VLOOKUP(A128,AMD!A127:C1382,3)</f>
        <v>94.47</v>
      </c>
      <c r="F128" s="1">
        <f>VLOOKUP(A128,AMZN!A127:C1382,3)</f>
        <v>183.78700000000001</v>
      </c>
      <c r="G128" s="1">
        <f>VLOOKUP(A128,TSLA!A127:C1382,3)</f>
        <v>219.86</v>
      </c>
      <c r="H128" s="1">
        <f>VLOOKUP(A128,GOOGL!A127:C1382,3)</f>
        <v>125.73399999999999</v>
      </c>
      <c r="I128" s="1">
        <f>VLOOKUP(A128,META!A127:C1382,3)</f>
        <v>352.78</v>
      </c>
      <c r="J128" s="1">
        <f>VLOOKUP(A128,Nasdaq!A127:C1382,3)</f>
        <v>14663.64</v>
      </c>
    </row>
    <row r="129" spans="1:10" x14ac:dyDescent="0.2">
      <c r="A129" s="2">
        <v>44384</v>
      </c>
      <c r="B129" s="1">
        <f>VLOOKUP(A129,AAPL!A128:C1383,3)</f>
        <v>141.18199999999999</v>
      </c>
      <c r="C129" s="1">
        <f>VLOOKUP(A129,MSFT!A128:C1383,3)</f>
        <v>271.83499999999998</v>
      </c>
      <c r="D129" s="1">
        <f>VLOOKUP(A129,NVDA!A128:C1383,3)</f>
        <v>20.332599999999999</v>
      </c>
      <c r="E129" s="1">
        <f>VLOOKUP(A129,AMD!A128:C1383,3)</f>
        <v>90.54</v>
      </c>
      <c r="F129" s="1">
        <f>VLOOKUP(A129,AMZN!A128:C1383,3)</f>
        <v>184.82900000000001</v>
      </c>
      <c r="G129" s="1">
        <f>VLOOKUP(A129,TSLA!A128:C1383,3)</f>
        <v>214.88300000000001</v>
      </c>
      <c r="H129" s="1">
        <f>VLOOKUP(A129,GOOGL!A128:C1383,3)</f>
        <v>126.018</v>
      </c>
      <c r="I129" s="1">
        <f>VLOOKUP(A129,META!A128:C1383,3)</f>
        <v>350.49</v>
      </c>
      <c r="J129" s="1">
        <f>VLOOKUP(A129,Nasdaq!A128:C1383,3)</f>
        <v>14665.06</v>
      </c>
    </row>
    <row r="130" spans="1:10" x14ac:dyDescent="0.2">
      <c r="A130" s="2">
        <v>44385</v>
      </c>
      <c r="B130" s="1">
        <f>VLOOKUP(A130,AAPL!A129:C1384,3)</f>
        <v>139.88499999999999</v>
      </c>
      <c r="C130" s="1">
        <f>VLOOKUP(A130,MSFT!A129:C1384,3)</f>
        <v>269.392</v>
      </c>
      <c r="D130" s="1">
        <f>VLOOKUP(A130,NVDA!A129:C1384,3)</f>
        <v>19.8644</v>
      </c>
      <c r="E130" s="1">
        <f>VLOOKUP(A130,AMD!A129:C1384,3)</f>
        <v>89.74</v>
      </c>
      <c r="F130" s="1">
        <f>VLOOKUP(A130,AMZN!A129:C1384,3)</f>
        <v>186.57</v>
      </c>
      <c r="G130" s="1">
        <f>VLOOKUP(A130,TSLA!A129:C1384,3)</f>
        <v>217.60300000000001</v>
      </c>
      <c r="H130" s="1">
        <f>VLOOKUP(A130,GOOGL!A129:C1384,3)</f>
        <v>124.592</v>
      </c>
      <c r="I130" s="1">
        <f>VLOOKUP(A130,META!A129:C1384,3)</f>
        <v>345.65</v>
      </c>
      <c r="J130" s="1">
        <f>VLOOKUP(A130,Nasdaq!A129:C1384,3)</f>
        <v>14559.79</v>
      </c>
    </row>
    <row r="131" spans="1:10" x14ac:dyDescent="0.2">
      <c r="A131" s="2">
        <v>44386</v>
      </c>
      <c r="B131" s="1">
        <f>VLOOKUP(A131,AAPL!A130:C1385,3)</f>
        <v>141.715</v>
      </c>
      <c r="C131" s="1">
        <f>VLOOKUP(A131,MSFT!A130:C1385,3)</f>
        <v>269.90199999999999</v>
      </c>
      <c r="D131" s="1">
        <f>VLOOKUP(A131,NVDA!A130:C1385,3)</f>
        <v>20.011199999999999</v>
      </c>
      <c r="E131" s="1">
        <f>VLOOKUP(A131,AMD!A130:C1385,3)</f>
        <v>90.9</v>
      </c>
      <c r="F131" s="1">
        <f>VLOOKUP(A131,AMZN!A130:C1385,3)</f>
        <v>185.96700000000001</v>
      </c>
      <c r="G131" s="1">
        <f>VLOOKUP(A131,TSLA!A130:C1385,3)</f>
        <v>218.983</v>
      </c>
      <c r="H131" s="1">
        <f>VLOOKUP(A131,GOOGL!A130:C1385,3)</f>
        <v>125.065</v>
      </c>
      <c r="I131" s="1">
        <f>VLOOKUP(A131,META!A130:C1385,3)</f>
        <v>350.42</v>
      </c>
      <c r="J131" s="1">
        <f>VLOOKUP(A131,Nasdaq!A130:C1385,3)</f>
        <v>14701.92</v>
      </c>
    </row>
    <row r="132" spans="1:10" x14ac:dyDescent="0.2">
      <c r="A132" s="2">
        <v>44389</v>
      </c>
      <c r="B132" s="1">
        <f>VLOOKUP(A132,AAPL!A131:C1386,3)</f>
        <v>141.113</v>
      </c>
      <c r="C132" s="1">
        <f>VLOOKUP(A132,MSFT!A131:C1386,3)</f>
        <v>269.29399999999998</v>
      </c>
      <c r="D132" s="1">
        <f>VLOOKUP(A132,NVDA!A131:C1386,3)</f>
        <v>20.471399999999999</v>
      </c>
      <c r="E132" s="1">
        <f>VLOOKUP(A132,AMD!A131:C1386,3)</f>
        <v>90.81</v>
      </c>
      <c r="F132" s="1">
        <f>VLOOKUP(A132,AMZN!A131:C1386,3)</f>
        <v>185.928</v>
      </c>
      <c r="G132" s="1">
        <f>VLOOKUP(A132,TSLA!A131:C1386,3)</f>
        <v>228.56700000000001</v>
      </c>
      <c r="H132" s="1">
        <f>VLOOKUP(A132,GOOGL!A131:C1386,3)</f>
        <v>126.517</v>
      </c>
      <c r="I132" s="1">
        <f>VLOOKUP(A132,META!A131:C1386,3)</f>
        <v>353.16</v>
      </c>
      <c r="J132" s="1">
        <f>VLOOKUP(A132,Nasdaq!A131:C1386,3)</f>
        <v>14733.24</v>
      </c>
    </row>
    <row r="133" spans="1:10" x14ac:dyDescent="0.2">
      <c r="A133" s="2">
        <v>44390</v>
      </c>
      <c r="B133" s="1">
        <f>VLOOKUP(A133,AAPL!A132:C1387,3)</f>
        <v>142.233</v>
      </c>
      <c r="C133" s="1">
        <f>VLOOKUP(A133,MSFT!A132:C1387,3)</f>
        <v>272.85199999999998</v>
      </c>
      <c r="D133" s="1">
        <f>VLOOKUP(A133,NVDA!A132:C1387,3)</f>
        <v>20.210799999999999</v>
      </c>
      <c r="E133" s="1">
        <f>VLOOKUP(A133,AMD!A132:C1387,3)</f>
        <v>90.26</v>
      </c>
      <c r="F133" s="1">
        <f>VLOOKUP(A133,AMZN!A132:C1387,3)</f>
        <v>183.86799999999999</v>
      </c>
      <c r="G133" s="1">
        <f>VLOOKUP(A133,TSLA!A132:C1387,3)</f>
        <v>222.84700000000001</v>
      </c>
      <c r="H133" s="1">
        <f>VLOOKUP(A133,GOOGL!A132:C1387,3)</f>
        <v>126.88200000000001</v>
      </c>
      <c r="I133" s="1">
        <f>VLOOKUP(A133,META!A132:C1387,3)</f>
        <v>352.09</v>
      </c>
      <c r="J133" s="1">
        <f>VLOOKUP(A133,Nasdaq!A132:C1387,3)</f>
        <v>14677.65</v>
      </c>
    </row>
    <row r="134" spans="1:10" x14ac:dyDescent="0.2">
      <c r="A134" s="2">
        <v>44391</v>
      </c>
      <c r="B134" s="1">
        <f>VLOOKUP(A134,AAPL!A133:C1388,3)</f>
        <v>145.65199999999999</v>
      </c>
      <c r="C134" s="1">
        <f>VLOOKUP(A134,MSFT!A133:C1388,3)</f>
        <v>274.34500000000003</v>
      </c>
      <c r="D134" s="1">
        <f>VLOOKUP(A134,NVDA!A133:C1388,3)</f>
        <v>19.804400000000001</v>
      </c>
      <c r="E134" s="1">
        <f>VLOOKUP(A134,AMD!A133:C1388,3)</f>
        <v>89.05</v>
      </c>
      <c r="F134" s="1">
        <f>VLOOKUP(A134,AMZN!A133:C1388,3)</f>
        <v>184.084</v>
      </c>
      <c r="G134" s="1">
        <f>VLOOKUP(A134,TSLA!A133:C1388,3)</f>
        <v>217.79300000000001</v>
      </c>
      <c r="H134" s="1">
        <f>VLOOKUP(A134,GOOGL!A133:C1388,3)</f>
        <v>127.774</v>
      </c>
      <c r="I134" s="1">
        <f>VLOOKUP(A134,META!A133:C1388,3)</f>
        <v>347.63</v>
      </c>
      <c r="J134" s="1">
        <f>VLOOKUP(A134,Nasdaq!A133:C1388,3)</f>
        <v>14644.95</v>
      </c>
    </row>
    <row r="135" spans="1:10" x14ac:dyDescent="0.2">
      <c r="A135" s="2">
        <v>44392</v>
      </c>
      <c r="B135" s="1">
        <f>VLOOKUP(A135,AAPL!A134:C1389,3)</f>
        <v>144.99199999999999</v>
      </c>
      <c r="C135" s="1">
        <f>VLOOKUP(A135,MSFT!A134:C1389,3)</f>
        <v>272.90100000000001</v>
      </c>
      <c r="D135" s="1">
        <f>VLOOKUP(A135,NVDA!A134:C1389,3)</f>
        <v>18.9297</v>
      </c>
      <c r="E135" s="1">
        <f>VLOOKUP(A135,AMD!A134:C1389,3)</f>
        <v>86.93</v>
      </c>
      <c r="F135" s="1">
        <f>VLOOKUP(A135,AMZN!A134:C1389,3)</f>
        <v>181.56</v>
      </c>
      <c r="G135" s="1">
        <f>VLOOKUP(A135,TSLA!A134:C1389,3)</f>
        <v>216.86699999999999</v>
      </c>
      <c r="H135" s="1">
        <f>VLOOKUP(A135,GOOGL!A134:C1389,3)</f>
        <v>126.54600000000001</v>
      </c>
      <c r="I135" s="1">
        <f>VLOOKUP(A135,META!A134:C1389,3)</f>
        <v>344.46</v>
      </c>
      <c r="J135" s="1">
        <f>VLOOKUP(A135,Nasdaq!A134:C1389,3)</f>
        <v>14543.13</v>
      </c>
    </row>
    <row r="136" spans="1:10" x14ac:dyDescent="0.2">
      <c r="A136" s="2">
        <v>44393</v>
      </c>
      <c r="B136" s="1">
        <f>VLOOKUP(A136,AAPL!A135:C1390,3)</f>
        <v>142.96100000000001</v>
      </c>
      <c r="C136" s="1">
        <f>VLOOKUP(A136,MSFT!A135:C1390,3)</f>
        <v>272.62599999999998</v>
      </c>
      <c r="D136" s="1">
        <f>VLOOKUP(A136,NVDA!A135:C1390,3)</f>
        <v>18.125900000000001</v>
      </c>
      <c r="E136" s="1">
        <f>VLOOKUP(A136,AMD!A135:C1390,3)</f>
        <v>85.89</v>
      </c>
      <c r="F136" s="1">
        <f>VLOOKUP(A136,AMZN!A135:C1390,3)</f>
        <v>178.68199999999999</v>
      </c>
      <c r="G136" s="1">
        <f>VLOOKUP(A136,TSLA!A135:C1390,3)</f>
        <v>214.74</v>
      </c>
      <c r="H136" s="1">
        <f>VLOOKUP(A136,GOOGL!A135:C1390,3)</f>
        <v>126.511</v>
      </c>
      <c r="I136" s="1">
        <f>VLOOKUP(A136,META!A135:C1390,3)</f>
        <v>341.16</v>
      </c>
      <c r="J136" s="1">
        <f>VLOOKUP(A136,Nasdaq!A135:C1390,3)</f>
        <v>14427.24</v>
      </c>
    </row>
    <row r="137" spans="1:10" x14ac:dyDescent="0.2">
      <c r="A137" s="2">
        <v>44396</v>
      </c>
      <c r="B137" s="1">
        <f>VLOOKUP(A137,AAPL!A136:C1391,3)</f>
        <v>139.11099999999999</v>
      </c>
      <c r="C137" s="1">
        <f>VLOOKUP(A137,MSFT!A136:C1391,3)</f>
        <v>269.00299999999999</v>
      </c>
      <c r="D137" s="1">
        <f>VLOOKUP(A137,NVDA!A136:C1391,3)</f>
        <v>18.7441</v>
      </c>
      <c r="E137" s="1">
        <f>VLOOKUP(A137,AMD!A136:C1391,3)</f>
        <v>86.58</v>
      </c>
      <c r="F137" s="1">
        <f>VLOOKUP(A137,AMZN!A136:C1391,3)</f>
        <v>177.48</v>
      </c>
      <c r="G137" s="1">
        <f>VLOOKUP(A137,TSLA!A136:C1391,3)</f>
        <v>215.40700000000001</v>
      </c>
      <c r="H137" s="1">
        <f>VLOOKUP(A137,GOOGL!A136:C1391,3)</f>
        <v>124.128</v>
      </c>
      <c r="I137" s="1">
        <f>VLOOKUP(A137,META!A136:C1391,3)</f>
        <v>336.95</v>
      </c>
      <c r="J137" s="1">
        <f>VLOOKUP(A137,Nasdaq!A136:C1391,3)</f>
        <v>14274.98</v>
      </c>
    </row>
    <row r="138" spans="1:10" x14ac:dyDescent="0.2">
      <c r="A138" s="2">
        <v>44397</v>
      </c>
      <c r="B138" s="1">
        <f>VLOOKUP(A138,AAPL!A137:C1392,3)</f>
        <v>142.72399999999999</v>
      </c>
      <c r="C138" s="1">
        <f>VLOOKUP(A138,MSFT!A137:C1392,3)</f>
        <v>271.24900000000002</v>
      </c>
      <c r="D138" s="1">
        <f>VLOOKUP(A138,NVDA!A137:C1392,3)</f>
        <v>18.5763</v>
      </c>
      <c r="E138" s="1">
        <f>VLOOKUP(A138,AMD!A137:C1392,3)</f>
        <v>87.11</v>
      </c>
      <c r="F138" s="1">
        <f>VLOOKUP(A138,AMZN!A137:C1392,3)</f>
        <v>178.66</v>
      </c>
      <c r="G138" s="1">
        <f>VLOOKUP(A138,TSLA!A137:C1392,3)</f>
        <v>220.167</v>
      </c>
      <c r="H138" s="1">
        <f>VLOOKUP(A138,GOOGL!A137:C1392,3)</f>
        <v>125.754</v>
      </c>
      <c r="I138" s="1">
        <f>VLOOKUP(A138,META!A137:C1392,3)</f>
        <v>341.66</v>
      </c>
      <c r="J138" s="1">
        <f>VLOOKUP(A138,Nasdaq!A137:C1392,3)</f>
        <v>14498.88</v>
      </c>
    </row>
    <row r="139" spans="1:10" x14ac:dyDescent="0.2">
      <c r="A139" s="2">
        <v>44398</v>
      </c>
      <c r="B139" s="1">
        <f>VLOOKUP(A139,AAPL!A138:C1393,3)</f>
        <v>141.99600000000001</v>
      </c>
      <c r="C139" s="1">
        <f>VLOOKUP(A139,MSFT!A138:C1393,3)</f>
        <v>273.26100000000002</v>
      </c>
      <c r="D139" s="1">
        <f>VLOOKUP(A139,NVDA!A138:C1393,3)</f>
        <v>19.373000000000001</v>
      </c>
      <c r="E139" s="1">
        <f>VLOOKUP(A139,AMD!A138:C1393,3)</f>
        <v>89.41</v>
      </c>
      <c r="F139" s="1">
        <f>VLOOKUP(A139,AMZN!A138:C1393,3)</f>
        <v>179.26</v>
      </c>
      <c r="G139" s="1">
        <f>VLOOKUP(A139,TSLA!A138:C1393,3)</f>
        <v>218.43</v>
      </c>
      <c r="H139" s="1">
        <f>VLOOKUP(A139,GOOGL!A138:C1393,3)</f>
        <v>127.08799999999999</v>
      </c>
      <c r="I139" s="1">
        <f>VLOOKUP(A139,META!A138:C1393,3)</f>
        <v>346.23</v>
      </c>
      <c r="J139" s="1">
        <f>VLOOKUP(A139,Nasdaq!A138:C1393,3)</f>
        <v>14631.95</v>
      </c>
    </row>
    <row r="140" spans="1:10" x14ac:dyDescent="0.2">
      <c r="A140" s="2">
        <v>44399</v>
      </c>
      <c r="B140" s="1">
        <f>VLOOKUP(A140,AAPL!A139:C1394,3)</f>
        <v>143.364</v>
      </c>
      <c r="C140" s="1">
        <f>VLOOKUP(A140,MSFT!A139:C1394,3)</f>
        <v>277.86099999999999</v>
      </c>
      <c r="D140" s="1">
        <f>VLOOKUP(A140,NVDA!A139:C1394,3)</f>
        <v>19.556999999999999</v>
      </c>
      <c r="E140" s="1">
        <f>VLOOKUP(A140,AMD!A139:C1394,3)</f>
        <v>91.21</v>
      </c>
      <c r="F140" s="1">
        <f>VLOOKUP(A140,AMZN!A139:C1394,3)</f>
        <v>181.90199999999999</v>
      </c>
      <c r="G140" s="1">
        <f>VLOOKUP(A140,TSLA!A139:C1394,3)</f>
        <v>216.42</v>
      </c>
      <c r="H140" s="1">
        <f>VLOOKUP(A140,GOOGL!A139:C1394,3)</f>
        <v>127.95699999999999</v>
      </c>
      <c r="I140" s="1">
        <f>VLOOKUP(A140,META!A139:C1394,3)</f>
        <v>351.19</v>
      </c>
      <c r="J140" s="1">
        <f>VLOOKUP(A140,Nasdaq!A139:C1394,3)</f>
        <v>14684.6</v>
      </c>
    </row>
    <row r="141" spans="1:10" x14ac:dyDescent="0.2">
      <c r="A141" s="2">
        <v>44400</v>
      </c>
      <c r="B141" s="1">
        <f>VLOOKUP(A141,AAPL!A140:C1395,3)</f>
        <v>145.072</v>
      </c>
      <c r="C141" s="1">
        <f>VLOOKUP(A141,MSFT!A140:C1395,3)</f>
        <v>281.291</v>
      </c>
      <c r="D141" s="1">
        <f>VLOOKUP(A141,NVDA!A140:C1395,3)</f>
        <v>19.521000000000001</v>
      </c>
      <c r="E141" s="1">
        <f>VLOOKUP(A141,AMD!A140:C1395,3)</f>
        <v>92.15</v>
      </c>
      <c r="F141" s="1">
        <f>VLOOKUP(A141,AMZN!A140:C1395,3)</f>
        <v>182.83199999999999</v>
      </c>
      <c r="G141" s="1">
        <f>VLOOKUP(A141,TSLA!A140:C1395,3)</f>
        <v>214.46</v>
      </c>
      <c r="H141" s="1">
        <f>VLOOKUP(A141,GOOGL!A140:C1395,3)</f>
        <v>132.535</v>
      </c>
      <c r="I141" s="1">
        <f>VLOOKUP(A141,META!A140:C1395,3)</f>
        <v>369.79</v>
      </c>
      <c r="J141" s="1">
        <f>VLOOKUP(A141,Nasdaq!A140:C1395,3)</f>
        <v>14836.99</v>
      </c>
    </row>
    <row r="142" spans="1:10" x14ac:dyDescent="0.2">
      <c r="A142" s="2">
        <v>44403</v>
      </c>
      <c r="B142" s="1">
        <f>VLOOKUP(A142,AAPL!A141:C1396,3)</f>
        <v>145.495</v>
      </c>
      <c r="C142" s="1">
        <f>VLOOKUP(A142,MSFT!A141:C1396,3)</f>
        <v>280.69400000000002</v>
      </c>
      <c r="D142" s="1">
        <f>VLOOKUP(A142,NVDA!A141:C1396,3)</f>
        <v>19.257300000000001</v>
      </c>
      <c r="E142" s="1">
        <f>VLOOKUP(A142,AMD!A141:C1396,3)</f>
        <v>91.82</v>
      </c>
      <c r="F142" s="1">
        <f>VLOOKUP(A142,AMZN!A141:C1396,3)</f>
        <v>184.99100000000001</v>
      </c>
      <c r="G142" s="1">
        <f>VLOOKUP(A142,TSLA!A141:C1396,3)</f>
        <v>219.20699999999999</v>
      </c>
      <c r="H142" s="1">
        <f>VLOOKUP(A142,GOOGL!A141:C1396,3)</f>
        <v>133.55099999999999</v>
      </c>
      <c r="I142" s="1">
        <f>VLOOKUP(A142,META!A141:C1396,3)</f>
        <v>372.46</v>
      </c>
      <c r="J142" s="1">
        <f>VLOOKUP(A142,Nasdaq!A141:C1396,3)</f>
        <v>14840.71</v>
      </c>
    </row>
    <row r="143" spans="1:10" x14ac:dyDescent="0.2">
      <c r="A143" s="2">
        <v>44404</v>
      </c>
      <c r="B143" s="1">
        <f>VLOOKUP(A143,AAPL!A142:C1397,3)</f>
        <v>143.334</v>
      </c>
      <c r="C143" s="1">
        <f>VLOOKUP(A143,MSFT!A142:C1397,3)</f>
        <v>278.25200000000001</v>
      </c>
      <c r="D143" s="1">
        <f>VLOOKUP(A143,NVDA!A142:C1397,3)</f>
        <v>19.171299999999999</v>
      </c>
      <c r="E143" s="1">
        <f>VLOOKUP(A143,AMD!A142:C1397,3)</f>
        <v>91.03</v>
      </c>
      <c r="F143" s="1">
        <f>VLOOKUP(A143,AMZN!A142:C1397,3)</f>
        <v>181.32</v>
      </c>
      <c r="G143" s="1">
        <f>VLOOKUP(A143,TSLA!A142:C1397,3)</f>
        <v>214.92699999999999</v>
      </c>
      <c r="H143" s="1">
        <f>VLOOKUP(A143,GOOGL!A142:C1397,3)</f>
        <v>131.423</v>
      </c>
      <c r="I143" s="1">
        <f>VLOOKUP(A143,META!A142:C1397,3)</f>
        <v>367.81</v>
      </c>
      <c r="J143" s="1">
        <f>VLOOKUP(A143,Nasdaq!A142:C1397,3)</f>
        <v>14660.58</v>
      </c>
    </row>
    <row r="144" spans="1:10" x14ac:dyDescent="0.2">
      <c r="A144" s="2">
        <v>44405</v>
      </c>
      <c r="B144" s="1">
        <f>VLOOKUP(A144,AAPL!A143:C1398,3)</f>
        <v>141.58799999999999</v>
      </c>
      <c r="C144" s="1">
        <f>VLOOKUP(A144,MSFT!A143:C1398,3)</f>
        <v>277.94099999999997</v>
      </c>
      <c r="D144" s="1">
        <f>VLOOKUP(A144,NVDA!A143:C1398,3)</f>
        <v>19.466000000000001</v>
      </c>
      <c r="E144" s="1">
        <f>VLOOKUP(A144,AMD!A143:C1398,3)</f>
        <v>97.93</v>
      </c>
      <c r="F144" s="1">
        <f>VLOOKUP(A144,AMZN!A143:C1398,3)</f>
        <v>181.51599999999999</v>
      </c>
      <c r="G144" s="1">
        <f>VLOOKUP(A144,TSLA!A143:C1398,3)</f>
        <v>215.66</v>
      </c>
      <c r="H144" s="1">
        <f>VLOOKUP(A144,GOOGL!A143:C1398,3)</f>
        <v>135.60300000000001</v>
      </c>
      <c r="I144" s="1">
        <f>VLOOKUP(A144,META!A143:C1398,3)</f>
        <v>373.28</v>
      </c>
      <c r="J144" s="1">
        <f>VLOOKUP(A144,Nasdaq!A143:C1398,3)</f>
        <v>14762.58</v>
      </c>
    </row>
    <row r="145" spans="1:10" x14ac:dyDescent="0.2">
      <c r="A145" s="2">
        <v>44406</v>
      </c>
      <c r="B145" s="1">
        <f>VLOOKUP(A145,AAPL!A144:C1399,3)</f>
        <v>142.233</v>
      </c>
      <c r="C145" s="1">
        <f>VLOOKUP(A145,MSFT!A144:C1399,3)</f>
        <v>278.21300000000002</v>
      </c>
      <c r="D145" s="1">
        <f>VLOOKUP(A145,NVDA!A144:C1399,3)</f>
        <v>19.6248</v>
      </c>
      <c r="E145" s="1">
        <f>VLOOKUP(A145,AMD!A144:C1399,3)</f>
        <v>102.95</v>
      </c>
      <c r="F145" s="1">
        <f>VLOOKUP(A145,AMZN!A144:C1399,3)</f>
        <v>179.99600000000001</v>
      </c>
      <c r="G145" s="1">
        <f>VLOOKUP(A145,TSLA!A144:C1399,3)</f>
        <v>225.78299999999999</v>
      </c>
      <c r="H145" s="1">
        <f>VLOOKUP(A145,GOOGL!A144:C1399,3)</f>
        <v>135.28700000000001</v>
      </c>
      <c r="I145" s="1">
        <f>VLOOKUP(A145,META!A144:C1399,3)</f>
        <v>358.32</v>
      </c>
      <c r="J145" s="1">
        <f>VLOOKUP(A145,Nasdaq!A144:C1399,3)</f>
        <v>14778.26</v>
      </c>
    </row>
    <row r="146" spans="1:10" x14ac:dyDescent="0.2">
      <c r="A146" s="2">
        <v>44407</v>
      </c>
      <c r="B146" s="1">
        <f>VLOOKUP(A146,AAPL!A145:C1400,3)</f>
        <v>142.44200000000001</v>
      </c>
      <c r="C146" s="1">
        <f>VLOOKUP(A146,MSFT!A145:C1400,3)</f>
        <v>276.66800000000001</v>
      </c>
      <c r="D146" s="1">
        <f>VLOOKUP(A146,NVDA!A145:C1400,3)</f>
        <v>19.462</v>
      </c>
      <c r="E146" s="1">
        <f>VLOOKUP(A146,AMD!A145:C1400,3)</f>
        <v>106.19</v>
      </c>
      <c r="F146" s="1">
        <f>VLOOKUP(A146,AMZN!A145:C1400,3)</f>
        <v>166.38</v>
      </c>
      <c r="G146" s="1">
        <f>VLOOKUP(A146,TSLA!A145:C1400,3)</f>
        <v>229.06700000000001</v>
      </c>
      <c r="H146" s="1">
        <f>VLOOKUP(A146,GOOGL!A145:C1400,3)</f>
        <v>134.24100000000001</v>
      </c>
      <c r="I146" s="1">
        <f>VLOOKUP(A146,META!A145:C1400,3)</f>
        <v>356.3</v>
      </c>
      <c r="J146" s="1">
        <f>VLOOKUP(A146,Nasdaq!A145:C1400,3)</f>
        <v>14672.68</v>
      </c>
    </row>
    <row r="147" spans="1:10" x14ac:dyDescent="0.2">
      <c r="A147" s="2">
        <v>44410</v>
      </c>
      <c r="B147" s="1">
        <f>VLOOKUP(A147,AAPL!A146:C1401,3)</f>
        <v>142.11600000000001</v>
      </c>
      <c r="C147" s="1">
        <f>VLOOKUP(A147,MSFT!A146:C1401,3)</f>
        <v>276.58199999999999</v>
      </c>
      <c r="D147" s="1">
        <f>VLOOKUP(A147,NVDA!A146:C1401,3)</f>
        <v>19.712599999999998</v>
      </c>
      <c r="E147" s="1">
        <f>VLOOKUP(A147,AMD!A146:C1401,3)</f>
        <v>108.63</v>
      </c>
      <c r="F147" s="1">
        <f>VLOOKUP(A147,AMZN!A146:C1401,3)</f>
        <v>166.57400000000001</v>
      </c>
      <c r="G147" s="1">
        <f>VLOOKUP(A147,TSLA!A146:C1401,3)</f>
        <v>236.55699999999999</v>
      </c>
      <c r="H147" s="1">
        <f>VLOOKUP(A147,GOOGL!A146:C1401,3)</f>
        <v>134.36600000000001</v>
      </c>
      <c r="I147" s="1">
        <f>VLOOKUP(A147,META!A146:C1401,3)</f>
        <v>351.95</v>
      </c>
      <c r="J147" s="1">
        <f>VLOOKUP(A147,Nasdaq!A146:C1401,3)</f>
        <v>14681.07</v>
      </c>
    </row>
    <row r="148" spans="1:10" x14ac:dyDescent="0.2">
      <c r="A148" s="2">
        <v>44411</v>
      </c>
      <c r="B148" s="1">
        <f>VLOOKUP(A148,AAPL!A147:C1402,3)</f>
        <v>143.905</v>
      </c>
      <c r="C148" s="1">
        <f>VLOOKUP(A148,MSFT!A147:C1402,3)</f>
        <v>278.81799999999998</v>
      </c>
      <c r="D148" s="1">
        <f>VLOOKUP(A148,NVDA!A147:C1402,3)</f>
        <v>19.7775</v>
      </c>
      <c r="E148" s="1">
        <f>VLOOKUP(A148,AMD!A147:C1402,3)</f>
        <v>112.56</v>
      </c>
      <c r="F148" s="1">
        <f>VLOOKUP(A148,AMZN!A147:C1402,3)</f>
        <v>168.31200000000001</v>
      </c>
      <c r="G148" s="1">
        <f>VLOOKUP(A148,TSLA!A147:C1402,3)</f>
        <v>236.58</v>
      </c>
      <c r="H148" s="1">
        <f>VLOOKUP(A148,GOOGL!A147:C1402,3)</f>
        <v>135.13999999999999</v>
      </c>
      <c r="I148" s="1">
        <f>VLOOKUP(A148,META!A147:C1402,3)</f>
        <v>351.24</v>
      </c>
      <c r="J148" s="1">
        <f>VLOOKUP(A148,Nasdaq!A147:C1402,3)</f>
        <v>14761.29</v>
      </c>
    </row>
    <row r="149" spans="1:10" x14ac:dyDescent="0.2">
      <c r="A149" s="2">
        <v>44412</v>
      </c>
      <c r="B149" s="1">
        <f>VLOOKUP(A149,AAPL!A148:C1403,3)</f>
        <v>143.50899999999999</v>
      </c>
      <c r="C149" s="1">
        <f>VLOOKUP(A149,MSFT!A148:C1403,3)</f>
        <v>278.22300000000001</v>
      </c>
      <c r="D149" s="1">
        <f>VLOOKUP(A149,NVDA!A148:C1403,3)</f>
        <v>20.2348</v>
      </c>
      <c r="E149" s="1">
        <f>VLOOKUP(A149,AMD!A148:C1403,3)</f>
        <v>118.77</v>
      </c>
      <c r="F149" s="1">
        <f>VLOOKUP(A149,AMZN!A148:C1403,3)</f>
        <v>167.73599999999999</v>
      </c>
      <c r="G149" s="1">
        <f>VLOOKUP(A149,TSLA!A148:C1403,3)</f>
        <v>236.97300000000001</v>
      </c>
      <c r="H149" s="1">
        <f>VLOOKUP(A149,GOOGL!A148:C1403,3)</f>
        <v>134.63800000000001</v>
      </c>
      <c r="I149" s="1">
        <f>VLOOKUP(A149,META!A148:C1403,3)</f>
        <v>358.92</v>
      </c>
      <c r="J149" s="1">
        <f>VLOOKUP(A149,Nasdaq!A148:C1403,3)</f>
        <v>14780.53</v>
      </c>
    </row>
    <row r="150" spans="1:10" x14ac:dyDescent="0.2">
      <c r="A150" s="2">
        <v>44413</v>
      </c>
      <c r="B150" s="1">
        <f>VLOOKUP(A150,AAPL!A149:C1404,3)</f>
        <v>143.619</v>
      </c>
      <c r="C150" s="1">
        <f>VLOOKUP(A150,MSFT!A149:C1404,3)</f>
        <v>281.14299999999997</v>
      </c>
      <c r="D150" s="1">
        <f>VLOOKUP(A150,NVDA!A149:C1404,3)</f>
        <v>20.595199999999998</v>
      </c>
      <c r="E150" s="1">
        <f>VLOOKUP(A150,AMD!A149:C1404,3)</f>
        <v>112.35</v>
      </c>
      <c r="F150" s="1">
        <f>VLOOKUP(A150,AMZN!A149:C1404,3)</f>
        <v>168.8</v>
      </c>
      <c r="G150" s="1">
        <f>VLOOKUP(A150,TSLA!A149:C1404,3)</f>
        <v>238.21</v>
      </c>
      <c r="H150" s="1">
        <f>VLOOKUP(A150,GOOGL!A149:C1404,3)</f>
        <v>135.76</v>
      </c>
      <c r="I150" s="1">
        <f>VLOOKUP(A150,META!A149:C1404,3)</f>
        <v>362.97</v>
      </c>
      <c r="J150" s="1">
        <f>VLOOKUP(A150,Nasdaq!A149:C1404,3)</f>
        <v>14895.12</v>
      </c>
    </row>
    <row r="151" spans="1:10" x14ac:dyDescent="0.2">
      <c r="A151" s="2">
        <v>44414</v>
      </c>
      <c r="B151" s="1">
        <f>VLOOKUP(A151,AAPL!A150:C1405,3)</f>
        <v>142.93100000000001</v>
      </c>
      <c r="C151" s="1">
        <f>VLOOKUP(A151,MSFT!A150:C1405,3)</f>
        <v>281.08300000000003</v>
      </c>
      <c r="D151" s="1">
        <f>VLOOKUP(A151,NVDA!A150:C1405,3)</f>
        <v>20.326599999999999</v>
      </c>
      <c r="E151" s="1">
        <f>VLOOKUP(A151,AMD!A150:C1405,3)</f>
        <v>110.11</v>
      </c>
      <c r="F151" s="1">
        <f>VLOOKUP(A151,AMZN!A150:C1405,3)</f>
        <v>167.24700000000001</v>
      </c>
      <c r="G151" s="1">
        <f>VLOOKUP(A151,TSLA!A150:C1405,3)</f>
        <v>233.03299999999999</v>
      </c>
      <c r="H151" s="1">
        <f>VLOOKUP(A151,GOOGL!A150:C1405,3)</f>
        <v>135.24700000000001</v>
      </c>
      <c r="I151" s="1">
        <f>VLOOKUP(A151,META!A150:C1405,3)</f>
        <v>363.51</v>
      </c>
      <c r="J151" s="1">
        <f>VLOOKUP(A151,Nasdaq!A150:C1405,3)</f>
        <v>14835.76</v>
      </c>
    </row>
    <row r="152" spans="1:10" x14ac:dyDescent="0.2">
      <c r="A152" s="2">
        <v>44417</v>
      </c>
      <c r="B152" s="1">
        <f>VLOOKUP(A152,AAPL!A151:C1406,3)</f>
        <v>142.881</v>
      </c>
      <c r="C152" s="1">
        <f>VLOOKUP(A152,MSFT!A151:C1406,3)</f>
        <v>279.99099999999999</v>
      </c>
      <c r="D152" s="1">
        <f>VLOOKUP(A152,NVDA!A151:C1406,3)</f>
        <v>20.255700000000001</v>
      </c>
      <c r="E152" s="1">
        <f>VLOOKUP(A152,AMD!A151:C1406,3)</f>
        <v>107.58</v>
      </c>
      <c r="F152" s="1">
        <f>VLOOKUP(A152,AMZN!A151:C1406,3)</f>
        <v>167.09399999999999</v>
      </c>
      <c r="G152" s="1">
        <f>VLOOKUP(A152,TSLA!A151:C1406,3)</f>
        <v>237.92</v>
      </c>
      <c r="H152" s="1">
        <f>VLOOKUP(A152,GOOGL!A151:C1406,3)</f>
        <v>136.41900000000001</v>
      </c>
      <c r="I152" s="1">
        <f>VLOOKUP(A152,META!A151:C1406,3)</f>
        <v>361.61</v>
      </c>
      <c r="J152" s="1">
        <f>VLOOKUP(A152,Nasdaq!A151:C1406,3)</f>
        <v>14860.18</v>
      </c>
    </row>
    <row r="153" spans="1:10" x14ac:dyDescent="0.2">
      <c r="A153" s="2">
        <v>44418</v>
      </c>
      <c r="B153" s="1">
        <f>VLOOKUP(A153,AAPL!A152:C1407,3)</f>
        <v>142.41300000000001</v>
      </c>
      <c r="C153" s="1">
        <f>VLOOKUP(A153,MSFT!A152:C1407,3)</f>
        <v>278.154</v>
      </c>
      <c r="D153" s="1">
        <f>VLOOKUP(A153,NVDA!A152:C1407,3)</f>
        <v>19.897400000000001</v>
      </c>
      <c r="E153" s="1">
        <f>VLOOKUP(A153,AMD!A152:C1407,3)</f>
        <v>106.48</v>
      </c>
      <c r="F153" s="1">
        <f>VLOOKUP(A153,AMZN!A152:C1407,3)</f>
        <v>166.03399999999999</v>
      </c>
      <c r="G153" s="1">
        <f>VLOOKUP(A153,TSLA!A152:C1407,3)</f>
        <v>236.66300000000001</v>
      </c>
      <c r="H153" s="1">
        <f>VLOOKUP(A153,GOOGL!A152:C1407,3)</f>
        <v>136.31299999999999</v>
      </c>
      <c r="I153" s="1">
        <f>VLOOKUP(A153,META!A152:C1407,3)</f>
        <v>361.13</v>
      </c>
      <c r="J153" s="1">
        <f>VLOOKUP(A153,Nasdaq!A152:C1407,3)</f>
        <v>14788.09</v>
      </c>
    </row>
    <row r="154" spans="1:10" x14ac:dyDescent="0.2">
      <c r="A154" s="2">
        <v>44419</v>
      </c>
      <c r="B154" s="1">
        <f>VLOOKUP(A154,AAPL!A153:C1408,3)</f>
        <v>142.65600000000001</v>
      </c>
      <c r="C154" s="1">
        <f>VLOOKUP(A154,MSFT!A153:C1408,3)</f>
        <v>278.65199999999999</v>
      </c>
      <c r="D154" s="1">
        <f>VLOOKUP(A154,NVDA!A153:C1408,3)</f>
        <v>19.661799999999999</v>
      </c>
      <c r="E154" s="1">
        <f>VLOOKUP(A154,AMD!A153:C1408,3)</f>
        <v>107.68</v>
      </c>
      <c r="F154" s="1">
        <f>VLOOKUP(A154,AMZN!A153:C1408,3)</f>
        <v>164.60599999999999</v>
      </c>
      <c r="G154" s="1">
        <f>VLOOKUP(A154,TSLA!A153:C1408,3)</f>
        <v>235.94</v>
      </c>
      <c r="H154" s="1">
        <f>VLOOKUP(A154,GOOGL!A153:C1408,3)</f>
        <v>135.78700000000001</v>
      </c>
      <c r="I154" s="1">
        <f>VLOOKUP(A154,META!A153:C1408,3)</f>
        <v>359.96</v>
      </c>
      <c r="J154" s="1">
        <f>VLOOKUP(A154,Nasdaq!A153:C1408,3)</f>
        <v>14765.13</v>
      </c>
    </row>
    <row r="155" spans="1:10" x14ac:dyDescent="0.2">
      <c r="A155" s="2">
        <v>44420</v>
      </c>
      <c r="B155" s="1">
        <f>VLOOKUP(A155,AAPL!A154:C1409,3)</f>
        <v>145.613</v>
      </c>
      <c r="C155" s="1">
        <f>VLOOKUP(A155,MSFT!A154:C1409,3)</f>
        <v>281.42700000000002</v>
      </c>
      <c r="D155" s="1">
        <f>VLOOKUP(A155,NVDA!A154:C1409,3)</f>
        <v>19.866399999999999</v>
      </c>
      <c r="E155" s="1">
        <f>VLOOKUP(A155,AMD!A154:C1409,3)</f>
        <v>106.5</v>
      </c>
      <c r="F155" s="1">
        <f>VLOOKUP(A155,AMZN!A154:C1409,3)</f>
        <v>165.17500000000001</v>
      </c>
      <c r="G155" s="1">
        <f>VLOOKUP(A155,TSLA!A154:C1409,3)</f>
        <v>240.75</v>
      </c>
      <c r="H155" s="1">
        <f>VLOOKUP(A155,GOOGL!A154:C1409,3)</f>
        <v>136.69800000000001</v>
      </c>
      <c r="I155" s="1">
        <f>VLOOKUP(A155,META!A154:C1409,3)</f>
        <v>362.65</v>
      </c>
      <c r="J155" s="1">
        <f>VLOOKUP(A155,Nasdaq!A154:C1409,3)</f>
        <v>14816.26</v>
      </c>
    </row>
    <row r="156" spans="1:10" x14ac:dyDescent="0.2">
      <c r="A156" s="2">
        <v>44421</v>
      </c>
      <c r="B156" s="1">
        <f>VLOOKUP(A156,AAPL!A155:C1410,3)</f>
        <v>145.81700000000001</v>
      </c>
      <c r="C156" s="1">
        <f>VLOOKUP(A156,MSFT!A155:C1410,3)</f>
        <v>284.38499999999999</v>
      </c>
      <c r="D156" s="1">
        <f>VLOOKUP(A156,NVDA!A155:C1410,3)</f>
        <v>20.148800000000001</v>
      </c>
      <c r="E156" s="1">
        <f>VLOOKUP(A156,AMD!A155:C1410,3)</f>
        <v>110.55</v>
      </c>
      <c r="F156" s="1">
        <f>VLOOKUP(A156,AMZN!A155:C1410,3)</f>
        <v>164.69800000000001</v>
      </c>
      <c r="G156" s="1">
        <f>VLOOKUP(A156,TSLA!A155:C1410,3)</f>
        <v>239.05699999999999</v>
      </c>
      <c r="H156" s="1">
        <f>VLOOKUP(A156,GOOGL!A155:C1410,3)</f>
        <v>137.23099999999999</v>
      </c>
      <c r="I156" s="1">
        <f>VLOOKUP(A156,META!A155:C1410,3)</f>
        <v>363.18</v>
      </c>
      <c r="J156" s="1">
        <f>VLOOKUP(A156,Nasdaq!A155:C1410,3)</f>
        <v>14822.9</v>
      </c>
    </row>
    <row r="157" spans="1:10" x14ac:dyDescent="0.2">
      <c r="A157" s="2">
        <v>44424</v>
      </c>
      <c r="B157" s="1">
        <f>VLOOKUP(A157,AAPL!A156:C1411,3)</f>
        <v>147.80199999999999</v>
      </c>
      <c r="C157" s="1">
        <f>VLOOKUP(A157,MSFT!A156:C1411,3)</f>
        <v>286.07600000000002</v>
      </c>
      <c r="D157" s="1">
        <f>VLOOKUP(A157,NVDA!A156:C1411,3)</f>
        <v>19.911300000000001</v>
      </c>
      <c r="E157" s="1">
        <f>VLOOKUP(A157,AMD!A156:C1411,3)</f>
        <v>107.48</v>
      </c>
      <c r="F157" s="1">
        <f>VLOOKUP(A157,AMZN!A156:C1411,3)</f>
        <v>164.95</v>
      </c>
      <c r="G157" s="1">
        <f>VLOOKUP(A157,TSLA!A156:C1411,3)</f>
        <v>228.72300000000001</v>
      </c>
      <c r="H157" s="1">
        <f>VLOOKUP(A157,GOOGL!A156:C1411,3)</f>
        <v>137.81</v>
      </c>
      <c r="I157" s="1">
        <f>VLOOKUP(A157,META!A156:C1411,3)</f>
        <v>366.56</v>
      </c>
      <c r="J157" s="1">
        <f>VLOOKUP(A157,Nasdaq!A156:C1411,3)</f>
        <v>14793.76</v>
      </c>
    </row>
    <row r="158" spans="1:10" x14ac:dyDescent="0.2">
      <c r="A158" s="2">
        <v>44425</v>
      </c>
      <c r="B158" s="1">
        <f>VLOOKUP(A158,AAPL!A157:C1412,3)</f>
        <v>146.89099999999999</v>
      </c>
      <c r="C158" s="1">
        <f>VLOOKUP(A158,MSFT!A157:C1412,3)</f>
        <v>284.61200000000002</v>
      </c>
      <c r="D158" s="1">
        <f>VLOOKUP(A158,NVDA!A157:C1412,3)</f>
        <v>19.420999999999999</v>
      </c>
      <c r="E158" s="1">
        <f>VLOOKUP(A158,AMD!A157:C1412,3)</f>
        <v>107.56</v>
      </c>
      <c r="F158" s="1">
        <f>VLOOKUP(A158,AMZN!A157:C1412,3)</f>
        <v>162.09800000000001</v>
      </c>
      <c r="G158" s="1">
        <f>VLOOKUP(A158,TSLA!A157:C1412,3)</f>
        <v>221.90299999999999</v>
      </c>
      <c r="H158" s="1">
        <f>VLOOKUP(A158,GOOGL!A157:C1412,3)</f>
        <v>136.16800000000001</v>
      </c>
      <c r="I158" s="1">
        <f>VLOOKUP(A158,META!A157:C1412,3)</f>
        <v>358.45</v>
      </c>
      <c r="J158" s="1">
        <f>VLOOKUP(A158,Nasdaq!A157:C1412,3)</f>
        <v>14656.18</v>
      </c>
    </row>
    <row r="159" spans="1:10" x14ac:dyDescent="0.2">
      <c r="A159" s="2">
        <v>44426</v>
      </c>
      <c r="B159" s="1">
        <f>VLOOKUP(A159,AAPL!A158:C1413,3)</f>
        <v>143.148</v>
      </c>
      <c r="C159" s="1">
        <f>VLOOKUP(A159,MSFT!A158:C1413,3)</f>
        <v>282.863</v>
      </c>
      <c r="D159" s="1">
        <f>VLOOKUP(A159,NVDA!A158:C1413,3)</f>
        <v>19.003499999999999</v>
      </c>
      <c r="E159" s="1">
        <f>VLOOKUP(A159,AMD!A158:C1413,3)</f>
        <v>103.44</v>
      </c>
      <c r="F159" s="1">
        <f>VLOOKUP(A159,AMZN!A158:C1413,3)</f>
        <v>160.06100000000001</v>
      </c>
      <c r="G159" s="1">
        <f>VLOOKUP(A159,TSLA!A158:C1413,3)</f>
        <v>229.66300000000001</v>
      </c>
      <c r="H159" s="1">
        <f>VLOOKUP(A159,GOOGL!A158:C1413,3)</f>
        <v>134.96</v>
      </c>
      <c r="I159" s="1">
        <f>VLOOKUP(A159,META!A158:C1413,3)</f>
        <v>355.45</v>
      </c>
      <c r="J159" s="1">
        <f>VLOOKUP(A159,Nasdaq!A158:C1413,3)</f>
        <v>14525.91</v>
      </c>
    </row>
    <row r="160" spans="1:10" x14ac:dyDescent="0.2">
      <c r="A160" s="2">
        <v>44427</v>
      </c>
      <c r="B160" s="1">
        <f>VLOOKUP(A160,AAPL!A159:C1414,3)</f>
        <v>143.47900000000001</v>
      </c>
      <c r="C160" s="1">
        <f>VLOOKUP(A160,MSFT!A159:C1414,3)</f>
        <v>288.74299999999999</v>
      </c>
      <c r="D160" s="1">
        <f>VLOOKUP(A160,NVDA!A159:C1414,3)</f>
        <v>19.7605</v>
      </c>
      <c r="E160" s="1">
        <f>VLOOKUP(A160,AMD!A159:C1414,3)</f>
        <v>103.7</v>
      </c>
      <c r="F160" s="1">
        <f>VLOOKUP(A160,AMZN!A159:C1414,3)</f>
        <v>159.38800000000001</v>
      </c>
      <c r="G160" s="1">
        <f>VLOOKUP(A160,TSLA!A159:C1414,3)</f>
        <v>224.49</v>
      </c>
      <c r="H160" s="1">
        <f>VLOOKUP(A160,GOOGL!A159:C1414,3)</f>
        <v>135.18899999999999</v>
      </c>
      <c r="I160" s="1">
        <f>VLOOKUP(A160,META!A159:C1414,3)</f>
        <v>355.12</v>
      </c>
      <c r="J160" s="1">
        <f>VLOOKUP(A160,Nasdaq!A159:C1414,3)</f>
        <v>14541.79</v>
      </c>
    </row>
    <row r="161" spans="1:10" x14ac:dyDescent="0.2">
      <c r="A161" s="2">
        <v>44428</v>
      </c>
      <c r="B161" s="1">
        <f>VLOOKUP(A161,AAPL!A160:C1415,3)</f>
        <v>144.92500000000001</v>
      </c>
      <c r="C161" s="1">
        <f>VLOOKUP(A161,MSFT!A160:C1415,3)</f>
        <v>296.11599999999999</v>
      </c>
      <c r="D161" s="1">
        <f>VLOOKUP(A161,NVDA!A160:C1415,3)</f>
        <v>20.774000000000001</v>
      </c>
      <c r="E161" s="1">
        <f>VLOOKUP(A161,AMD!A160:C1415,3)</f>
        <v>104.65</v>
      </c>
      <c r="F161" s="1">
        <f>VLOOKUP(A161,AMZN!A160:C1415,3)</f>
        <v>159.99799999999999</v>
      </c>
      <c r="G161" s="1">
        <f>VLOOKUP(A161,TSLA!A160:C1415,3)</f>
        <v>226.75299999999999</v>
      </c>
      <c r="H161" s="1">
        <f>VLOOKUP(A161,GOOGL!A160:C1415,3)</f>
        <v>136.93299999999999</v>
      </c>
      <c r="I161" s="1">
        <f>VLOOKUP(A161,META!A160:C1415,3)</f>
        <v>359.37</v>
      </c>
      <c r="J161" s="1">
        <f>VLOOKUP(A161,Nasdaq!A160:C1415,3)</f>
        <v>14714.66</v>
      </c>
    </row>
    <row r="162" spans="1:10" x14ac:dyDescent="0.2">
      <c r="A162" s="2">
        <v>44431</v>
      </c>
      <c r="B162" s="1">
        <f>VLOOKUP(A162,AAPL!A161:C1416,3)</f>
        <v>146.417</v>
      </c>
      <c r="C162" s="1">
        <f>VLOOKUP(A162,MSFT!A161:C1416,3)</f>
        <v>296.39999999999998</v>
      </c>
      <c r="D162" s="1">
        <f>VLOOKUP(A162,NVDA!A161:C1416,3)</f>
        <v>21.914400000000001</v>
      </c>
      <c r="E162" s="1">
        <f>VLOOKUP(A162,AMD!A161:C1416,3)</f>
        <v>108.77</v>
      </c>
      <c r="F162" s="1">
        <f>VLOOKUP(A162,AMZN!A161:C1416,3)</f>
        <v>163.29400000000001</v>
      </c>
      <c r="G162" s="1">
        <f>VLOOKUP(A162,TSLA!A161:C1416,3)</f>
        <v>235.43299999999999</v>
      </c>
      <c r="H162" s="1">
        <f>VLOOKUP(A162,GOOGL!A161:C1416,3)</f>
        <v>139.535</v>
      </c>
      <c r="I162" s="1">
        <f>VLOOKUP(A162,META!A161:C1416,3)</f>
        <v>363.35</v>
      </c>
      <c r="J162" s="1">
        <f>VLOOKUP(A162,Nasdaq!A161:C1416,3)</f>
        <v>14942.65</v>
      </c>
    </row>
    <row r="163" spans="1:10" x14ac:dyDescent="0.2">
      <c r="A163" s="2">
        <v>44432</v>
      </c>
      <c r="B163" s="1">
        <f>VLOOKUP(A163,AAPL!A162:C1417,3)</f>
        <v>146.33000000000001</v>
      </c>
      <c r="C163" s="1">
        <f>VLOOKUP(A163,MSFT!A162:C1417,3)</f>
        <v>294.43799999999999</v>
      </c>
      <c r="D163" s="1">
        <f>VLOOKUP(A163,NVDA!A162:C1417,3)</f>
        <v>21.749400000000001</v>
      </c>
      <c r="E163" s="1">
        <f>VLOOKUP(A163,AMD!A162:C1417,3)</f>
        <v>107.65</v>
      </c>
      <c r="F163" s="1">
        <f>VLOOKUP(A163,AMZN!A162:C1417,3)</f>
        <v>165.28899999999999</v>
      </c>
      <c r="G163" s="1">
        <f>VLOOKUP(A163,TSLA!A162:C1417,3)</f>
        <v>236.16300000000001</v>
      </c>
      <c r="H163" s="1">
        <f>VLOOKUP(A163,GOOGL!A162:C1417,3)</f>
        <v>140.75200000000001</v>
      </c>
      <c r="I163" s="1">
        <f>VLOOKUP(A163,META!A162:C1417,3)</f>
        <v>365.51</v>
      </c>
      <c r="J163" s="1">
        <f>VLOOKUP(A163,Nasdaq!A162:C1417,3)</f>
        <v>15019.8</v>
      </c>
    </row>
    <row r="164" spans="1:10" x14ac:dyDescent="0.2">
      <c r="A164" s="2">
        <v>44433</v>
      </c>
      <c r="B164" s="1">
        <f>VLOOKUP(A164,AAPL!A163:C1418,3)</f>
        <v>145.09100000000001</v>
      </c>
      <c r="C164" s="1">
        <f>VLOOKUP(A164,MSFT!A163:C1418,3)</f>
        <v>293.84100000000001</v>
      </c>
      <c r="D164" s="1">
        <f>VLOOKUP(A164,NVDA!A163:C1418,3)</f>
        <v>22.169</v>
      </c>
      <c r="E164" s="1">
        <f>VLOOKUP(A164,AMD!A163:C1418,3)</f>
        <v>108.3</v>
      </c>
      <c r="F164" s="1">
        <f>VLOOKUP(A164,AMZN!A163:C1418,3)</f>
        <v>164.959</v>
      </c>
      <c r="G164" s="1">
        <f>VLOOKUP(A164,TSLA!A163:C1418,3)</f>
        <v>237.06700000000001</v>
      </c>
      <c r="H164" s="1">
        <f>VLOOKUP(A164,GOOGL!A163:C1418,3)</f>
        <v>141.566</v>
      </c>
      <c r="I164" s="1">
        <f>VLOOKUP(A164,META!A163:C1418,3)</f>
        <v>368.39</v>
      </c>
      <c r="J164" s="1">
        <f>VLOOKUP(A164,Nasdaq!A163:C1418,3)</f>
        <v>15041.86</v>
      </c>
    </row>
    <row r="165" spans="1:10" x14ac:dyDescent="0.2">
      <c r="A165" s="2">
        <v>44434</v>
      </c>
      <c r="B165" s="1">
        <f>VLOOKUP(A165,AAPL!A164:C1419,3)</f>
        <v>144.286</v>
      </c>
      <c r="C165" s="1">
        <f>VLOOKUP(A165,MSFT!A164:C1419,3)</f>
        <v>290.988</v>
      </c>
      <c r="D165" s="1">
        <f>VLOOKUP(A165,NVDA!A164:C1419,3)</f>
        <v>22.0242</v>
      </c>
      <c r="E165" s="1">
        <f>VLOOKUP(A165,AMD!A164:C1419,3)</f>
        <v>107.27</v>
      </c>
      <c r="F165" s="1">
        <f>VLOOKUP(A165,AMZN!A164:C1419,3)</f>
        <v>165.8</v>
      </c>
      <c r="G165" s="1">
        <f>VLOOKUP(A165,TSLA!A164:C1419,3)</f>
        <v>233.72</v>
      </c>
      <c r="H165" s="1">
        <f>VLOOKUP(A165,GOOGL!A164:C1419,3)</f>
        <v>140.929</v>
      </c>
      <c r="I165" s="1">
        <f>VLOOKUP(A165,META!A164:C1419,3)</f>
        <v>364.38</v>
      </c>
      <c r="J165" s="1">
        <f>VLOOKUP(A165,Nasdaq!A164:C1419,3)</f>
        <v>14945.81</v>
      </c>
    </row>
    <row r="166" spans="1:10" x14ac:dyDescent="0.2">
      <c r="A166" s="2">
        <v>44435</v>
      </c>
      <c r="B166" s="1">
        <f>VLOOKUP(A166,AAPL!A165:C1420,3)</f>
        <v>145.32900000000001</v>
      </c>
      <c r="C166" s="1">
        <f>VLOOKUP(A166,MSFT!A165:C1420,3)</f>
        <v>291.60399999999998</v>
      </c>
      <c r="D166" s="1">
        <f>VLOOKUP(A166,NVDA!A165:C1420,3)</f>
        <v>22.591200000000001</v>
      </c>
      <c r="E166" s="1">
        <f>VLOOKUP(A166,AMD!A165:C1420,3)</f>
        <v>111.4</v>
      </c>
      <c r="F166" s="1">
        <f>VLOOKUP(A166,AMZN!A165:C1420,3)</f>
        <v>167.482</v>
      </c>
      <c r="G166" s="1">
        <f>VLOOKUP(A166,TSLA!A165:C1420,3)</f>
        <v>237.30699999999999</v>
      </c>
      <c r="H166" s="1">
        <f>VLOOKUP(A166,GOOGL!A165:C1420,3)</f>
        <v>143.48400000000001</v>
      </c>
      <c r="I166" s="1">
        <f>VLOOKUP(A166,META!A165:C1420,3)</f>
        <v>372.63</v>
      </c>
      <c r="J166" s="1">
        <f>VLOOKUP(A166,Nasdaq!A165:C1420,3)</f>
        <v>15129.5</v>
      </c>
    </row>
    <row r="167" spans="1:10" x14ac:dyDescent="0.2">
      <c r="A167" s="2">
        <v>44438</v>
      </c>
      <c r="B167" s="1">
        <f>VLOOKUP(A167,AAPL!A166:C1421,3)</f>
        <v>149.76599999999999</v>
      </c>
      <c r="C167" s="1">
        <f>VLOOKUP(A167,MSFT!A166:C1421,3)</f>
        <v>295.37599999999998</v>
      </c>
      <c r="D167" s="1">
        <f>VLOOKUP(A167,NVDA!A166:C1421,3)</f>
        <v>22.6432</v>
      </c>
      <c r="E167" s="1">
        <f>VLOOKUP(A167,AMD!A166:C1421,3)</f>
        <v>111.32</v>
      </c>
      <c r="F167" s="1">
        <f>VLOOKUP(A167,AMZN!A166:C1421,3)</f>
        <v>171.07900000000001</v>
      </c>
      <c r="G167" s="1">
        <f>VLOOKUP(A167,TSLA!A166:C1421,3)</f>
        <v>243.637</v>
      </c>
      <c r="H167" s="1">
        <f>VLOOKUP(A167,GOOGL!A166:C1421,3)</f>
        <v>144.06800000000001</v>
      </c>
      <c r="I167" s="1">
        <f>VLOOKUP(A167,META!A166:C1421,3)</f>
        <v>380.66</v>
      </c>
      <c r="J167" s="1">
        <f>VLOOKUP(A167,Nasdaq!A166:C1421,3)</f>
        <v>15265.89</v>
      </c>
    </row>
    <row r="168" spans="1:10" x14ac:dyDescent="0.2">
      <c r="A168" s="2">
        <v>44439</v>
      </c>
      <c r="B168" s="1">
        <f>VLOOKUP(A168,AAPL!A167:C1422,3)</f>
        <v>148.499</v>
      </c>
      <c r="C168" s="1">
        <f>VLOOKUP(A168,MSFT!A167:C1422,3)</f>
        <v>293.714</v>
      </c>
      <c r="D168" s="1">
        <f>VLOOKUP(A168,NVDA!A167:C1422,3)</f>
        <v>22.344899999999999</v>
      </c>
      <c r="E168" s="1">
        <f>VLOOKUP(A168,AMD!A167:C1422,3)</f>
        <v>110.72</v>
      </c>
      <c r="F168" s="1">
        <f>VLOOKUP(A168,AMZN!A167:C1422,3)</f>
        <v>173.54</v>
      </c>
      <c r="G168" s="1">
        <f>VLOOKUP(A168,TSLA!A167:C1422,3)</f>
        <v>245.24</v>
      </c>
      <c r="H168" s="1">
        <f>VLOOKUP(A168,GOOGL!A167:C1422,3)</f>
        <v>144.17500000000001</v>
      </c>
      <c r="I168" s="1">
        <f>VLOOKUP(A168,META!A167:C1422,3)</f>
        <v>379.38</v>
      </c>
      <c r="J168" s="1">
        <f>VLOOKUP(A168,Nasdaq!A167:C1422,3)</f>
        <v>15259.24</v>
      </c>
    </row>
    <row r="169" spans="1:10" x14ac:dyDescent="0.2">
      <c r="A169" s="2">
        <v>44440</v>
      </c>
      <c r="B169" s="1">
        <f>VLOOKUP(A169,AAPL!A168:C1423,3)</f>
        <v>149.166</v>
      </c>
      <c r="C169" s="1">
        <f>VLOOKUP(A169,MSFT!A168:C1423,3)</f>
        <v>293.666</v>
      </c>
      <c r="D169" s="1">
        <f>VLOOKUP(A169,NVDA!A168:C1423,3)</f>
        <v>22.400700000000001</v>
      </c>
      <c r="E169" s="1">
        <f>VLOOKUP(A169,AMD!A168:C1423,3)</f>
        <v>109.99</v>
      </c>
      <c r="F169" s="1">
        <f>VLOOKUP(A169,AMZN!A168:C1423,3)</f>
        <v>173.95</v>
      </c>
      <c r="G169" s="1">
        <f>VLOOKUP(A169,TSLA!A168:C1423,3)</f>
        <v>244.697</v>
      </c>
      <c r="H169" s="1">
        <f>VLOOKUP(A169,GOOGL!A168:C1423,3)</f>
        <v>144.69200000000001</v>
      </c>
      <c r="I169" s="1">
        <f>VLOOKUP(A169,META!A168:C1423,3)</f>
        <v>382.05</v>
      </c>
      <c r="J169" s="1">
        <f>VLOOKUP(A169,Nasdaq!A168:C1423,3)</f>
        <v>15309.38</v>
      </c>
    </row>
    <row r="170" spans="1:10" x14ac:dyDescent="0.2">
      <c r="A170" s="2">
        <v>44441</v>
      </c>
      <c r="B170" s="1">
        <f>VLOOKUP(A170,AAPL!A169:C1424,3)</f>
        <v>150.27799999999999</v>
      </c>
      <c r="C170" s="1">
        <f>VLOOKUP(A170,MSFT!A169:C1424,3)</f>
        <v>293.00200000000001</v>
      </c>
      <c r="D170" s="1">
        <f>VLOOKUP(A170,NVDA!A169:C1424,3)</f>
        <v>22.355899999999998</v>
      </c>
      <c r="E170" s="1">
        <f>VLOOKUP(A170,AMD!A169:C1424,3)</f>
        <v>109.2</v>
      </c>
      <c r="F170" s="1">
        <f>VLOOKUP(A170,AMZN!A169:C1424,3)</f>
        <v>173.15600000000001</v>
      </c>
      <c r="G170" s="1">
        <f>VLOOKUP(A170,TSLA!A169:C1424,3)</f>
        <v>244.13</v>
      </c>
      <c r="H170" s="1">
        <f>VLOOKUP(A170,GOOGL!A169:C1424,3)</f>
        <v>142.76900000000001</v>
      </c>
      <c r="I170" s="1">
        <f>VLOOKUP(A170,META!A169:C1424,3)</f>
        <v>375.28</v>
      </c>
      <c r="J170" s="1">
        <f>VLOOKUP(A170,Nasdaq!A169:C1424,3)</f>
        <v>15331.18</v>
      </c>
    </row>
    <row r="171" spans="1:10" x14ac:dyDescent="0.2">
      <c r="A171" s="2">
        <v>44442</v>
      </c>
      <c r="B171" s="1">
        <f>VLOOKUP(A171,AAPL!A170:C1425,3)</f>
        <v>150.90700000000001</v>
      </c>
      <c r="C171" s="1">
        <f>VLOOKUP(A171,MSFT!A170:C1425,3)</f>
        <v>292.99299999999999</v>
      </c>
      <c r="D171" s="1">
        <f>VLOOKUP(A171,NVDA!A170:C1425,3)</f>
        <v>22.8018</v>
      </c>
      <c r="E171" s="1">
        <f>VLOOKUP(A171,AMD!A170:C1425,3)</f>
        <v>109.92</v>
      </c>
      <c r="F171" s="1">
        <f>VLOOKUP(A171,AMZN!A170:C1425,3)</f>
        <v>173.90199999999999</v>
      </c>
      <c r="G171" s="1">
        <f>VLOOKUP(A171,TSLA!A170:C1425,3)</f>
        <v>244.523</v>
      </c>
      <c r="H171" s="1">
        <f>VLOOKUP(A171,GOOGL!A170:C1425,3)</f>
        <v>143.221</v>
      </c>
      <c r="I171" s="1">
        <f>VLOOKUP(A171,META!A170:C1425,3)</f>
        <v>376.26</v>
      </c>
      <c r="J171" s="1">
        <f>VLOOKUP(A171,Nasdaq!A170:C1425,3)</f>
        <v>15363.52</v>
      </c>
    </row>
    <row r="172" spans="1:10" x14ac:dyDescent="0.2">
      <c r="A172" s="2">
        <v>44446</v>
      </c>
      <c r="B172" s="1">
        <f>VLOOKUP(A172,AAPL!A171:C1426,3)</f>
        <v>153.245</v>
      </c>
      <c r="C172" s="1">
        <f>VLOOKUP(A172,MSFT!A171:C1426,3)</f>
        <v>292.053</v>
      </c>
      <c r="D172" s="1">
        <f>VLOOKUP(A172,NVDA!A171:C1426,3)</f>
        <v>22.621200000000002</v>
      </c>
      <c r="E172" s="1">
        <f>VLOOKUP(A172,AMD!A171:C1426,3)</f>
        <v>109.15</v>
      </c>
      <c r="F172" s="1">
        <f>VLOOKUP(A172,AMZN!A171:C1426,3)</f>
        <v>175.464</v>
      </c>
      <c r="G172" s="1">
        <f>VLOOKUP(A172,TSLA!A171:C1426,3)</f>
        <v>250.97300000000001</v>
      </c>
      <c r="H172" s="1">
        <f>VLOOKUP(A172,GOOGL!A171:C1426,3)</f>
        <v>143.76</v>
      </c>
      <c r="I172" s="1">
        <f>VLOOKUP(A172,META!A171:C1426,3)</f>
        <v>382.18</v>
      </c>
      <c r="J172" s="1">
        <f>VLOOKUP(A172,Nasdaq!A171:C1426,3)</f>
        <v>15374.33</v>
      </c>
    </row>
    <row r="173" spans="1:10" x14ac:dyDescent="0.2">
      <c r="A173" s="2">
        <v>44447</v>
      </c>
      <c r="B173" s="1">
        <f>VLOOKUP(A173,AAPL!A172:C1427,3)</f>
        <v>151.69300000000001</v>
      </c>
      <c r="C173" s="1">
        <f>VLOOKUP(A173,MSFT!A172:C1427,3)</f>
        <v>292.08199999999999</v>
      </c>
      <c r="D173" s="1">
        <f>VLOOKUP(A173,NVDA!A172:C1427,3)</f>
        <v>22.2989</v>
      </c>
      <c r="E173" s="1">
        <f>VLOOKUP(A173,AMD!A172:C1427,3)</f>
        <v>106.17</v>
      </c>
      <c r="F173" s="1">
        <f>VLOOKUP(A173,AMZN!A172:C1427,3)</f>
        <v>176.27500000000001</v>
      </c>
      <c r="G173" s="1">
        <f>VLOOKUP(A173,TSLA!A172:C1427,3)</f>
        <v>251.29</v>
      </c>
      <c r="H173" s="1">
        <f>VLOOKUP(A173,GOOGL!A172:C1427,3)</f>
        <v>143.172</v>
      </c>
      <c r="I173" s="1">
        <f>VLOOKUP(A173,META!A172:C1427,3)</f>
        <v>377.57</v>
      </c>
      <c r="J173" s="1">
        <f>VLOOKUP(A173,Nasdaq!A172:C1427,3)</f>
        <v>15286.64</v>
      </c>
    </row>
    <row r="174" spans="1:10" x14ac:dyDescent="0.2">
      <c r="A174" s="2">
        <v>44448</v>
      </c>
      <c r="B174" s="1">
        <f>VLOOKUP(A174,AAPL!A173:C1428,3)</f>
        <v>150.68</v>
      </c>
      <c r="C174" s="1">
        <f>VLOOKUP(A174,MSFT!A173:C1428,3)</f>
        <v>289.21199999999999</v>
      </c>
      <c r="D174" s="1">
        <f>VLOOKUP(A174,NVDA!A173:C1428,3)</f>
        <v>22.137</v>
      </c>
      <c r="E174" s="1">
        <f>VLOOKUP(A174,AMD!A173:C1428,3)</f>
        <v>106.15</v>
      </c>
      <c r="F174" s="1">
        <f>VLOOKUP(A174,AMZN!A173:C1428,3)</f>
        <v>174.208</v>
      </c>
      <c r="G174" s="1">
        <f>VLOOKUP(A174,TSLA!A173:C1428,3)</f>
        <v>251.62</v>
      </c>
      <c r="H174" s="1">
        <f>VLOOKUP(A174,GOOGL!A173:C1428,3)</f>
        <v>143.02199999999999</v>
      </c>
      <c r="I174" s="1">
        <f>VLOOKUP(A174,META!A173:C1428,3)</f>
        <v>378</v>
      </c>
      <c r="J174" s="1">
        <f>VLOOKUP(A174,Nasdaq!A173:C1428,3)</f>
        <v>15248.25</v>
      </c>
    </row>
    <row r="175" spans="1:10" x14ac:dyDescent="0.2">
      <c r="A175" s="2">
        <v>44449</v>
      </c>
      <c r="B175" s="1">
        <f>VLOOKUP(A175,AAPL!A174:C1429,3)</f>
        <v>145.691</v>
      </c>
      <c r="C175" s="1">
        <f>VLOOKUP(A175,MSFT!A174:C1429,3)</f>
        <v>287.70800000000003</v>
      </c>
      <c r="D175" s="1">
        <f>VLOOKUP(A175,NVDA!A174:C1429,3)</f>
        <v>22.4377</v>
      </c>
      <c r="E175" s="1">
        <f>VLOOKUP(A175,AMD!A174:C1429,3)</f>
        <v>105.2</v>
      </c>
      <c r="F175" s="1">
        <f>VLOOKUP(A175,AMZN!A174:C1429,3)</f>
        <v>173.458</v>
      </c>
      <c r="G175" s="1">
        <f>VLOOKUP(A175,TSLA!A174:C1429,3)</f>
        <v>245.423</v>
      </c>
      <c r="H175" s="1">
        <f>VLOOKUP(A175,GOOGL!A174:C1429,3)</f>
        <v>140.36799999999999</v>
      </c>
      <c r="I175" s="1">
        <f>VLOOKUP(A175,META!A174:C1429,3)</f>
        <v>378.69</v>
      </c>
      <c r="J175" s="1">
        <f>VLOOKUP(A175,Nasdaq!A174:C1429,3)</f>
        <v>15115.49</v>
      </c>
    </row>
    <row r="176" spans="1:10" x14ac:dyDescent="0.2">
      <c r="A176" s="2">
        <v>44452</v>
      </c>
      <c r="B176" s="1">
        <f>VLOOKUP(A176,AAPL!A175:C1430,3)</f>
        <v>146.26</v>
      </c>
      <c r="C176" s="1">
        <f>VLOOKUP(A176,MSFT!A175:C1430,3)</f>
        <v>288.95800000000003</v>
      </c>
      <c r="D176" s="1">
        <f>VLOOKUP(A176,NVDA!A175:C1430,3)</f>
        <v>22.111999999999998</v>
      </c>
      <c r="E176" s="1">
        <f>VLOOKUP(A176,AMD!A175:C1430,3)</f>
        <v>104.8</v>
      </c>
      <c r="F176" s="1">
        <f>VLOOKUP(A176,AMZN!A175:C1430,3)</f>
        <v>172.858</v>
      </c>
      <c r="G176" s="1">
        <f>VLOOKUP(A176,TSLA!A175:C1430,3)</f>
        <v>247.667</v>
      </c>
      <c r="H176" s="1">
        <f>VLOOKUP(A176,GOOGL!A175:C1430,3)</f>
        <v>141.81800000000001</v>
      </c>
      <c r="I176" s="1">
        <f>VLOOKUP(A176,META!A175:C1430,3)</f>
        <v>376.51</v>
      </c>
      <c r="J176" s="1">
        <f>VLOOKUP(A176,Nasdaq!A175:C1430,3)</f>
        <v>15105.58</v>
      </c>
    </row>
    <row r="177" spans="1:10" x14ac:dyDescent="0.2">
      <c r="A177" s="2">
        <v>44453</v>
      </c>
      <c r="B177" s="1">
        <f>VLOOKUP(A177,AAPL!A176:C1431,3)</f>
        <v>144.85499999999999</v>
      </c>
      <c r="C177" s="1">
        <f>VLOOKUP(A177,MSFT!A176:C1431,3)</f>
        <v>291.67399999999998</v>
      </c>
      <c r="D177" s="1">
        <f>VLOOKUP(A177,NVDA!A176:C1431,3)</f>
        <v>22.201899999999998</v>
      </c>
      <c r="E177" s="1">
        <f>VLOOKUP(A177,AMD!A176:C1431,3)</f>
        <v>105.73</v>
      </c>
      <c r="F177" s="1">
        <f>VLOOKUP(A177,AMZN!A176:C1431,3)</f>
        <v>172.5</v>
      </c>
      <c r="G177" s="1">
        <f>VLOOKUP(A177,TSLA!A176:C1431,3)</f>
        <v>248.16300000000001</v>
      </c>
      <c r="H177" s="1">
        <f>VLOOKUP(A177,GOOGL!A176:C1431,3)</f>
        <v>142.029</v>
      </c>
      <c r="I177" s="1">
        <f>VLOOKUP(A177,META!A176:C1431,3)</f>
        <v>376.53</v>
      </c>
      <c r="J177" s="1">
        <f>VLOOKUP(A177,Nasdaq!A176:C1431,3)</f>
        <v>15037.76</v>
      </c>
    </row>
    <row r="178" spans="1:10" x14ac:dyDescent="0.2">
      <c r="A178" s="2">
        <v>44454</v>
      </c>
      <c r="B178" s="1">
        <f>VLOOKUP(A178,AAPL!A177:C1432,3)</f>
        <v>145.74799999999999</v>
      </c>
      <c r="C178" s="1">
        <f>VLOOKUP(A178,MSFT!A177:C1432,3)</f>
        <v>296.565</v>
      </c>
      <c r="D178" s="1">
        <f>VLOOKUP(A178,NVDA!A177:C1432,3)</f>
        <v>22.300899999999999</v>
      </c>
      <c r="E178" s="1">
        <f>VLOOKUP(A178,AMD!A177:C1432,3)</f>
        <v>105.6</v>
      </c>
      <c r="F178" s="1">
        <f>VLOOKUP(A178,AMZN!A177:C1432,3)</f>
        <v>173.79</v>
      </c>
      <c r="G178" s="1">
        <f>VLOOKUP(A178,TSLA!A177:C1432,3)</f>
        <v>251.94300000000001</v>
      </c>
      <c r="H178" s="1">
        <f>VLOOKUP(A178,GOOGL!A177:C1432,3)</f>
        <v>143.90799999999999</v>
      </c>
      <c r="I178" s="1">
        <f>VLOOKUP(A178,META!A177:C1432,3)</f>
        <v>373.92</v>
      </c>
      <c r="J178" s="1">
        <f>VLOOKUP(A178,Nasdaq!A177:C1432,3)</f>
        <v>15161.53</v>
      </c>
    </row>
    <row r="179" spans="1:10" x14ac:dyDescent="0.2">
      <c r="A179" s="2">
        <v>44455</v>
      </c>
      <c r="B179" s="1">
        <f>VLOOKUP(A179,AAPL!A178:C1433,3)</f>
        <v>145.51300000000001</v>
      </c>
      <c r="C179" s="1">
        <f>VLOOKUP(A179,MSFT!A178:C1433,3)</f>
        <v>296.95800000000003</v>
      </c>
      <c r="D179" s="1">
        <f>VLOOKUP(A179,NVDA!A178:C1433,3)</f>
        <v>22.201899999999998</v>
      </c>
      <c r="E179" s="1">
        <f>VLOOKUP(A179,AMD!A178:C1433,3)</f>
        <v>106.22</v>
      </c>
      <c r="F179" s="1">
        <f>VLOOKUP(A179,AMZN!A178:C1433,3)</f>
        <v>174.41200000000001</v>
      </c>
      <c r="G179" s="1">
        <f>VLOOKUP(A179,TSLA!A178:C1433,3)</f>
        <v>252.33</v>
      </c>
      <c r="H179" s="1">
        <f>VLOOKUP(A179,GOOGL!A178:C1433,3)</f>
        <v>143.09100000000001</v>
      </c>
      <c r="I179" s="1">
        <f>VLOOKUP(A179,META!A178:C1433,3)</f>
        <v>373.06</v>
      </c>
      <c r="J179" s="1">
        <f>VLOOKUP(A179,Nasdaq!A178:C1433,3)</f>
        <v>15181.92</v>
      </c>
    </row>
    <row r="180" spans="1:10" x14ac:dyDescent="0.2">
      <c r="A180" s="2">
        <v>44456</v>
      </c>
      <c r="B180" s="1">
        <f>VLOOKUP(A180,AAPL!A179:C1434,3)</f>
        <v>142.852</v>
      </c>
      <c r="C180" s="1">
        <f>VLOOKUP(A180,MSFT!A179:C1434,3)</f>
        <v>291.75</v>
      </c>
      <c r="D180" s="1">
        <f>VLOOKUP(A180,NVDA!A179:C1434,3)</f>
        <v>21.860399999999998</v>
      </c>
      <c r="E180" s="1">
        <f>VLOOKUP(A180,AMD!A179:C1434,3)</f>
        <v>103.88</v>
      </c>
      <c r="F180" s="1">
        <f>VLOOKUP(A180,AMZN!A179:C1434,3)</f>
        <v>173.126</v>
      </c>
      <c r="G180" s="1">
        <f>VLOOKUP(A180,TSLA!A179:C1434,3)</f>
        <v>253.16300000000001</v>
      </c>
      <c r="H180" s="1">
        <f>VLOOKUP(A180,GOOGL!A179:C1434,3)</f>
        <v>140.292</v>
      </c>
      <c r="I180" s="1">
        <f>VLOOKUP(A180,META!A179:C1434,3)</f>
        <v>364.72</v>
      </c>
      <c r="J180" s="1">
        <f>VLOOKUP(A180,Nasdaq!A179:C1434,3)</f>
        <v>15043.97</v>
      </c>
    </row>
    <row r="181" spans="1:10" x14ac:dyDescent="0.2">
      <c r="A181" s="2">
        <v>44459</v>
      </c>
      <c r="B181" s="1">
        <f>VLOOKUP(A181,AAPL!A180:C1435,3)</f>
        <v>139.797</v>
      </c>
      <c r="C181" s="1">
        <f>VLOOKUP(A181,MSFT!A180:C1435,3)</f>
        <v>286.33199999999999</v>
      </c>
      <c r="D181" s="1">
        <f>VLOOKUP(A181,NVDA!A180:C1435,3)</f>
        <v>21.074400000000001</v>
      </c>
      <c r="E181" s="1">
        <f>VLOOKUP(A181,AMD!A180:C1435,3)</f>
        <v>101.55</v>
      </c>
      <c r="F181" s="1">
        <f>VLOOKUP(A181,AMZN!A180:C1435,3)</f>
        <v>167.786</v>
      </c>
      <c r="G181" s="1">
        <f>VLOOKUP(A181,TSLA!A180:C1435,3)</f>
        <v>243.39</v>
      </c>
      <c r="H181" s="1">
        <f>VLOOKUP(A181,GOOGL!A180:C1435,3)</f>
        <v>138.21799999999999</v>
      </c>
      <c r="I181" s="1">
        <f>VLOOKUP(A181,META!A180:C1435,3)</f>
        <v>355.7</v>
      </c>
      <c r="J181" s="1">
        <f>VLOOKUP(A181,Nasdaq!A180:C1435,3)</f>
        <v>14713.9</v>
      </c>
    </row>
    <row r="182" spans="1:10" x14ac:dyDescent="0.2">
      <c r="A182" s="2">
        <v>44460</v>
      </c>
      <c r="B182" s="1">
        <f>VLOOKUP(A182,AAPL!A181:C1436,3)</f>
        <v>140.28100000000001</v>
      </c>
      <c r="C182" s="1">
        <f>VLOOKUP(A182,MSFT!A181:C1436,3)</f>
        <v>286.82</v>
      </c>
      <c r="D182" s="1">
        <f>VLOOKUP(A182,NVDA!A181:C1436,3)</f>
        <v>21.2074</v>
      </c>
      <c r="E182" s="1">
        <f>VLOOKUP(A182,AMD!A181:C1436,3)</f>
        <v>102.82</v>
      </c>
      <c r="F182" s="1">
        <f>VLOOKUP(A182,AMZN!A181:C1436,3)</f>
        <v>167.18199999999999</v>
      </c>
      <c r="G182" s="1">
        <f>VLOOKUP(A182,TSLA!A181:C1436,3)</f>
        <v>246.46</v>
      </c>
      <c r="H182" s="1">
        <f>VLOOKUP(A182,GOOGL!A181:C1436,3)</f>
        <v>138.53100000000001</v>
      </c>
      <c r="I182" s="1">
        <f>VLOOKUP(A182,META!A181:C1436,3)</f>
        <v>357.48</v>
      </c>
      <c r="J182" s="1">
        <f>VLOOKUP(A182,Nasdaq!A181:C1436,3)</f>
        <v>14746.4</v>
      </c>
    </row>
    <row r="183" spans="1:10" x14ac:dyDescent="0.2">
      <c r="A183" s="2">
        <v>44461</v>
      </c>
      <c r="B183" s="1">
        <f>VLOOKUP(A183,AAPL!A182:C1437,3)</f>
        <v>142.64599999999999</v>
      </c>
      <c r="C183" s="1">
        <f>VLOOKUP(A183,MSFT!A182:C1437,3)</f>
        <v>290.50099999999998</v>
      </c>
      <c r="D183" s="1">
        <f>VLOOKUP(A183,NVDA!A182:C1437,3)</f>
        <v>21.901399999999999</v>
      </c>
      <c r="E183" s="1">
        <f>VLOOKUP(A183,AMD!A182:C1437,3)</f>
        <v>104.38</v>
      </c>
      <c r="F183" s="1">
        <f>VLOOKUP(A183,AMZN!A182:C1437,3)</f>
        <v>169.00200000000001</v>
      </c>
      <c r="G183" s="1">
        <f>VLOOKUP(A183,TSLA!A182:C1437,3)</f>
        <v>250.64699999999999</v>
      </c>
      <c r="H183" s="1">
        <f>VLOOKUP(A183,GOOGL!A182:C1437,3)</f>
        <v>139.77699999999999</v>
      </c>
      <c r="I183" s="1">
        <f>VLOOKUP(A183,META!A182:C1437,3)</f>
        <v>343.21</v>
      </c>
      <c r="J183" s="1">
        <f>VLOOKUP(A183,Nasdaq!A182:C1437,3)</f>
        <v>14896.85</v>
      </c>
    </row>
    <row r="184" spans="1:10" x14ac:dyDescent="0.2">
      <c r="A184" s="2">
        <v>44462</v>
      </c>
      <c r="B184" s="1">
        <f>VLOOKUP(A184,AAPL!A183:C1438,3)</f>
        <v>143.60900000000001</v>
      </c>
      <c r="C184" s="1">
        <f>VLOOKUP(A184,MSFT!A183:C1438,3)</f>
        <v>291.44799999999998</v>
      </c>
      <c r="D184" s="1">
        <f>VLOOKUP(A184,NVDA!A183:C1438,3)</f>
        <v>22.441600000000001</v>
      </c>
      <c r="E184" s="1">
        <f>VLOOKUP(A184,AMD!A183:C1438,3)</f>
        <v>106.15</v>
      </c>
      <c r="F184" s="1">
        <f>VLOOKUP(A184,AMZN!A183:C1438,3)</f>
        <v>170.8</v>
      </c>
      <c r="G184" s="1">
        <f>VLOOKUP(A184,TSLA!A183:C1438,3)</f>
        <v>251.21299999999999</v>
      </c>
      <c r="H184" s="1">
        <f>VLOOKUP(A184,GOOGL!A183:C1438,3)</f>
        <v>140.70599999999999</v>
      </c>
      <c r="I184" s="1">
        <f>VLOOKUP(A184,META!A183:C1438,3)</f>
        <v>345.96</v>
      </c>
      <c r="J184" s="1">
        <f>VLOOKUP(A184,Nasdaq!A183:C1438,3)</f>
        <v>15052.24</v>
      </c>
    </row>
    <row r="185" spans="1:10" x14ac:dyDescent="0.2">
      <c r="A185" s="2">
        <v>44463</v>
      </c>
      <c r="B185" s="1">
        <f>VLOOKUP(A185,AAPL!A184:C1439,3)</f>
        <v>143.69800000000001</v>
      </c>
      <c r="C185" s="1">
        <f>VLOOKUP(A185,MSFT!A184:C1439,3)</f>
        <v>291.24299999999999</v>
      </c>
      <c r="D185" s="1">
        <f>VLOOKUP(A185,NVDA!A184:C1439,3)</f>
        <v>22.0412</v>
      </c>
      <c r="E185" s="1">
        <f>VLOOKUP(A185,AMD!A184:C1439,3)</f>
        <v>105.8</v>
      </c>
      <c r="F185" s="1">
        <f>VLOOKUP(A185,AMZN!A184:C1439,3)</f>
        <v>171.27600000000001</v>
      </c>
      <c r="G185" s="1">
        <f>VLOOKUP(A185,TSLA!A184:C1439,3)</f>
        <v>258.13</v>
      </c>
      <c r="H185" s="1">
        <f>VLOOKUP(A185,GOOGL!A184:C1439,3)</f>
        <v>141.702</v>
      </c>
      <c r="I185" s="1">
        <f>VLOOKUP(A185,META!A184:C1439,3)</f>
        <v>352.96</v>
      </c>
      <c r="J185" s="1">
        <f>VLOOKUP(A185,Nasdaq!A184:C1439,3)</f>
        <v>15047.7</v>
      </c>
    </row>
    <row r="186" spans="1:10" x14ac:dyDescent="0.2">
      <c r="A186" s="2">
        <v>44466</v>
      </c>
      <c r="B186" s="1">
        <f>VLOOKUP(A186,AAPL!A185:C1440,3)</f>
        <v>142.184</v>
      </c>
      <c r="C186" s="1">
        <f>VLOOKUP(A186,MSFT!A185:C1440,3)</f>
        <v>286.20299999999997</v>
      </c>
      <c r="D186" s="1">
        <f>VLOOKUP(A186,NVDA!A185:C1440,3)</f>
        <v>21.620799999999999</v>
      </c>
      <c r="E186" s="1">
        <f>VLOOKUP(A186,AMD!A185:C1440,3)</f>
        <v>108.16</v>
      </c>
      <c r="F186" s="1">
        <f>VLOOKUP(A186,AMZN!A185:C1440,3)</f>
        <v>170.29</v>
      </c>
      <c r="G186" s="1">
        <f>VLOOKUP(A186,TSLA!A185:C1440,3)</f>
        <v>263.78699999999998</v>
      </c>
      <c r="H186" s="1">
        <f>VLOOKUP(A186,GOOGL!A185:C1440,3)</f>
        <v>140.56200000000001</v>
      </c>
      <c r="I186" s="1">
        <f>VLOOKUP(A186,META!A185:C1440,3)</f>
        <v>353.58</v>
      </c>
      <c r="J186" s="1">
        <f>VLOOKUP(A186,Nasdaq!A185:C1440,3)</f>
        <v>14969.97</v>
      </c>
    </row>
    <row r="187" spans="1:10" x14ac:dyDescent="0.2">
      <c r="A187" s="2">
        <v>44467</v>
      </c>
      <c r="B187" s="1">
        <f>VLOOKUP(A187,AAPL!A186:C1441,3)</f>
        <v>138.785</v>
      </c>
      <c r="C187" s="1">
        <f>VLOOKUP(A187,MSFT!A186:C1441,3)</f>
        <v>275.85000000000002</v>
      </c>
      <c r="D187" s="1">
        <f>VLOOKUP(A187,NVDA!A186:C1441,3)</f>
        <v>20.661200000000001</v>
      </c>
      <c r="E187" s="1">
        <f>VLOOKUP(A187,AMD!A186:C1441,3)</f>
        <v>101.52</v>
      </c>
      <c r="F187" s="1">
        <f>VLOOKUP(A187,AMZN!A186:C1441,3)</f>
        <v>165.798</v>
      </c>
      <c r="G187" s="1">
        <f>VLOOKUP(A187,TSLA!A186:C1441,3)</f>
        <v>259.18700000000001</v>
      </c>
      <c r="H187" s="1">
        <f>VLOOKUP(A187,GOOGL!A186:C1441,3)</f>
        <v>135.339</v>
      </c>
      <c r="I187" s="1">
        <f>VLOOKUP(A187,META!A186:C1441,3)</f>
        <v>340.65</v>
      </c>
      <c r="J187" s="1">
        <f>VLOOKUP(A187,Nasdaq!A186:C1441,3)</f>
        <v>14546.68</v>
      </c>
    </row>
    <row r="188" spans="1:10" x14ac:dyDescent="0.2">
      <c r="A188" s="2">
        <v>44468</v>
      </c>
      <c r="B188" s="1">
        <f>VLOOKUP(A188,AAPL!A187:C1442,3)</f>
        <v>139.68899999999999</v>
      </c>
      <c r="C188" s="1">
        <f>VLOOKUP(A188,MSFT!A187:C1442,3)</f>
        <v>276.31900000000002</v>
      </c>
      <c r="D188" s="1">
        <f>VLOOKUP(A188,NVDA!A187:C1442,3)</f>
        <v>20.480399999999999</v>
      </c>
      <c r="E188" s="1">
        <f>VLOOKUP(A188,AMD!A187:C1442,3)</f>
        <v>100.35</v>
      </c>
      <c r="F188" s="1">
        <f>VLOOKUP(A188,AMZN!A187:C1442,3)</f>
        <v>165.05600000000001</v>
      </c>
      <c r="G188" s="1">
        <f>VLOOKUP(A188,TSLA!A187:C1442,3)</f>
        <v>260.43700000000001</v>
      </c>
      <c r="H188" s="1">
        <f>VLOOKUP(A188,GOOGL!A187:C1442,3)</f>
        <v>133.869</v>
      </c>
      <c r="I188" s="1">
        <f>VLOOKUP(A188,META!A187:C1442,3)</f>
        <v>339.61</v>
      </c>
      <c r="J188" s="1">
        <f>VLOOKUP(A188,Nasdaq!A187:C1442,3)</f>
        <v>14512.44</v>
      </c>
    </row>
    <row r="189" spans="1:10" x14ac:dyDescent="0.2">
      <c r="A189" s="2">
        <v>44469</v>
      </c>
      <c r="B189" s="1">
        <f>VLOOKUP(A189,AAPL!A188:C1443,3)</f>
        <v>138.38399999999999</v>
      </c>
      <c r="C189" s="1">
        <f>VLOOKUP(A189,MSFT!A188:C1443,3)</f>
        <v>274.29599999999999</v>
      </c>
      <c r="D189" s="1">
        <f>VLOOKUP(A189,NVDA!A188:C1443,3)</f>
        <v>20.678100000000001</v>
      </c>
      <c r="E189" s="1">
        <f>VLOOKUP(A189,AMD!A188:C1443,3)</f>
        <v>102.9</v>
      </c>
      <c r="F189" s="1">
        <f>VLOOKUP(A189,AMZN!A188:C1443,3)</f>
        <v>164.25200000000001</v>
      </c>
      <c r="G189" s="1">
        <f>VLOOKUP(A189,TSLA!A188:C1443,3)</f>
        <v>258.49299999999999</v>
      </c>
      <c r="H189" s="1">
        <f>VLOOKUP(A189,GOOGL!A188:C1443,3)</f>
        <v>133.19300000000001</v>
      </c>
      <c r="I189" s="1">
        <f>VLOOKUP(A189,META!A188:C1443,3)</f>
        <v>339.39</v>
      </c>
      <c r="J189" s="1">
        <f>VLOOKUP(A189,Nasdaq!A188:C1443,3)</f>
        <v>14448.58</v>
      </c>
    </row>
    <row r="190" spans="1:10" x14ac:dyDescent="0.2">
      <c r="A190" s="2">
        <v>44470</v>
      </c>
      <c r="B190" s="1">
        <f>VLOOKUP(A190,AAPL!A189:C1444,3)</f>
        <v>139.51499999999999</v>
      </c>
      <c r="C190" s="1">
        <f>VLOOKUP(A190,MSFT!A189:C1444,3)</f>
        <v>281.27100000000002</v>
      </c>
      <c r="D190" s="1">
        <f>VLOOKUP(A190,NVDA!A189:C1444,3)</f>
        <v>20.7041</v>
      </c>
      <c r="E190" s="1">
        <f>VLOOKUP(A190,AMD!A189:C1444,3)</f>
        <v>102.45</v>
      </c>
      <c r="F190" s="1">
        <f>VLOOKUP(A190,AMZN!A189:C1444,3)</f>
        <v>164.16300000000001</v>
      </c>
      <c r="G190" s="1">
        <f>VLOOKUP(A190,TSLA!A189:C1444,3)</f>
        <v>258.40699999999998</v>
      </c>
      <c r="H190" s="1">
        <f>VLOOKUP(A190,GOOGL!A189:C1444,3)</f>
        <v>136.04900000000001</v>
      </c>
      <c r="I190" s="1">
        <f>VLOOKUP(A190,META!A189:C1444,3)</f>
        <v>343.01</v>
      </c>
      <c r="J190" s="1">
        <f>VLOOKUP(A190,Nasdaq!A189:C1444,3)</f>
        <v>14566.7</v>
      </c>
    </row>
    <row r="191" spans="1:10" x14ac:dyDescent="0.2">
      <c r="A191" s="2">
        <v>44473</v>
      </c>
      <c r="B191" s="1">
        <f>VLOOKUP(A191,AAPL!A190:C1445,3)</f>
        <v>136.08500000000001</v>
      </c>
      <c r="C191" s="1">
        <f>VLOOKUP(A191,MSFT!A190:C1445,3)</f>
        <v>275.45100000000002</v>
      </c>
      <c r="D191" s="1">
        <f>VLOOKUP(A191,NVDA!A190:C1445,3)</f>
        <v>19.697700000000001</v>
      </c>
      <c r="E191" s="1">
        <f>VLOOKUP(A191,AMD!A190:C1445,3)</f>
        <v>100.34</v>
      </c>
      <c r="F191" s="1">
        <f>VLOOKUP(A191,AMZN!A190:C1445,3)</f>
        <v>159.489</v>
      </c>
      <c r="G191" s="1">
        <f>VLOOKUP(A191,TSLA!A190:C1445,3)</f>
        <v>260.51</v>
      </c>
      <c r="H191" s="1">
        <f>VLOOKUP(A191,GOOGL!A190:C1445,3)</f>
        <v>133.17699999999999</v>
      </c>
      <c r="I191" s="1">
        <f>VLOOKUP(A191,META!A190:C1445,3)</f>
        <v>326.23</v>
      </c>
      <c r="J191" s="1">
        <f>VLOOKUP(A191,Nasdaq!A190:C1445,3)</f>
        <v>14255.48</v>
      </c>
    </row>
    <row r="192" spans="1:10" x14ac:dyDescent="0.2">
      <c r="A192" s="2">
        <v>44474</v>
      </c>
      <c r="B192" s="1">
        <f>VLOOKUP(A192,AAPL!A191:C1446,3)</f>
        <v>138</v>
      </c>
      <c r="C192" s="1">
        <f>VLOOKUP(A192,MSFT!A191:C1446,3)</f>
        <v>280.95100000000002</v>
      </c>
      <c r="D192" s="1">
        <f>VLOOKUP(A192,NVDA!A191:C1446,3)</f>
        <v>20.4145</v>
      </c>
      <c r="E192" s="1">
        <f>VLOOKUP(A192,AMD!A191:C1446,3)</f>
        <v>101.81</v>
      </c>
      <c r="F192" s="1">
        <f>VLOOKUP(A192,AMZN!A191:C1446,3)</f>
        <v>161.05000000000001</v>
      </c>
      <c r="G192" s="1">
        <f>VLOOKUP(A192,TSLA!A191:C1446,3)</f>
        <v>260.197</v>
      </c>
      <c r="H192" s="1">
        <f>VLOOKUP(A192,GOOGL!A191:C1446,3)</f>
        <v>135.53200000000001</v>
      </c>
      <c r="I192" s="1">
        <f>VLOOKUP(A192,META!A191:C1446,3)</f>
        <v>332.96</v>
      </c>
      <c r="J192" s="1">
        <f>VLOOKUP(A192,Nasdaq!A191:C1446,3)</f>
        <v>14433.83</v>
      </c>
    </row>
    <row r="193" spans="1:10" x14ac:dyDescent="0.2">
      <c r="A193" s="2">
        <v>44475</v>
      </c>
      <c r="B193" s="1">
        <f>VLOOKUP(A193,AAPL!A192:C1447,3)</f>
        <v>138.874</v>
      </c>
      <c r="C193" s="1">
        <f>VLOOKUP(A193,MSFT!A192:C1447,3)</f>
        <v>285.178</v>
      </c>
      <c r="D193" s="1">
        <f>VLOOKUP(A193,NVDA!A192:C1447,3)</f>
        <v>20.662199999999999</v>
      </c>
      <c r="E193" s="1">
        <f>VLOOKUP(A193,AMD!A192:C1447,3)</f>
        <v>103.64</v>
      </c>
      <c r="F193" s="1">
        <f>VLOOKUP(A193,AMZN!A192:C1447,3)</f>
        <v>163.1</v>
      </c>
      <c r="G193" s="1">
        <f>VLOOKUP(A193,TSLA!A192:C1447,3)</f>
        <v>260.91699999999997</v>
      </c>
      <c r="H193" s="1">
        <f>VLOOKUP(A193,GOOGL!A192:C1447,3)</f>
        <v>137.06800000000001</v>
      </c>
      <c r="I193" s="1">
        <f>VLOOKUP(A193,META!A192:C1447,3)</f>
        <v>333.64</v>
      </c>
      <c r="J193" s="1">
        <f>VLOOKUP(A193,Nasdaq!A192:C1447,3)</f>
        <v>14501.91</v>
      </c>
    </row>
    <row r="194" spans="1:10" x14ac:dyDescent="0.2">
      <c r="A194" s="2">
        <v>44476</v>
      </c>
      <c r="B194" s="1">
        <f>VLOOKUP(A194,AAPL!A193:C1448,3)</f>
        <v>140.143</v>
      </c>
      <c r="C194" s="1">
        <f>VLOOKUP(A194,MSFT!A193:C1448,3)</f>
        <v>286.86900000000003</v>
      </c>
      <c r="D194" s="1">
        <f>VLOOKUP(A194,NVDA!A193:C1448,3)</f>
        <v>21.0366</v>
      </c>
      <c r="E194" s="1">
        <f>VLOOKUP(A194,AMD!A193:C1448,3)</f>
        <v>106.45</v>
      </c>
      <c r="F194" s="1">
        <f>VLOOKUP(A194,AMZN!A193:C1448,3)</f>
        <v>165.12200000000001</v>
      </c>
      <c r="G194" s="1">
        <f>VLOOKUP(A194,TSLA!A193:C1448,3)</f>
        <v>264.53699999999998</v>
      </c>
      <c r="H194" s="1">
        <f>VLOOKUP(A194,GOOGL!A193:C1448,3)</f>
        <v>138.72200000000001</v>
      </c>
      <c r="I194" s="1">
        <f>VLOOKUP(A194,META!A193:C1448,3)</f>
        <v>329.22</v>
      </c>
      <c r="J194" s="1">
        <f>VLOOKUP(A194,Nasdaq!A193:C1448,3)</f>
        <v>14654.02</v>
      </c>
    </row>
    <row r="195" spans="1:10" x14ac:dyDescent="0.2">
      <c r="A195" s="2">
        <v>44477</v>
      </c>
      <c r="B195" s="1">
        <f>VLOOKUP(A195,AAPL!A194:C1449,3)</f>
        <v>139.75899999999999</v>
      </c>
      <c r="C195" s="1">
        <f>VLOOKUP(A195,MSFT!A194:C1449,3)</f>
        <v>286.86900000000003</v>
      </c>
      <c r="D195" s="1">
        <f>VLOOKUP(A195,NVDA!A194:C1449,3)</f>
        <v>20.792999999999999</v>
      </c>
      <c r="E195" s="1">
        <f>VLOOKUP(A195,AMD!A194:C1449,3)</f>
        <v>105.06</v>
      </c>
      <c r="F195" s="1">
        <f>VLOOKUP(A195,AMZN!A194:C1449,3)</f>
        <v>164.43100000000001</v>
      </c>
      <c r="G195" s="1">
        <f>VLOOKUP(A195,TSLA!A194:C1449,3)</f>
        <v>261.83</v>
      </c>
      <c r="H195" s="1">
        <f>VLOOKUP(A195,GOOGL!A194:C1449,3)</f>
        <v>139.28100000000001</v>
      </c>
      <c r="I195" s="1">
        <f>VLOOKUP(A195,META!A194:C1449,3)</f>
        <v>330.05</v>
      </c>
      <c r="J195" s="1">
        <f>VLOOKUP(A195,Nasdaq!A194:C1449,3)</f>
        <v>14579.54</v>
      </c>
    </row>
    <row r="196" spans="1:10" x14ac:dyDescent="0.2">
      <c r="A196" s="2">
        <v>44480</v>
      </c>
      <c r="B196" s="1">
        <f>VLOOKUP(A196,AAPL!A195:C1450,3)</f>
        <v>139.66900000000001</v>
      </c>
      <c r="C196" s="1">
        <f>VLOOKUP(A196,MSFT!A195:C1450,3)</f>
        <v>286.26299999999998</v>
      </c>
      <c r="D196" s="1">
        <f>VLOOKUP(A196,NVDA!A195:C1450,3)</f>
        <v>20.6572</v>
      </c>
      <c r="E196" s="1">
        <f>VLOOKUP(A196,AMD!A195:C1450,3)</f>
        <v>104.68</v>
      </c>
      <c r="F196" s="1">
        <f>VLOOKUP(A196,AMZN!A195:C1450,3)</f>
        <v>162.315</v>
      </c>
      <c r="G196" s="1">
        <f>VLOOKUP(A196,TSLA!A195:C1450,3)</f>
        <v>263.98</v>
      </c>
      <c r="H196" s="1">
        <f>VLOOKUP(A196,GOOGL!A195:C1450,3)</f>
        <v>138.41200000000001</v>
      </c>
      <c r="I196" s="1">
        <f>VLOOKUP(A196,META!A195:C1450,3)</f>
        <v>325.45</v>
      </c>
      <c r="J196" s="1">
        <f>VLOOKUP(A196,Nasdaq!A195:C1450,3)</f>
        <v>14486.2</v>
      </c>
    </row>
    <row r="197" spans="1:10" x14ac:dyDescent="0.2">
      <c r="A197" s="2">
        <v>44481</v>
      </c>
      <c r="B197" s="1">
        <f>VLOOKUP(A197,AAPL!A196:C1451,3)</f>
        <v>138.39400000000001</v>
      </c>
      <c r="C197" s="1">
        <f>VLOOKUP(A197,MSFT!A196:C1451,3)</f>
        <v>284.96199999999999</v>
      </c>
      <c r="D197" s="1">
        <f>VLOOKUP(A197,NVDA!A196:C1451,3)</f>
        <v>20.633199999999999</v>
      </c>
      <c r="E197" s="1">
        <f>VLOOKUP(A197,AMD!A196:C1451,3)</f>
        <v>105.04</v>
      </c>
      <c r="F197" s="1">
        <f>VLOOKUP(A197,AMZN!A196:C1451,3)</f>
        <v>162.36600000000001</v>
      </c>
      <c r="G197" s="1">
        <f>VLOOKUP(A197,TSLA!A196:C1451,3)</f>
        <v>268.57299999999998</v>
      </c>
      <c r="H197" s="1">
        <f>VLOOKUP(A197,GOOGL!A196:C1451,3)</f>
        <v>135.95599999999999</v>
      </c>
      <c r="I197" s="1">
        <f>VLOOKUP(A197,META!A196:C1451,3)</f>
        <v>323.77</v>
      </c>
      <c r="J197" s="1">
        <f>VLOOKUP(A197,Nasdaq!A196:C1451,3)</f>
        <v>14465.92</v>
      </c>
    </row>
    <row r="198" spans="1:10" x14ac:dyDescent="0.2">
      <c r="A198" s="2">
        <v>44482</v>
      </c>
      <c r="B198" s="1">
        <f>VLOOKUP(A198,AAPL!A197:C1452,3)</f>
        <v>137.80500000000001</v>
      </c>
      <c r="C198" s="1">
        <f>VLOOKUP(A198,MSFT!A197:C1452,3)</f>
        <v>288.29199999999997</v>
      </c>
      <c r="D198" s="1">
        <f>VLOOKUP(A198,NVDA!A197:C1452,3)</f>
        <v>20.9008</v>
      </c>
      <c r="E198" s="1">
        <f>VLOOKUP(A198,AMD!A197:C1452,3)</f>
        <v>109.16</v>
      </c>
      <c r="F198" s="1">
        <f>VLOOKUP(A198,AMZN!A197:C1452,3)</f>
        <v>164.214</v>
      </c>
      <c r="G198" s="1">
        <f>VLOOKUP(A198,TSLA!A197:C1452,3)</f>
        <v>270.36</v>
      </c>
      <c r="H198" s="1">
        <f>VLOOKUP(A198,GOOGL!A197:C1452,3)</f>
        <v>137.08500000000001</v>
      </c>
      <c r="I198" s="1">
        <f>VLOOKUP(A198,META!A197:C1452,3)</f>
        <v>324.54000000000002</v>
      </c>
      <c r="J198" s="1">
        <f>VLOOKUP(A198,Nasdaq!A197:C1452,3)</f>
        <v>14571.63</v>
      </c>
    </row>
    <row r="199" spans="1:10" x14ac:dyDescent="0.2">
      <c r="A199" s="2">
        <v>44483</v>
      </c>
      <c r="B199" s="1">
        <f>VLOOKUP(A199,AAPL!A198:C1453,3)</f>
        <v>140.602</v>
      </c>
      <c r="C199" s="1">
        <f>VLOOKUP(A199,MSFT!A198:C1453,3)</f>
        <v>294.56400000000002</v>
      </c>
      <c r="D199" s="1">
        <f>VLOOKUP(A199,NVDA!A198:C1453,3)</f>
        <v>21.706499999999998</v>
      </c>
      <c r="E199" s="1">
        <f>VLOOKUP(A199,AMD!A198:C1453,3)</f>
        <v>111.99</v>
      </c>
      <c r="F199" s="1">
        <f>VLOOKUP(A199,AMZN!A198:C1453,3)</f>
        <v>164.99299999999999</v>
      </c>
      <c r="G199" s="1">
        <f>VLOOKUP(A199,TSLA!A198:C1453,3)</f>
        <v>272.77300000000002</v>
      </c>
      <c r="H199" s="1">
        <f>VLOOKUP(A199,GOOGL!A198:C1453,3)</f>
        <v>140.64099999999999</v>
      </c>
      <c r="I199" s="1">
        <f>VLOOKUP(A199,META!A198:C1453,3)</f>
        <v>328.53</v>
      </c>
      <c r="J199" s="1">
        <f>VLOOKUP(A199,Nasdaq!A198:C1453,3)</f>
        <v>14823.43</v>
      </c>
    </row>
    <row r="200" spans="1:10" x14ac:dyDescent="0.2">
      <c r="A200" s="2">
        <v>44484</v>
      </c>
      <c r="B200" s="1">
        <f>VLOOKUP(A200,AAPL!A199:C1454,3)</f>
        <v>141.666</v>
      </c>
      <c r="C200" s="1">
        <f>VLOOKUP(A200,MSFT!A199:C1454,3)</f>
        <v>295.97000000000003</v>
      </c>
      <c r="D200" s="1">
        <f>VLOOKUP(A200,NVDA!A199:C1454,3)</f>
        <v>21.822399999999998</v>
      </c>
      <c r="E200" s="1">
        <f>VLOOKUP(A200,AMD!A199:C1454,3)</f>
        <v>112.12</v>
      </c>
      <c r="F200" s="1">
        <f>VLOOKUP(A200,AMZN!A199:C1454,3)</f>
        <v>170.45099999999999</v>
      </c>
      <c r="G200" s="1">
        <f>VLOOKUP(A200,TSLA!A199:C1454,3)</f>
        <v>281.01</v>
      </c>
      <c r="H200" s="1">
        <f>VLOOKUP(A200,GOOGL!A199:C1454,3)</f>
        <v>140.858</v>
      </c>
      <c r="I200" s="1">
        <f>VLOOKUP(A200,META!A199:C1454,3)</f>
        <v>324.76</v>
      </c>
      <c r="J200" s="1">
        <f>VLOOKUP(A200,Nasdaq!A199:C1454,3)</f>
        <v>14897.34</v>
      </c>
    </row>
    <row r="201" spans="1:10" x14ac:dyDescent="0.2">
      <c r="A201" s="2">
        <v>44487</v>
      </c>
      <c r="B201" s="1">
        <f>VLOOKUP(A201,AAPL!A200:C1455,3)</f>
        <v>143.334</v>
      </c>
      <c r="C201" s="1">
        <f>VLOOKUP(A201,MSFT!A200:C1455,3)</f>
        <v>298.98099999999999</v>
      </c>
      <c r="D201" s="1">
        <f>VLOOKUP(A201,NVDA!A200:C1455,3)</f>
        <v>22.181899999999999</v>
      </c>
      <c r="E201" s="1">
        <f>VLOOKUP(A201,AMD!A200:C1455,3)</f>
        <v>116.43</v>
      </c>
      <c r="F201" s="1">
        <f>VLOOKUP(A201,AMZN!A200:C1455,3)</f>
        <v>172.33699999999999</v>
      </c>
      <c r="G201" s="1">
        <f>VLOOKUP(A201,TSLA!A200:C1455,3)</f>
        <v>290.03699999999998</v>
      </c>
      <c r="H201" s="1">
        <f>VLOOKUP(A201,GOOGL!A200:C1455,3)</f>
        <v>142.262</v>
      </c>
      <c r="I201" s="1">
        <f>VLOOKUP(A201,META!A200:C1455,3)</f>
        <v>335.34</v>
      </c>
      <c r="J201" s="1">
        <f>VLOOKUP(A201,Nasdaq!A200:C1455,3)</f>
        <v>15021.81</v>
      </c>
    </row>
    <row r="202" spans="1:10" x14ac:dyDescent="0.2">
      <c r="A202" s="2">
        <v>44488</v>
      </c>
      <c r="B202" s="1">
        <f>VLOOKUP(A202,AAPL!A201:C1456,3)</f>
        <v>145.48500000000001</v>
      </c>
      <c r="C202" s="1">
        <f>VLOOKUP(A202,MSFT!A201:C1456,3)</f>
        <v>299.89699999999999</v>
      </c>
      <c r="D202" s="1">
        <f>VLOOKUP(A202,NVDA!A201:C1456,3)</f>
        <v>22.2499</v>
      </c>
      <c r="E202" s="1">
        <f>VLOOKUP(A202,AMD!A201:C1456,3)</f>
        <v>116.33</v>
      </c>
      <c r="F202" s="1">
        <f>VLOOKUP(A202,AMZN!A201:C1456,3)</f>
        <v>172.208</v>
      </c>
      <c r="G202" s="1">
        <f>VLOOKUP(A202,TSLA!A201:C1456,3)</f>
        <v>288.08999999999997</v>
      </c>
      <c r="H202" s="1">
        <f>VLOOKUP(A202,GOOGL!A201:C1456,3)</f>
        <v>142.71899999999999</v>
      </c>
      <c r="I202" s="1">
        <f>VLOOKUP(A202,META!A201:C1456,3)</f>
        <v>339.99</v>
      </c>
      <c r="J202" s="1">
        <f>VLOOKUP(A202,Nasdaq!A201:C1456,3)</f>
        <v>15129.09</v>
      </c>
    </row>
    <row r="203" spans="1:10" x14ac:dyDescent="0.2">
      <c r="A203" s="2">
        <v>44489</v>
      </c>
      <c r="B203" s="1">
        <f>VLOOKUP(A203,AAPL!A202:C1457,3)</f>
        <v>145.976</v>
      </c>
      <c r="C203" s="1">
        <f>VLOOKUP(A203,MSFT!A202:C1457,3)</f>
        <v>299.09500000000003</v>
      </c>
      <c r="D203" s="1">
        <f>VLOOKUP(A203,NVDA!A202:C1457,3)</f>
        <v>22.063199999999998</v>
      </c>
      <c r="E203" s="1">
        <f>VLOOKUP(A203,AMD!A202:C1457,3)</f>
        <v>116.39</v>
      </c>
      <c r="F203" s="1">
        <f>VLOOKUP(A203,AMZN!A202:C1457,3)</f>
        <v>170.75299999999999</v>
      </c>
      <c r="G203" s="1">
        <f>VLOOKUP(A203,TSLA!A202:C1457,3)</f>
        <v>288.60000000000002</v>
      </c>
      <c r="H203" s="1">
        <f>VLOOKUP(A203,GOOGL!A202:C1457,3)</f>
        <v>141.256</v>
      </c>
      <c r="I203" s="1">
        <f>VLOOKUP(A203,META!A202:C1457,3)</f>
        <v>340.78</v>
      </c>
      <c r="J203" s="1">
        <f>VLOOKUP(A203,Nasdaq!A202:C1457,3)</f>
        <v>15121.68</v>
      </c>
    </row>
    <row r="204" spans="1:10" x14ac:dyDescent="0.2">
      <c r="A204" s="2">
        <v>44490</v>
      </c>
      <c r="B204" s="1">
        <f>VLOOKUP(A204,AAPL!A203:C1458,3)</f>
        <v>146.19200000000001</v>
      </c>
      <c r="C204" s="1">
        <f>VLOOKUP(A204,MSFT!A203:C1458,3)</f>
        <v>302.35000000000002</v>
      </c>
      <c r="D204" s="1">
        <f>VLOOKUP(A204,NVDA!A203:C1458,3)</f>
        <v>22.651199999999999</v>
      </c>
      <c r="E204" s="1">
        <f>VLOOKUP(A204,AMD!A203:C1458,3)</f>
        <v>119.33</v>
      </c>
      <c r="F204" s="1">
        <f>VLOOKUP(A204,AMZN!A203:C1458,3)</f>
        <v>171.751</v>
      </c>
      <c r="G204" s="1">
        <f>VLOOKUP(A204,TSLA!A203:C1458,3)</f>
        <v>298</v>
      </c>
      <c r="H204" s="1">
        <f>VLOOKUP(A204,GOOGL!A203:C1458,3)</f>
        <v>141.37299999999999</v>
      </c>
      <c r="I204" s="1">
        <f>VLOOKUP(A204,META!A203:C1458,3)</f>
        <v>341.88</v>
      </c>
      <c r="J204" s="1">
        <f>VLOOKUP(A204,Nasdaq!A203:C1458,3)</f>
        <v>15215.7</v>
      </c>
    </row>
    <row r="205" spans="1:10" x14ac:dyDescent="0.2">
      <c r="A205" s="2">
        <v>44491</v>
      </c>
      <c r="B205" s="1">
        <f>VLOOKUP(A205,AAPL!A204:C1459,3)</f>
        <v>145.417</v>
      </c>
      <c r="C205" s="1">
        <f>VLOOKUP(A205,MSFT!A204:C1459,3)</f>
        <v>300.79500000000002</v>
      </c>
      <c r="D205" s="1">
        <f>VLOOKUP(A205,NVDA!A204:C1459,3)</f>
        <v>22.685099999999998</v>
      </c>
      <c r="E205" s="1">
        <f>VLOOKUP(A205,AMD!A204:C1459,3)</f>
        <v>119.82</v>
      </c>
      <c r="F205" s="1">
        <f>VLOOKUP(A205,AMZN!A204:C1459,3)</f>
        <v>166.77799999999999</v>
      </c>
      <c r="G205" s="1">
        <f>VLOOKUP(A205,TSLA!A204:C1459,3)</f>
        <v>303.22699999999998</v>
      </c>
      <c r="H205" s="1">
        <f>VLOOKUP(A205,GOOGL!A204:C1459,3)</f>
        <v>137.06899999999999</v>
      </c>
      <c r="I205" s="1">
        <f>VLOOKUP(A205,META!A204:C1459,3)</f>
        <v>324.61</v>
      </c>
      <c r="J205" s="1">
        <f>VLOOKUP(A205,Nasdaq!A204:C1459,3)</f>
        <v>15090.2</v>
      </c>
    </row>
    <row r="206" spans="1:10" x14ac:dyDescent="0.2">
      <c r="A206" s="2">
        <v>44494</v>
      </c>
      <c r="B206" s="1">
        <f>VLOOKUP(A206,AAPL!A205:C1460,3)</f>
        <v>145.36699999999999</v>
      </c>
      <c r="C206" s="1">
        <f>VLOOKUP(A206,MSFT!A205:C1460,3)</f>
        <v>299.79899999999998</v>
      </c>
      <c r="D206" s="1">
        <f>VLOOKUP(A206,NVDA!A205:C1460,3)</f>
        <v>23.124500000000001</v>
      </c>
      <c r="E206" s="1">
        <f>VLOOKUP(A206,AMD!A205:C1460,3)</f>
        <v>122.36</v>
      </c>
      <c r="F206" s="1">
        <f>VLOOKUP(A206,AMZN!A205:C1460,3)</f>
        <v>166.018</v>
      </c>
      <c r="G206" s="1">
        <f>VLOOKUP(A206,TSLA!A205:C1460,3)</f>
        <v>341.62</v>
      </c>
      <c r="H206" s="1">
        <f>VLOOKUP(A206,GOOGL!A205:C1460,3)</f>
        <v>136.94999999999999</v>
      </c>
      <c r="I206" s="1">
        <f>VLOOKUP(A206,META!A205:C1460,3)</f>
        <v>328.69</v>
      </c>
      <c r="J206" s="1">
        <f>VLOOKUP(A206,Nasdaq!A205:C1460,3)</f>
        <v>15226.71</v>
      </c>
    </row>
    <row r="207" spans="1:10" x14ac:dyDescent="0.2">
      <c r="A207" s="2">
        <v>44495</v>
      </c>
      <c r="B207" s="1">
        <f>VLOOKUP(A207,AAPL!A206:C1461,3)</f>
        <v>146.036</v>
      </c>
      <c r="C207" s="1">
        <f>VLOOKUP(A207,MSFT!A206:C1461,3)</f>
        <v>301.714</v>
      </c>
      <c r="D207" s="1">
        <f>VLOOKUP(A207,NVDA!A206:C1461,3)</f>
        <v>24.673200000000001</v>
      </c>
      <c r="E207" s="1">
        <f>VLOOKUP(A207,AMD!A206:C1461,3)</f>
        <v>122.93</v>
      </c>
      <c r="F207" s="1">
        <f>VLOOKUP(A207,AMZN!A206:C1461,3)</f>
        <v>168.804</v>
      </c>
      <c r="G207" s="1">
        <f>VLOOKUP(A207,TSLA!A206:C1461,3)</f>
        <v>339.47699999999998</v>
      </c>
      <c r="H207" s="1">
        <f>VLOOKUP(A207,GOOGL!A206:C1461,3)</f>
        <v>138.80500000000001</v>
      </c>
      <c r="I207" s="1">
        <f>VLOOKUP(A207,META!A206:C1461,3)</f>
        <v>315.81</v>
      </c>
      <c r="J207" s="1">
        <f>VLOOKUP(A207,Nasdaq!A206:C1461,3)</f>
        <v>15235.71</v>
      </c>
    </row>
    <row r="208" spans="1:10" x14ac:dyDescent="0.2">
      <c r="A208" s="2">
        <v>44496</v>
      </c>
      <c r="B208" s="1">
        <f>VLOOKUP(A208,AAPL!A207:C1462,3)</f>
        <v>145.57300000000001</v>
      </c>
      <c r="C208" s="1">
        <f>VLOOKUP(A208,MSFT!A207:C1462,3)</f>
        <v>314.42200000000003</v>
      </c>
      <c r="D208" s="1">
        <f>VLOOKUP(A208,NVDA!A207:C1462,3)</f>
        <v>24.407699999999998</v>
      </c>
      <c r="E208" s="1">
        <f>VLOOKUP(A208,AMD!A207:C1462,3)</f>
        <v>122.28</v>
      </c>
      <c r="F208" s="1">
        <f>VLOOKUP(A208,AMZN!A207:C1462,3)</f>
        <v>169.624</v>
      </c>
      <c r="G208" s="1">
        <f>VLOOKUP(A208,TSLA!A207:C1462,3)</f>
        <v>345.95299999999997</v>
      </c>
      <c r="H208" s="1">
        <f>VLOOKUP(A208,GOOGL!A207:C1462,3)</f>
        <v>145.68899999999999</v>
      </c>
      <c r="I208" s="1">
        <f>VLOOKUP(A208,META!A207:C1462,3)</f>
        <v>312.22000000000003</v>
      </c>
      <c r="J208" s="1">
        <f>VLOOKUP(A208,Nasdaq!A207:C1462,3)</f>
        <v>15235.84</v>
      </c>
    </row>
    <row r="209" spans="1:10" x14ac:dyDescent="0.2">
      <c r="A209" s="2">
        <v>44497</v>
      </c>
      <c r="B209" s="1">
        <f>VLOOKUP(A209,AAPL!A208:C1463,3)</f>
        <v>149.22499999999999</v>
      </c>
      <c r="C209" s="1">
        <f>VLOOKUP(A209,MSFT!A208:C1463,3)</f>
        <v>315.57400000000001</v>
      </c>
      <c r="D209" s="1">
        <f>VLOOKUP(A209,NVDA!A208:C1463,3)</f>
        <v>24.896799999999999</v>
      </c>
      <c r="E209" s="1">
        <f>VLOOKUP(A209,AMD!A208:C1463,3)</f>
        <v>121.16</v>
      </c>
      <c r="F209" s="1">
        <f>VLOOKUP(A209,AMZN!A208:C1463,3)</f>
        <v>172.32900000000001</v>
      </c>
      <c r="G209" s="1">
        <f>VLOOKUP(A209,TSLA!A208:C1463,3)</f>
        <v>359.01299999999998</v>
      </c>
      <c r="H209" s="1">
        <f>VLOOKUP(A209,GOOGL!A208:C1463,3)</f>
        <v>145.322</v>
      </c>
      <c r="I209" s="1">
        <f>VLOOKUP(A209,META!A208:C1463,3)</f>
        <v>316.92</v>
      </c>
      <c r="J209" s="1">
        <f>VLOOKUP(A209,Nasdaq!A208:C1463,3)</f>
        <v>15448.12</v>
      </c>
    </row>
    <row r="210" spans="1:10" x14ac:dyDescent="0.2">
      <c r="A210" s="2">
        <v>44498</v>
      </c>
      <c r="B210" s="1">
        <f>VLOOKUP(A210,AAPL!A209:C1464,3)</f>
        <v>146.505</v>
      </c>
      <c r="C210" s="1">
        <f>VLOOKUP(A210,MSFT!A209:C1464,3)</f>
        <v>322.64400000000001</v>
      </c>
      <c r="D210" s="1">
        <f>VLOOKUP(A210,NVDA!A209:C1464,3)</f>
        <v>25.521999999999998</v>
      </c>
      <c r="E210" s="1">
        <f>VLOOKUP(A210,AMD!A209:C1464,3)</f>
        <v>120.23</v>
      </c>
      <c r="F210" s="1">
        <f>VLOOKUP(A210,AMZN!A209:C1464,3)</f>
        <v>168.62200000000001</v>
      </c>
      <c r="G210" s="1">
        <f>VLOOKUP(A210,TSLA!A209:C1464,3)</f>
        <v>371.33300000000003</v>
      </c>
      <c r="H210" s="1">
        <f>VLOOKUP(A210,GOOGL!A209:C1464,3)</f>
        <v>147.511</v>
      </c>
      <c r="I210" s="1">
        <f>VLOOKUP(A210,META!A209:C1464,3)</f>
        <v>323.57</v>
      </c>
      <c r="J210" s="1">
        <f>VLOOKUP(A210,Nasdaq!A209:C1464,3)</f>
        <v>15498.39</v>
      </c>
    </row>
    <row r="211" spans="1:10" x14ac:dyDescent="0.2">
      <c r="A211" s="2">
        <v>44501</v>
      </c>
      <c r="B211" s="1">
        <f>VLOOKUP(A211,AAPL!A210:C1465,3)</f>
        <v>145.68199999999999</v>
      </c>
      <c r="C211" s="1">
        <f>VLOOKUP(A211,MSFT!A210:C1465,3)</f>
        <v>320.45800000000003</v>
      </c>
      <c r="D211" s="1">
        <f>VLOOKUP(A211,NVDA!A210:C1465,3)</f>
        <v>25.781400000000001</v>
      </c>
      <c r="E211" s="1">
        <f>VLOOKUP(A211,AMD!A210:C1465,3)</f>
        <v>125.23</v>
      </c>
      <c r="F211" s="1">
        <f>VLOOKUP(A211,AMZN!A210:C1465,3)</f>
        <v>165.90600000000001</v>
      </c>
      <c r="G211" s="1">
        <f>VLOOKUP(A211,TSLA!A210:C1465,3)</f>
        <v>402.863</v>
      </c>
      <c r="H211" s="1">
        <f>VLOOKUP(A211,GOOGL!A210:C1465,3)</f>
        <v>142.97800000000001</v>
      </c>
      <c r="I211" s="1">
        <f>VLOOKUP(A211,META!A210:C1465,3)</f>
        <v>329.98</v>
      </c>
      <c r="J211" s="1">
        <f>VLOOKUP(A211,Nasdaq!A210:C1465,3)</f>
        <v>15595.92</v>
      </c>
    </row>
    <row r="212" spans="1:10" x14ac:dyDescent="0.2">
      <c r="A212" s="2">
        <v>44502</v>
      </c>
      <c r="B212" s="1">
        <f>VLOOKUP(A212,AAPL!A211:C1466,3)</f>
        <v>146.72300000000001</v>
      </c>
      <c r="C212" s="1">
        <f>VLOOKUP(A212,MSFT!A211:C1466,3)</f>
        <v>324.11</v>
      </c>
      <c r="D212" s="1">
        <f>VLOOKUP(A212,NVDA!A211:C1466,3)</f>
        <v>26.354700000000001</v>
      </c>
      <c r="E212" s="1">
        <f>VLOOKUP(A212,AMD!A211:C1466,3)</f>
        <v>127.63</v>
      </c>
      <c r="F212" s="1">
        <f>VLOOKUP(A212,AMZN!A211:C1466,3)</f>
        <v>165.63800000000001</v>
      </c>
      <c r="G212" s="1">
        <f>VLOOKUP(A212,TSLA!A211:C1466,3)</f>
        <v>390.66699999999997</v>
      </c>
      <c r="H212" s="1">
        <f>VLOOKUP(A212,GOOGL!A211:C1466,3)</f>
        <v>144.90600000000001</v>
      </c>
      <c r="I212" s="1">
        <f>VLOOKUP(A212,META!A211:C1466,3)</f>
        <v>328.08</v>
      </c>
      <c r="J212" s="1">
        <f>VLOOKUP(A212,Nasdaq!A211:C1466,3)</f>
        <v>15649.6</v>
      </c>
    </row>
    <row r="213" spans="1:10" x14ac:dyDescent="0.2">
      <c r="A213" s="2">
        <v>44503</v>
      </c>
      <c r="B213" s="1">
        <f>VLOOKUP(A213,AAPL!A212:C1467,3)</f>
        <v>148.16800000000001</v>
      </c>
      <c r="C213" s="1">
        <f>VLOOKUP(A213,MSFT!A212:C1467,3)</f>
        <v>324.96100000000001</v>
      </c>
      <c r="D213" s="1">
        <f>VLOOKUP(A213,NVDA!A212:C1467,3)</f>
        <v>26.5505</v>
      </c>
      <c r="E213" s="1">
        <f>VLOOKUP(A213,AMD!A212:C1467,3)</f>
        <v>130.53</v>
      </c>
      <c r="F213" s="1">
        <f>VLOOKUP(A213,AMZN!A212:C1467,3)</f>
        <v>169.2</v>
      </c>
      <c r="G213" s="1">
        <f>VLOOKUP(A213,TSLA!A212:C1467,3)</f>
        <v>404.62</v>
      </c>
      <c r="H213" s="1">
        <f>VLOOKUP(A213,GOOGL!A212:C1467,3)</f>
        <v>146.06899999999999</v>
      </c>
      <c r="I213" s="1">
        <f>VLOOKUP(A213,META!A212:C1467,3)</f>
        <v>331.62</v>
      </c>
      <c r="J213" s="1">
        <f>VLOOKUP(A213,Nasdaq!A212:C1467,3)</f>
        <v>15811.58</v>
      </c>
    </row>
    <row r="214" spans="1:10" x14ac:dyDescent="0.2">
      <c r="A214" s="2">
        <v>44504</v>
      </c>
      <c r="B214" s="1">
        <f>VLOOKUP(A214,AAPL!A213:C1468,3)</f>
        <v>147.64400000000001</v>
      </c>
      <c r="C214" s="1">
        <f>VLOOKUP(A214,MSFT!A213:C1468,3)</f>
        <v>327.34300000000002</v>
      </c>
      <c r="D214" s="1">
        <f>VLOOKUP(A214,NVDA!A213:C1468,3)</f>
        <v>29.747699999999998</v>
      </c>
      <c r="E214" s="1">
        <f>VLOOKUP(A214,AMD!A213:C1468,3)</f>
        <v>137.5</v>
      </c>
      <c r="F214" s="1">
        <f>VLOOKUP(A214,AMZN!A213:C1468,3)</f>
        <v>173.85</v>
      </c>
      <c r="G214" s="1">
        <f>VLOOKUP(A214,TSLA!A213:C1468,3)</f>
        <v>409.97</v>
      </c>
      <c r="H214" s="1">
        <f>VLOOKUP(A214,GOOGL!A213:C1468,3)</f>
        <v>147.732</v>
      </c>
      <c r="I214" s="1">
        <f>VLOOKUP(A214,META!A213:C1468,3)</f>
        <v>335.85</v>
      </c>
      <c r="J214" s="1">
        <f>VLOOKUP(A214,Nasdaq!A213:C1468,3)</f>
        <v>15940.31</v>
      </c>
    </row>
    <row r="215" spans="1:10" x14ac:dyDescent="0.2">
      <c r="A215" s="2">
        <v>44505</v>
      </c>
      <c r="B215" s="1">
        <f>VLOOKUP(A215,AAPL!A214:C1469,3)</f>
        <v>148.17699999999999</v>
      </c>
      <c r="C215" s="1">
        <f>VLOOKUP(A215,MSFT!A214:C1469,3)</f>
        <v>326.97199999999998</v>
      </c>
      <c r="D215" s="1">
        <f>VLOOKUP(A215,NVDA!A214:C1469,3)</f>
        <v>29.698899999999998</v>
      </c>
      <c r="E215" s="1">
        <f>VLOOKUP(A215,AMD!A214:C1469,3)</f>
        <v>136.34</v>
      </c>
      <c r="F215" s="1">
        <f>VLOOKUP(A215,AMZN!A214:C1469,3)</f>
        <v>175.95</v>
      </c>
      <c r="G215" s="1">
        <f>VLOOKUP(A215,TSLA!A214:C1469,3)</f>
        <v>407.363</v>
      </c>
      <c r="H215" s="1">
        <f>VLOOKUP(A215,GOOGL!A214:C1469,3)</f>
        <v>148.31399999999999</v>
      </c>
      <c r="I215" s="1">
        <f>VLOOKUP(A215,META!A214:C1469,3)</f>
        <v>341.13</v>
      </c>
      <c r="J215" s="1">
        <f>VLOOKUP(A215,Nasdaq!A214:C1469,3)</f>
        <v>15971.59</v>
      </c>
    </row>
    <row r="216" spans="1:10" x14ac:dyDescent="0.2">
      <c r="A216" s="2">
        <v>44508</v>
      </c>
      <c r="B216" s="1">
        <f>VLOOKUP(A216,AAPL!A215:C1470,3)</f>
        <v>147.35</v>
      </c>
      <c r="C216" s="1">
        <f>VLOOKUP(A216,MSFT!A215:C1470,3)</f>
        <v>327.87099999999998</v>
      </c>
      <c r="D216" s="1">
        <f>VLOOKUP(A216,NVDA!A215:C1470,3)</f>
        <v>30.749300000000002</v>
      </c>
      <c r="E216" s="1">
        <f>VLOOKUP(A216,AMD!A215:C1470,3)</f>
        <v>150.16</v>
      </c>
      <c r="F216" s="1">
        <f>VLOOKUP(A216,AMZN!A215:C1470,3)</f>
        <v>174.44900000000001</v>
      </c>
      <c r="G216" s="1">
        <f>VLOOKUP(A216,TSLA!A215:C1470,3)</f>
        <v>387.64699999999999</v>
      </c>
      <c r="H216" s="1">
        <f>VLOOKUP(A216,GOOGL!A215:C1470,3)</f>
        <v>148.49299999999999</v>
      </c>
      <c r="I216" s="1">
        <f>VLOOKUP(A216,META!A215:C1470,3)</f>
        <v>338.62</v>
      </c>
      <c r="J216" s="1">
        <f>VLOOKUP(A216,Nasdaq!A215:C1470,3)</f>
        <v>15982.36</v>
      </c>
    </row>
    <row r="217" spans="1:10" x14ac:dyDescent="0.2">
      <c r="A217" s="2">
        <v>44509</v>
      </c>
      <c r="B217" s="1">
        <f>VLOOKUP(A217,AAPL!A216:C1471,3)</f>
        <v>147.71299999999999</v>
      </c>
      <c r="C217" s="1">
        <f>VLOOKUP(A217,MSFT!A216:C1471,3)</f>
        <v>326.86500000000001</v>
      </c>
      <c r="D217" s="1">
        <f>VLOOKUP(A217,NVDA!A216:C1471,3)</f>
        <v>30.602399999999999</v>
      </c>
      <c r="E217" s="1">
        <f>VLOOKUP(A217,AMD!A216:C1471,3)</f>
        <v>148.91999999999999</v>
      </c>
      <c r="F217" s="1">
        <f>VLOOKUP(A217,AMZN!A216:C1471,3)</f>
        <v>178.81200000000001</v>
      </c>
      <c r="G217" s="1">
        <f>VLOOKUP(A217,TSLA!A216:C1471,3)</f>
        <v>341.16699999999997</v>
      </c>
      <c r="H217" s="1">
        <f>VLOOKUP(A217,GOOGL!A216:C1471,3)</f>
        <v>148.38</v>
      </c>
      <c r="I217" s="1">
        <f>VLOOKUP(A217,META!A216:C1471,3)</f>
        <v>335.37</v>
      </c>
      <c r="J217" s="1">
        <f>VLOOKUP(A217,Nasdaq!A216:C1471,3)</f>
        <v>15886.54</v>
      </c>
    </row>
    <row r="218" spans="1:10" x14ac:dyDescent="0.2">
      <c r="A218" s="2">
        <v>44510</v>
      </c>
      <c r="B218" s="1">
        <f>VLOOKUP(A218,AAPL!A217:C1472,3)</f>
        <v>144.875</v>
      </c>
      <c r="C218" s="1">
        <f>VLOOKUP(A218,MSFT!A217:C1472,3)</f>
        <v>321.85399999999998</v>
      </c>
      <c r="D218" s="1">
        <f>VLOOKUP(A218,NVDA!A217:C1472,3)</f>
        <v>29.406300000000002</v>
      </c>
      <c r="E218" s="1">
        <f>VLOOKUP(A218,AMD!A217:C1472,3)</f>
        <v>139.87</v>
      </c>
      <c r="F218" s="1">
        <f>VLOOKUP(A218,AMZN!A217:C1472,3)</f>
        <v>174.10300000000001</v>
      </c>
      <c r="G218" s="1">
        <f>VLOOKUP(A218,TSLA!A217:C1472,3)</f>
        <v>355.983</v>
      </c>
      <c r="H218" s="1">
        <f>VLOOKUP(A218,GOOGL!A217:C1472,3)</f>
        <v>145.36699999999999</v>
      </c>
      <c r="I218" s="1">
        <f>VLOOKUP(A218,META!A217:C1472,3)</f>
        <v>327.64</v>
      </c>
      <c r="J218" s="1">
        <f>VLOOKUP(A218,Nasdaq!A217:C1472,3)</f>
        <v>15622.71</v>
      </c>
    </row>
    <row r="219" spans="1:10" x14ac:dyDescent="0.2">
      <c r="A219" s="2">
        <v>44511</v>
      </c>
      <c r="B219" s="1">
        <f>VLOOKUP(A219,AAPL!A218:C1473,3)</f>
        <v>144.82499999999999</v>
      </c>
      <c r="C219" s="1">
        <f>VLOOKUP(A219,MSFT!A218:C1473,3)</f>
        <v>323.43900000000002</v>
      </c>
      <c r="D219" s="1">
        <f>VLOOKUP(A219,NVDA!A218:C1473,3)</f>
        <v>30.335699999999999</v>
      </c>
      <c r="E219" s="1">
        <f>VLOOKUP(A219,AMD!A218:C1473,3)</f>
        <v>146.01</v>
      </c>
      <c r="F219" s="1">
        <f>VLOOKUP(A219,AMZN!A218:C1473,3)</f>
        <v>173.625</v>
      </c>
      <c r="G219" s="1">
        <f>VLOOKUP(A219,TSLA!A218:C1473,3)</f>
        <v>354.50299999999999</v>
      </c>
      <c r="H219" s="1">
        <f>VLOOKUP(A219,GOOGL!A218:C1473,3)</f>
        <v>145.24</v>
      </c>
      <c r="I219" s="1">
        <f>VLOOKUP(A219,META!A218:C1473,3)</f>
        <v>327.74</v>
      </c>
      <c r="J219" s="1">
        <f>VLOOKUP(A219,Nasdaq!A218:C1473,3)</f>
        <v>15704.28</v>
      </c>
    </row>
    <row r="220" spans="1:10" x14ac:dyDescent="0.2">
      <c r="A220" s="2">
        <v>44512</v>
      </c>
      <c r="B220" s="1">
        <f>VLOOKUP(A220,AAPL!A219:C1474,3)</f>
        <v>146.91</v>
      </c>
      <c r="C220" s="1">
        <f>VLOOKUP(A220,MSFT!A219:C1474,3)</f>
        <v>327.61700000000002</v>
      </c>
      <c r="D220" s="1">
        <f>VLOOKUP(A220,NVDA!A219:C1474,3)</f>
        <v>30.335699999999999</v>
      </c>
      <c r="E220" s="1">
        <f>VLOOKUP(A220,AMD!A219:C1474,3)</f>
        <v>147.88999999999999</v>
      </c>
      <c r="F220" s="1">
        <f>VLOOKUP(A220,AMZN!A219:C1474,3)</f>
        <v>176.25800000000001</v>
      </c>
      <c r="G220" s="1">
        <f>VLOOKUP(A220,TSLA!A219:C1474,3)</f>
        <v>344.47300000000001</v>
      </c>
      <c r="H220" s="1">
        <f>VLOOKUP(A220,GOOGL!A219:C1474,3)</f>
        <v>148.14099999999999</v>
      </c>
      <c r="I220" s="1">
        <f>VLOOKUP(A220,META!A219:C1474,3)</f>
        <v>340.89</v>
      </c>
      <c r="J220" s="1">
        <f>VLOOKUP(A220,Nasdaq!A219:C1474,3)</f>
        <v>15860.96</v>
      </c>
    </row>
    <row r="221" spans="1:10" x14ac:dyDescent="0.2">
      <c r="A221" s="2">
        <v>44515</v>
      </c>
      <c r="B221" s="1">
        <f>VLOOKUP(A221,AAPL!A220:C1475,3)</f>
        <v>146.91900000000001</v>
      </c>
      <c r="C221" s="1">
        <f>VLOOKUP(A221,MSFT!A220:C1475,3)</f>
        <v>326.98200000000003</v>
      </c>
      <c r="D221" s="1">
        <f>VLOOKUP(A221,NVDA!A220:C1475,3)</f>
        <v>29.9712</v>
      </c>
      <c r="E221" s="1">
        <f>VLOOKUP(A221,AMD!A220:C1475,3)</f>
        <v>146.49</v>
      </c>
      <c r="F221" s="1">
        <f>VLOOKUP(A221,AMZN!A220:C1475,3)</f>
        <v>177.28399999999999</v>
      </c>
      <c r="G221" s="1">
        <f>VLOOKUP(A221,TSLA!A220:C1475,3)</f>
        <v>337.79700000000003</v>
      </c>
      <c r="H221" s="1">
        <f>VLOOKUP(A221,GOOGL!A220:C1475,3)</f>
        <v>147.91499999999999</v>
      </c>
      <c r="I221" s="1">
        <f>VLOOKUP(A221,META!A220:C1475,3)</f>
        <v>347.56</v>
      </c>
      <c r="J221" s="1">
        <f>VLOOKUP(A221,Nasdaq!A220:C1475,3)</f>
        <v>15853.85</v>
      </c>
    </row>
    <row r="222" spans="1:10" x14ac:dyDescent="0.2">
      <c r="A222" s="2">
        <v>44516</v>
      </c>
      <c r="B222" s="1">
        <f>VLOOKUP(A222,AAPL!A221:C1476,3)</f>
        <v>147.90199999999999</v>
      </c>
      <c r="C222" s="1">
        <f>VLOOKUP(A222,MSFT!A221:C1476,3)</f>
        <v>330.322</v>
      </c>
      <c r="D222" s="1">
        <f>VLOOKUP(A222,NVDA!A221:C1476,3)</f>
        <v>30.148900000000001</v>
      </c>
      <c r="E222" s="1">
        <f>VLOOKUP(A222,AMD!A221:C1476,3)</f>
        <v>152.44999999999999</v>
      </c>
      <c r="F222" s="1">
        <f>VLOOKUP(A222,AMZN!A221:C1476,3)</f>
        <v>177.035</v>
      </c>
      <c r="G222" s="1">
        <f>VLOOKUP(A222,TSLA!A221:C1476,3)</f>
        <v>351.577</v>
      </c>
      <c r="H222" s="1">
        <f>VLOOKUP(A222,GOOGL!A221:C1476,3)</f>
        <v>147.34100000000001</v>
      </c>
      <c r="I222" s="1">
        <f>VLOOKUP(A222,META!A221:C1476,3)</f>
        <v>342.96</v>
      </c>
      <c r="J222" s="1">
        <f>VLOOKUP(A222,Nasdaq!A221:C1476,3)</f>
        <v>15973.86</v>
      </c>
    </row>
    <row r="223" spans="1:10" x14ac:dyDescent="0.2">
      <c r="A223" s="2">
        <v>44517</v>
      </c>
      <c r="B223" s="1">
        <f>VLOOKUP(A223,AAPL!A222:C1477,3)</f>
        <v>150.33699999999999</v>
      </c>
      <c r="C223" s="1">
        <f>VLOOKUP(A223,MSFT!A222:C1477,3)</f>
        <v>330.548</v>
      </c>
      <c r="D223" s="1">
        <f>VLOOKUP(A223,NVDA!A222:C1477,3)</f>
        <v>29.208300000000001</v>
      </c>
      <c r="E223" s="1">
        <f>VLOOKUP(A223,AMD!A222:C1477,3)</f>
        <v>151.34</v>
      </c>
      <c r="F223" s="1">
        <f>VLOOKUP(A223,AMZN!A222:C1477,3)</f>
        <v>177.45</v>
      </c>
      <c r="G223" s="1">
        <f>VLOOKUP(A223,TSLA!A222:C1477,3)</f>
        <v>363.00299999999999</v>
      </c>
      <c r="H223" s="1">
        <f>VLOOKUP(A223,GOOGL!A222:C1477,3)</f>
        <v>147.512</v>
      </c>
      <c r="I223" s="1">
        <f>VLOOKUP(A223,META!A222:C1477,3)</f>
        <v>340.77</v>
      </c>
      <c r="J223" s="1">
        <f>VLOOKUP(A223,Nasdaq!A222:C1477,3)</f>
        <v>15921.57</v>
      </c>
    </row>
    <row r="224" spans="1:10" x14ac:dyDescent="0.2">
      <c r="A224" s="2">
        <v>44518</v>
      </c>
      <c r="B224" s="1">
        <f>VLOOKUP(A224,AAPL!A223:C1478,3)</f>
        <v>154.62899999999999</v>
      </c>
      <c r="C224" s="1">
        <f>VLOOKUP(A224,MSFT!A223:C1478,3)</f>
        <v>332.64600000000002</v>
      </c>
      <c r="D224" s="1">
        <f>VLOOKUP(A224,NVDA!A223:C1478,3)</f>
        <v>31.6187</v>
      </c>
      <c r="E224" s="1">
        <f>VLOOKUP(A224,AMD!A223:C1478,3)</f>
        <v>155.02000000000001</v>
      </c>
      <c r="F224" s="1">
        <f>VLOOKUP(A224,AMZN!A223:C1478,3)</f>
        <v>184.803</v>
      </c>
      <c r="G224" s="1">
        <f>VLOOKUP(A224,TSLA!A223:C1478,3)</f>
        <v>365.46</v>
      </c>
      <c r="H224" s="1">
        <f>VLOOKUP(A224,GOOGL!A223:C1478,3)</f>
        <v>149.297</v>
      </c>
      <c r="I224" s="1">
        <f>VLOOKUP(A224,META!A223:C1478,3)</f>
        <v>338.69</v>
      </c>
      <c r="J224" s="1">
        <f>VLOOKUP(A224,Nasdaq!A223:C1478,3)</f>
        <v>15993.71</v>
      </c>
    </row>
    <row r="225" spans="1:10" x14ac:dyDescent="0.2">
      <c r="A225" s="2">
        <v>44519</v>
      </c>
      <c r="B225" s="1">
        <f>VLOOKUP(A225,AAPL!A224:C1479,3)</f>
        <v>157.251</v>
      </c>
      <c r="C225" s="1">
        <f>VLOOKUP(A225,MSFT!A224:C1479,3)</f>
        <v>334.43299999999999</v>
      </c>
      <c r="D225" s="1">
        <f>VLOOKUP(A225,NVDA!A224:C1479,3)</f>
        <v>32.925899999999999</v>
      </c>
      <c r="E225" s="1">
        <f>VLOOKUP(A225,AMD!A224:C1479,3)</f>
        <v>155.41</v>
      </c>
      <c r="F225" s="1">
        <f>VLOOKUP(A225,AMZN!A224:C1479,3)</f>
        <v>183.82900000000001</v>
      </c>
      <c r="G225" s="1">
        <f>VLOOKUP(A225,TSLA!A224:C1479,3)</f>
        <v>379.02</v>
      </c>
      <c r="H225" s="1">
        <f>VLOOKUP(A225,GOOGL!A224:C1479,3)</f>
        <v>148.38800000000001</v>
      </c>
      <c r="I225" s="1">
        <f>VLOOKUP(A225,META!A224:C1479,3)</f>
        <v>345.3</v>
      </c>
      <c r="J225" s="1">
        <f>VLOOKUP(A225,Nasdaq!A224:C1479,3)</f>
        <v>16057.44</v>
      </c>
    </row>
    <row r="226" spans="1:10" x14ac:dyDescent="0.2">
      <c r="A226" s="2">
        <v>44522</v>
      </c>
      <c r="B226" s="1">
        <f>VLOOKUP(A226,AAPL!A225:C1480,3)</f>
        <v>157.71199999999999</v>
      </c>
      <c r="C226" s="1">
        <f>VLOOKUP(A226,MSFT!A225:C1480,3)</f>
        <v>331.24</v>
      </c>
      <c r="D226" s="1">
        <f>VLOOKUP(A226,NVDA!A225:C1480,3)</f>
        <v>31.8994</v>
      </c>
      <c r="E226" s="1">
        <f>VLOOKUP(A226,AMD!A225:C1480,3)</f>
        <v>152.52000000000001</v>
      </c>
      <c r="F226" s="1">
        <f>VLOOKUP(A226,AMZN!A225:C1480,3)</f>
        <v>178.62799999999999</v>
      </c>
      <c r="G226" s="1">
        <f>VLOOKUP(A226,TSLA!A225:C1480,3)</f>
        <v>385.62299999999999</v>
      </c>
      <c r="H226" s="1">
        <f>VLOOKUP(A226,GOOGL!A225:C1480,3)</f>
        <v>145.773</v>
      </c>
      <c r="I226" s="1">
        <f>VLOOKUP(A226,META!A225:C1480,3)</f>
        <v>341.01</v>
      </c>
      <c r="J226" s="1">
        <f>VLOOKUP(A226,Nasdaq!A225:C1480,3)</f>
        <v>15854.76</v>
      </c>
    </row>
    <row r="227" spans="1:10" x14ac:dyDescent="0.2">
      <c r="A227" s="2">
        <v>44523</v>
      </c>
      <c r="B227" s="1">
        <f>VLOOKUP(A227,AAPL!A226:C1481,3)</f>
        <v>158.08600000000001</v>
      </c>
      <c r="C227" s="1">
        <f>VLOOKUP(A227,MSFT!A226:C1481,3)</f>
        <v>329.14100000000002</v>
      </c>
      <c r="D227" s="1">
        <f>VLOOKUP(A227,NVDA!A226:C1481,3)</f>
        <v>31.689699999999998</v>
      </c>
      <c r="E227" s="1">
        <f>VLOOKUP(A227,AMD!A226:C1481,3)</f>
        <v>149.91999999999999</v>
      </c>
      <c r="F227" s="1">
        <f>VLOOKUP(A227,AMZN!A226:C1481,3)</f>
        <v>179.00200000000001</v>
      </c>
      <c r="G227" s="1">
        <f>VLOOKUP(A227,TSLA!A226:C1481,3)</f>
        <v>369.67700000000002</v>
      </c>
      <c r="H227" s="1">
        <f>VLOOKUP(A227,GOOGL!A226:C1481,3)</f>
        <v>145.256</v>
      </c>
      <c r="I227" s="1">
        <f>VLOOKUP(A227,META!A226:C1481,3)</f>
        <v>337.25</v>
      </c>
      <c r="J227" s="1">
        <f>VLOOKUP(A227,Nasdaq!A226:C1481,3)</f>
        <v>15775.14</v>
      </c>
    </row>
    <row r="228" spans="1:10" x14ac:dyDescent="0.2">
      <c r="A228" s="2">
        <v>44524</v>
      </c>
      <c r="B228" s="1">
        <f>VLOOKUP(A228,AAPL!A227:C1482,3)</f>
        <v>158.607</v>
      </c>
      <c r="C228" s="1">
        <f>VLOOKUP(A228,MSFT!A227:C1482,3)</f>
        <v>329.36599999999999</v>
      </c>
      <c r="D228" s="1">
        <f>VLOOKUP(A228,NVDA!A227:C1482,3)</f>
        <v>32.615299999999998</v>
      </c>
      <c r="E228" s="1">
        <f>VLOOKUP(A228,AMD!A227:C1482,3)</f>
        <v>157.80000000000001</v>
      </c>
      <c r="F228" s="1">
        <f>VLOOKUP(A228,AMZN!A227:C1482,3)</f>
        <v>179.02</v>
      </c>
      <c r="G228" s="1">
        <f>VLOOKUP(A228,TSLA!A227:C1482,3)</f>
        <v>372</v>
      </c>
      <c r="H228" s="1">
        <f>VLOOKUP(A228,GOOGL!A227:C1482,3)</f>
        <v>145.59200000000001</v>
      </c>
      <c r="I228" s="1">
        <f>VLOOKUP(A228,META!A227:C1482,3)</f>
        <v>341.06</v>
      </c>
      <c r="J228" s="1">
        <f>VLOOKUP(A228,Nasdaq!A227:C1482,3)</f>
        <v>15845.23</v>
      </c>
    </row>
    <row r="229" spans="1:10" x14ac:dyDescent="0.2">
      <c r="A229" s="2">
        <v>44526</v>
      </c>
      <c r="B229" s="1">
        <f>VLOOKUP(A229,AAPL!A228:C1483,3)</f>
        <v>153.58600000000001</v>
      </c>
      <c r="C229" s="1">
        <f>VLOOKUP(A229,MSFT!A228:C1483,3)</f>
        <v>321.34699999999998</v>
      </c>
      <c r="D229" s="1">
        <f>VLOOKUP(A229,NVDA!A228:C1483,3)</f>
        <v>31.4468</v>
      </c>
      <c r="E229" s="1">
        <f>VLOOKUP(A229,AMD!A228:C1483,3)</f>
        <v>154.81</v>
      </c>
      <c r="F229" s="1">
        <f>VLOOKUP(A229,AMZN!A228:C1483,3)</f>
        <v>175.22800000000001</v>
      </c>
      <c r="G229" s="1">
        <f>VLOOKUP(A229,TSLA!A228:C1483,3)</f>
        <v>360.64</v>
      </c>
      <c r="H229" s="1">
        <f>VLOOKUP(A229,GOOGL!A228:C1483,3)</f>
        <v>141.66999999999999</v>
      </c>
      <c r="I229" s="1">
        <f>VLOOKUP(A229,META!A228:C1483,3)</f>
        <v>333.12</v>
      </c>
      <c r="J229" s="1">
        <f>VLOOKUP(A229,Nasdaq!A228:C1483,3)</f>
        <v>15491.66</v>
      </c>
    </row>
    <row r="230" spans="1:10" x14ac:dyDescent="0.2">
      <c r="A230" s="2">
        <v>44529</v>
      </c>
      <c r="B230" s="1">
        <f>VLOOKUP(A230,AAPL!A229:C1484,3)</f>
        <v>156.95699999999999</v>
      </c>
      <c r="C230" s="1">
        <f>VLOOKUP(A230,MSFT!A229:C1484,3)</f>
        <v>328.12400000000002</v>
      </c>
      <c r="D230" s="1">
        <f>VLOOKUP(A230,NVDA!A229:C1484,3)</f>
        <v>33.316299999999998</v>
      </c>
      <c r="E230" s="1">
        <f>VLOOKUP(A230,AMD!A229:C1484,3)</f>
        <v>161.91</v>
      </c>
      <c r="F230" s="1">
        <f>VLOOKUP(A230,AMZN!A229:C1484,3)</f>
        <v>178.07900000000001</v>
      </c>
      <c r="G230" s="1">
        <f>VLOOKUP(A230,TSLA!A229:C1484,3)</f>
        <v>378.99700000000001</v>
      </c>
      <c r="H230" s="1">
        <f>VLOOKUP(A230,GOOGL!A229:C1484,3)</f>
        <v>145.005</v>
      </c>
      <c r="I230" s="1">
        <f>VLOOKUP(A230,META!A229:C1484,3)</f>
        <v>338.03</v>
      </c>
      <c r="J230" s="1">
        <f>VLOOKUP(A230,Nasdaq!A229:C1484,3)</f>
        <v>15782.83</v>
      </c>
    </row>
    <row r="231" spans="1:10" x14ac:dyDescent="0.2">
      <c r="A231" s="2">
        <v>44530</v>
      </c>
      <c r="B231" s="1">
        <f>VLOOKUP(A231,AAPL!A230:C1485,3)</f>
        <v>161.905</v>
      </c>
      <c r="C231" s="1">
        <f>VLOOKUP(A231,MSFT!A230:C1485,3)</f>
        <v>322.23500000000001</v>
      </c>
      <c r="D231" s="1">
        <f>VLOOKUP(A231,NVDA!A230:C1485,3)</f>
        <v>32.6173</v>
      </c>
      <c r="E231" s="1">
        <f>VLOOKUP(A231,AMD!A230:C1485,3)</f>
        <v>158.37</v>
      </c>
      <c r="F231" s="1">
        <f>VLOOKUP(A231,AMZN!A230:C1485,3)</f>
        <v>175.35400000000001</v>
      </c>
      <c r="G231" s="1">
        <f>VLOOKUP(A231,TSLA!A230:C1485,3)</f>
        <v>381.58699999999999</v>
      </c>
      <c r="H231" s="1">
        <f>VLOOKUP(A231,GOOGL!A230:C1485,3)</f>
        <v>141.38399999999999</v>
      </c>
      <c r="I231" s="1">
        <f>VLOOKUP(A231,META!A230:C1485,3)</f>
        <v>324.45999999999998</v>
      </c>
      <c r="J231" s="1">
        <f>VLOOKUP(A231,Nasdaq!A230:C1485,3)</f>
        <v>15537.69</v>
      </c>
    </row>
    <row r="232" spans="1:10" x14ac:dyDescent="0.2">
      <c r="A232" s="2">
        <v>44531</v>
      </c>
      <c r="B232" s="1">
        <f>VLOOKUP(A232,AAPL!A231:C1486,3)</f>
        <v>161.386</v>
      </c>
      <c r="C232" s="1">
        <f>VLOOKUP(A232,MSFT!A231:C1486,3)</f>
        <v>321.73599999999999</v>
      </c>
      <c r="D232" s="1">
        <f>VLOOKUP(A232,NVDA!A231:C1486,3)</f>
        <v>31.383199999999999</v>
      </c>
      <c r="E232" s="1">
        <f>VLOOKUP(A232,AMD!A231:C1486,3)</f>
        <v>149.11000000000001</v>
      </c>
      <c r="F232" s="1">
        <f>VLOOKUP(A232,AMZN!A231:C1486,3)</f>
        <v>172.18600000000001</v>
      </c>
      <c r="G232" s="1">
        <f>VLOOKUP(A232,TSLA!A231:C1486,3)</f>
        <v>365</v>
      </c>
      <c r="H232" s="1">
        <f>VLOOKUP(A232,GOOGL!A231:C1486,3)</f>
        <v>140.542</v>
      </c>
      <c r="I232" s="1">
        <f>VLOOKUP(A232,META!A231:C1486,3)</f>
        <v>310.60000000000002</v>
      </c>
      <c r="J232" s="1">
        <f>VLOOKUP(A232,Nasdaq!A231:C1486,3)</f>
        <v>15254.05</v>
      </c>
    </row>
    <row r="233" spans="1:10" x14ac:dyDescent="0.2">
      <c r="A233" s="2">
        <v>44532</v>
      </c>
      <c r="B233" s="1">
        <f>VLOOKUP(A233,AAPL!A232:C1487,3)</f>
        <v>160.39400000000001</v>
      </c>
      <c r="C233" s="1">
        <f>VLOOKUP(A233,MSFT!A232:C1487,3)</f>
        <v>321.161</v>
      </c>
      <c r="D233" s="1">
        <f>VLOOKUP(A233,NVDA!A232:C1487,3)</f>
        <v>32.073300000000003</v>
      </c>
      <c r="E233" s="1">
        <f>VLOOKUP(A233,AMD!A232:C1487,3)</f>
        <v>150.68</v>
      </c>
      <c r="F233" s="1">
        <f>VLOOKUP(A233,AMZN!A232:C1487,3)</f>
        <v>171.86799999999999</v>
      </c>
      <c r="G233" s="1">
        <f>VLOOKUP(A233,TSLA!A232:C1487,3)</f>
        <v>361.53300000000002</v>
      </c>
      <c r="H233" s="1">
        <f>VLOOKUP(A233,GOOGL!A232:C1487,3)</f>
        <v>142.44999999999999</v>
      </c>
      <c r="I233" s="1">
        <f>VLOOKUP(A233,META!A232:C1487,3)</f>
        <v>310.39</v>
      </c>
      <c r="J233" s="1">
        <f>VLOOKUP(A233,Nasdaq!A232:C1487,3)</f>
        <v>15381.32</v>
      </c>
    </row>
    <row r="234" spans="1:10" x14ac:dyDescent="0.2">
      <c r="A234" s="2">
        <v>44533</v>
      </c>
      <c r="B234" s="1">
        <f>VLOOKUP(A234,AAPL!A233:C1488,3)</f>
        <v>158.50899999999999</v>
      </c>
      <c r="C234" s="1">
        <f>VLOOKUP(A234,MSFT!A233:C1488,3)</f>
        <v>314.84100000000001</v>
      </c>
      <c r="D234" s="1">
        <f>VLOOKUP(A234,NVDA!A233:C1488,3)</f>
        <v>30.642399999999999</v>
      </c>
      <c r="E234" s="1">
        <f>VLOOKUP(A234,AMD!A233:C1488,3)</f>
        <v>144.01</v>
      </c>
      <c r="F234" s="1">
        <f>VLOOKUP(A234,AMZN!A233:C1488,3)</f>
        <v>169.49</v>
      </c>
      <c r="G234" s="1">
        <f>VLOOKUP(A234,TSLA!A233:C1488,3)</f>
        <v>338.32299999999998</v>
      </c>
      <c r="H234" s="1">
        <f>VLOOKUP(A234,GOOGL!A233:C1488,3)</f>
        <v>141.489</v>
      </c>
      <c r="I234" s="1">
        <f>VLOOKUP(A234,META!A233:C1488,3)</f>
        <v>306.83999999999997</v>
      </c>
      <c r="J234" s="1">
        <f>VLOOKUP(A234,Nasdaq!A233:C1488,3)</f>
        <v>15085.47</v>
      </c>
    </row>
    <row r="235" spans="1:10" x14ac:dyDescent="0.2">
      <c r="A235" s="2">
        <v>44536</v>
      </c>
      <c r="B235" s="1">
        <f>VLOOKUP(A235,AAPL!A234:C1489,3)</f>
        <v>161.92500000000001</v>
      </c>
      <c r="C235" s="1">
        <f>VLOOKUP(A235,MSFT!A234:C1489,3)</f>
        <v>317.94799999999998</v>
      </c>
      <c r="D235" s="1">
        <f>VLOOKUP(A235,NVDA!A234:C1489,3)</f>
        <v>29.987200000000001</v>
      </c>
      <c r="E235" s="1">
        <f>VLOOKUP(A235,AMD!A234:C1489,3)</f>
        <v>139.06</v>
      </c>
      <c r="F235" s="1">
        <f>VLOOKUP(A235,AMZN!A234:C1489,3)</f>
        <v>171.36799999999999</v>
      </c>
      <c r="G235" s="1">
        <f>VLOOKUP(A235,TSLA!A234:C1489,3)</f>
        <v>336.33699999999999</v>
      </c>
      <c r="H235" s="1">
        <f>VLOOKUP(A235,GOOGL!A234:C1489,3)</f>
        <v>142.63900000000001</v>
      </c>
      <c r="I235" s="1">
        <f>VLOOKUP(A235,META!A234:C1489,3)</f>
        <v>317.87</v>
      </c>
      <c r="J235" s="1">
        <f>VLOOKUP(A235,Nasdaq!A234:C1489,3)</f>
        <v>15225.15</v>
      </c>
    </row>
    <row r="236" spans="1:10" x14ac:dyDescent="0.2">
      <c r="A236" s="2">
        <v>44537</v>
      </c>
      <c r="B236" s="1">
        <f>VLOOKUP(A236,AAPL!A235:C1490,3)</f>
        <v>167.66200000000001</v>
      </c>
      <c r="C236" s="1">
        <f>VLOOKUP(A236,MSFT!A235:C1490,3)</f>
        <v>326.45400000000001</v>
      </c>
      <c r="D236" s="1">
        <f>VLOOKUP(A236,NVDA!A235:C1490,3)</f>
        <v>32.372599999999998</v>
      </c>
      <c r="E236" s="1">
        <f>VLOOKUP(A236,AMD!A235:C1490,3)</f>
        <v>144.85</v>
      </c>
      <c r="F236" s="1">
        <f>VLOOKUP(A236,AMZN!A235:C1490,3)</f>
        <v>176.16399999999999</v>
      </c>
      <c r="G236" s="1">
        <f>VLOOKUP(A236,TSLA!A235:C1490,3)</f>
        <v>350.58300000000003</v>
      </c>
      <c r="H236" s="1">
        <f>VLOOKUP(A236,GOOGL!A235:C1490,3)</f>
        <v>146.738</v>
      </c>
      <c r="I236" s="1">
        <f>VLOOKUP(A236,META!A235:C1490,3)</f>
        <v>322.81</v>
      </c>
      <c r="J236" s="1">
        <f>VLOOKUP(A236,Nasdaq!A235:C1490,3)</f>
        <v>15686.92</v>
      </c>
    </row>
    <row r="237" spans="1:10" x14ac:dyDescent="0.2">
      <c r="A237" s="2">
        <v>44538</v>
      </c>
      <c r="B237" s="1">
        <f>VLOOKUP(A237,AAPL!A236:C1491,3)</f>
        <v>171.482</v>
      </c>
      <c r="C237" s="1">
        <f>VLOOKUP(A237,MSFT!A236:C1491,3)</f>
        <v>326.50299999999999</v>
      </c>
      <c r="D237" s="1">
        <f>VLOOKUP(A237,NVDA!A236:C1491,3)</f>
        <v>31.773599999999998</v>
      </c>
      <c r="E237" s="1">
        <f>VLOOKUP(A237,AMD!A236:C1491,3)</f>
        <v>145.24</v>
      </c>
      <c r="F237" s="1">
        <f>VLOOKUP(A237,AMZN!A236:C1491,3)</f>
        <v>176.15799999999999</v>
      </c>
      <c r="G237" s="1">
        <f>VLOOKUP(A237,TSLA!A236:C1491,3)</f>
        <v>356.32</v>
      </c>
      <c r="H237" s="1">
        <f>VLOOKUP(A237,GOOGL!A236:C1491,3)</f>
        <v>147.65100000000001</v>
      </c>
      <c r="I237" s="1">
        <f>VLOOKUP(A237,META!A236:C1491,3)</f>
        <v>330.56</v>
      </c>
      <c r="J237" s="1">
        <f>VLOOKUP(A237,Nasdaq!A236:C1491,3)</f>
        <v>15786.99</v>
      </c>
    </row>
    <row r="238" spans="1:10" x14ac:dyDescent="0.2">
      <c r="A238" s="2">
        <v>44539</v>
      </c>
      <c r="B238" s="1">
        <f>VLOOKUP(A238,AAPL!A237:C1492,3)</f>
        <v>170.97200000000001</v>
      </c>
      <c r="C238" s="1">
        <f>VLOOKUP(A238,MSFT!A237:C1492,3)</f>
        <v>324.678</v>
      </c>
      <c r="D238" s="1">
        <f>VLOOKUP(A238,NVDA!A237:C1492,3)</f>
        <v>30.439499999999999</v>
      </c>
      <c r="E238" s="1">
        <f>VLOOKUP(A238,AMD!A237:C1492,3)</f>
        <v>138.1</v>
      </c>
      <c r="F238" s="1">
        <f>VLOOKUP(A238,AMZN!A237:C1492,3)</f>
        <v>174.17099999999999</v>
      </c>
      <c r="G238" s="1">
        <f>VLOOKUP(A238,TSLA!A237:C1492,3)</f>
        <v>334.6</v>
      </c>
      <c r="H238" s="1">
        <f>VLOOKUP(A238,GOOGL!A237:C1492,3)</f>
        <v>147.10499999999999</v>
      </c>
      <c r="I238" s="1">
        <f>VLOOKUP(A238,META!A237:C1492,3)</f>
        <v>329.82</v>
      </c>
      <c r="J238" s="1">
        <f>VLOOKUP(A238,Nasdaq!A237:C1492,3)</f>
        <v>15517.37</v>
      </c>
    </row>
    <row r="239" spans="1:10" x14ac:dyDescent="0.2">
      <c r="A239" s="2">
        <v>44540</v>
      </c>
      <c r="B239" s="1">
        <f>VLOOKUP(A239,AAPL!A238:C1493,3)</f>
        <v>175.76400000000001</v>
      </c>
      <c r="C239" s="1">
        <f>VLOOKUP(A239,MSFT!A238:C1493,3)</f>
        <v>333.87799999999999</v>
      </c>
      <c r="D239" s="1">
        <f>VLOOKUP(A239,NVDA!A238:C1493,3)</f>
        <v>30.1479</v>
      </c>
      <c r="E239" s="1">
        <f>VLOOKUP(A239,AMD!A238:C1493,3)</f>
        <v>138.55000000000001</v>
      </c>
      <c r="F239" s="1">
        <f>VLOOKUP(A239,AMZN!A238:C1493,3)</f>
        <v>172.21199999999999</v>
      </c>
      <c r="G239" s="1">
        <f>VLOOKUP(A239,TSLA!A238:C1493,3)</f>
        <v>339.01</v>
      </c>
      <c r="H239" s="1">
        <f>VLOOKUP(A239,GOOGL!A238:C1493,3)</f>
        <v>147.46700000000001</v>
      </c>
      <c r="I239" s="1">
        <f>VLOOKUP(A239,META!A238:C1493,3)</f>
        <v>329.75</v>
      </c>
      <c r="J239" s="1">
        <f>VLOOKUP(A239,Nasdaq!A238:C1493,3)</f>
        <v>15630.6</v>
      </c>
    </row>
    <row r="240" spans="1:10" x14ac:dyDescent="0.2">
      <c r="A240" s="2">
        <v>44543</v>
      </c>
      <c r="B240" s="1">
        <f>VLOOKUP(A240,AAPL!A239:C1494,3)</f>
        <v>172.131</v>
      </c>
      <c r="C240" s="1">
        <f>VLOOKUP(A240,MSFT!A239:C1494,3)</f>
        <v>330.82100000000003</v>
      </c>
      <c r="D240" s="1">
        <f>VLOOKUP(A240,NVDA!A239:C1494,3)</f>
        <v>28.114000000000001</v>
      </c>
      <c r="E240" s="1">
        <f>VLOOKUP(A240,AMD!A239:C1494,3)</f>
        <v>133.80000000000001</v>
      </c>
      <c r="F240" s="1">
        <f>VLOOKUP(A240,AMZN!A239:C1494,3)</f>
        <v>169.56800000000001</v>
      </c>
      <c r="G240" s="1">
        <f>VLOOKUP(A240,TSLA!A239:C1494,3)</f>
        <v>322.137</v>
      </c>
      <c r="H240" s="1">
        <f>VLOOKUP(A240,GOOGL!A239:C1494,3)</f>
        <v>145.29900000000001</v>
      </c>
      <c r="I240" s="1">
        <f>VLOOKUP(A240,META!A239:C1494,3)</f>
        <v>334.49</v>
      </c>
      <c r="J240" s="1">
        <f>VLOOKUP(A240,Nasdaq!A239:C1494,3)</f>
        <v>15413.28</v>
      </c>
    </row>
    <row r="241" spans="1:10" x14ac:dyDescent="0.2">
      <c r="A241" s="2">
        <v>44544</v>
      </c>
      <c r="B241" s="1">
        <f>VLOOKUP(A241,AAPL!A240:C1495,3)</f>
        <v>170.745</v>
      </c>
      <c r="C241" s="1">
        <f>VLOOKUP(A241,MSFT!A240:C1495,3)</f>
        <v>320.03800000000001</v>
      </c>
      <c r="D241" s="1">
        <f>VLOOKUP(A241,NVDA!A240:C1495,3)</f>
        <v>28.29</v>
      </c>
      <c r="E241" s="1">
        <f>VLOOKUP(A241,AMD!A240:C1495,3)</f>
        <v>135.6</v>
      </c>
      <c r="F241" s="1">
        <f>VLOOKUP(A241,AMZN!A240:C1495,3)</f>
        <v>169.09200000000001</v>
      </c>
      <c r="G241" s="1">
        <f>VLOOKUP(A241,TSLA!A240:C1495,3)</f>
        <v>319.50299999999999</v>
      </c>
      <c r="H241" s="1">
        <f>VLOOKUP(A241,GOOGL!A240:C1495,3)</f>
        <v>143.38800000000001</v>
      </c>
      <c r="I241" s="1">
        <f>VLOOKUP(A241,META!A240:C1495,3)</f>
        <v>333.74</v>
      </c>
      <c r="J241" s="1">
        <f>VLOOKUP(A241,Nasdaq!A240:C1495,3)</f>
        <v>15237.64</v>
      </c>
    </row>
    <row r="242" spans="1:10" x14ac:dyDescent="0.2">
      <c r="A242" s="2">
        <v>44545</v>
      </c>
      <c r="B242" s="1">
        <f>VLOOKUP(A242,AAPL!A241:C1496,3)</f>
        <v>175.61500000000001</v>
      </c>
      <c r="C242" s="1">
        <f>VLOOKUP(A242,MSFT!A241:C1496,3)</f>
        <v>326.19099999999997</v>
      </c>
      <c r="D242" s="1">
        <f>VLOOKUP(A242,NVDA!A241:C1496,3)</f>
        <v>30.4087</v>
      </c>
      <c r="E242" s="1">
        <f>VLOOKUP(A242,AMD!A241:C1496,3)</f>
        <v>146.5</v>
      </c>
      <c r="F242" s="1">
        <f>VLOOKUP(A242,AMZN!A241:C1496,3)</f>
        <v>173.315</v>
      </c>
      <c r="G242" s="1">
        <f>VLOOKUP(A242,TSLA!A241:C1496,3)</f>
        <v>325.33</v>
      </c>
      <c r="H242" s="1">
        <f>VLOOKUP(A242,GOOGL!A241:C1496,3)</f>
        <v>145.91200000000001</v>
      </c>
      <c r="I242" s="1">
        <f>VLOOKUP(A242,META!A241:C1496,3)</f>
        <v>341.66</v>
      </c>
      <c r="J242" s="1">
        <f>VLOOKUP(A242,Nasdaq!A241:C1496,3)</f>
        <v>15565.58</v>
      </c>
    </row>
    <row r="243" spans="1:10" x14ac:dyDescent="0.2">
      <c r="A243" s="2">
        <v>44546</v>
      </c>
      <c r="B243" s="1">
        <f>VLOOKUP(A243,AAPL!A242:C1497,3)</f>
        <v>168.72399999999999</v>
      </c>
      <c r="C243" s="1">
        <f>VLOOKUP(A243,MSFT!A242:C1497,3)</f>
        <v>316.68799999999999</v>
      </c>
      <c r="D243" s="1">
        <f>VLOOKUP(A243,NVDA!A242:C1497,3)</f>
        <v>28.3398</v>
      </c>
      <c r="E243" s="1">
        <f>VLOOKUP(A243,AMD!A242:C1497,3)</f>
        <v>138.63999999999999</v>
      </c>
      <c r="F243" s="1">
        <f>VLOOKUP(A243,AMZN!A242:C1497,3)</f>
        <v>168.87100000000001</v>
      </c>
      <c r="G243" s="1">
        <f>VLOOKUP(A243,TSLA!A242:C1497,3)</f>
        <v>308.97300000000001</v>
      </c>
      <c r="H243" s="1">
        <f>VLOOKUP(A243,GOOGL!A242:C1497,3)</f>
        <v>143.923</v>
      </c>
      <c r="I243" s="1">
        <f>VLOOKUP(A243,META!A242:C1497,3)</f>
        <v>334.9</v>
      </c>
      <c r="J243" s="1">
        <f>VLOOKUP(A243,Nasdaq!A242:C1497,3)</f>
        <v>15180.43</v>
      </c>
    </row>
    <row r="244" spans="1:10" x14ac:dyDescent="0.2">
      <c r="A244" s="2">
        <v>44547</v>
      </c>
      <c r="B244" s="1">
        <f>VLOOKUP(A244,AAPL!A243:C1498,3)</f>
        <v>167.62299999999999</v>
      </c>
      <c r="C244" s="1">
        <f>VLOOKUP(A244,MSFT!A243:C1498,3)</f>
        <v>315.613</v>
      </c>
      <c r="D244" s="1">
        <f>VLOOKUP(A244,NVDA!A243:C1498,3)</f>
        <v>27.7545</v>
      </c>
      <c r="E244" s="1">
        <f>VLOOKUP(A244,AMD!A243:C1498,3)</f>
        <v>137.75</v>
      </c>
      <c r="F244" s="1">
        <f>VLOOKUP(A244,AMZN!A243:C1498,3)</f>
        <v>170.017</v>
      </c>
      <c r="G244" s="1">
        <f>VLOOKUP(A244,TSLA!A243:C1498,3)</f>
        <v>310.85700000000003</v>
      </c>
      <c r="H244" s="1">
        <f>VLOOKUP(A244,GOOGL!A243:C1498,3)</f>
        <v>141.21299999999999</v>
      </c>
      <c r="I244" s="1">
        <f>VLOOKUP(A244,META!A243:C1498,3)</f>
        <v>333.79</v>
      </c>
      <c r="J244" s="1">
        <f>VLOOKUP(A244,Nasdaq!A243:C1498,3)</f>
        <v>15169.68</v>
      </c>
    </row>
    <row r="245" spans="1:10" x14ac:dyDescent="0.2">
      <c r="A245" s="2">
        <v>44550</v>
      </c>
      <c r="B245" s="1">
        <f>VLOOKUP(A245,AAPL!A244:C1499,3)</f>
        <v>166.25700000000001</v>
      </c>
      <c r="C245" s="1">
        <f>VLOOKUP(A245,MSFT!A244:C1499,3)</f>
        <v>311.822</v>
      </c>
      <c r="D245" s="1">
        <f>VLOOKUP(A245,NVDA!A244:C1499,3)</f>
        <v>27.672599999999999</v>
      </c>
      <c r="E245" s="1">
        <f>VLOOKUP(A245,AMD!A244:C1499,3)</f>
        <v>135.80000000000001</v>
      </c>
      <c r="F245" s="1">
        <f>VLOOKUP(A245,AMZN!A244:C1499,3)</f>
        <v>167.07900000000001</v>
      </c>
      <c r="G245" s="1">
        <f>VLOOKUP(A245,TSLA!A244:C1499,3)</f>
        <v>299.98</v>
      </c>
      <c r="H245" s="1">
        <f>VLOOKUP(A245,GOOGL!A244:C1499,3)</f>
        <v>141.096</v>
      </c>
      <c r="I245" s="1">
        <f>VLOOKUP(A245,META!A244:C1499,3)</f>
        <v>325.45</v>
      </c>
      <c r="J245" s="1">
        <f>VLOOKUP(A245,Nasdaq!A244:C1499,3)</f>
        <v>14980.94</v>
      </c>
    </row>
    <row r="246" spans="1:10" x14ac:dyDescent="0.2">
      <c r="A246" s="2">
        <v>44551</v>
      </c>
      <c r="B246" s="1">
        <f>VLOOKUP(A246,AAPL!A245:C1500,3)</f>
        <v>169.44200000000001</v>
      </c>
      <c r="C246" s="1">
        <f>VLOOKUP(A246,MSFT!A245:C1500,3)</f>
        <v>319.01100000000002</v>
      </c>
      <c r="D246" s="1">
        <f>VLOOKUP(A246,NVDA!A245:C1500,3)</f>
        <v>29.026700000000002</v>
      </c>
      <c r="E246" s="1">
        <f>VLOOKUP(A246,AMD!A245:C1500,3)</f>
        <v>144.25</v>
      </c>
      <c r="F246" s="1">
        <f>VLOOKUP(A246,AMZN!A245:C1500,3)</f>
        <v>170.417</v>
      </c>
      <c r="G246" s="1">
        <f>VLOOKUP(A246,TSLA!A245:C1500,3)</f>
        <v>312.84300000000002</v>
      </c>
      <c r="H246" s="1">
        <f>VLOOKUP(A246,GOOGL!A245:C1500,3)</f>
        <v>142.95400000000001</v>
      </c>
      <c r="I246" s="1">
        <f>VLOOKUP(A246,META!A245:C1500,3)</f>
        <v>334.2</v>
      </c>
      <c r="J246" s="1">
        <f>VLOOKUP(A246,Nasdaq!A245:C1500,3)</f>
        <v>15341.09</v>
      </c>
    </row>
    <row r="247" spans="1:10" x14ac:dyDescent="0.2">
      <c r="A247" s="2">
        <v>44552</v>
      </c>
      <c r="B247" s="1">
        <f>VLOOKUP(A247,AAPL!A246:C1501,3)</f>
        <v>172.03200000000001</v>
      </c>
      <c r="C247" s="1">
        <f>VLOOKUP(A247,MSFT!A246:C1501,3)</f>
        <v>324.774</v>
      </c>
      <c r="D247" s="1">
        <f>VLOOKUP(A247,NVDA!A246:C1501,3)</f>
        <v>29.351299999999998</v>
      </c>
      <c r="E247" s="1">
        <f>VLOOKUP(A247,AMD!A246:C1501,3)</f>
        <v>143.88</v>
      </c>
      <c r="F247" s="1">
        <f>VLOOKUP(A247,AMZN!A246:C1501,3)</f>
        <v>171.03700000000001</v>
      </c>
      <c r="G247" s="1">
        <f>VLOOKUP(A247,TSLA!A246:C1501,3)</f>
        <v>336.29</v>
      </c>
      <c r="H247" s="1">
        <f>VLOOKUP(A247,GOOGL!A246:C1501,3)</f>
        <v>145.886</v>
      </c>
      <c r="I247" s="1">
        <f>VLOOKUP(A247,META!A246:C1501,3)</f>
        <v>330.45</v>
      </c>
      <c r="J247" s="1">
        <f>VLOOKUP(A247,Nasdaq!A246:C1501,3)</f>
        <v>15521.89</v>
      </c>
    </row>
    <row r="248" spans="1:10" x14ac:dyDescent="0.2">
      <c r="A248" s="2">
        <v>44553</v>
      </c>
      <c r="B248" s="1">
        <f>VLOOKUP(A248,AAPL!A247:C1502,3)</f>
        <v>172.66</v>
      </c>
      <c r="C248" s="1">
        <f>VLOOKUP(A248,MSFT!A247:C1502,3)</f>
        <v>326.23099999999999</v>
      </c>
      <c r="D248" s="1">
        <f>VLOOKUP(A248,NVDA!A247:C1502,3)</f>
        <v>29.590900000000001</v>
      </c>
      <c r="E248" s="1">
        <f>VLOOKUP(A248,AMD!A247:C1502,3)</f>
        <v>146.13999999999999</v>
      </c>
      <c r="F248" s="1">
        <f>VLOOKUP(A248,AMZN!A247:C1502,3)</f>
        <v>171.06800000000001</v>
      </c>
      <c r="G248" s="1">
        <f>VLOOKUP(A248,TSLA!A247:C1502,3)</f>
        <v>355.66699999999997</v>
      </c>
      <c r="H248" s="1">
        <f>VLOOKUP(A248,GOOGL!A247:C1502,3)</f>
        <v>146.386</v>
      </c>
      <c r="I248" s="1">
        <f>VLOOKUP(A248,META!A247:C1502,3)</f>
        <v>335.24</v>
      </c>
      <c r="J248" s="1">
        <f>VLOOKUP(A248,Nasdaq!A247:C1502,3)</f>
        <v>15653.37</v>
      </c>
    </row>
    <row r="249" spans="1:10" x14ac:dyDescent="0.2">
      <c r="A249" s="2">
        <v>44557</v>
      </c>
      <c r="B249" s="1">
        <f>VLOOKUP(A249,AAPL!A248:C1503,3)</f>
        <v>176.63</v>
      </c>
      <c r="C249" s="1">
        <f>VLOOKUP(A249,MSFT!A248:C1503,3)</f>
        <v>333.79</v>
      </c>
      <c r="D249" s="1">
        <f>VLOOKUP(A249,NVDA!A248:C1503,3)</f>
        <v>30.893999999999998</v>
      </c>
      <c r="E249" s="1">
        <f>VLOOKUP(A249,AMD!A248:C1503,3)</f>
        <v>154.36000000000001</v>
      </c>
      <c r="F249" s="1">
        <f>VLOOKUP(A249,AMZN!A248:C1503,3)</f>
        <v>169.67</v>
      </c>
      <c r="G249" s="1">
        <f>VLOOKUP(A249,TSLA!A248:C1503,3)</f>
        <v>364.64699999999999</v>
      </c>
      <c r="H249" s="1">
        <f>VLOOKUP(A249,GOOGL!A248:C1503,3)</f>
        <v>147.37100000000001</v>
      </c>
      <c r="I249" s="1">
        <f>VLOOKUP(A249,META!A248:C1503,3)</f>
        <v>346.18</v>
      </c>
      <c r="J249" s="1">
        <f>VLOOKUP(A249,Nasdaq!A248:C1503,3)</f>
        <v>15871.26</v>
      </c>
    </row>
    <row r="250" spans="1:10" x14ac:dyDescent="0.2">
      <c r="A250" s="2">
        <v>44558</v>
      </c>
      <c r="B250" s="1">
        <f>VLOOKUP(A250,AAPL!A249:C1504,3)</f>
        <v>175.60599999999999</v>
      </c>
      <c r="C250" s="1">
        <f>VLOOKUP(A250,MSFT!A249:C1504,3)</f>
        <v>332.62599999999998</v>
      </c>
      <c r="D250" s="1">
        <f>VLOOKUP(A250,NVDA!A249:C1504,3)</f>
        <v>30.271799999999999</v>
      </c>
      <c r="E250" s="1">
        <f>VLOOKUP(A250,AMD!A249:C1504,3)</f>
        <v>153.15</v>
      </c>
      <c r="F250" s="1">
        <f>VLOOKUP(A250,AMZN!A249:C1504,3)</f>
        <v>170.661</v>
      </c>
      <c r="G250" s="1">
        <f>VLOOKUP(A250,TSLA!A249:C1504,3)</f>
        <v>362.82299999999998</v>
      </c>
      <c r="H250" s="1">
        <f>VLOOKUP(A250,GOOGL!A249:C1504,3)</f>
        <v>146.15700000000001</v>
      </c>
      <c r="I250" s="1">
        <f>VLOOKUP(A250,META!A249:C1504,3)</f>
        <v>346.22</v>
      </c>
      <c r="J250" s="1">
        <f>VLOOKUP(A250,Nasdaq!A249:C1504,3)</f>
        <v>15781.72</v>
      </c>
    </row>
    <row r="251" spans="1:10" x14ac:dyDescent="0.2">
      <c r="A251" s="2">
        <v>44559</v>
      </c>
      <c r="B251" s="1">
        <f>VLOOKUP(A251,AAPL!A250:C1505,3)</f>
        <v>175.69399999999999</v>
      </c>
      <c r="C251" s="1">
        <f>VLOOKUP(A251,MSFT!A250:C1505,3)</f>
        <v>333.30200000000002</v>
      </c>
      <c r="D251" s="1">
        <f>VLOOKUP(A251,NVDA!A250:C1505,3)</f>
        <v>29.9512</v>
      </c>
      <c r="E251" s="1">
        <f>VLOOKUP(A251,AMD!A250:C1505,3)</f>
        <v>148.26</v>
      </c>
      <c r="F251" s="1">
        <f>VLOOKUP(A251,AMZN!A250:C1505,3)</f>
        <v>169.20099999999999</v>
      </c>
      <c r="G251" s="1">
        <f>VLOOKUP(A251,TSLA!A250:C1505,3)</f>
        <v>362.06299999999999</v>
      </c>
      <c r="H251" s="1">
        <f>VLOOKUP(A251,GOOGL!A250:C1505,3)</f>
        <v>146.126</v>
      </c>
      <c r="I251" s="1">
        <f>VLOOKUP(A251,META!A250:C1505,3)</f>
        <v>342.94</v>
      </c>
      <c r="J251" s="1">
        <f>VLOOKUP(A251,Nasdaq!A250:C1505,3)</f>
        <v>15766.22</v>
      </c>
    </row>
    <row r="252" spans="1:10" x14ac:dyDescent="0.2">
      <c r="A252" s="2">
        <v>44560</v>
      </c>
      <c r="B252" s="1">
        <f>VLOOKUP(A252,AAPL!A251:C1506,3)</f>
        <v>174.53700000000001</v>
      </c>
      <c r="C252" s="1">
        <f>VLOOKUP(A252,MSFT!A251:C1506,3)</f>
        <v>330.74299999999999</v>
      </c>
      <c r="D252" s="1">
        <f>VLOOKUP(A252,NVDA!A251:C1506,3)</f>
        <v>29.536899999999999</v>
      </c>
      <c r="E252" s="1">
        <f>VLOOKUP(A252,AMD!A251:C1506,3)</f>
        <v>145.15</v>
      </c>
      <c r="F252" s="1">
        <f>VLOOKUP(A252,AMZN!A251:C1506,3)</f>
        <v>168.64400000000001</v>
      </c>
      <c r="G252" s="1">
        <f>VLOOKUP(A252,TSLA!A251:C1506,3)</f>
        <v>356.78</v>
      </c>
      <c r="H252" s="1">
        <f>VLOOKUP(A252,GOOGL!A251:C1506,3)</f>
        <v>145.67099999999999</v>
      </c>
      <c r="I252" s="1">
        <f>VLOOKUP(A252,META!A251:C1506,3)</f>
        <v>344.36</v>
      </c>
      <c r="J252" s="1">
        <f>VLOOKUP(A252,Nasdaq!A251:C1506,3)</f>
        <v>15741.56</v>
      </c>
    </row>
    <row r="253" spans="1:10" x14ac:dyDescent="0.2">
      <c r="A253" s="2">
        <v>44561</v>
      </c>
      <c r="B253" s="1">
        <f>VLOOKUP(A253,AAPL!A252:C1507,3)</f>
        <v>173.91800000000001</v>
      </c>
      <c r="C253" s="1">
        <f>VLOOKUP(A253,MSFT!A252:C1507,3)</f>
        <v>327.822</v>
      </c>
      <c r="D253" s="1">
        <f>VLOOKUP(A253,NVDA!A252:C1507,3)</f>
        <v>29.362300000000001</v>
      </c>
      <c r="E253" s="1">
        <f>VLOOKUP(A253,AMD!A252:C1507,3)</f>
        <v>143.9</v>
      </c>
      <c r="F253" s="1">
        <f>VLOOKUP(A253,AMZN!A252:C1507,3)</f>
        <v>166.71700000000001</v>
      </c>
      <c r="G253" s="1">
        <f>VLOOKUP(A253,TSLA!A252:C1507,3)</f>
        <v>352.26</v>
      </c>
      <c r="H253" s="1">
        <f>VLOOKUP(A253,GOOGL!A252:C1507,3)</f>
        <v>144.32900000000001</v>
      </c>
      <c r="I253" s="1">
        <f>VLOOKUP(A253,META!A252:C1507,3)</f>
        <v>336.35</v>
      </c>
      <c r="J253" s="1">
        <f>VLOOKUP(A253,Nasdaq!A252:C1507,3)</f>
        <v>15644.97</v>
      </c>
    </row>
    <row r="254" spans="1:10" x14ac:dyDescent="0.2">
      <c r="A254" s="2">
        <v>44564</v>
      </c>
      <c r="B254" s="1">
        <f>VLOOKUP(A254,AAPL!A253:C1508,3)</f>
        <v>178.268</v>
      </c>
      <c r="C254" s="1">
        <f>VLOOKUP(A254,MSFT!A253:C1508,3)</f>
        <v>326.28800000000001</v>
      </c>
      <c r="D254" s="1">
        <f>VLOOKUP(A254,NVDA!A253:C1508,3)</f>
        <v>30.071100000000001</v>
      </c>
      <c r="E254" s="1">
        <f>VLOOKUP(A254,AMD!A253:C1508,3)</f>
        <v>150.24</v>
      </c>
      <c r="F254" s="1">
        <f>VLOOKUP(A254,AMZN!A253:C1508,3)</f>
        <v>170.404</v>
      </c>
      <c r="G254" s="1">
        <f>VLOOKUP(A254,TSLA!A253:C1508,3)</f>
        <v>399.92700000000002</v>
      </c>
      <c r="H254" s="1">
        <f>VLOOKUP(A254,GOOGL!A253:C1508,3)</f>
        <v>144.46799999999999</v>
      </c>
      <c r="I254" s="1">
        <f>VLOOKUP(A254,META!A253:C1508,3)</f>
        <v>338.54</v>
      </c>
      <c r="J254" s="1">
        <f>VLOOKUP(A254,Nasdaq!A253:C1508,3)</f>
        <v>15832.8</v>
      </c>
    </row>
    <row r="255" spans="1:10" x14ac:dyDescent="0.2">
      <c r="A255" s="2">
        <v>44565</v>
      </c>
      <c r="B255" s="1">
        <f>VLOOKUP(A255,AAPL!A254:C1509,3)</f>
        <v>176.011</v>
      </c>
      <c r="C255" s="1">
        <f>VLOOKUP(A255,MSFT!A254:C1509,3)</f>
        <v>320.69200000000001</v>
      </c>
      <c r="D255" s="1">
        <f>VLOOKUP(A255,NVDA!A254:C1509,3)</f>
        <v>29.241299999999999</v>
      </c>
      <c r="E255" s="1">
        <f>VLOOKUP(A255,AMD!A254:C1509,3)</f>
        <v>144.41999999999999</v>
      </c>
      <c r="F255" s="1">
        <f>VLOOKUP(A255,AMZN!A254:C1509,3)</f>
        <v>167.52199999999999</v>
      </c>
      <c r="G255" s="1">
        <f>VLOOKUP(A255,TSLA!A254:C1509,3)</f>
        <v>383.197</v>
      </c>
      <c r="H255" s="1">
        <f>VLOOKUP(A255,GOOGL!A254:C1509,3)</f>
        <v>143.87799999999999</v>
      </c>
      <c r="I255" s="1">
        <f>VLOOKUP(A255,META!A254:C1509,3)</f>
        <v>336.53</v>
      </c>
      <c r="J255" s="1">
        <f>VLOOKUP(A255,Nasdaq!A254:C1509,3)</f>
        <v>15622.72</v>
      </c>
    </row>
    <row r="256" spans="1:10" x14ac:dyDescent="0.2">
      <c r="A256" s="2">
        <v>44566</v>
      </c>
      <c r="B256" s="1">
        <f>VLOOKUP(A256,AAPL!A255:C1510,3)</f>
        <v>171.32599999999999</v>
      </c>
      <c r="C256" s="1">
        <f>VLOOKUP(A256,MSFT!A255:C1510,3)</f>
        <v>308.38600000000002</v>
      </c>
      <c r="D256" s="1">
        <f>VLOOKUP(A256,NVDA!A255:C1510,3)</f>
        <v>27.557700000000001</v>
      </c>
      <c r="E256" s="1">
        <f>VLOOKUP(A256,AMD!A255:C1510,3)</f>
        <v>136.15</v>
      </c>
      <c r="F256" s="1">
        <f>VLOOKUP(A256,AMZN!A255:C1510,3)</f>
        <v>164.357</v>
      </c>
      <c r="G256" s="1">
        <f>VLOOKUP(A256,TSLA!A255:C1510,3)</f>
        <v>362.70699999999999</v>
      </c>
      <c r="H256" s="1">
        <f>VLOOKUP(A256,GOOGL!A255:C1510,3)</f>
        <v>137.27799999999999</v>
      </c>
      <c r="I256" s="1">
        <f>VLOOKUP(A256,META!A255:C1510,3)</f>
        <v>324.17</v>
      </c>
      <c r="J256" s="1">
        <f>VLOOKUP(A256,Nasdaq!A255:C1510,3)</f>
        <v>15100.17</v>
      </c>
    </row>
    <row r="257" spans="1:10" x14ac:dyDescent="0.2">
      <c r="A257" s="2">
        <v>44567</v>
      </c>
      <c r="B257" s="1">
        <f>VLOOKUP(A257,AAPL!A256:C1511,3)</f>
        <v>168.46700000000001</v>
      </c>
      <c r="C257" s="1">
        <f>VLOOKUP(A257,MSFT!A256:C1511,3)</f>
        <v>305.94200000000001</v>
      </c>
      <c r="D257" s="1">
        <f>VLOOKUP(A257,NVDA!A256:C1511,3)</f>
        <v>28.131</v>
      </c>
      <c r="E257" s="1">
        <f>VLOOKUP(A257,AMD!A256:C1511,3)</f>
        <v>136.22999999999999</v>
      </c>
      <c r="F257" s="1">
        <f>VLOOKUP(A257,AMZN!A256:C1511,3)</f>
        <v>163.25399999999999</v>
      </c>
      <c r="G257" s="1">
        <f>VLOOKUP(A257,TSLA!A256:C1511,3)</f>
        <v>354.9</v>
      </c>
      <c r="H257" s="1">
        <f>VLOOKUP(A257,GOOGL!A256:C1511,3)</f>
        <v>137.251</v>
      </c>
      <c r="I257" s="1">
        <f>VLOOKUP(A257,META!A256:C1511,3)</f>
        <v>332.46</v>
      </c>
      <c r="J257" s="1">
        <f>VLOOKUP(A257,Nasdaq!A256:C1511,3)</f>
        <v>15080.87</v>
      </c>
    </row>
    <row r="258" spans="1:10" x14ac:dyDescent="0.2">
      <c r="A258" s="2">
        <v>44568</v>
      </c>
      <c r="B258" s="1">
        <f>VLOOKUP(A258,AAPL!A257:C1512,3)</f>
        <v>168.63499999999999</v>
      </c>
      <c r="C258" s="1">
        <f>VLOOKUP(A258,MSFT!A257:C1512,3)</f>
        <v>306.10000000000002</v>
      </c>
      <c r="D258" s="1">
        <f>VLOOKUP(A258,NVDA!A257:C1512,3)</f>
        <v>27.2014</v>
      </c>
      <c r="E258" s="1">
        <f>VLOOKUP(A258,AMD!A257:C1512,3)</f>
        <v>132</v>
      </c>
      <c r="F258" s="1">
        <f>VLOOKUP(A258,AMZN!A257:C1512,3)</f>
        <v>162.554</v>
      </c>
      <c r="G258" s="1">
        <f>VLOOKUP(A258,TSLA!A257:C1512,3)</f>
        <v>342.32</v>
      </c>
      <c r="H258" s="1">
        <f>VLOOKUP(A258,GOOGL!A257:C1512,3)</f>
        <v>136.523</v>
      </c>
      <c r="I258" s="1">
        <f>VLOOKUP(A258,META!A257:C1512,3)</f>
        <v>331.79</v>
      </c>
      <c r="J258" s="1">
        <f>VLOOKUP(A258,Nasdaq!A257:C1512,3)</f>
        <v>14935.9</v>
      </c>
    </row>
    <row r="259" spans="1:10" x14ac:dyDescent="0.2">
      <c r="A259" s="2">
        <v>44571</v>
      </c>
      <c r="B259" s="1">
        <f>VLOOKUP(A259,AAPL!A258:C1513,3)</f>
        <v>168.655</v>
      </c>
      <c r="C259" s="1">
        <f>VLOOKUP(A259,MSFT!A258:C1513,3)</f>
        <v>306.32400000000001</v>
      </c>
      <c r="D259" s="1">
        <f>VLOOKUP(A259,NVDA!A258:C1513,3)</f>
        <v>27.354299999999999</v>
      </c>
      <c r="E259" s="1">
        <f>VLOOKUP(A259,AMD!A258:C1513,3)</f>
        <v>132</v>
      </c>
      <c r="F259" s="1">
        <f>VLOOKUP(A259,AMZN!A258:C1513,3)</f>
        <v>161.48599999999999</v>
      </c>
      <c r="G259" s="1">
        <f>VLOOKUP(A259,TSLA!A258:C1513,3)</f>
        <v>352.70699999999999</v>
      </c>
      <c r="H259" s="1">
        <f>VLOOKUP(A259,GOOGL!A258:C1513,3)</f>
        <v>138.16900000000001</v>
      </c>
      <c r="I259" s="1">
        <f>VLOOKUP(A259,META!A258:C1513,3)</f>
        <v>328.07</v>
      </c>
      <c r="J259" s="1">
        <f>VLOOKUP(A259,Nasdaq!A258:C1513,3)</f>
        <v>14942.83</v>
      </c>
    </row>
    <row r="260" spans="1:10" x14ac:dyDescent="0.2">
      <c r="A260" s="2">
        <v>44572</v>
      </c>
      <c r="B260" s="1">
        <f>VLOOKUP(A260,AAPL!A259:C1514,3)</f>
        <v>171.482</v>
      </c>
      <c r="C260" s="1">
        <f>VLOOKUP(A260,MSFT!A259:C1514,3)</f>
        <v>307.01799999999997</v>
      </c>
      <c r="D260" s="1">
        <f>VLOOKUP(A260,NVDA!A259:C1514,3)</f>
        <v>27.770499999999998</v>
      </c>
      <c r="E260" s="1">
        <f>VLOOKUP(A260,AMD!A259:C1514,3)</f>
        <v>137.31</v>
      </c>
      <c r="F260" s="1">
        <f>VLOOKUP(A260,AMZN!A259:C1514,3)</f>
        <v>165.36199999999999</v>
      </c>
      <c r="G260" s="1">
        <f>VLOOKUP(A260,TSLA!A259:C1514,3)</f>
        <v>354.8</v>
      </c>
      <c r="H260" s="1">
        <f>VLOOKUP(A260,GOOGL!A259:C1514,3)</f>
        <v>139.23099999999999</v>
      </c>
      <c r="I260" s="1">
        <f>VLOOKUP(A260,META!A259:C1514,3)</f>
        <v>334.37</v>
      </c>
      <c r="J260" s="1">
        <f>VLOOKUP(A260,Nasdaq!A259:C1514,3)</f>
        <v>15153.45</v>
      </c>
    </row>
    <row r="261" spans="1:10" x14ac:dyDescent="0.2">
      <c r="A261" s="2">
        <v>44573</v>
      </c>
      <c r="B261" s="1">
        <f>VLOOKUP(A261,AAPL!A260:C1515,3)</f>
        <v>171.923</v>
      </c>
      <c r="C261" s="1">
        <f>VLOOKUP(A261,MSFT!A260:C1515,3)</f>
        <v>310.221</v>
      </c>
      <c r="D261" s="1">
        <f>VLOOKUP(A261,NVDA!A260:C1515,3)</f>
        <v>27.952200000000001</v>
      </c>
      <c r="E261" s="1">
        <f>VLOOKUP(A261,AMD!A260:C1515,3)</f>
        <v>137.47</v>
      </c>
      <c r="F261" s="1">
        <f>VLOOKUP(A261,AMZN!A260:C1515,3)</f>
        <v>165.20699999999999</v>
      </c>
      <c r="G261" s="1">
        <f>VLOOKUP(A261,TSLA!A260:C1515,3)</f>
        <v>368.74</v>
      </c>
      <c r="H261" s="1">
        <f>VLOOKUP(A261,GOOGL!A260:C1515,3)</f>
        <v>140.91900000000001</v>
      </c>
      <c r="I261" s="1">
        <f>VLOOKUP(A261,META!A260:C1515,3)</f>
        <v>333.26</v>
      </c>
      <c r="J261" s="1">
        <f>VLOOKUP(A261,Nasdaq!A260:C1515,3)</f>
        <v>15188.39</v>
      </c>
    </row>
    <row r="262" spans="1:10" x14ac:dyDescent="0.2">
      <c r="A262" s="2">
        <v>44574</v>
      </c>
      <c r="B262" s="1">
        <f>VLOOKUP(A262,AAPL!A261:C1516,3)</f>
        <v>168.655</v>
      </c>
      <c r="C262" s="1">
        <f>VLOOKUP(A262,MSFT!A261:C1516,3)</f>
        <v>297.09300000000002</v>
      </c>
      <c r="D262" s="1">
        <f>VLOOKUP(A262,NVDA!A261:C1516,3)</f>
        <v>26.5305</v>
      </c>
      <c r="E262" s="1">
        <f>VLOOKUP(A262,AMD!A261:C1516,3)</f>
        <v>132.74</v>
      </c>
      <c r="F262" s="1">
        <f>VLOOKUP(A262,AMZN!A261:C1516,3)</f>
        <v>161.214</v>
      </c>
      <c r="G262" s="1">
        <f>VLOOKUP(A262,TSLA!A261:C1516,3)</f>
        <v>343.85300000000001</v>
      </c>
      <c r="H262" s="1">
        <f>VLOOKUP(A262,GOOGL!A261:C1516,3)</f>
        <v>138.08699999999999</v>
      </c>
      <c r="I262" s="1">
        <f>VLOOKUP(A262,META!A261:C1516,3)</f>
        <v>326.48</v>
      </c>
      <c r="J262" s="1">
        <f>VLOOKUP(A262,Nasdaq!A261:C1516,3)</f>
        <v>14806.81</v>
      </c>
    </row>
    <row r="263" spans="1:10" x14ac:dyDescent="0.2">
      <c r="A263" s="2">
        <v>44575</v>
      </c>
      <c r="B263" s="1">
        <f>VLOOKUP(A263,AAPL!A262:C1517,3)</f>
        <v>169.52099999999999</v>
      </c>
      <c r="C263" s="1">
        <f>VLOOKUP(A263,MSFT!A262:C1517,3)</f>
        <v>302.36</v>
      </c>
      <c r="D263" s="1">
        <f>VLOOKUP(A263,NVDA!A262:C1517,3)</f>
        <v>26.896699999999999</v>
      </c>
      <c r="E263" s="1">
        <f>VLOOKUP(A263,AMD!A262:C1517,3)</f>
        <v>136.88</v>
      </c>
      <c r="F263" s="1">
        <f>VLOOKUP(A263,AMZN!A262:C1517,3)</f>
        <v>162.13800000000001</v>
      </c>
      <c r="G263" s="1">
        <f>VLOOKUP(A263,TSLA!A262:C1517,3)</f>
        <v>349.87</v>
      </c>
      <c r="H263" s="1">
        <f>VLOOKUP(A263,GOOGL!A262:C1517,3)</f>
        <v>138.976</v>
      </c>
      <c r="I263" s="1">
        <f>VLOOKUP(A263,META!A262:C1517,3)</f>
        <v>331.9</v>
      </c>
      <c r="J263" s="1">
        <f>VLOOKUP(A263,Nasdaq!A262:C1517,3)</f>
        <v>14893.75</v>
      </c>
    </row>
    <row r="264" spans="1:10" x14ac:dyDescent="0.2">
      <c r="A264" s="2">
        <v>44579</v>
      </c>
      <c r="B264" s="1">
        <f>VLOOKUP(A264,AAPL!A263:C1518,3)</f>
        <v>166.30600000000001</v>
      </c>
      <c r="C264" s="1">
        <f>VLOOKUP(A264,MSFT!A263:C1518,3)</f>
        <v>295.00400000000002</v>
      </c>
      <c r="D264" s="1">
        <f>VLOOKUP(A264,NVDA!A263:C1518,3)</f>
        <v>25.860399999999998</v>
      </c>
      <c r="E264" s="1">
        <f>VLOOKUP(A264,AMD!A263:C1518,3)</f>
        <v>131.93</v>
      </c>
      <c r="F264" s="1">
        <f>VLOOKUP(A264,AMZN!A263:C1518,3)</f>
        <v>158.91800000000001</v>
      </c>
      <c r="G264" s="1">
        <f>VLOOKUP(A264,TSLA!A263:C1518,3)</f>
        <v>343.50299999999999</v>
      </c>
      <c r="H264" s="1">
        <f>VLOOKUP(A264,GOOGL!A263:C1518,3)</f>
        <v>135.50700000000001</v>
      </c>
      <c r="I264" s="1">
        <f>VLOOKUP(A264,META!A263:C1518,3)</f>
        <v>318.14999999999998</v>
      </c>
      <c r="J264" s="1">
        <f>VLOOKUP(A264,Nasdaq!A263:C1518,3)</f>
        <v>14506.9</v>
      </c>
    </row>
    <row r="265" spans="1:10" x14ac:dyDescent="0.2">
      <c r="A265" s="2">
        <v>44580</v>
      </c>
      <c r="B265" s="1">
        <f>VLOOKUP(A265,AAPL!A264:C1519,3)</f>
        <v>162.81899999999999</v>
      </c>
      <c r="C265" s="1">
        <f>VLOOKUP(A265,MSFT!A264:C1519,3)</f>
        <v>295.65699999999998</v>
      </c>
      <c r="D265" s="1">
        <f>VLOOKUP(A265,NVDA!A264:C1519,3)</f>
        <v>25.025600000000001</v>
      </c>
      <c r="E265" s="1">
        <f>VLOOKUP(A265,AMD!A264:C1519,3)</f>
        <v>128.27000000000001</v>
      </c>
      <c r="F265" s="1">
        <f>VLOOKUP(A265,AMZN!A264:C1519,3)</f>
        <v>156.29900000000001</v>
      </c>
      <c r="G265" s="1">
        <f>VLOOKUP(A265,TSLA!A264:C1519,3)</f>
        <v>331.88299999999998</v>
      </c>
      <c r="H265" s="1">
        <f>VLOOKUP(A265,GOOGL!A264:C1519,3)</f>
        <v>134.62799999999999</v>
      </c>
      <c r="I265" s="1">
        <f>VLOOKUP(A265,META!A264:C1519,3)</f>
        <v>319.58999999999997</v>
      </c>
      <c r="J265" s="1">
        <f>VLOOKUP(A265,Nasdaq!A264:C1519,3)</f>
        <v>14340.25</v>
      </c>
    </row>
    <row r="266" spans="1:10" x14ac:dyDescent="0.2">
      <c r="A266" s="2">
        <v>44581</v>
      </c>
      <c r="B266" s="1">
        <f>VLOOKUP(A266,AAPL!A265:C1520,3)</f>
        <v>161.13</v>
      </c>
      <c r="C266" s="1">
        <f>VLOOKUP(A266,MSFT!A265:C1520,3)</f>
        <v>293.97899999999998</v>
      </c>
      <c r="D266" s="1">
        <f>VLOOKUP(A266,NVDA!A265:C1520,3)</f>
        <v>24.1099</v>
      </c>
      <c r="E266" s="1">
        <f>VLOOKUP(A266,AMD!A265:C1520,3)</f>
        <v>121.89</v>
      </c>
      <c r="F266" s="1">
        <f>VLOOKUP(A266,AMZN!A265:C1520,3)</f>
        <v>151.66800000000001</v>
      </c>
      <c r="G266" s="1">
        <f>VLOOKUP(A266,TSLA!A265:C1520,3)</f>
        <v>332.09</v>
      </c>
      <c r="H266" s="1">
        <f>VLOOKUP(A266,GOOGL!A265:C1520,3)</f>
        <v>132.827</v>
      </c>
      <c r="I266" s="1">
        <f>VLOOKUP(A266,META!A265:C1520,3)</f>
        <v>316.56</v>
      </c>
      <c r="J266" s="1">
        <f>VLOOKUP(A266,Nasdaq!A265:C1520,3)</f>
        <v>14154.02</v>
      </c>
    </row>
    <row r="267" spans="1:10" x14ac:dyDescent="0.2">
      <c r="A267" s="2">
        <v>44582</v>
      </c>
      <c r="B267" s="1">
        <f>VLOOKUP(A267,AAPL!A266:C1521,3)</f>
        <v>159.06700000000001</v>
      </c>
      <c r="C267" s="1">
        <f>VLOOKUP(A267,MSFT!A266:C1521,3)</f>
        <v>288.54700000000003</v>
      </c>
      <c r="D267" s="1">
        <f>VLOOKUP(A267,NVDA!A266:C1521,3)</f>
        <v>23.3352</v>
      </c>
      <c r="E267" s="1">
        <f>VLOOKUP(A267,AMD!A266:C1521,3)</f>
        <v>118.81</v>
      </c>
      <c r="F267" s="1">
        <f>VLOOKUP(A267,AMZN!A266:C1521,3)</f>
        <v>142.643</v>
      </c>
      <c r="G267" s="1">
        <f>VLOOKUP(A267,TSLA!A266:C1521,3)</f>
        <v>314.63299999999998</v>
      </c>
      <c r="H267" s="1">
        <f>VLOOKUP(A267,GOOGL!A266:C1521,3)</f>
        <v>129.881</v>
      </c>
      <c r="I267" s="1">
        <f>VLOOKUP(A267,META!A266:C1521,3)</f>
        <v>303.17</v>
      </c>
      <c r="J267" s="1">
        <f>VLOOKUP(A267,Nasdaq!A266:C1521,3)</f>
        <v>13768.92</v>
      </c>
    </row>
    <row r="268" spans="1:10" x14ac:dyDescent="0.2">
      <c r="A268" s="2">
        <v>44585</v>
      </c>
      <c r="B268" s="1">
        <f>VLOOKUP(A268,AAPL!A267:C1522,3)</f>
        <v>158.29</v>
      </c>
      <c r="C268" s="1">
        <f>VLOOKUP(A268,MSFT!A267:C1522,3)</f>
        <v>288.88</v>
      </c>
      <c r="D268" s="1">
        <f>VLOOKUP(A268,NVDA!A267:C1522,3)</f>
        <v>23.333200000000001</v>
      </c>
      <c r="E268" s="1">
        <f>VLOOKUP(A268,AMD!A267:C1522,3)</f>
        <v>116.53</v>
      </c>
      <c r="F268" s="1">
        <f>VLOOKUP(A268,AMZN!A267:C1522,3)</f>
        <v>144.54400000000001</v>
      </c>
      <c r="G268" s="1">
        <f>VLOOKUP(A268,TSLA!A267:C1522,3)</f>
        <v>310</v>
      </c>
      <c r="H268" s="1">
        <f>VLOOKUP(A268,GOOGL!A267:C1522,3)</f>
        <v>130.33199999999999</v>
      </c>
      <c r="I268" s="1">
        <f>VLOOKUP(A268,META!A267:C1522,3)</f>
        <v>308.70999999999998</v>
      </c>
      <c r="J268" s="1">
        <f>VLOOKUP(A268,Nasdaq!A267:C1522,3)</f>
        <v>13855.13</v>
      </c>
    </row>
    <row r="269" spans="1:10" x14ac:dyDescent="0.2">
      <c r="A269" s="2">
        <v>44586</v>
      </c>
      <c r="B269" s="1">
        <f>VLOOKUP(A269,AAPL!A268:C1523,3)</f>
        <v>156.50299999999999</v>
      </c>
      <c r="C269" s="1">
        <f>VLOOKUP(A269,MSFT!A268:C1523,3)</f>
        <v>281.19299999999998</v>
      </c>
      <c r="D269" s="1">
        <f>VLOOKUP(A269,NVDA!A268:C1523,3)</f>
        <v>22.286899999999999</v>
      </c>
      <c r="E269" s="1">
        <f>VLOOKUP(A269,AMD!A268:C1523,3)</f>
        <v>111.13</v>
      </c>
      <c r="F269" s="1">
        <f>VLOOKUP(A269,AMZN!A268:C1523,3)</f>
        <v>139.98599999999999</v>
      </c>
      <c r="G269" s="1">
        <f>VLOOKUP(A269,TSLA!A268:C1523,3)</f>
        <v>306.13299999999998</v>
      </c>
      <c r="H269" s="1">
        <f>VLOOKUP(A269,GOOGL!A268:C1523,3)</f>
        <v>126.476</v>
      </c>
      <c r="I269" s="1">
        <f>VLOOKUP(A269,META!A268:C1523,3)</f>
        <v>300.14999999999998</v>
      </c>
      <c r="J269" s="1">
        <f>VLOOKUP(A269,Nasdaq!A268:C1523,3)</f>
        <v>13539.29</v>
      </c>
    </row>
    <row r="270" spans="1:10" x14ac:dyDescent="0.2">
      <c r="A270" s="2">
        <v>44587</v>
      </c>
      <c r="B270" s="1">
        <f>VLOOKUP(A270,AAPL!A269:C1524,3)</f>
        <v>156.41499999999999</v>
      </c>
      <c r="C270" s="1">
        <f>VLOOKUP(A270,MSFT!A269:C1524,3)</f>
        <v>289.21199999999999</v>
      </c>
      <c r="D270" s="1">
        <f>VLOOKUP(A270,NVDA!A269:C1524,3)</f>
        <v>22.733899999999998</v>
      </c>
      <c r="E270" s="1">
        <f>VLOOKUP(A270,AMD!A269:C1524,3)</f>
        <v>110.71</v>
      </c>
      <c r="F270" s="1">
        <f>VLOOKUP(A270,AMZN!A269:C1524,3)</f>
        <v>138.87200000000001</v>
      </c>
      <c r="G270" s="1">
        <f>VLOOKUP(A270,TSLA!A269:C1524,3)</f>
        <v>312.47000000000003</v>
      </c>
      <c r="H270" s="1">
        <f>VLOOKUP(A270,GOOGL!A269:C1524,3)</f>
        <v>128.76599999999999</v>
      </c>
      <c r="I270" s="1">
        <f>VLOOKUP(A270,META!A269:C1524,3)</f>
        <v>294.63</v>
      </c>
      <c r="J270" s="1">
        <f>VLOOKUP(A270,Nasdaq!A269:C1524,3)</f>
        <v>13542.12</v>
      </c>
    </row>
    <row r="271" spans="1:10" x14ac:dyDescent="0.2">
      <c r="A271" s="2">
        <v>44588</v>
      </c>
      <c r="B271" s="1">
        <f>VLOOKUP(A271,AAPL!A270:C1525,3)</f>
        <v>155.95500000000001</v>
      </c>
      <c r="C271" s="1">
        <f>VLOOKUP(A271,MSFT!A270:C1525,3)</f>
        <v>292.26</v>
      </c>
      <c r="D271" s="1">
        <f>VLOOKUP(A271,NVDA!A270:C1525,3)</f>
        <v>21.907399999999999</v>
      </c>
      <c r="E271" s="1">
        <f>VLOOKUP(A271,AMD!A270:C1525,3)</f>
        <v>102.6</v>
      </c>
      <c r="F271" s="1">
        <f>VLOOKUP(A271,AMZN!A270:C1525,3)</f>
        <v>139.63800000000001</v>
      </c>
      <c r="G271" s="1">
        <f>VLOOKUP(A271,TSLA!A270:C1525,3)</f>
        <v>276.36700000000002</v>
      </c>
      <c r="H271" s="1">
        <f>VLOOKUP(A271,GOOGL!A270:C1525,3)</f>
        <v>128.53899999999999</v>
      </c>
      <c r="I271" s="1">
        <f>VLOOKUP(A271,META!A270:C1525,3)</f>
        <v>294.64</v>
      </c>
      <c r="J271" s="1">
        <f>VLOOKUP(A271,Nasdaq!A270:C1525,3)</f>
        <v>13352.78</v>
      </c>
    </row>
    <row r="272" spans="1:10" x14ac:dyDescent="0.2">
      <c r="A272" s="2">
        <v>44589</v>
      </c>
      <c r="B272" s="1">
        <f>VLOOKUP(A272,AAPL!A271:C1526,3)</f>
        <v>166.82499999999999</v>
      </c>
      <c r="C272" s="1">
        <f>VLOOKUP(A272,MSFT!A271:C1526,3)</f>
        <v>300.464</v>
      </c>
      <c r="D272" s="1">
        <f>VLOOKUP(A272,NVDA!A271:C1526,3)</f>
        <v>22.8018</v>
      </c>
      <c r="E272" s="1">
        <f>VLOOKUP(A272,AMD!A271:C1526,3)</f>
        <v>105.24</v>
      </c>
      <c r="F272" s="1">
        <f>VLOOKUP(A272,AMZN!A271:C1526,3)</f>
        <v>143.97800000000001</v>
      </c>
      <c r="G272" s="1">
        <f>VLOOKUP(A272,TSLA!A271:C1526,3)</f>
        <v>282.11700000000002</v>
      </c>
      <c r="H272" s="1">
        <f>VLOOKUP(A272,GOOGL!A271:C1526,3)</f>
        <v>132.869</v>
      </c>
      <c r="I272" s="1">
        <f>VLOOKUP(A272,META!A271:C1526,3)</f>
        <v>301.70999999999998</v>
      </c>
      <c r="J272" s="1">
        <f>VLOOKUP(A272,Nasdaq!A271:C1526,3)</f>
        <v>13770.57</v>
      </c>
    </row>
    <row r="273" spans="1:10" x14ac:dyDescent="0.2">
      <c r="A273" s="2">
        <v>44592</v>
      </c>
      <c r="B273" s="1">
        <f>VLOOKUP(A273,AAPL!A272:C1527,3)</f>
        <v>171.18700000000001</v>
      </c>
      <c r="C273" s="1">
        <f>VLOOKUP(A273,MSFT!A272:C1527,3)</f>
        <v>303.12</v>
      </c>
      <c r="D273" s="1">
        <f>VLOOKUP(A273,NVDA!A272:C1527,3)</f>
        <v>24.445499999999999</v>
      </c>
      <c r="E273" s="1">
        <f>VLOOKUP(A273,AMD!A272:C1527,3)</f>
        <v>114.25</v>
      </c>
      <c r="F273" s="1">
        <f>VLOOKUP(A273,AMZN!A272:C1527,3)</f>
        <v>149.57400000000001</v>
      </c>
      <c r="G273" s="1">
        <f>VLOOKUP(A273,TSLA!A272:C1527,3)</f>
        <v>312.24</v>
      </c>
      <c r="H273" s="1">
        <f>VLOOKUP(A273,GOOGL!A272:C1527,3)</f>
        <v>134.815</v>
      </c>
      <c r="I273" s="1">
        <f>VLOOKUP(A273,META!A272:C1527,3)</f>
        <v>313.26</v>
      </c>
      <c r="J273" s="1">
        <f>VLOOKUP(A273,Nasdaq!A272:C1527,3)</f>
        <v>14239.88</v>
      </c>
    </row>
    <row r="274" spans="1:10" x14ac:dyDescent="0.2">
      <c r="A274" s="2">
        <v>44593</v>
      </c>
      <c r="B274" s="1">
        <f>VLOOKUP(A274,AAPL!A273:C1528,3)</f>
        <v>171.02</v>
      </c>
      <c r="C274" s="1">
        <f>VLOOKUP(A274,MSFT!A273:C1528,3)</f>
        <v>300.952</v>
      </c>
      <c r="D274" s="1">
        <f>VLOOKUP(A274,NVDA!A273:C1528,3)</f>
        <v>24.597300000000001</v>
      </c>
      <c r="E274" s="1">
        <f>VLOOKUP(A274,AMD!A273:C1528,3)</f>
        <v>116.78</v>
      </c>
      <c r="F274" s="1">
        <f>VLOOKUP(A274,AMZN!A273:C1528,3)</f>
        <v>151.19399999999999</v>
      </c>
      <c r="G274" s="1">
        <f>VLOOKUP(A274,TSLA!A273:C1528,3)</f>
        <v>310.41699999999997</v>
      </c>
      <c r="H274" s="1">
        <f>VLOOKUP(A274,GOOGL!A273:C1528,3)</f>
        <v>137.14699999999999</v>
      </c>
      <c r="I274" s="1">
        <f>VLOOKUP(A274,META!A273:C1528,3)</f>
        <v>319</v>
      </c>
      <c r="J274" s="1">
        <f>VLOOKUP(A274,Nasdaq!A273:C1528,3)</f>
        <v>14346</v>
      </c>
    </row>
    <row r="275" spans="1:10" x14ac:dyDescent="0.2">
      <c r="A275" s="2">
        <v>44594</v>
      </c>
      <c r="B275" s="1">
        <f>VLOOKUP(A275,AAPL!A274:C1529,3)</f>
        <v>172.22900000000001</v>
      </c>
      <c r="C275" s="1">
        <f>VLOOKUP(A275,MSFT!A274:C1529,3)</f>
        <v>305.53199999999998</v>
      </c>
      <c r="D275" s="1">
        <f>VLOOKUP(A275,NVDA!A274:C1529,3)</f>
        <v>25.200299999999999</v>
      </c>
      <c r="E275" s="1">
        <f>VLOOKUP(A275,AMD!A274:C1529,3)</f>
        <v>122.76</v>
      </c>
      <c r="F275" s="1">
        <f>VLOOKUP(A275,AMZN!A274:C1529,3)</f>
        <v>150.61199999999999</v>
      </c>
      <c r="G275" s="1">
        <f>VLOOKUP(A275,TSLA!A274:C1529,3)</f>
        <v>301.887</v>
      </c>
      <c r="H275" s="1">
        <f>VLOOKUP(A275,GOOGL!A274:C1529,3)</f>
        <v>147.465</v>
      </c>
      <c r="I275" s="1">
        <f>VLOOKUP(A275,META!A274:C1529,3)</f>
        <v>323</v>
      </c>
      <c r="J275" s="1">
        <f>VLOOKUP(A275,Nasdaq!A274:C1529,3)</f>
        <v>14417.55</v>
      </c>
    </row>
    <row r="276" spans="1:10" x14ac:dyDescent="0.2">
      <c r="A276" s="2">
        <v>44595</v>
      </c>
      <c r="B276" s="1">
        <f>VLOOKUP(A276,AAPL!A275:C1530,3)</f>
        <v>169.352</v>
      </c>
      <c r="C276" s="1">
        <f>VLOOKUP(A276,MSFT!A275:C1530,3)</f>
        <v>293.63600000000002</v>
      </c>
      <c r="D276" s="1">
        <f>VLOOKUP(A276,NVDA!A275:C1530,3)</f>
        <v>23.908300000000001</v>
      </c>
      <c r="E276" s="1">
        <f>VLOOKUP(A276,AMD!A275:C1530,3)</f>
        <v>120.08</v>
      </c>
      <c r="F276" s="1">
        <f>VLOOKUP(A276,AMZN!A275:C1530,3)</f>
        <v>138.846</v>
      </c>
      <c r="G276" s="1">
        <f>VLOOKUP(A276,TSLA!A275:C1530,3)</f>
        <v>297.04700000000003</v>
      </c>
      <c r="H276" s="1">
        <f>VLOOKUP(A276,GOOGL!A275:C1530,3)</f>
        <v>142.57400000000001</v>
      </c>
      <c r="I276" s="1">
        <f>VLOOKUP(A276,META!A275:C1530,3)</f>
        <v>237.76</v>
      </c>
      <c r="J276" s="1">
        <f>VLOOKUP(A276,Nasdaq!A275:C1530,3)</f>
        <v>13878.82</v>
      </c>
    </row>
    <row r="277" spans="1:10" x14ac:dyDescent="0.2">
      <c r="A277" s="2">
        <v>44596</v>
      </c>
      <c r="B277" s="1">
        <f>VLOOKUP(A277,AAPL!A276:C1531,3)</f>
        <v>169.06399999999999</v>
      </c>
      <c r="C277" s="1">
        <f>VLOOKUP(A277,MSFT!A276:C1531,3)</f>
        <v>298.20699999999999</v>
      </c>
      <c r="D277" s="1">
        <f>VLOOKUP(A277,NVDA!A276:C1531,3)</f>
        <v>24.2789</v>
      </c>
      <c r="E277" s="1">
        <f>VLOOKUP(A277,AMD!A276:C1531,3)</f>
        <v>123.6</v>
      </c>
      <c r="F277" s="1">
        <f>VLOOKUP(A277,AMZN!A276:C1531,3)</f>
        <v>157.63999999999999</v>
      </c>
      <c r="G277" s="1">
        <f>VLOOKUP(A277,TSLA!A276:C1531,3)</f>
        <v>307.77300000000002</v>
      </c>
      <c r="H277" s="1">
        <f>VLOOKUP(A277,GOOGL!A276:C1531,3)</f>
        <v>142.77500000000001</v>
      </c>
      <c r="I277" s="1">
        <f>VLOOKUP(A277,META!A276:C1531,3)</f>
        <v>237.09</v>
      </c>
      <c r="J277" s="1">
        <f>VLOOKUP(A277,Nasdaq!A276:C1531,3)</f>
        <v>14098.01</v>
      </c>
    </row>
    <row r="278" spans="1:10" x14ac:dyDescent="0.2">
      <c r="A278" s="2">
        <v>44599</v>
      </c>
      <c r="B278" s="1">
        <f>VLOOKUP(A278,AAPL!A277:C1532,3)</f>
        <v>168.34800000000001</v>
      </c>
      <c r="C278" s="1">
        <f>VLOOKUP(A278,MSFT!A277:C1532,3)</f>
        <v>293.34199999999998</v>
      </c>
      <c r="D278" s="1">
        <f>VLOOKUP(A278,NVDA!A277:C1532,3)</f>
        <v>24.687200000000001</v>
      </c>
      <c r="E278" s="1">
        <f>VLOOKUP(A278,AMD!A277:C1532,3)</f>
        <v>123.67</v>
      </c>
      <c r="F278" s="1">
        <f>VLOOKUP(A278,AMZN!A277:C1532,3)</f>
        <v>157.93600000000001</v>
      </c>
      <c r="G278" s="1">
        <f>VLOOKUP(A278,TSLA!A277:C1532,3)</f>
        <v>302.447</v>
      </c>
      <c r="H278" s="1">
        <f>VLOOKUP(A278,GOOGL!A277:C1532,3)</f>
        <v>138.69800000000001</v>
      </c>
      <c r="I278" s="1">
        <f>VLOOKUP(A278,META!A277:C1532,3)</f>
        <v>224.91</v>
      </c>
      <c r="J278" s="1">
        <f>VLOOKUP(A278,Nasdaq!A277:C1532,3)</f>
        <v>14015.67</v>
      </c>
    </row>
    <row r="279" spans="1:10" x14ac:dyDescent="0.2">
      <c r="A279" s="2">
        <v>44600</v>
      </c>
      <c r="B279" s="1">
        <f>VLOOKUP(A279,AAPL!A278:C1533,3)</f>
        <v>171.453</v>
      </c>
      <c r="C279" s="1">
        <f>VLOOKUP(A279,MSFT!A278:C1533,3)</f>
        <v>296.86099999999999</v>
      </c>
      <c r="D279" s="1">
        <f>VLOOKUP(A279,NVDA!A278:C1533,3)</f>
        <v>25.066500000000001</v>
      </c>
      <c r="E279" s="1">
        <f>VLOOKUP(A279,AMD!A278:C1533,3)</f>
        <v>128.22999999999999</v>
      </c>
      <c r="F279" s="1">
        <f>VLOOKUP(A279,AMZN!A278:C1533,3)</f>
        <v>161.41399999999999</v>
      </c>
      <c r="G279" s="1">
        <f>VLOOKUP(A279,TSLA!A278:C1533,3)</f>
        <v>307.33300000000003</v>
      </c>
      <c r="H279" s="1">
        <f>VLOOKUP(A279,GOOGL!A278:C1533,3)</f>
        <v>138.89500000000001</v>
      </c>
      <c r="I279" s="1">
        <f>VLOOKUP(A279,META!A278:C1533,3)</f>
        <v>220.18</v>
      </c>
      <c r="J279" s="1">
        <f>VLOOKUP(A279,Nasdaq!A278:C1533,3)</f>
        <v>14194.46</v>
      </c>
    </row>
    <row r="280" spans="1:10" x14ac:dyDescent="0.2">
      <c r="A280" s="2">
        <v>44601</v>
      </c>
      <c r="B280" s="1">
        <f>VLOOKUP(A280,AAPL!A279:C1534,3)</f>
        <v>172.87700000000001</v>
      </c>
      <c r="C280" s="1">
        <f>VLOOKUP(A280,MSFT!A279:C1534,3)</f>
        <v>303.346</v>
      </c>
      <c r="D280" s="1">
        <f>VLOOKUP(A280,NVDA!A279:C1534,3)</f>
        <v>26.660299999999999</v>
      </c>
      <c r="E280" s="1">
        <f>VLOOKUP(A280,AMD!A279:C1534,3)</f>
        <v>132.85</v>
      </c>
      <c r="F280" s="1">
        <f>VLOOKUP(A280,AMZN!A279:C1534,3)</f>
        <v>161.19</v>
      </c>
      <c r="G280" s="1">
        <f>VLOOKUP(A280,TSLA!A279:C1534,3)</f>
        <v>310.66699999999997</v>
      </c>
      <c r="H280" s="1">
        <f>VLOOKUP(A280,GOOGL!A279:C1534,3)</f>
        <v>141.08099999999999</v>
      </c>
      <c r="I280" s="1">
        <f>VLOOKUP(A280,META!A279:C1534,3)</f>
        <v>232</v>
      </c>
      <c r="J280" s="1">
        <f>VLOOKUP(A280,Nasdaq!A279:C1534,3)</f>
        <v>14490.37</v>
      </c>
    </row>
    <row r="281" spans="1:10" x14ac:dyDescent="0.2">
      <c r="A281" s="2">
        <v>44602</v>
      </c>
      <c r="B281" s="1">
        <f>VLOOKUP(A281,AAPL!A280:C1535,3)</f>
        <v>168.80199999999999</v>
      </c>
      <c r="C281" s="1">
        <f>VLOOKUP(A281,MSFT!A280:C1535,3)</f>
        <v>294.74</v>
      </c>
      <c r="D281" s="1">
        <f>VLOOKUP(A281,NVDA!A280:C1535,3)</f>
        <v>25.781400000000001</v>
      </c>
      <c r="E281" s="1">
        <f>VLOOKUP(A281,AMD!A280:C1535,3)</f>
        <v>125.77</v>
      </c>
      <c r="F281" s="1">
        <f>VLOOKUP(A281,AMZN!A280:C1535,3)</f>
        <v>159.00399999999999</v>
      </c>
      <c r="G281" s="1">
        <f>VLOOKUP(A281,TSLA!A280:C1535,3)</f>
        <v>301.517</v>
      </c>
      <c r="H281" s="1">
        <f>VLOOKUP(A281,GOOGL!A280:C1535,3)</f>
        <v>138.12</v>
      </c>
      <c r="I281" s="1">
        <f>VLOOKUP(A281,META!A280:C1535,3)</f>
        <v>228.07</v>
      </c>
      <c r="J281" s="1">
        <f>VLOOKUP(A281,Nasdaq!A280:C1535,3)</f>
        <v>14185.64</v>
      </c>
    </row>
    <row r="282" spans="1:10" x14ac:dyDescent="0.2">
      <c r="A282" s="2">
        <v>44603</v>
      </c>
      <c r="B282" s="1">
        <f>VLOOKUP(A282,AAPL!A281:C1536,3)</f>
        <v>165.38200000000001</v>
      </c>
      <c r="C282" s="1">
        <f>VLOOKUP(A282,MSFT!A281:C1536,3)</f>
        <v>287.58</v>
      </c>
      <c r="D282" s="1">
        <f>VLOOKUP(A282,NVDA!A281:C1536,3)</f>
        <v>23.909300000000002</v>
      </c>
      <c r="E282" s="1">
        <f>VLOOKUP(A282,AMD!A281:C1536,3)</f>
        <v>113.18</v>
      </c>
      <c r="F282" s="1">
        <f>VLOOKUP(A282,AMZN!A281:C1536,3)</f>
        <v>153.29400000000001</v>
      </c>
      <c r="G282" s="1">
        <f>VLOOKUP(A282,TSLA!A281:C1536,3)</f>
        <v>286.66699999999997</v>
      </c>
      <c r="H282" s="1">
        <f>VLOOKUP(A282,GOOGL!A281:C1536,3)</f>
        <v>133.797</v>
      </c>
      <c r="I282" s="1">
        <f>VLOOKUP(A282,META!A281:C1536,3)</f>
        <v>219.55</v>
      </c>
      <c r="J282" s="1">
        <f>VLOOKUP(A282,Nasdaq!A281:C1536,3)</f>
        <v>13791.15</v>
      </c>
    </row>
    <row r="283" spans="1:10" x14ac:dyDescent="0.2">
      <c r="A283" s="2">
        <v>44606</v>
      </c>
      <c r="B283" s="1">
        <f>VLOOKUP(A283,AAPL!A282:C1537,3)</f>
        <v>165.61799999999999</v>
      </c>
      <c r="C283" s="1">
        <f>VLOOKUP(A283,MSFT!A282:C1537,3)</f>
        <v>287.54000000000002</v>
      </c>
      <c r="D283" s="1">
        <f>VLOOKUP(A283,NVDA!A282:C1537,3)</f>
        <v>24.226900000000001</v>
      </c>
      <c r="E283" s="1">
        <f>VLOOKUP(A283,AMD!A282:C1537,3)</f>
        <v>114.27</v>
      </c>
      <c r="F283" s="1">
        <f>VLOOKUP(A283,AMZN!A282:C1537,3)</f>
        <v>155.167</v>
      </c>
      <c r="G283" s="1">
        <f>VLOOKUP(A283,TSLA!A282:C1537,3)</f>
        <v>291.92</v>
      </c>
      <c r="H283" s="1">
        <f>VLOOKUP(A283,GOOGL!A282:C1537,3)</f>
        <v>135.03700000000001</v>
      </c>
      <c r="I283" s="1">
        <f>VLOOKUP(A283,META!A282:C1537,3)</f>
        <v>217.7</v>
      </c>
      <c r="J283" s="1">
        <f>VLOOKUP(A283,Nasdaq!A282:C1537,3)</f>
        <v>13790.92</v>
      </c>
    </row>
    <row r="284" spans="1:10" x14ac:dyDescent="0.2">
      <c r="A284" s="2">
        <v>44607</v>
      </c>
      <c r="B284" s="1">
        <f>VLOOKUP(A284,AAPL!A283:C1538,3)</f>
        <v>169.46100000000001</v>
      </c>
      <c r="C284" s="1">
        <f>VLOOKUP(A284,MSFT!A283:C1538,3)</f>
        <v>292.87299999999999</v>
      </c>
      <c r="D284" s="1">
        <f>VLOOKUP(A284,NVDA!A283:C1538,3)</f>
        <v>26.450500000000002</v>
      </c>
      <c r="E284" s="1">
        <f>VLOOKUP(A284,AMD!A283:C1538,3)</f>
        <v>121.47</v>
      </c>
      <c r="F284" s="1">
        <f>VLOOKUP(A284,AMZN!A283:C1538,3)</f>
        <v>156.51</v>
      </c>
      <c r="G284" s="1">
        <f>VLOOKUP(A284,TSLA!A283:C1538,3)</f>
        <v>307.47699999999998</v>
      </c>
      <c r="H284" s="1">
        <f>VLOOKUP(A284,GOOGL!A283:C1538,3)</f>
        <v>136.114</v>
      </c>
      <c r="I284" s="1">
        <f>VLOOKUP(A284,META!A283:C1538,3)</f>
        <v>221</v>
      </c>
      <c r="J284" s="1">
        <f>VLOOKUP(A284,Nasdaq!A283:C1538,3)</f>
        <v>14139.76</v>
      </c>
    </row>
    <row r="285" spans="1:10" x14ac:dyDescent="0.2">
      <c r="A285" s="2">
        <v>44608</v>
      </c>
      <c r="B285" s="1">
        <f>VLOOKUP(A285,AAPL!A284:C1539,3)</f>
        <v>169.22300000000001</v>
      </c>
      <c r="C285" s="1">
        <f>VLOOKUP(A285,MSFT!A284:C1539,3)</f>
        <v>292.53199999999998</v>
      </c>
      <c r="D285" s="1">
        <f>VLOOKUP(A285,NVDA!A284:C1539,3)</f>
        <v>26.4665</v>
      </c>
      <c r="E285" s="1">
        <f>VLOOKUP(A285,AMD!A284:C1539,3)</f>
        <v>117.69</v>
      </c>
      <c r="F285" s="1">
        <f>VLOOKUP(A285,AMZN!A284:C1539,3)</f>
        <v>158.1</v>
      </c>
      <c r="G285" s="1">
        <f>VLOOKUP(A285,TSLA!A284:C1539,3)</f>
        <v>307.79700000000003</v>
      </c>
      <c r="H285" s="1">
        <f>VLOOKUP(A285,GOOGL!A284:C1539,3)</f>
        <v>137.24100000000001</v>
      </c>
      <c r="I285" s="1">
        <f>VLOOKUP(A285,META!A284:C1539,3)</f>
        <v>216.54</v>
      </c>
      <c r="J285" s="1">
        <f>VLOOKUP(A285,Nasdaq!A284:C1539,3)</f>
        <v>14124.09</v>
      </c>
    </row>
    <row r="286" spans="1:10" x14ac:dyDescent="0.2">
      <c r="A286" s="2">
        <v>44609</v>
      </c>
      <c r="B286" s="1">
        <f>VLOOKUP(A286,AAPL!A285:C1540,3)</f>
        <v>165.61799999999999</v>
      </c>
      <c r="C286" s="1">
        <f>VLOOKUP(A286,MSFT!A285:C1540,3)</f>
        <v>283.96699999999998</v>
      </c>
      <c r="D286" s="1">
        <f>VLOOKUP(A286,NVDA!A285:C1540,3)</f>
        <v>24.4664</v>
      </c>
      <c r="E286" s="1">
        <f>VLOOKUP(A286,AMD!A285:C1540,3)</f>
        <v>112.37</v>
      </c>
      <c r="F286" s="1">
        <f>VLOOKUP(A286,AMZN!A285:C1540,3)</f>
        <v>154.65199999999999</v>
      </c>
      <c r="G286" s="1">
        <f>VLOOKUP(A286,TSLA!A285:C1540,3)</f>
        <v>292.11700000000002</v>
      </c>
      <c r="H286" s="1">
        <f>VLOOKUP(A286,GOOGL!A285:C1540,3)</f>
        <v>132.06100000000001</v>
      </c>
      <c r="I286" s="1">
        <f>VLOOKUP(A286,META!A285:C1540,3)</f>
        <v>207.71</v>
      </c>
      <c r="J286" s="1">
        <f>VLOOKUP(A286,Nasdaq!A285:C1540,3)</f>
        <v>13716.72</v>
      </c>
    </row>
    <row r="287" spans="1:10" x14ac:dyDescent="0.2">
      <c r="A287" s="2">
        <v>44610</v>
      </c>
      <c r="B287" s="1">
        <f>VLOOKUP(A287,AAPL!A286:C1541,3)</f>
        <v>164.06700000000001</v>
      </c>
      <c r="C287" s="1">
        <f>VLOOKUP(A287,MSFT!A286:C1541,3)</f>
        <v>281.23200000000003</v>
      </c>
      <c r="D287" s="1">
        <f>VLOOKUP(A287,NVDA!A286:C1541,3)</f>
        <v>23.603000000000002</v>
      </c>
      <c r="E287" s="1">
        <f>VLOOKUP(A287,AMD!A286:C1541,3)</f>
        <v>113.83</v>
      </c>
      <c r="F287" s="1">
        <f>VLOOKUP(A287,AMZN!A286:C1541,3)</f>
        <v>152.602</v>
      </c>
      <c r="G287" s="1">
        <f>VLOOKUP(A287,TSLA!A286:C1541,3)</f>
        <v>285.66000000000003</v>
      </c>
      <c r="H287" s="1">
        <f>VLOOKUP(A287,GOOGL!A286:C1541,3)</f>
        <v>129.93199999999999</v>
      </c>
      <c r="I287" s="1">
        <f>VLOOKUP(A287,META!A286:C1541,3)</f>
        <v>206.16</v>
      </c>
      <c r="J287" s="1">
        <f>VLOOKUP(A287,Nasdaq!A286:C1541,3)</f>
        <v>13548.07</v>
      </c>
    </row>
    <row r="288" spans="1:10" x14ac:dyDescent="0.2">
      <c r="A288" s="2">
        <v>44614</v>
      </c>
      <c r="B288" s="1">
        <f>VLOOKUP(A288,AAPL!A287:C1542,3)</f>
        <v>161.15</v>
      </c>
      <c r="C288" s="1">
        <f>VLOOKUP(A288,MSFT!A287:C1542,3)</f>
        <v>281.02300000000002</v>
      </c>
      <c r="D288" s="1">
        <f>VLOOKUP(A288,NVDA!A287:C1542,3)</f>
        <v>23.351199999999999</v>
      </c>
      <c r="E288" s="1">
        <f>VLOOKUP(A288,AMD!A287:C1542,3)</f>
        <v>115.65</v>
      </c>
      <c r="F288" s="1">
        <f>VLOOKUP(A288,AMZN!A287:C1542,3)</f>
        <v>150.19800000000001</v>
      </c>
      <c r="G288" s="1">
        <f>VLOOKUP(A288,TSLA!A287:C1542,3)</f>
        <v>273.84300000000002</v>
      </c>
      <c r="H288" s="1">
        <f>VLOOKUP(A288,GOOGL!A287:C1542,3)</f>
        <v>129.345</v>
      </c>
      <c r="I288" s="1">
        <f>VLOOKUP(A288,META!A287:C1542,3)</f>
        <v>202.08</v>
      </c>
      <c r="J288" s="1">
        <f>VLOOKUP(A288,Nasdaq!A287:C1542,3)</f>
        <v>13381.52</v>
      </c>
    </row>
    <row r="289" spans="1:10" x14ac:dyDescent="0.2">
      <c r="A289" s="2">
        <v>44615</v>
      </c>
      <c r="B289" s="1">
        <f>VLOOKUP(A289,AAPL!A288:C1543,3)</f>
        <v>156.98699999999999</v>
      </c>
      <c r="C289" s="1">
        <f>VLOOKUP(A289,MSFT!A288:C1543,3)</f>
        <v>273.75099999999998</v>
      </c>
      <c r="D289" s="1">
        <f>VLOOKUP(A289,NVDA!A288:C1543,3)</f>
        <v>22.349900000000002</v>
      </c>
      <c r="E289" s="1">
        <f>VLOOKUP(A289,AMD!A288:C1543,3)</f>
        <v>109.76</v>
      </c>
      <c r="F289" s="1">
        <f>VLOOKUP(A289,AMZN!A288:C1543,3)</f>
        <v>144.827</v>
      </c>
      <c r="G289" s="1">
        <f>VLOOKUP(A289,TSLA!A288:C1543,3)</f>
        <v>254.68</v>
      </c>
      <c r="H289" s="1">
        <f>VLOOKUP(A289,GOOGL!A288:C1543,3)</f>
        <v>127.127</v>
      </c>
      <c r="I289" s="1">
        <f>VLOOKUP(A289,META!A288:C1543,3)</f>
        <v>198.45</v>
      </c>
      <c r="J289" s="1">
        <f>VLOOKUP(A289,Nasdaq!A288:C1543,3)</f>
        <v>13037.49</v>
      </c>
    </row>
    <row r="290" spans="1:10" x14ac:dyDescent="0.2">
      <c r="A290" s="2">
        <v>44616</v>
      </c>
      <c r="B290" s="1">
        <f>VLOOKUP(A290,AAPL!A289:C1544,3)</f>
        <v>159.59899999999999</v>
      </c>
      <c r="C290" s="1">
        <f>VLOOKUP(A290,MSFT!A289:C1544,3)</f>
        <v>287.73599999999999</v>
      </c>
      <c r="D290" s="1">
        <f>VLOOKUP(A290,NVDA!A289:C1544,3)</f>
        <v>23.708600000000001</v>
      </c>
      <c r="E290" s="1">
        <f>VLOOKUP(A290,AMD!A289:C1544,3)</f>
        <v>116.61</v>
      </c>
      <c r="F290" s="1">
        <f>VLOOKUP(A290,AMZN!A289:C1544,3)</f>
        <v>151.358</v>
      </c>
      <c r="G290" s="1">
        <f>VLOOKUP(A290,TSLA!A289:C1544,3)</f>
        <v>266.923</v>
      </c>
      <c r="H290" s="1">
        <f>VLOOKUP(A290,GOOGL!A289:C1544,3)</f>
        <v>132.21100000000001</v>
      </c>
      <c r="I290" s="1">
        <f>VLOOKUP(A290,META!A289:C1544,3)</f>
        <v>207.6</v>
      </c>
      <c r="J290" s="1">
        <f>VLOOKUP(A290,Nasdaq!A289:C1544,3)</f>
        <v>13473.58</v>
      </c>
    </row>
    <row r="291" spans="1:10" x14ac:dyDescent="0.2">
      <c r="A291" s="2">
        <v>44617</v>
      </c>
      <c r="B291" s="1">
        <f>VLOOKUP(A291,AAPL!A290:C1545,3)</f>
        <v>161.67099999999999</v>
      </c>
      <c r="C291" s="1">
        <f>VLOOKUP(A291,MSFT!A290:C1545,3)</f>
        <v>290.39400000000001</v>
      </c>
      <c r="D291" s="1">
        <f>VLOOKUP(A291,NVDA!A290:C1545,3)</f>
        <v>24.116900000000001</v>
      </c>
      <c r="E291" s="1">
        <f>VLOOKUP(A291,AMD!A290:C1545,3)</f>
        <v>121.06</v>
      </c>
      <c r="F291" s="1">
        <f>VLOOKUP(A291,AMZN!A290:C1545,3)</f>
        <v>153.78800000000001</v>
      </c>
      <c r="G291" s="1">
        <f>VLOOKUP(A291,TSLA!A290:C1545,3)</f>
        <v>269.95699999999999</v>
      </c>
      <c r="H291" s="1">
        <f>VLOOKUP(A291,GOOGL!A290:C1545,3)</f>
        <v>133.97399999999999</v>
      </c>
      <c r="I291" s="1">
        <f>VLOOKUP(A291,META!A290:C1545,3)</f>
        <v>210.48</v>
      </c>
      <c r="J291" s="1">
        <f>VLOOKUP(A291,Nasdaq!A290:C1545,3)</f>
        <v>13694.62</v>
      </c>
    </row>
    <row r="292" spans="1:10" x14ac:dyDescent="0.2">
      <c r="A292" s="2">
        <v>44620</v>
      </c>
      <c r="B292" s="1">
        <f>VLOOKUP(A292,AAPL!A291:C1546,3)</f>
        <v>161.935</v>
      </c>
      <c r="C292" s="1">
        <f>VLOOKUP(A292,MSFT!A291:C1546,3)</f>
        <v>291.83999999999997</v>
      </c>
      <c r="D292" s="1">
        <f>VLOOKUP(A292,NVDA!A291:C1546,3)</f>
        <v>24.344799999999999</v>
      </c>
      <c r="E292" s="1">
        <f>VLOOKUP(A292,AMD!A291:C1546,3)</f>
        <v>123.34</v>
      </c>
      <c r="F292" s="1">
        <f>VLOOKUP(A292,AMZN!A291:C1546,3)</f>
        <v>153.56299999999999</v>
      </c>
      <c r="G292" s="1">
        <f>VLOOKUP(A292,TSLA!A291:C1546,3)</f>
        <v>290.14299999999997</v>
      </c>
      <c r="H292" s="1">
        <f>VLOOKUP(A292,GOOGL!A291:C1546,3)</f>
        <v>134.56899999999999</v>
      </c>
      <c r="I292" s="1">
        <f>VLOOKUP(A292,META!A291:C1546,3)</f>
        <v>211.03</v>
      </c>
      <c r="J292" s="1">
        <f>VLOOKUP(A292,Nasdaq!A291:C1546,3)</f>
        <v>13751.4</v>
      </c>
    </row>
    <row r="293" spans="1:10" x14ac:dyDescent="0.2">
      <c r="A293" s="2">
        <v>44621</v>
      </c>
      <c r="B293" s="1">
        <f>VLOOKUP(A293,AAPL!A292:C1547,3)</f>
        <v>160.04900000000001</v>
      </c>
      <c r="C293" s="1">
        <f>VLOOKUP(A293,MSFT!A292:C1547,3)</f>
        <v>288.08800000000002</v>
      </c>
      <c r="D293" s="1">
        <f>VLOOKUP(A293,NVDA!A292:C1547,3)</f>
        <v>23.437999999999999</v>
      </c>
      <c r="E293" s="1">
        <f>VLOOKUP(A293,AMD!A292:C1547,3)</f>
        <v>113.83</v>
      </c>
      <c r="F293" s="1">
        <f>VLOOKUP(A293,AMZN!A292:C1547,3)</f>
        <v>151.142</v>
      </c>
      <c r="G293" s="1">
        <f>VLOOKUP(A293,TSLA!A292:C1547,3)</f>
        <v>288.12299999999999</v>
      </c>
      <c r="H293" s="1">
        <f>VLOOKUP(A293,GOOGL!A292:C1547,3)</f>
        <v>133.578</v>
      </c>
      <c r="I293" s="1">
        <f>VLOOKUP(A293,META!A292:C1547,3)</f>
        <v>203.49</v>
      </c>
      <c r="J293" s="1">
        <f>VLOOKUP(A293,Nasdaq!A292:C1547,3)</f>
        <v>13532.46</v>
      </c>
    </row>
    <row r="294" spans="1:10" x14ac:dyDescent="0.2">
      <c r="A294" s="2">
        <v>44622</v>
      </c>
      <c r="B294" s="1">
        <f>VLOOKUP(A294,AAPL!A293:C1548,3)</f>
        <v>163.34899999999999</v>
      </c>
      <c r="C294" s="1">
        <f>VLOOKUP(A294,MSFT!A293:C1548,3)</f>
        <v>293.20499999999998</v>
      </c>
      <c r="D294" s="1">
        <f>VLOOKUP(A294,NVDA!A293:C1548,3)</f>
        <v>24.183900000000001</v>
      </c>
      <c r="E294" s="1">
        <f>VLOOKUP(A294,AMD!A293:C1548,3)</f>
        <v>118.28</v>
      </c>
      <c r="F294" s="1">
        <f>VLOOKUP(A294,AMZN!A293:C1548,3)</f>
        <v>152.05199999999999</v>
      </c>
      <c r="G294" s="1">
        <f>VLOOKUP(A294,TSLA!A293:C1548,3)</f>
        <v>293.29700000000003</v>
      </c>
      <c r="H294" s="1">
        <f>VLOOKUP(A294,GOOGL!A293:C1548,3)</f>
        <v>134.08600000000001</v>
      </c>
      <c r="I294" s="1">
        <f>VLOOKUP(A294,META!A293:C1548,3)</f>
        <v>208.11</v>
      </c>
      <c r="J294" s="1">
        <f>VLOOKUP(A294,Nasdaq!A293:C1548,3)</f>
        <v>13752.02</v>
      </c>
    </row>
    <row r="295" spans="1:10" x14ac:dyDescent="0.2">
      <c r="A295" s="2">
        <v>44623</v>
      </c>
      <c r="B295" s="1">
        <f>VLOOKUP(A295,AAPL!A294:C1549,3)</f>
        <v>163.02500000000001</v>
      </c>
      <c r="C295" s="1">
        <f>VLOOKUP(A295,MSFT!A294:C1549,3)</f>
        <v>289.03500000000003</v>
      </c>
      <c r="D295" s="1">
        <f>VLOOKUP(A295,NVDA!A294:C1549,3)</f>
        <v>23.678699999999999</v>
      </c>
      <c r="E295" s="1">
        <f>VLOOKUP(A295,AMD!A294:C1549,3)</f>
        <v>111.98</v>
      </c>
      <c r="F295" s="1">
        <f>VLOOKUP(A295,AMZN!A294:C1549,3)</f>
        <v>147.898</v>
      </c>
      <c r="G295" s="1">
        <f>VLOOKUP(A295,TSLA!A294:C1549,3)</f>
        <v>279.76299999999998</v>
      </c>
      <c r="H295" s="1">
        <f>VLOOKUP(A295,GOOGL!A294:C1549,3)</f>
        <v>133.416</v>
      </c>
      <c r="I295" s="1">
        <f>VLOOKUP(A295,META!A294:C1549,3)</f>
        <v>202.97</v>
      </c>
      <c r="J295" s="1">
        <f>VLOOKUP(A295,Nasdaq!A294:C1549,3)</f>
        <v>13537.94</v>
      </c>
    </row>
    <row r="296" spans="1:10" x14ac:dyDescent="0.2">
      <c r="A296" s="2">
        <v>44624</v>
      </c>
      <c r="B296" s="1">
        <f>VLOOKUP(A296,AAPL!A295:C1550,3)</f>
        <v>160.02000000000001</v>
      </c>
      <c r="C296" s="1">
        <f>VLOOKUP(A296,MSFT!A295:C1550,3)</f>
        <v>283.11599999999999</v>
      </c>
      <c r="D296" s="1">
        <f>VLOOKUP(A296,NVDA!A295:C1550,3)</f>
        <v>22.901700000000002</v>
      </c>
      <c r="E296" s="1">
        <f>VLOOKUP(A296,AMD!A295:C1550,3)</f>
        <v>108.41</v>
      </c>
      <c r="F296" s="1">
        <f>VLOOKUP(A296,AMZN!A295:C1550,3)</f>
        <v>145.64099999999999</v>
      </c>
      <c r="G296" s="1">
        <f>VLOOKUP(A296,TSLA!A295:C1550,3)</f>
        <v>279.43</v>
      </c>
      <c r="H296" s="1">
        <f>VLOOKUP(A296,GOOGL!A295:C1550,3)</f>
        <v>131.429</v>
      </c>
      <c r="I296" s="1">
        <f>VLOOKUP(A296,META!A295:C1550,3)</f>
        <v>200.06</v>
      </c>
      <c r="J296" s="1">
        <f>VLOOKUP(A296,Nasdaq!A295:C1550,3)</f>
        <v>13313.44</v>
      </c>
    </row>
    <row r="297" spans="1:10" x14ac:dyDescent="0.2">
      <c r="A297" s="2">
        <v>44627</v>
      </c>
      <c r="B297" s="1">
        <f>VLOOKUP(A297,AAPL!A296:C1551,3)</f>
        <v>156.22999999999999</v>
      </c>
      <c r="C297" s="1">
        <f>VLOOKUP(A297,MSFT!A296:C1551,3)</f>
        <v>272.423</v>
      </c>
      <c r="D297" s="1">
        <f>VLOOKUP(A297,NVDA!A296:C1551,3)</f>
        <v>21.3201</v>
      </c>
      <c r="E297" s="1">
        <f>VLOOKUP(A297,AMD!A296:C1551,3)</f>
        <v>102.95</v>
      </c>
      <c r="F297" s="1">
        <f>VLOOKUP(A297,AMZN!A296:C1551,3)</f>
        <v>137.453</v>
      </c>
      <c r="G297" s="1">
        <f>VLOOKUP(A297,TSLA!A296:C1551,3)</f>
        <v>268.19299999999998</v>
      </c>
      <c r="H297" s="1">
        <f>VLOOKUP(A297,GOOGL!A296:C1551,3)</f>
        <v>125.922</v>
      </c>
      <c r="I297" s="1">
        <f>VLOOKUP(A297,META!A296:C1551,3)</f>
        <v>187.47</v>
      </c>
      <c r="J297" s="1">
        <f>VLOOKUP(A297,Nasdaq!A296:C1551,3)</f>
        <v>12830.96</v>
      </c>
    </row>
    <row r="298" spans="1:10" x14ac:dyDescent="0.2">
      <c r="A298" s="2">
        <v>44628</v>
      </c>
      <c r="B298" s="1">
        <f>VLOOKUP(A298,AAPL!A297:C1552,3)</f>
        <v>154.40199999999999</v>
      </c>
      <c r="C298" s="1">
        <f>VLOOKUP(A298,MSFT!A297:C1552,3)</f>
        <v>269.43200000000002</v>
      </c>
      <c r="D298" s="1">
        <f>VLOOKUP(A298,NVDA!A297:C1552,3)</f>
        <v>21.4819</v>
      </c>
      <c r="E298" s="1">
        <f>VLOOKUP(A298,AMD!A297:C1552,3)</f>
        <v>105.53</v>
      </c>
      <c r="F298" s="1">
        <f>VLOOKUP(A298,AMZN!A297:C1552,3)</f>
        <v>136.01400000000001</v>
      </c>
      <c r="G298" s="1">
        <f>VLOOKUP(A298,TSLA!A297:C1552,3)</f>
        <v>274.8</v>
      </c>
      <c r="H298" s="1">
        <f>VLOOKUP(A298,GOOGL!A297:C1552,3)</f>
        <v>126.645</v>
      </c>
      <c r="I298" s="1">
        <f>VLOOKUP(A298,META!A297:C1552,3)</f>
        <v>190.29</v>
      </c>
      <c r="J298" s="1">
        <f>VLOOKUP(A298,Nasdaq!A297:C1552,3)</f>
        <v>12795.55</v>
      </c>
    </row>
    <row r="299" spans="1:10" x14ac:dyDescent="0.2">
      <c r="A299" s="2">
        <v>44629</v>
      </c>
      <c r="B299" s="1">
        <f>VLOOKUP(A299,AAPL!A298:C1553,3)</f>
        <v>159.803</v>
      </c>
      <c r="C299" s="1">
        <f>VLOOKUP(A299,MSFT!A298:C1553,3)</f>
        <v>281.78899999999999</v>
      </c>
      <c r="D299" s="1">
        <f>VLOOKUP(A299,NVDA!A298:C1553,3)</f>
        <v>22.979600000000001</v>
      </c>
      <c r="E299" s="1">
        <f>VLOOKUP(A299,AMD!A298:C1553,3)</f>
        <v>111.05</v>
      </c>
      <c r="F299" s="1">
        <f>VLOOKUP(A299,AMZN!A298:C1553,3)</f>
        <v>139.279</v>
      </c>
      <c r="G299" s="1">
        <f>VLOOKUP(A299,TSLA!A298:C1553,3)</f>
        <v>286.32299999999998</v>
      </c>
      <c r="H299" s="1">
        <f>VLOOKUP(A299,GOOGL!A298:C1553,3)</f>
        <v>132.93799999999999</v>
      </c>
      <c r="I299" s="1">
        <f>VLOOKUP(A299,META!A298:C1553,3)</f>
        <v>198.5</v>
      </c>
      <c r="J299" s="1">
        <f>VLOOKUP(A299,Nasdaq!A298:C1553,3)</f>
        <v>13255.55</v>
      </c>
    </row>
    <row r="300" spans="1:10" x14ac:dyDescent="0.2">
      <c r="A300" s="2">
        <v>44630</v>
      </c>
      <c r="B300" s="1">
        <f>VLOOKUP(A300,AAPL!A299:C1554,3)</f>
        <v>155.46100000000001</v>
      </c>
      <c r="C300" s="1">
        <f>VLOOKUP(A300,MSFT!A299:C1554,3)</f>
        <v>278.94600000000003</v>
      </c>
      <c r="D300" s="1">
        <f>VLOOKUP(A300,NVDA!A299:C1554,3)</f>
        <v>22.624199999999998</v>
      </c>
      <c r="E300" s="1">
        <f>VLOOKUP(A300,AMD!A299:C1554,3)</f>
        <v>106.46</v>
      </c>
      <c r="F300" s="1">
        <f>VLOOKUP(A300,AMZN!A299:C1554,3)</f>
        <v>146.81800000000001</v>
      </c>
      <c r="G300" s="1">
        <f>VLOOKUP(A300,TSLA!A299:C1554,3)</f>
        <v>279.43299999999999</v>
      </c>
      <c r="H300" s="1">
        <f>VLOOKUP(A300,GOOGL!A299:C1554,3)</f>
        <v>131.952</v>
      </c>
      <c r="I300" s="1">
        <f>VLOOKUP(A300,META!A299:C1554,3)</f>
        <v>195.21</v>
      </c>
      <c r="J300" s="1">
        <f>VLOOKUP(A300,Nasdaq!A299:C1554,3)</f>
        <v>13129.96</v>
      </c>
    </row>
    <row r="301" spans="1:10" x14ac:dyDescent="0.2">
      <c r="A301" s="2">
        <v>44631</v>
      </c>
      <c r="B301" s="1">
        <f>VLOOKUP(A301,AAPL!A300:C1555,3)</f>
        <v>151.74199999999999</v>
      </c>
      <c r="C301" s="1">
        <f>VLOOKUP(A301,MSFT!A300:C1555,3)</f>
        <v>273.553</v>
      </c>
      <c r="D301" s="1">
        <f>VLOOKUP(A301,NVDA!A300:C1555,3)</f>
        <v>22.0671</v>
      </c>
      <c r="E301" s="1">
        <f>VLOOKUP(A301,AMD!A300:C1555,3)</f>
        <v>104.29</v>
      </c>
      <c r="F301" s="1">
        <f>VLOOKUP(A301,AMZN!A300:C1555,3)</f>
        <v>145.524</v>
      </c>
      <c r="G301" s="1">
        <f>VLOOKUP(A301,TSLA!A300:C1555,3)</f>
        <v>265.11700000000002</v>
      </c>
      <c r="H301" s="1">
        <f>VLOOKUP(A301,GOOGL!A300:C1555,3)</f>
        <v>129.40100000000001</v>
      </c>
      <c r="I301" s="1">
        <f>VLOOKUP(A301,META!A300:C1555,3)</f>
        <v>187.61</v>
      </c>
      <c r="J301" s="1">
        <f>VLOOKUP(A301,Nasdaq!A300:C1555,3)</f>
        <v>12843.81</v>
      </c>
    </row>
    <row r="302" spans="1:10" x14ac:dyDescent="0.2">
      <c r="A302" s="2">
        <v>44634</v>
      </c>
      <c r="B302" s="1">
        <f>VLOOKUP(A302,AAPL!A301:C1556,3)</f>
        <v>147.71299999999999</v>
      </c>
      <c r="C302" s="1">
        <f>VLOOKUP(A302,MSFT!A301:C1556,3)</f>
        <v>270.01</v>
      </c>
      <c r="D302" s="1">
        <f>VLOOKUP(A302,NVDA!A301:C1556,3)</f>
        <v>21.298200000000001</v>
      </c>
      <c r="E302" s="1">
        <f>VLOOKUP(A302,AMD!A301:C1556,3)</f>
        <v>102.25</v>
      </c>
      <c r="F302" s="1">
        <f>VLOOKUP(A302,AMZN!A301:C1556,3)</f>
        <v>141.85300000000001</v>
      </c>
      <c r="G302" s="1">
        <f>VLOOKUP(A302,TSLA!A301:C1556,3)</f>
        <v>255.45699999999999</v>
      </c>
      <c r="H302" s="1">
        <f>VLOOKUP(A302,GOOGL!A301:C1556,3)</f>
        <v>125.496</v>
      </c>
      <c r="I302" s="1">
        <f>VLOOKUP(A302,META!A301:C1556,3)</f>
        <v>186.63</v>
      </c>
      <c r="J302" s="1">
        <f>VLOOKUP(A302,Nasdaq!A301:C1556,3)</f>
        <v>12581.22</v>
      </c>
    </row>
    <row r="303" spans="1:10" x14ac:dyDescent="0.2">
      <c r="A303" s="2">
        <v>44635</v>
      </c>
      <c r="B303" s="1">
        <f>VLOOKUP(A303,AAPL!A302:C1557,3)</f>
        <v>152.09399999999999</v>
      </c>
      <c r="C303" s="1">
        <f>VLOOKUP(A303,MSFT!A302:C1557,3)</f>
        <v>280.47000000000003</v>
      </c>
      <c r="D303" s="1">
        <f>VLOOKUP(A303,NVDA!A302:C1557,3)</f>
        <v>22.938600000000001</v>
      </c>
      <c r="E303" s="1">
        <f>VLOOKUP(A303,AMD!A302:C1557,3)</f>
        <v>109.33</v>
      </c>
      <c r="F303" s="1">
        <f>VLOOKUP(A303,AMZN!A302:C1557,3)</f>
        <v>147.36600000000001</v>
      </c>
      <c r="G303" s="1">
        <f>VLOOKUP(A303,TSLA!A302:C1557,3)</f>
        <v>267.29700000000003</v>
      </c>
      <c r="H303" s="1">
        <f>VLOOKUP(A303,GOOGL!A302:C1557,3)</f>
        <v>128.73099999999999</v>
      </c>
      <c r="I303" s="1">
        <f>VLOOKUP(A303,META!A302:C1557,3)</f>
        <v>192.03</v>
      </c>
      <c r="J303" s="1">
        <f>VLOOKUP(A303,Nasdaq!A302:C1557,3)</f>
        <v>12948.62</v>
      </c>
    </row>
    <row r="304" spans="1:10" x14ac:dyDescent="0.2">
      <c r="A304" s="2">
        <v>44636</v>
      </c>
      <c r="B304" s="1">
        <f>VLOOKUP(A304,AAPL!A303:C1558,3)</f>
        <v>156.51300000000001</v>
      </c>
      <c r="C304" s="1">
        <f>VLOOKUP(A304,MSFT!A303:C1558,3)</f>
        <v>287.54000000000002</v>
      </c>
      <c r="D304" s="1">
        <f>VLOOKUP(A304,NVDA!A303:C1558,3)</f>
        <v>24.459399999999999</v>
      </c>
      <c r="E304" s="1">
        <f>VLOOKUP(A304,AMD!A303:C1558,3)</f>
        <v>115.37</v>
      </c>
      <c r="F304" s="1">
        <f>VLOOKUP(A304,AMZN!A303:C1558,3)</f>
        <v>153.10400000000001</v>
      </c>
      <c r="G304" s="1">
        <f>VLOOKUP(A304,TSLA!A303:C1558,3)</f>
        <v>280.077</v>
      </c>
      <c r="H304" s="1">
        <f>VLOOKUP(A304,GOOGL!A303:C1558,3)</f>
        <v>132.80000000000001</v>
      </c>
      <c r="I304" s="1">
        <f>VLOOKUP(A304,META!A303:C1558,3)</f>
        <v>203.63</v>
      </c>
      <c r="J304" s="1">
        <f>VLOOKUP(A304,Nasdaq!A303:C1558,3)</f>
        <v>13436.55</v>
      </c>
    </row>
    <row r="305" spans="1:10" x14ac:dyDescent="0.2">
      <c r="A305" s="2">
        <v>44637</v>
      </c>
      <c r="B305" s="1">
        <f>VLOOKUP(A305,AAPL!A304:C1559,3)</f>
        <v>157.51599999999999</v>
      </c>
      <c r="C305" s="1">
        <f>VLOOKUP(A305,MSFT!A304:C1559,3)</f>
        <v>288.35199999999998</v>
      </c>
      <c r="D305" s="1">
        <f>VLOOKUP(A305,NVDA!A304:C1559,3)</f>
        <v>24.729099999999999</v>
      </c>
      <c r="E305" s="1">
        <f>VLOOKUP(A305,AMD!A304:C1559,3)</f>
        <v>111.69</v>
      </c>
      <c r="F305" s="1">
        <f>VLOOKUP(A305,AMZN!A304:C1559,3)</f>
        <v>157.239</v>
      </c>
      <c r="G305" s="1">
        <f>VLOOKUP(A305,TSLA!A304:C1559,3)</f>
        <v>290.53300000000002</v>
      </c>
      <c r="H305" s="1">
        <f>VLOOKUP(A305,GOOGL!A304:C1559,3)</f>
        <v>133.35599999999999</v>
      </c>
      <c r="I305" s="1">
        <f>VLOOKUP(A305,META!A304:C1559,3)</f>
        <v>207.84</v>
      </c>
      <c r="J305" s="1">
        <f>VLOOKUP(A305,Nasdaq!A304:C1559,3)</f>
        <v>13614.78</v>
      </c>
    </row>
    <row r="306" spans="1:10" x14ac:dyDescent="0.2">
      <c r="A306" s="2">
        <v>44638</v>
      </c>
      <c r="B306" s="1">
        <f>VLOOKUP(A306,AAPL!A305:C1560,3)</f>
        <v>160.816</v>
      </c>
      <c r="C306" s="1">
        <f>VLOOKUP(A306,MSFT!A305:C1560,3)</f>
        <v>293.44099999999997</v>
      </c>
      <c r="D306" s="1">
        <f>VLOOKUP(A306,NVDA!A305:C1560,3)</f>
        <v>26.413499999999999</v>
      </c>
      <c r="E306" s="1">
        <f>VLOOKUP(A306,AMD!A305:C1560,3)</f>
        <v>113.46</v>
      </c>
      <c r="F306" s="1">
        <f>VLOOKUP(A306,AMZN!A305:C1560,3)</f>
        <v>161.251</v>
      </c>
      <c r="G306" s="1">
        <f>VLOOKUP(A306,TSLA!A305:C1560,3)</f>
        <v>301.79700000000003</v>
      </c>
      <c r="H306" s="1">
        <f>VLOOKUP(A306,GOOGL!A305:C1560,3)</f>
        <v>135.63499999999999</v>
      </c>
      <c r="I306" s="1">
        <f>VLOOKUP(A306,META!A305:C1560,3)</f>
        <v>216.49</v>
      </c>
      <c r="J306" s="1">
        <f>VLOOKUP(A306,Nasdaq!A305:C1560,3)</f>
        <v>13893.84</v>
      </c>
    </row>
    <row r="307" spans="1:10" x14ac:dyDescent="0.2">
      <c r="A307" s="2">
        <v>44641</v>
      </c>
      <c r="B307" s="1">
        <f>VLOOKUP(A307,AAPL!A306:C1561,3)</f>
        <v>162.19200000000001</v>
      </c>
      <c r="C307" s="1">
        <f>VLOOKUP(A307,MSFT!A306:C1561,3)</f>
        <v>292.2</v>
      </c>
      <c r="D307" s="1">
        <f>VLOOKUP(A307,NVDA!A306:C1561,3)</f>
        <v>26.694199999999999</v>
      </c>
      <c r="E307" s="1">
        <f>VLOOKUP(A307,AMD!A306:C1561,3)</f>
        <v>115.92</v>
      </c>
      <c r="F307" s="1">
        <f>VLOOKUP(A307,AMZN!A306:C1561,3)</f>
        <v>161.49199999999999</v>
      </c>
      <c r="G307" s="1">
        <f>VLOOKUP(A307,TSLA!A306:C1561,3)</f>
        <v>307.053</v>
      </c>
      <c r="H307" s="1">
        <f>VLOOKUP(A307,GOOGL!A306:C1561,3)</f>
        <v>135.61099999999999</v>
      </c>
      <c r="I307" s="1">
        <f>VLOOKUP(A307,META!A306:C1561,3)</f>
        <v>211.49</v>
      </c>
      <c r="J307" s="1">
        <f>VLOOKUP(A307,Nasdaq!A306:C1561,3)</f>
        <v>13838.46</v>
      </c>
    </row>
    <row r="308" spans="1:10" x14ac:dyDescent="0.2">
      <c r="A308" s="2">
        <v>44642</v>
      </c>
      <c r="B308" s="1">
        <f>VLOOKUP(A308,AAPL!A307:C1562,3)</f>
        <v>165.559</v>
      </c>
      <c r="C308" s="1">
        <f>VLOOKUP(A308,MSFT!A307:C1562,3)</f>
        <v>296.98599999999999</v>
      </c>
      <c r="D308" s="1">
        <f>VLOOKUP(A308,NVDA!A307:C1562,3)</f>
        <v>26.484500000000001</v>
      </c>
      <c r="E308" s="1">
        <f>VLOOKUP(A308,AMD!A307:C1562,3)</f>
        <v>114.78</v>
      </c>
      <c r="F308" s="1">
        <f>VLOOKUP(A308,AMZN!A307:C1562,3)</f>
        <v>164.88900000000001</v>
      </c>
      <c r="G308" s="1">
        <f>VLOOKUP(A308,TSLA!A307:C1562,3)</f>
        <v>331.327</v>
      </c>
      <c r="H308" s="1">
        <f>VLOOKUP(A308,GOOGL!A307:C1562,3)</f>
        <v>139.363</v>
      </c>
      <c r="I308" s="1">
        <f>VLOOKUP(A308,META!A307:C1562,3)</f>
        <v>216.65</v>
      </c>
      <c r="J308" s="1">
        <f>VLOOKUP(A308,Nasdaq!A307:C1562,3)</f>
        <v>14108.82</v>
      </c>
    </row>
    <row r="309" spans="1:10" x14ac:dyDescent="0.2">
      <c r="A309" s="2">
        <v>44643</v>
      </c>
      <c r="B309" s="1">
        <f>VLOOKUP(A309,AAPL!A308:C1563,3)</f>
        <v>166.92500000000001</v>
      </c>
      <c r="C309" s="1">
        <f>VLOOKUP(A309,MSFT!A308:C1563,3)</f>
        <v>292.52199999999999</v>
      </c>
      <c r="D309" s="1">
        <f>VLOOKUP(A309,NVDA!A308:C1563,3)</f>
        <v>25.595700000000001</v>
      </c>
      <c r="E309" s="1">
        <f>VLOOKUP(A309,AMD!A308:C1563,3)</f>
        <v>113.92</v>
      </c>
      <c r="F309" s="1">
        <f>VLOOKUP(A309,AMZN!A308:C1563,3)</f>
        <v>163.40799999999999</v>
      </c>
      <c r="G309" s="1">
        <f>VLOOKUP(A309,TSLA!A308:C1563,3)</f>
        <v>333.03699999999998</v>
      </c>
      <c r="H309" s="1">
        <f>VLOOKUP(A309,GOOGL!A308:C1563,3)</f>
        <v>137.77600000000001</v>
      </c>
      <c r="I309" s="1">
        <f>VLOOKUP(A309,META!A308:C1563,3)</f>
        <v>213.46</v>
      </c>
      <c r="J309" s="1">
        <f>VLOOKUP(A309,Nasdaq!A308:C1563,3)</f>
        <v>13922.6</v>
      </c>
    </row>
    <row r="310" spans="1:10" x14ac:dyDescent="0.2">
      <c r="A310" s="2">
        <v>44644</v>
      </c>
      <c r="B310" s="1">
        <f>VLOOKUP(A310,AAPL!A309:C1564,3)</f>
        <v>170.70699999999999</v>
      </c>
      <c r="C310" s="1">
        <f>VLOOKUP(A310,MSFT!A309:C1564,3)</f>
        <v>297.02499999999998</v>
      </c>
      <c r="D310" s="1">
        <f>VLOOKUP(A310,NVDA!A309:C1564,3)</f>
        <v>28.1081</v>
      </c>
      <c r="E310" s="1">
        <f>VLOOKUP(A310,AMD!A309:C1564,3)</f>
        <v>120.53</v>
      </c>
      <c r="F310" s="1">
        <f>VLOOKUP(A310,AMZN!A309:C1564,3)</f>
        <v>163.65</v>
      </c>
      <c r="G310" s="1">
        <f>VLOOKUP(A310,TSLA!A309:C1564,3)</f>
        <v>337.97300000000001</v>
      </c>
      <c r="H310" s="1">
        <f>VLOOKUP(A310,GOOGL!A309:C1564,3)</f>
        <v>141.06100000000001</v>
      </c>
      <c r="I310" s="1">
        <f>VLOOKUP(A310,META!A309:C1564,3)</f>
        <v>219.57</v>
      </c>
      <c r="J310" s="1">
        <f>VLOOKUP(A310,Nasdaq!A309:C1564,3)</f>
        <v>14191.84</v>
      </c>
    </row>
    <row r="311" spans="1:10" x14ac:dyDescent="0.2">
      <c r="A311" s="2">
        <v>44645</v>
      </c>
      <c r="B311" s="1">
        <f>VLOOKUP(A311,AAPL!A310:C1565,3)</f>
        <v>171.345</v>
      </c>
      <c r="C311" s="1">
        <f>VLOOKUP(A311,MSFT!A310:C1565,3)</f>
        <v>296.613</v>
      </c>
      <c r="D311" s="1">
        <f>VLOOKUP(A311,NVDA!A310:C1565,3)</f>
        <v>27.650600000000001</v>
      </c>
      <c r="E311" s="1">
        <f>VLOOKUP(A311,AMD!A310:C1565,3)</f>
        <v>119.67</v>
      </c>
      <c r="F311" s="1">
        <f>VLOOKUP(A311,AMZN!A310:C1565,3)</f>
        <v>164.773</v>
      </c>
      <c r="G311" s="1">
        <f>VLOOKUP(A311,TSLA!A310:C1565,3)</f>
        <v>336.88</v>
      </c>
      <c r="H311" s="1">
        <f>VLOOKUP(A311,GOOGL!A310:C1565,3)</f>
        <v>141.161</v>
      </c>
      <c r="I311" s="1">
        <f>VLOOKUP(A311,META!A310:C1565,3)</f>
        <v>221.82</v>
      </c>
      <c r="J311" s="1">
        <f>VLOOKUP(A311,Nasdaq!A310:C1565,3)</f>
        <v>14169.3</v>
      </c>
    </row>
    <row r="312" spans="1:10" x14ac:dyDescent="0.2">
      <c r="A312" s="2">
        <v>44648</v>
      </c>
      <c r="B312" s="1">
        <f>VLOOKUP(A312,AAPL!A311:C1566,3)</f>
        <v>172.21</v>
      </c>
      <c r="C312" s="1">
        <f>VLOOKUP(A312,MSFT!A311:C1566,3)</f>
        <v>303.47199999999998</v>
      </c>
      <c r="D312" s="1">
        <f>VLOOKUP(A312,NVDA!A311:C1566,3)</f>
        <v>28.177</v>
      </c>
      <c r="E312" s="1">
        <f>VLOOKUP(A312,AMD!A311:C1566,3)</f>
        <v>120.24</v>
      </c>
      <c r="F312" s="1">
        <f>VLOOKUP(A312,AMZN!A311:C1566,3)</f>
        <v>168.99</v>
      </c>
      <c r="G312" s="1">
        <f>VLOOKUP(A312,TSLA!A311:C1566,3)</f>
        <v>363.947</v>
      </c>
      <c r="H312" s="1">
        <f>VLOOKUP(A312,GOOGL!A311:C1566,3)</f>
        <v>140.94499999999999</v>
      </c>
      <c r="I312" s="1">
        <f>VLOOKUP(A312,META!A311:C1566,3)</f>
        <v>223.59</v>
      </c>
      <c r="J312" s="1">
        <f>VLOOKUP(A312,Nasdaq!A311:C1566,3)</f>
        <v>14354.9</v>
      </c>
    </row>
    <row r="313" spans="1:10" x14ac:dyDescent="0.2">
      <c r="A313" s="2">
        <v>44649</v>
      </c>
      <c r="B313" s="1">
        <f>VLOOKUP(A313,AAPL!A312:C1567,3)</f>
        <v>175.50700000000001</v>
      </c>
      <c r="C313" s="1">
        <f>VLOOKUP(A313,MSFT!A312:C1567,3)</f>
        <v>308.07299999999998</v>
      </c>
      <c r="D313" s="1">
        <f>VLOOKUP(A313,NVDA!A312:C1567,3)</f>
        <v>28.613299999999999</v>
      </c>
      <c r="E313" s="1">
        <f>VLOOKUP(A313,AMD!A312:C1567,3)</f>
        <v>123.23</v>
      </c>
      <c r="F313" s="1">
        <f>VLOOKUP(A313,AMZN!A312:C1567,3)</f>
        <v>169.315</v>
      </c>
      <c r="G313" s="1">
        <f>VLOOKUP(A313,TSLA!A312:C1567,3)</f>
        <v>366.52300000000002</v>
      </c>
      <c r="H313" s="1">
        <f>VLOOKUP(A313,GOOGL!A312:C1567,3)</f>
        <v>141.99100000000001</v>
      </c>
      <c r="I313" s="1">
        <f>VLOOKUP(A313,META!A312:C1567,3)</f>
        <v>229.86</v>
      </c>
      <c r="J313" s="1">
        <f>VLOOKUP(A313,Nasdaq!A312:C1567,3)</f>
        <v>14619.64</v>
      </c>
    </row>
    <row r="314" spans="1:10" x14ac:dyDescent="0.2">
      <c r="A314" s="2">
        <v>44650</v>
      </c>
      <c r="B314" s="1">
        <f>VLOOKUP(A314,AAPL!A313:C1568,3)</f>
        <v>174.34</v>
      </c>
      <c r="C314" s="1">
        <f>VLOOKUP(A314,MSFT!A313:C1568,3)</f>
        <v>306.55900000000003</v>
      </c>
      <c r="D314" s="1">
        <f>VLOOKUP(A314,NVDA!A313:C1568,3)</f>
        <v>27.648599999999998</v>
      </c>
      <c r="E314" s="1">
        <f>VLOOKUP(A314,AMD!A313:C1568,3)</f>
        <v>119.22</v>
      </c>
      <c r="F314" s="1">
        <f>VLOOKUP(A314,AMZN!A313:C1568,3)</f>
        <v>166.30099999999999</v>
      </c>
      <c r="G314" s="1">
        <f>VLOOKUP(A314,TSLA!A313:C1568,3)</f>
        <v>364.66300000000001</v>
      </c>
      <c r="H314" s="1">
        <f>VLOOKUP(A314,GOOGL!A313:C1568,3)</f>
        <v>141.42500000000001</v>
      </c>
      <c r="I314" s="1">
        <f>VLOOKUP(A314,META!A313:C1568,3)</f>
        <v>227.85</v>
      </c>
      <c r="J314" s="1">
        <f>VLOOKUP(A314,Nasdaq!A313:C1568,3)</f>
        <v>14442.27</v>
      </c>
    </row>
    <row r="315" spans="1:10" x14ac:dyDescent="0.2">
      <c r="A315" s="2">
        <v>44651</v>
      </c>
      <c r="B315" s="1">
        <f>VLOOKUP(A315,AAPL!A314:C1569,3)</f>
        <v>171.23599999999999</v>
      </c>
      <c r="C315" s="1">
        <f>VLOOKUP(A315,MSFT!A314:C1569,3)</f>
        <v>301.13600000000002</v>
      </c>
      <c r="D315" s="1">
        <f>VLOOKUP(A315,NVDA!A314:C1569,3)</f>
        <v>27.2454</v>
      </c>
      <c r="E315" s="1">
        <f>VLOOKUP(A315,AMD!A314:C1569,3)</f>
        <v>109.34</v>
      </c>
      <c r="F315" s="1">
        <f>VLOOKUP(A315,AMZN!A314:C1569,3)</f>
        <v>162.99799999999999</v>
      </c>
      <c r="G315" s="1">
        <f>VLOOKUP(A315,TSLA!A314:C1569,3)</f>
        <v>359.2</v>
      </c>
      <c r="H315" s="1">
        <f>VLOOKUP(A315,GOOGL!A314:C1569,3)</f>
        <v>138.566</v>
      </c>
      <c r="I315" s="1">
        <f>VLOOKUP(A315,META!A314:C1569,3)</f>
        <v>222.36</v>
      </c>
      <c r="J315" s="1">
        <f>VLOOKUP(A315,Nasdaq!A314:C1569,3)</f>
        <v>14220.52</v>
      </c>
    </row>
    <row r="316" spans="1:10" x14ac:dyDescent="0.2">
      <c r="A316" s="2">
        <v>44652</v>
      </c>
      <c r="B316" s="1">
        <f>VLOOKUP(A316,AAPL!A315:C1570,3)</f>
        <v>170.94200000000001</v>
      </c>
      <c r="C316" s="1">
        <f>VLOOKUP(A316,MSFT!A315:C1570,3)</f>
        <v>302.22199999999998</v>
      </c>
      <c r="D316" s="1">
        <f>VLOOKUP(A316,NVDA!A315:C1570,3)</f>
        <v>26.6723</v>
      </c>
      <c r="E316" s="1">
        <f>VLOOKUP(A316,AMD!A315:C1570,3)</f>
        <v>108.19</v>
      </c>
      <c r="F316" s="1">
        <f>VLOOKUP(A316,AMZN!A315:C1570,3)</f>
        <v>163.56</v>
      </c>
      <c r="G316" s="1">
        <f>VLOOKUP(A316,TSLA!A315:C1570,3)</f>
        <v>361.53</v>
      </c>
      <c r="H316" s="1">
        <f>VLOOKUP(A316,GOOGL!A315:C1570,3)</f>
        <v>139.64400000000001</v>
      </c>
      <c r="I316" s="1">
        <f>VLOOKUP(A316,META!A315:C1570,3)</f>
        <v>224.85</v>
      </c>
      <c r="J316" s="1">
        <f>VLOOKUP(A316,Nasdaq!A315:C1570,3)</f>
        <v>14261.5</v>
      </c>
    </row>
    <row r="317" spans="1:10" x14ac:dyDescent="0.2">
      <c r="A317" s="2">
        <v>44655</v>
      </c>
      <c r="B317" s="1">
        <f>VLOOKUP(A317,AAPL!A316:C1571,3)</f>
        <v>174.99700000000001</v>
      </c>
      <c r="C317" s="1">
        <f>VLOOKUP(A317,MSFT!A316:C1571,3)</f>
        <v>307.642</v>
      </c>
      <c r="D317" s="1">
        <f>VLOOKUP(A317,NVDA!A316:C1571,3)</f>
        <v>27.319299999999998</v>
      </c>
      <c r="E317" s="1">
        <f>VLOOKUP(A317,AMD!A316:C1571,3)</f>
        <v>110.53</v>
      </c>
      <c r="F317" s="1">
        <f>VLOOKUP(A317,AMZN!A316:C1571,3)</f>
        <v>168.346</v>
      </c>
      <c r="G317" s="1">
        <f>VLOOKUP(A317,TSLA!A316:C1571,3)</f>
        <v>381.81700000000001</v>
      </c>
      <c r="H317" s="1">
        <f>VLOOKUP(A317,GOOGL!A316:C1571,3)</f>
        <v>142.45599999999999</v>
      </c>
      <c r="I317" s="1">
        <f>VLOOKUP(A317,META!A316:C1571,3)</f>
        <v>233.89</v>
      </c>
      <c r="J317" s="1">
        <f>VLOOKUP(A317,Nasdaq!A316:C1571,3)</f>
        <v>14532.55</v>
      </c>
    </row>
    <row r="318" spans="1:10" x14ac:dyDescent="0.2">
      <c r="A318" s="2">
        <v>44656</v>
      </c>
      <c r="B318" s="1">
        <f>VLOOKUP(A318,AAPL!A317:C1572,3)</f>
        <v>171.68</v>
      </c>
      <c r="C318" s="1">
        <f>VLOOKUP(A318,MSFT!A317:C1572,3)</f>
        <v>303.64699999999999</v>
      </c>
      <c r="D318" s="1">
        <f>VLOOKUP(A318,NVDA!A317:C1572,3)</f>
        <v>25.892399999999999</v>
      </c>
      <c r="E318" s="1">
        <f>VLOOKUP(A318,AMD!A317:C1572,3)</f>
        <v>106.82</v>
      </c>
      <c r="F318" s="1">
        <f>VLOOKUP(A318,AMZN!A317:C1572,3)</f>
        <v>164.05500000000001</v>
      </c>
      <c r="G318" s="1">
        <f>VLOOKUP(A318,TSLA!A317:C1572,3)</f>
        <v>363.75299999999999</v>
      </c>
      <c r="H318" s="1">
        <f>VLOOKUP(A318,GOOGL!A317:C1572,3)</f>
        <v>140.083</v>
      </c>
      <c r="I318" s="1">
        <f>VLOOKUP(A318,META!A317:C1572,3)</f>
        <v>231.84</v>
      </c>
      <c r="J318" s="1">
        <f>VLOOKUP(A318,Nasdaq!A317:C1572,3)</f>
        <v>14204.17</v>
      </c>
    </row>
    <row r="319" spans="1:10" x14ac:dyDescent="0.2">
      <c r="A319" s="2">
        <v>44657</v>
      </c>
      <c r="B319" s="1">
        <f>VLOOKUP(A319,AAPL!A318:C1573,3)</f>
        <v>168.517</v>
      </c>
      <c r="C319" s="1">
        <f>VLOOKUP(A319,MSFT!A318:C1573,3)</f>
        <v>292.53199999999998</v>
      </c>
      <c r="D319" s="1">
        <f>VLOOKUP(A319,NVDA!A318:C1573,3)</f>
        <v>24.370799999999999</v>
      </c>
      <c r="E319" s="1">
        <f>VLOOKUP(A319,AMD!A318:C1573,3)</f>
        <v>103.67</v>
      </c>
      <c r="F319" s="1">
        <f>VLOOKUP(A319,AMZN!A318:C1573,3)</f>
        <v>158.756</v>
      </c>
      <c r="G319" s="1">
        <f>VLOOKUP(A319,TSLA!A318:C1573,3)</f>
        <v>348.58699999999999</v>
      </c>
      <c r="H319" s="1">
        <f>VLOOKUP(A319,GOOGL!A318:C1573,3)</f>
        <v>136.054</v>
      </c>
      <c r="I319" s="1">
        <f>VLOOKUP(A319,META!A318:C1573,3)</f>
        <v>223.3</v>
      </c>
      <c r="J319" s="1">
        <f>VLOOKUP(A319,Nasdaq!A318:C1573,3)</f>
        <v>13888.82</v>
      </c>
    </row>
    <row r="320" spans="1:10" x14ac:dyDescent="0.2">
      <c r="A320" s="2">
        <v>44658</v>
      </c>
      <c r="B320" s="1">
        <f>VLOOKUP(A320,AAPL!A319:C1574,3)</f>
        <v>168.82</v>
      </c>
      <c r="C320" s="1">
        <f>VLOOKUP(A320,MSFT!A319:C1574,3)</f>
        <v>294.35899999999998</v>
      </c>
      <c r="D320" s="1">
        <f>VLOOKUP(A320,NVDA!A319:C1574,3)</f>
        <v>24.171900000000001</v>
      </c>
      <c r="E320" s="1">
        <f>VLOOKUP(A320,AMD!A319:C1574,3)</f>
        <v>103.72</v>
      </c>
      <c r="F320" s="1">
        <f>VLOOKUP(A320,AMZN!A319:C1574,3)</f>
        <v>157.78399999999999</v>
      </c>
      <c r="G320" s="1">
        <f>VLOOKUP(A320,TSLA!A319:C1574,3)</f>
        <v>352.42</v>
      </c>
      <c r="H320" s="1">
        <f>VLOOKUP(A320,GOOGL!A319:C1574,3)</f>
        <v>135.39699999999999</v>
      </c>
      <c r="I320" s="1">
        <f>VLOOKUP(A320,META!A319:C1574,3)</f>
        <v>222.95</v>
      </c>
      <c r="J320" s="1">
        <f>VLOOKUP(A320,Nasdaq!A319:C1574,3)</f>
        <v>13897.3</v>
      </c>
    </row>
    <row r="321" spans="1:10" x14ac:dyDescent="0.2">
      <c r="A321" s="2">
        <v>44659</v>
      </c>
      <c r="B321" s="1">
        <f>VLOOKUP(A321,AAPL!A320:C1575,3)</f>
        <v>166.80600000000001</v>
      </c>
      <c r="C321" s="1">
        <f>VLOOKUP(A321,MSFT!A320:C1575,3)</f>
        <v>290.06099999999998</v>
      </c>
      <c r="D321" s="1">
        <f>VLOOKUP(A321,NVDA!A320:C1575,3)</f>
        <v>23.084499999999998</v>
      </c>
      <c r="E321" s="1">
        <f>VLOOKUP(A321,AMD!A320:C1575,3)</f>
        <v>101</v>
      </c>
      <c r="F321" s="1">
        <f>VLOOKUP(A321,AMZN!A320:C1575,3)</f>
        <v>154.46</v>
      </c>
      <c r="G321" s="1">
        <f>VLOOKUP(A321,TSLA!A320:C1575,3)</f>
        <v>341.83</v>
      </c>
      <c r="H321" s="1">
        <f>VLOOKUP(A321,GOOGL!A320:C1575,3)</f>
        <v>132.80699999999999</v>
      </c>
      <c r="I321" s="1">
        <f>VLOOKUP(A321,META!A320:C1575,3)</f>
        <v>222.33</v>
      </c>
      <c r="J321" s="1">
        <f>VLOOKUP(A321,Nasdaq!A320:C1575,3)</f>
        <v>13711</v>
      </c>
    </row>
    <row r="322" spans="1:10" x14ac:dyDescent="0.2">
      <c r="A322" s="2">
        <v>44662</v>
      </c>
      <c r="B322" s="1">
        <f>VLOOKUP(A322,AAPL!A321:C1576,3)</f>
        <v>162.55199999999999</v>
      </c>
      <c r="C322" s="1">
        <f>VLOOKUP(A322,MSFT!A321:C1576,3)</f>
        <v>278.62299999999999</v>
      </c>
      <c r="D322" s="1">
        <f>VLOOKUP(A322,NVDA!A321:C1576,3)</f>
        <v>21.884399999999999</v>
      </c>
      <c r="E322" s="1">
        <f>VLOOKUP(A322,AMD!A321:C1576,3)</f>
        <v>97.37</v>
      </c>
      <c r="F322" s="1">
        <f>VLOOKUP(A322,AMZN!A321:C1576,3)</f>
        <v>151.12200000000001</v>
      </c>
      <c r="G322" s="1">
        <f>VLOOKUP(A322,TSLA!A321:C1576,3)</f>
        <v>325.31</v>
      </c>
      <c r="H322" s="1">
        <f>VLOOKUP(A322,GOOGL!A321:C1576,3)</f>
        <v>128.358</v>
      </c>
      <c r="I322" s="1">
        <f>VLOOKUP(A322,META!A321:C1576,3)</f>
        <v>216.46</v>
      </c>
      <c r="J322" s="1">
        <f>VLOOKUP(A322,Nasdaq!A321:C1576,3)</f>
        <v>13411.96</v>
      </c>
    </row>
    <row r="323" spans="1:10" x14ac:dyDescent="0.2">
      <c r="A323" s="2">
        <v>44663</v>
      </c>
      <c r="B323" s="1">
        <f>VLOOKUP(A323,AAPL!A322:C1577,3)</f>
        <v>164.42099999999999</v>
      </c>
      <c r="C323" s="1">
        <f>VLOOKUP(A323,MSFT!A322:C1577,3)</f>
        <v>275.49900000000002</v>
      </c>
      <c r="D323" s="1">
        <f>VLOOKUP(A323,NVDA!A322:C1577,3)</f>
        <v>21.472000000000001</v>
      </c>
      <c r="E323" s="1">
        <f>VLOOKUP(A323,AMD!A322:C1577,3)</f>
        <v>95.1</v>
      </c>
      <c r="F323" s="1">
        <f>VLOOKUP(A323,AMZN!A322:C1577,3)</f>
        <v>150.78800000000001</v>
      </c>
      <c r="G323" s="1">
        <f>VLOOKUP(A323,TSLA!A322:C1577,3)</f>
        <v>328.983</v>
      </c>
      <c r="H323" s="1">
        <f>VLOOKUP(A323,GOOGL!A322:C1577,3)</f>
        <v>127.253</v>
      </c>
      <c r="I323" s="1">
        <f>VLOOKUP(A323,META!A322:C1577,3)</f>
        <v>214.14</v>
      </c>
      <c r="J323" s="1">
        <f>VLOOKUP(A323,Nasdaq!A322:C1577,3)</f>
        <v>13371.57</v>
      </c>
    </row>
    <row r="324" spans="1:10" x14ac:dyDescent="0.2">
      <c r="A324" s="2">
        <v>44664</v>
      </c>
      <c r="B324" s="1">
        <f>VLOOKUP(A324,AAPL!A323:C1578,3)</f>
        <v>167.11099999999999</v>
      </c>
      <c r="C324" s="1">
        <f>VLOOKUP(A324,MSFT!A323:C1578,3)</f>
        <v>280.93099999999998</v>
      </c>
      <c r="D324" s="1">
        <f>VLOOKUP(A324,NVDA!A323:C1578,3)</f>
        <v>22.17</v>
      </c>
      <c r="E324" s="1">
        <f>VLOOKUP(A324,AMD!A323:C1578,3)</f>
        <v>97.74</v>
      </c>
      <c r="F324" s="1">
        <f>VLOOKUP(A324,AMZN!A323:C1578,3)</f>
        <v>155.541</v>
      </c>
      <c r="G324" s="1">
        <f>VLOOKUP(A324,TSLA!A323:C1578,3)</f>
        <v>340.79</v>
      </c>
      <c r="H324" s="1">
        <f>VLOOKUP(A324,GOOGL!A323:C1578,3)</f>
        <v>129.42500000000001</v>
      </c>
      <c r="I324" s="1">
        <f>VLOOKUP(A324,META!A323:C1578,3)</f>
        <v>214.99</v>
      </c>
      <c r="J324" s="1">
        <f>VLOOKUP(A324,Nasdaq!A323:C1578,3)</f>
        <v>13643.59</v>
      </c>
    </row>
    <row r="325" spans="1:10" x14ac:dyDescent="0.2">
      <c r="A325" s="2">
        <v>44665</v>
      </c>
      <c r="B325" s="1">
        <f>VLOOKUP(A325,AAPL!A324:C1579,3)</f>
        <v>162.102</v>
      </c>
      <c r="C325" s="1">
        <f>VLOOKUP(A325,MSFT!A324:C1579,3)</f>
        <v>273.32100000000003</v>
      </c>
      <c r="D325" s="1">
        <f>VLOOKUP(A325,NVDA!A324:C1579,3)</f>
        <v>21.226400000000002</v>
      </c>
      <c r="E325" s="1">
        <f>VLOOKUP(A325,AMD!A324:C1579,3)</f>
        <v>93.06</v>
      </c>
      <c r="F325" s="1">
        <f>VLOOKUP(A325,AMZN!A324:C1579,3)</f>
        <v>151.70599999999999</v>
      </c>
      <c r="G325" s="1">
        <f>VLOOKUP(A325,TSLA!A324:C1579,3)</f>
        <v>328.33300000000003</v>
      </c>
      <c r="H325" s="1">
        <f>VLOOKUP(A325,GOOGL!A324:C1579,3)</f>
        <v>126.27200000000001</v>
      </c>
      <c r="I325" s="1">
        <f>VLOOKUP(A325,META!A324:C1579,3)</f>
        <v>210.18</v>
      </c>
      <c r="J325" s="1">
        <f>VLOOKUP(A325,Nasdaq!A324:C1579,3)</f>
        <v>13351.08</v>
      </c>
    </row>
    <row r="326" spans="1:10" x14ac:dyDescent="0.2">
      <c r="A326" s="2">
        <v>44669</v>
      </c>
      <c r="B326" s="1">
        <f>VLOOKUP(A326,AAPL!A325:C1580,3)</f>
        <v>161.88499999999999</v>
      </c>
      <c r="C326" s="1">
        <f>VLOOKUP(A326,MSFT!A325:C1580,3)</f>
        <v>273.99299999999999</v>
      </c>
      <c r="D326" s="1">
        <f>VLOOKUP(A326,NVDA!A325:C1580,3)</f>
        <v>21.750399999999999</v>
      </c>
      <c r="E326" s="1">
        <f>VLOOKUP(A326,AMD!A325:C1580,3)</f>
        <v>93.89</v>
      </c>
      <c r="F326" s="1">
        <f>VLOOKUP(A326,AMZN!A325:C1580,3)</f>
        <v>152.785</v>
      </c>
      <c r="G326" s="1">
        <f>VLOOKUP(A326,TSLA!A325:C1580,3)</f>
        <v>334.76299999999998</v>
      </c>
      <c r="H326" s="1">
        <f>VLOOKUP(A326,GOOGL!A325:C1580,3)</f>
        <v>127.215</v>
      </c>
      <c r="I326" s="1">
        <f>VLOOKUP(A326,META!A325:C1580,3)</f>
        <v>210.77</v>
      </c>
      <c r="J326" s="1">
        <f>VLOOKUP(A326,Nasdaq!A325:C1580,3)</f>
        <v>13332.36</v>
      </c>
    </row>
    <row r="327" spans="1:10" x14ac:dyDescent="0.2">
      <c r="A327" s="2">
        <v>44670</v>
      </c>
      <c r="B327" s="1">
        <f>VLOOKUP(A327,AAPL!A326:C1581,3)</f>
        <v>164.167</v>
      </c>
      <c r="C327" s="1">
        <f>VLOOKUP(A327,MSFT!A326:C1581,3)</f>
        <v>278.66199999999998</v>
      </c>
      <c r="D327" s="1">
        <f>VLOOKUP(A327,NVDA!A326:C1581,3)</f>
        <v>22.164999999999999</v>
      </c>
      <c r="E327" s="1">
        <f>VLOOKUP(A327,AMD!A326:C1581,3)</f>
        <v>96.93</v>
      </c>
      <c r="F327" s="1">
        <f>VLOOKUP(A327,AMZN!A326:C1581,3)</f>
        <v>158.11600000000001</v>
      </c>
      <c r="G327" s="1">
        <f>VLOOKUP(A327,TSLA!A326:C1581,3)</f>
        <v>342.71699999999998</v>
      </c>
      <c r="H327" s="1">
        <f>VLOOKUP(A327,GOOGL!A326:C1581,3)</f>
        <v>129.54</v>
      </c>
      <c r="I327" s="1">
        <f>VLOOKUP(A327,META!A326:C1581,3)</f>
        <v>217.31</v>
      </c>
      <c r="J327" s="1">
        <f>VLOOKUP(A327,Nasdaq!A326:C1581,3)</f>
        <v>13619.66</v>
      </c>
    </row>
    <row r="328" spans="1:10" x14ac:dyDescent="0.2">
      <c r="A328" s="2">
        <v>44671</v>
      </c>
      <c r="B328" s="1">
        <f>VLOOKUP(A328,AAPL!A327:C1582,3)</f>
        <v>163.99700000000001</v>
      </c>
      <c r="C328" s="1">
        <f>VLOOKUP(A328,MSFT!A327:C1582,3)</f>
        <v>279.69900000000001</v>
      </c>
      <c r="D328" s="1">
        <f>VLOOKUP(A328,NVDA!A327:C1582,3)</f>
        <v>21.45</v>
      </c>
      <c r="E328" s="1">
        <f>VLOOKUP(A328,AMD!A327:C1582,3)</f>
        <v>94.02</v>
      </c>
      <c r="F328" s="1">
        <f>VLOOKUP(A328,AMZN!A327:C1582,3)</f>
        <v>153.99799999999999</v>
      </c>
      <c r="G328" s="1">
        <f>VLOOKUP(A328,TSLA!A327:C1582,3)</f>
        <v>325.733</v>
      </c>
      <c r="H328" s="1">
        <f>VLOOKUP(A328,GOOGL!A327:C1582,3)</f>
        <v>127.578</v>
      </c>
      <c r="I328" s="1">
        <f>VLOOKUP(A328,META!A327:C1582,3)</f>
        <v>200.42</v>
      </c>
      <c r="J328" s="1">
        <f>VLOOKUP(A328,Nasdaq!A327:C1582,3)</f>
        <v>13453.07</v>
      </c>
    </row>
    <row r="329" spans="1:10" x14ac:dyDescent="0.2">
      <c r="A329" s="2">
        <v>44672</v>
      </c>
      <c r="B329" s="1">
        <f>VLOOKUP(A329,AAPL!A328:C1583,3)</f>
        <v>163.21299999999999</v>
      </c>
      <c r="C329" s="1">
        <f>VLOOKUP(A329,MSFT!A328:C1583,3)</f>
        <v>274.27600000000001</v>
      </c>
      <c r="D329" s="1">
        <f>VLOOKUP(A329,NVDA!A328:C1583,3)</f>
        <v>20.152799999999999</v>
      </c>
      <c r="E329" s="1">
        <f>VLOOKUP(A329,AMD!A328:C1583,3)</f>
        <v>89.85</v>
      </c>
      <c r="F329" s="1">
        <f>VLOOKUP(A329,AMZN!A328:C1583,3)</f>
        <v>148.29599999999999</v>
      </c>
      <c r="G329" s="1">
        <f>VLOOKUP(A329,TSLA!A328:C1583,3)</f>
        <v>336.26</v>
      </c>
      <c r="H329" s="1">
        <f>VLOOKUP(A329,GOOGL!A328:C1583,3)</f>
        <v>124.363</v>
      </c>
      <c r="I329" s="1">
        <f>VLOOKUP(A329,META!A328:C1583,3)</f>
        <v>188.07</v>
      </c>
      <c r="J329" s="1">
        <f>VLOOKUP(A329,Nasdaq!A328:C1583,3)</f>
        <v>13174.65</v>
      </c>
    </row>
    <row r="330" spans="1:10" x14ac:dyDescent="0.2">
      <c r="A330" s="2">
        <v>44673</v>
      </c>
      <c r="B330" s="1">
        <f>VLOOKUP(A330,AAPL!A329:C1584,3)</f>
        <v>158.66399999999999</v>
      </c>
      <c r="C330" s="1">
        <f>VLOOKUP(A330,MSFT!A329:C1584,3)</f>
        <v>267.654</v>
      </c>
      <c r="D330" s="1">
        <f>VLOOKUP(A330,NVDA!A329:C1584,3)</f>
        <v>19.486000000000001</v>
      </c>
      <c r="E330" s="1">
        <f>VLOOKUP(A330,AMD!A329:C1584,3)</f>
        <v>88.14</v>
      </c>
      <c r="F330" s="1">
        <f>VLOOKUP(A330,AMZN!A329:C1584,3)</f>
        <v>144.35</v>
      </c>
      <c r="G330" s="1">
        <f>VLOOKUP(A330,TSLA!A329:C1584,3)</f>
        <v>335.017</v>
      </c>
      <c r="H330" s="1">
        <f>VLOOKUP(A330,GOOGL!A329:C1584,3)</f>
        <v>119.20399999999999</v>
      </c>
      <c r="I330" s="1">
        <f>VLOOKUP(A330,META!A329:C1584,3)</f>
        <v>184.11</v>
      </c>
      <c r="J330" s="1">
        <f>VLOOKUP(A330,Nasdaq!A329:C1584,3)</f>
        <v>12839.29</v>
      </c>
    </row>
    <row r="331" spans="1:10" x14ac:dyDescent="0.2">
      <c r="A331" s="2">
        <v>44676</v>
      </c>
      <c r="B331" s="1">
        <f>VLOOKUP(A331,AAPL!A330:C1585,3)</f>
        <v>159.73599999999999</v>
      </c>
      <c r="C331" s="1">
        <f>VLOOKUP(A331,MSFT!A330:C1585,3)</f>
        <v>274.19099999999997</v>
      </c>
      <c r="D331" s="1">
        <f>VLOOKUP(A331,NVDA!A330:C1585,3)</f>
        <v>19.872399999999999</v>
      </c>
      <c r="E331" s="1">
        <f>VLOOKUP(A331,AMD!A330:C1585,3)</f>
        <v>90.69</v>
      </c>
      <c r="F331" s="1">
        <f>VLOOKUP(A331,AMZN!A330:C1585,3)</f>
        <v>146.07400000000001</v>
      </c>
      <c r="G331" s="1">
        <f>VLOOKUP(A331,TSLA!A330:C1585,3)</f>
        <v>332.673</v>
      </c>
      <c r="H331" s="1">
        <f>VLOOKUP(A331,GOOGL!A330:C1585,3)</f>
        <v>122.629</v>
      </c>
      <c r="I331" s="1">
        <f>VLOOKUP(A331,META!A330:C1585,3)</f>
        <v>186.99</v>
      </c>
      <c r="J331" s="1">
        <f>VLOOKUP(A331,Nasdaq!A330:C1585,3)</f>
        <v>13004.85</v>
      </c>
    </row>
    <row r="332" spans="1:10" x14ac:dyDescent="0.2">
      <c r="A332" s="2">
        <v>44677</v>
      </c>
      <c r="B332" s="1">
        <f>VLOOKUP(A332,AAPL!A331:C1586,3)</f>
        <v>153.773</v>
      </c>
      <c r="C332" s="1">
        <f>VLOOKUP(A332,MSFT!A331:C1586,3)</f>
        <v>263.93299999999999</v>
      </c>
      <c r="D332" s="1">
        <f>VLOOKUP(A332,NVDA!A331:C1586,3)</f>
        <v>18.760100000000001</v>
      </c>
      <c r="E332" s="1">
        <f>VLOOKUP(A332,AMD!A331:C1586,3)</f>
        <v>85.16</v>
      </c>
      <c r="F332" s="1">
        <f>VLOOKUP(A332,AMZN!A331:C1586,3)</f>
        <v>139.39099999999999</v>
      </c>
      <c r="G332" s="1">
        <f>VLOOKUP(A332,TSLA!A331:C1586,3)</f>
        <v>292.14</v>
      </c>
      <c r="H332" s="1">
        <f>VLOOKUP(A332,GOOGL!A331:C1586,3)</f>
        <v>118.22199999999999</v>
      </c>
      <c r="I332" s="1">
        <f>VLOOKUP(A332,META!A331:C1586,3)</f>
        <v>180.95</v>
      </c>
      <c r="J332" s="1">
        <f>VLOOKUP(A332,Nasdaq!A331:C1586,3)</f>
        <v>12490.74</v>
      </c>
    </row>
    <row r="333" spans="1:10" x14ac:dyDescent="0.2">
      <c r="A333" s="2">
        <v>44678</v>
      </c>
      <c r="B333" s="1">
        <f>VLOOKUP(A333,AAPL!A332:C1587,3)</f>
        <v>153.54599999999999</v>
      </c>
      <c r="C333" s="1">
        <f>VLOOKUP(A333,MSFT!A332:C1587,3)</f>
        <v>276.63099999999997</v>
      </c>
      <c r="D333" s="1">
        <f>VLOOKUP(A333,NVDA!A332:C1587,3)</f>
        <v>18.387499999999999</v>
      </c>
      <c r="E333" s="1">
        <f>VLOOKUP(A333,AMD!A332:C1587,3)</f>
        <v>84.91</v>
      </c>
      <c r="F333" s="1">
        <f>VLOOKUP(A333,AMZN!A332:C1587,3)</f>
        <v>138.167</v>
      </c>
      <c r="G333" s="1">
        <f>VLOOKUP(A333,TSLA!A332:C1587,3)</f>
        <v>293.83699999999999</v>
      </c>
      <c r="H333" s="1">
        <f>VLOOKUP(A333,GOOGL!A332:C1587,3)</f>
        <v>113.881</v>
      </c>
      <c r="I333" s="1">
        <f>VLOOKUP(A333,META!A332:C1587,3)</f>
        <v>174.95</v>
      </c>
      <c r="J333" s="1">
        <f>VLOOKUP(A333,Nasdaq!A332:C1587,3)</f>
        <v>12488.93</v>
      </c>
    </row>
    <row r="334" spans="1:10" x14ac:dyDescent="0.2">
      <c r="A334" s="2">
        <v>44679</v>
      </c>
      <c r="B334" s="1">
        <f>VLOOKUP(A334,AAPL!A333:C1588,3)</f>
        <v>160.483</v>
      </c>
      <c r="C334" s="1">
        <f>VLOOKUP(A334,MSFT!A333:C1588,3)</f>
        <v>282.89299999999997</v>
      </c>
      <c r="D334" s="1">
        <f>VLOOKUP(A334,NVDA!A333:C1588,3)</f>
        <v>19.752500000000001</v>
      </c>
      <c r="E334" s="1">
        <f>VLOOKUP(A334,AMD!A333:C1588,3)</f>
        <v>89.64</v>
      </c>
      <c r="F334" s="1">
        <f>VLOOKUP(A334,AMZN!A333:C1588,3)</f>
        <v>144.596</v>
      </c>
      <c r="G334" s="1">
        <f>VLOOKUP(A334,TSLA!A333:C1588,3)</f>
        <v>292.50299999999999</v>
      </c>
      <c r="H334" s="1">
        <f>VLOOKUP(A334,GOOGL!A333:C1588,3)</f>
        <v>118.09399999999999</v>
      </c>
      <c r="I334" s="1">
        <f>VLOOKUP(A334,META!A333:C1588,3)</f>
        <v>205.73</v>
      </c>
      <c r="J334" s="1">
        <f>VLOOKUP(A334,Nasdaq!A333:C1588,3)</f>
        <v>12871.53</v>
      </c>
    </row>
    <row r="335" spans="1:10" x14ac:dyDescent="0.2">
      <c r="A335" s="2">
        <v>44680</v>
      </c>
      <c r="B335" s="1">
        <f>VLOOKUP(A335,AAPL!A334:C1589,3)</f>
        <v>154.60900000000001</v>
      </c>
      <c r="C335" s="1">
        <f>VLOOKUP(A335,MSFT!A334:C1589,3)</f>
        <v>271.065</v>
      </c>
      <c r="D335" s="1">
        <f>VLOOKUP(A335,NVDA!A334:C1589,3)</f>
        <v>18.519500000000001</v>
      </c>
      <c r="E335" s="1">
        <f>VLOOKUP(A335,AMD!A334:C1589,3)</f>
        <v>85.52</v>
      </c>
      <c r="F335" s="1">
        <f>VLOOKUP(A335,AMZN!A334:C1589,3)</f>
        <v>124.282</v>
      </c>
      <c r="G335" s="1">
        <f>VLOOKUP(A335,TSLA!A334:C1589,3)</f>
        <v>290.25299999999999</v>
      </c>
      <c r="H335" s="1">
        <f>VLOOKUP(A335,GOOGL!A334:C1589,3)</f>
        <v>113.69799999999999</v>
      </c>
      <c r="I335" s="1">
        <f>VLOOKUP(A335,META!A334:C1589,3)</f>
        <v>200.47</v>
      </c>
      <c r="J335" s="1">
        <f>VLOOKUP(A335,Nasdaq!A334:C1589,3)</f>
        <v>12334.64</v>
      </c>
    </row>
    <row r="336" spans="1:10" x14ac:dyDescent="0.2">
      <c r="A336" s="2">
        <v>44683</v>
      </c>
      <c r="B336" s="1">
        <f>VLOOKUP(A336,AAPL!A335:C1590,3)</f>
        <v>154.91300000000001</v>
      </c>
      <c r="C336" s="1">
        <f>VLOOKUP(A336,MSFT!A335:C1590,3)</f>
        <v>277.85199999999998</v>
      </c>
      <c r="D336" s="1">
        <f>VLOOKUP(A336,NVDA!A335:C1590,3)</f>
        <v>19.504000000000001</v>
      </c>
      <c r="E336" s="1">
        <f>VLOOKUP(A336,AMD!A335:C1590,3)</f>
        <v>89.84</v>
      </c>
      <c r="F336" s="1">
        <f>VLOOKUP(A336,AMZN!A335:C1590,3)</f>
        <v>124.5</v>
      </c>
      <c r="G336" s="1">
        <f>VLOOKUP(A336,TSLA!A335:C1590,3)</f>
        <v>300.98</v>
      </c>
      <c r="H336" s="1">
        <f>VLOOKUP(A336,GOOGL!A335:C1590,3)</f>
        <v>116.16200000000001</v>
      </c>
      <c r="I336" s="1">
        <f>VLOOKUP(A336,META!A335:C1590,3)</f>
        <v>211.13</v>
      </c>
      <c r="J336" s="1">
        <f>VLOOKUP(A336,Nasdaq!A335:C1590,3)</f>
        <v>12536.02</v>
      </c>
    </row>
    <row r="337" spans="1:10" x14ac:dyDescent="0.2">
      <c r="A337" s="2">
        <v>44684</v>
      </c>
      <c r="B337" s="1">
        <f>VLOOKUP(A337,AAPL!A336:C1591,3)</f>
        <v>156.405</v>
      </c>
      <c r="C337" s="1">
        <f>VLOOKUP(A337,MSFT!A336:C1591,3)</f>
        <v>275.22500000000002</v>
      </c>
      <c r="D337" s="1">
        <f>VLOOKUP(A337,NVDA!A336:C1591,3)</f>
        <v>19.573</v>
      </c>
      <c r="E337" s="1">
        <f>VLOOKUP(A337,AMD!A336:C1591,3)</f>
        <v>91.13</v>
      </c>
      <c r="F337" s="1">
        <f>VLOOKUP(A337,AMZN!A336:C1591,3)</f>
        <v>124.254</v>
      </c>
      <c r="G337" s="1">
        <f>VLOOKUP(A337,TSLA!A336:C1591,3)</f>
        <v>303.08300000000003</v>
      </c>
      <c r="H337" s="1">
        <f>VLOOKUP(A337,GOOGL!A336:C1591,3)</f>
        <v>116.91</v>
      </c>
      <c r="I337" s="1">
        <f>VLOOKUP(A337,META!A336:C1591,3)</f>
        <v>212.03</v>
      </c>
      <c r="J337" s="1">
        <f>VLOOKUP(A337,Nasdaq!A336:C1591,3)</f>
        <v>12563.76</v>
      </c>
    </row>
    <row r="338" spans="1:10" x14ac:dyDescent="0.2">
      <c r="A338" s="2">
        <v>44685</v>
      </c>
      <c r="B338" s="1">
        <f>VLOOKUP(A338,AAPL!A337:C1592,3)</f>
        <v>162.81899999999999</v>
      </c>
      <c r="C338" s="1">
        <f>VLOOKUP(A338,MSFT!A337:C1592,3)</f>
        <v>283.23399999999998</v>
      </c>
      <c r="D338" s="1">
        <f>VLOOKUP(A338,NVDA!A337:C1592,3)</f>
        <v>20.303599999999999</v>
      </c>
      <c r="E338" s="1">
        <f>VLOOKUP(A338,AMD!A337:C1592,3)</f>
        <v>99.42</v>
      </c>
      <c r="F338" s="1">
        <f>VLOOKUP(A338,AMZN!A337:C1592,3)</f>
        <v>125.929</v>
      </c>
      <c r="G338" s="1">
        <f>VLOOKUP(A338,TSLA!A337:C1592,3)</f>
        <v>317.54000000000002</v>
      </c>
      <c r="H338" s="1">
        <f>VLOOKUP(A338,GOOGL!A337:C1592,3)</f>
        <v>121.819</v>
      </c>
      <c r="I338" s="1">
        <f>VLOOKUP(A338,META!A337:C1592,3)</f>
        <v>223.41</v>
      </c>
      <c r="J338" s="1">
        <f>VLOOKUP(A338,Nasdaq!A337:C1592,3)</f>
        <v>12964.86</v>
      </c>
    </row>
    <row r="339" spans="1:10" x14ac:dyDescent="0.2">
      <c r="A339" s="2">
        <v>44686</v>
      </c>
      <c r="B339" s="1">
        <f>VLOOKUP(A339,AAPL!A338:C1593,3)</f>
        <v>153.744</v>
      </c>
      <c r="C339" s="1">
        <f>VLOOKUP(A339,MSFT!A338:C1593,3)</f>
        <v>270.899</v>
      </c>
      <c r="D339" s="1">
        <f>VLOOKUP(A339,NVDA!A338:C1593,3)</f>
        <v>18.815899999999999</v>
      </c>
      <c r="E339" s="1">
        <f>VLOOKUP(A339,AMD!A338:C1593,3)</f>
        <v>93.87</v>
      </c>
      <c r="F339" s="1">
        <f>VLOOKUP(A339,AMZN!A338:C1593,3)</f>
        <v>116.407</v>
      </c>
      <c r="G339" s="1">
        <f>VLOOKUP(A339,TSLA!A338:C1593,3)</f>
        <v>291.09300000000002</v>
      </c>
      <c r="H339" s="1">
        <f>VLOOKUP(A339,GOOGL!A338:C1593,3)</f>
        <v>116.08499999999999</v>
      </c>
      <c r="I339" s="1">
        <f>VLOOKUP(A339,META!A338:C1593,3)</f>
        <v>208.28</v>
      </c>
      <c r="J339" s="1">
        <f>VLOOKUP(A339,Nasdaq!A338:C1593,3)</f>
        <v>12317.69</v>
      </c>
    </row>
    <row r="340" spans="1:10" x14ac:dyDescent="0.2">
      <c r="A340" s="2">
        <v>44687</v>
      </c>
      <c r="B340" s="1">
        <f>VLOOKUP(A340,AAPL!A339:C1594,3)</f>
        <v>154.47200000000001</v>
      </c>
      <c r="C340" s="1">
        <f>VLOOKUP(A340,MSFT!A339:C1594,3)</f>
        <v>268.33800000000002</v>
      </c>
      <c r="D340" s="1">
        <f>VLOOKUP(A340,NVDA!A339:C1594,3)</f>
        <v>18.647300000000001</v>
      </c>
      <c r="E340" s="1">
        <f>VLOOKUP(A340,AMD!A339:C1594,3)</f>
        <v>95.34</v>
      </c>
      <c r="F340" s="1">
        <f>VLOOKUP(A340,AMZN!A339:C1594,3)</f>
        <v>114.77200000000001</v>
      </c>
      <c r="G340" s="1">
        <f>VLOOKUP(A340,TSLA!A339:C1594,3)</f>
        <v>288.55</v>
      </c>
      <c r="H340" s="1">
        <f>VLOOKUP(A340,GOOGL!A339:C1594,3)</f>
        <v>115.328</v>
      </c>
      <c r="I340" s="1">
        <f>VLOOKUP(A340,META!A339:C1594,3)</f>
        <v>203.77</v>
      </c>
      <c r="J340" s="1">
        <f>VLOOKUP(A340,Nasdaq!A339:C1594,3)</f>
        <v>12144.66</v>
      </c>
    </row>
    <row r="341" spans="1:10" x14ac:dyDescent="0.2">
      <c r="A341" s="2">
        <v>44690</v>
      </c>
      <c r="B341" s="1">
        <f>VLOOKUP(A341,AAPL!A340:C1595,3)</f>
        <v>149.34399999999999</v>
      </c>
      <c r="C341" s="1">
        <f>VLOOKUP(A341,MSFT!A340:C1595,3)</f>
        <v>258.42500000000001</v>
      </c>
      <c r="D341" s="1">
        <f>VLOOKUP(A341,NVDA!A340:C1595,3)</f>
        <v>16.924700000000001</v>
      </c>
      <c r="E341" s="1">
        <f>VLOOKUP(A341,AMD!A340:C1595,3)</f>
        <v>86.36</v>
      </c>
      <c r="F341" s="1">
        <f>VLOOKUP(A341,AMZN!A340:C1595,3)</f>
        <v>108.789</v>
      </c>
      <c r="G341" s="1">
        <f>VLOOKUP(A341,TSLA!A340:C1595,3)</f>
        <v>262.37</v>
      </c>
      <c r="H341" s="1">
        <f>VLOOKUP(A341,GOOGL!A340:C1595,3)</f>
        <v>112.105</v>
      </c>
      <c r="I341" s="1">
        <f>VLOOKUP(A341,META!A340:C1595,3)</f>
        <v>196.21</v>
      </c>
      <c r="J341" s="1">
        <f>VLOOKUP(A341,Nasdaq!A340:C1595,3)</f>
        <v>11623.25</v>
      </c>
    </row>
    <row r="342" spans="1:10" x14ac:dyDescent="0.2">
      <c r="A342" s="2">
        <v>44691</v>
      </c>
      <c r="B342" s="1">
        <f>VLOOKUP(A342,AAPL!A341:C1596,3)</f>
        <v>151.75200000000001</v>
      </c>
      <c r="C342" s="1">
        <f>VLOOKUP(A342,MSFT!A341:C1596,3)</f>
        <v>263.23</v>
      </c>
      <c r="D342" s="1">
        <f>VLOOKUP(A342,NVDA!A341:C1596,3)</f>
        <v>17.568999999999999</v>
      </c>
      <c r="E342" s="1">
        <f>VLOOKUP(A342,AMD!A341:C1596,3)</f>
        <v>88.73</v>
      </c>
      <c r="F342" s="1">
        <f>VLOOKUP(A342,AMZN!A341:C1596,3)</f>
        <v>108.85899999999999</v>
      </c>
      <c r="G342" s="1">
        <f>VLOOKUP(A342,TSLA!A341:C1596,3)</f>
        <v>266.68</v>
      </c>
      <c r="H342" s="1">
        <f>VLOOKUP(A342,GOOGL!A341:C1596,3)</f>
        <v>113.982</v>
      </c>
      <c r="I342" s="1">
        <f>VLOOKUP(A342,META!A341:C1596,3)</f>
        <v>197.65</v>
      </c>
      <c r="J342" s="1">
        <f>VLOOKUP(A342,Nasdaq!A341:C1596,3)</f>
        <v>11737.67</v>
      </c>
    </row>
    <row r="343" spans="1:10" x14ac:dyDescent="0.2">
      <c r="A343" s="2">
        <v>44692</v>
      </c>
      <c r="B343" s="1">
        <f>VLOOKUP(A343,AAPL!A342:C1597,3)</f>
        <v>143.887</v>
      </c>
      <c r="C343" s="1">
        <f>VLOOKUP(A343,MSFT!A342:C1597,3)</f>
        <v>254.489</v>
      </c>
      <c r="D343" s="1">
        <f>VLOOKUP(A343,NVDA!A342:C1597,3)</f>
        <v>16.6052</v>
      </c>
      <c r="E343" s="1">
        <f>VLOOKUP(A343,AMD!A342:C1597,3)</f>
        <v>87.92</v>
      </c>
      <c r="F343" s="1">
        <f>VLOOKUP(A343,AMZN!A342:C1597,3)</f>
        <v>105.372</v>
      </c>
      <c r="G343" s="1">
        <f>VLOOKUP(A343,TSLA!A342:C1597,3)</f>
        <v>244.667</v>
      </c>
      <c r="H343" s="1">
        <f>VLOOKUP(A343,GOOGL!A342:C1597,3)</f>
        <v>113.19199999999999</v>
      </c>
      <c r="I343" s="1">
        <f>VLOOKUP(A343,META!A342:C1597,3)</f>
        <v>188.74</v>
      </c>
      <c r="J343" s="1">
        <f>VLOOKUP(A343,Nasdaq!A342:C1597,3)</f>
        <v>11364.24</v>
      </c>
    </row>
    <row r="344" spans="1:10" x14ac:dyDescent="0.2">
      <c r="A344" s="2">
        <v>44693</v>
      </c>
      <c r="B344" s="1">
        <f>VLOOKUP(A344,AAPL!A343:C1598,3)</f>
        <v>140.01400000000001</v>
      </c>
      <c r="C344" s="1">
        <f>VLOOKUP(A344,MSFT!A343:C1598,3)</f>
        <v>249.41</v>
      </c>
      <c r="D344" s="1">
        <f>VLOOKUP(A344,NVDA!A343:C1598,3)</f>
        <v>16.151</v>
      </c>
      <c r="E344" s="1">
        <f>VLOOKUP(A344,AMD!A343:C1598,3)</f>
        <v>87.06</v>
      </c>
      <c r="F344" s="1">
        <f>VLOOKUP(A344,AMZN!A343:C1598,3)</f>
        <v>106.931</v>
      </c>
      <c r="G344" s="1">
        <f>VLOOKUP(A344,TSLA!A343:C1598,3)</f>
        <v>242.667</v>
      </c>
      <c r="H344" s="1">
        <f>VLOOKUP(A344,GOOGL!A343:C1598,3)</f>
        <v>112.437</v>
      </c>
      <c r="I344" s="1">
        <f>VLOOKUP(A344,META!A343:C1598,3)</f>
        <v>191.24</v>
      </c>
      <c r="J344" s="1">
        <f>VLOOKUP(A344,Nasdaq!A343:C1598,3)</f>
        <v>11370.96</v>
      </c>
    </row>
    <row r="345" spans="1:10" x14ac:dyDescent="0.2">
      <c r="A345" s="2">
        <v>44694</v>
      </c>
      <c r="B345" s="1">
        <f>VLOOKUP(A345,AAPL!A344:C1599,3)</f>
        <v>144.48400000000001</v>
      </c>
      <c r="C345" s="1">
        <f>VLOOKUP(A345,MSFT!A344:C1599,3)</f>
        <v>255.04300000000001</v>
      </c>
      <c r="D345" s="1">
        <f>VLOOKUP(A345,NVDA!A344:C1599,3)</f>
        <v>17.679600000000001</v>
      </c>
      <c r="E345" s="1">
        <f>VLOOKUP(A345,AMD!A344:C1599,3)</f>
        <v>95.12</v>
      </c>
      <c r="F345" s="1">
        <f>VLOOKUP(A345,AMZN!A344:C1599,3)</f>
        <v>113.05500000000001</v>
      </c>
      <c r="G345" s="1">
        <f>VLOOKUP(A345,TSLA!A344:C1599,3)</f>
        <v>256.52999999999997</v>
      </c>
      <c r="H345" s="1">
        <f>VLOOKUP(A345,GOOGL!A344:C1599,3)</f>
        <v>115.631</v>
      </c>
      <c r="I345" s="1">
        <f>VLOOKUP(A345,META!A344:C1599,3)</f>
        <v>198.62</v>
      </c>
      <c r="J345" s="1">
        <f>VLOOKUP(A345,Nasdaq!A344:C1599,3)</f>
        <v>11805</v>
      </c>
    </row>
    <row r="346" spans="1:10" x14ac:dyDescent="0.2">
      <c r="A346" s="2">
        <v>44697</v>
      </c>
      <c r="B346" s="1">
        <f>VLOOKUP(A346,AAPL!A345:C1600,3)</f>
        <v>142.941</v>
      </c>
      <c r="C346" s="1">
        <f>VLOOKUP(A346,MSFT!A345:C1600,3)</f>
        <v>255.416</v>
      </c>
      <c r="D346" s="1">
        <f>VLOOKUP(A346,NVDA!A345:C1600,3)</f>
        <v>17.238399999999999</v>
      </c>
      <c r="E346" s="1">
        <f>VLOOKUP(A346,AMD!A345:C1600,3)</f>
        <v>94.24</v>
      </c>
      <c r="F346" s="1">
        <f>VLOOKUP(A346,AMZN!A345:C1600,3)</f>
        <v>110.81</v>
      </c>
      <c r="G346" s="1">
        <f>VLOOKUP(A346,TSLA!A345:C1600,3)</f>
        <v>241.45699999999999</v>
      </c>
      <c r="H346" s="1">
        <f>VLOOKUP(A346,GOOGL!A345:C1600,3)</f>
        <v>114.032</v>
      </c>
      <c r="I346" s="1">
        <f>VLOOKUP(A346,META!A345:C1600,3)</f>
        <v>200.04</v>
      </c>
      <c r="J346" s="1">
        <f>VLOOKUP(A346,Nasdaq!A345:C1600,3)</f>
        <v>11662.79</v>
      </c>
    </row>
    <row r="347" spans="1:10" x14ac:dyDescent="0.2">
      <c r="A347" s="2">
        <v>44698</v>
      </c>
      <c r="B347" s="1">
        <f>VLOOKUP(A347,AAPL!A346:C1601,3)</f>
        <v>146.57300000000001</v>
      </c>
      <c r="C347" s="1">
        <f>VLOOKUP(A347,MSFT!A346:C1601,3)</f>
        <v>260.61099999999999</v>
      </c>
      <c r="D347" s="1">
        <f>VLOOKUP(A347,NVDA!A346:C1601,3)</f>
        <v>18.149799999999999</v>
      </c>
      <c r="E347" s="1">
        <f>VLOOKUP(A347,AMD!A346:C1601,3)</f>
        <v>102.47</v>
      </c>
      <c r="F347" s="1">
        <f>VLOOKUP(A347,AMZN!A346:C1601,3)</f>
        <v>115.36799999999999</v>
      </c>
      <c r="G347" s="1">
        <f>VLOOKUP(A347,TSLA!A346:C1601,3)</f>
        <v>253.87</v>
      </c>
      <c r="H347" s="1">
        <f>VLOOKUP(A347,GOOGL!A346:C1601,3)</f>
        <v>116.05200000000001</v>
      </c>
      <c r="I347" s="1">
        <f>VLOOKUP(A347,META!A346:C1601,3)</f>
        <v>202.62</v>
      </c>
      <c r="J347" s="1">
        <f>VLOOKUP(A347,Nasdaq!A346:C1601,3)</f>
        <v>11984.52</v>
      </c>
    </row>
    <row r="348" spans="1:10" x14ac:dyDescent="0.2">
      <c r="A348" s="2">
        <v>44699</v>
      </c>
      <c r="B348" s="1">
        <f>VLOOKUP(A348,AAPL!A347:C1602,3)</f>
        <v>138.304</v>
      </c>
      <c r="C348" s="1">
        <f>VLOOKUP(A348,MSFT!A347:C1602,3)</f>
        <v>248.74600000000001</v>
      </c>
      <c r="D348" s="1">
        <f>VLOOKUP(A348,NVDA!A347:C1602,3)</f>
        <v>16.912700000000001</v>
      </c>
      <c r="E348" s="1">
        <f>VLOOKUP(A348,AMD!A347:C1602,3)</f>
        <v>96.28</v>
      </c>
      <c r="F348" s="1">
        <f>VLOOKUP(A348,AMZN!A347:C1602,3)</f>
        <v>107.11199999999999</v>
      </c>
      <c r="G348" s="1">
        <f>VLOOKUP(A348,TSLA!A347:C1602,3)</f>
        <v>236.60300000000001</v>
      </c>
      <c r="H348" s="1">
        <f>VLOOKUP(A348,GOOGL!A347:C1602,3)</f>
        <v>111.495</v>
      </c>
      <c r="I348" s="1">
        <f>VLOOKUP(A348,META!A347:C1602,3)</f>
        <v>192.24</v>
      </c>
      <c r="J348" s="1">
        <f>VLOOKUP(A348,Nasdaq!A347:C1602,3)</f>
        <v>11418.15</v>
      </c>
    </row>
    <row r="349" spans="1:10" x14ac:dyDescent="0.2">
      <c r="A349" s="2">
        <v>44700</v>
      </c>
      <c r="B349" s="1">
        <f>VLOOKUP(A349,AAPL!A348:C1603,3)</f>
        <v>134.89699999999999</v>
      </c>
      <c r="C349" s="1">
        <f>VLOOKUP(A349,MSFT!A348:C1603,3)</f>
        <v>247.82599999999999</v>
      </c>
      <c r="D349" s="1">
        <f>VLOOKUP(A349,NVDA!A348:C1603,3)</f>
        <v>17.098400000000002</v>
      </c>
      <c r="E349" s="1">
        <f>VLOOKUP(A349,AMD!A348:C1603,3)</f>
        <v>96.67</v>
      </c>
      <c r="F349" s="1">
        <f>VLOOKUP(A349,AMZN!A348:C1603,3)</f>
        <v>107.319</v>
      </c>
      <c r="G349" s="1">
        <f>VLOOKUP(A349,TSLA!A348:C1603,3)</f>
        <v>236.47300000000001</v>
      </c>
      <c r="H349" s="1">
        <f>VLOOKUP(A349,GOOGL!A348:C1603,3)</f>
        <v>109.985</v>
      </c>
      <c r="I349" s="1">
        <f>VLOOKUP(A349,META!A348:C1603,3)</f>
        <v>191.29</v>
      </c>
      <c r="J349" s="1">
        <f>VLOOKUP(A349,Nasdaq!A348:C1603,3)</f>
        <v>11388.5</v>
      </c>
    </row>
    <row r="350" spans="1:10" x14ac:dyDescent="0.2">
      <c r="A350" s="2">
        <v>44701</v>
      </c>
      <c r="B350" s="1">
        <f>VLOOKUP(A350,AAPL!A349:C1604,3)</f>
        <v>135.13200000000001</v>
      </c>
      <c r="C350" s="1">
        <f>VLOOKUP(A350,MSFT!A349:C1604,3)</f>
        <v>247.25800000000001</v>
      </c>
      <c r="D350" s="1">
        <f>VLOOKUP(A350,NVDA!A349:C1604,3)</f>
        <v>16.6691</v>
      </c>
      <c r="E350" s="1">
        <f>VLOOKUP(A350,AMD!A349:C1604,3)</f>
        <v>93.5</v>
      </c>
      <c r="F350" s="1">
        <f>VLOOKUP(A350,AMZN!A349:C1604,3)</f>
        <v>107.59099999999999</v>
      </c>
      <c r="G350" s="1">
        <f>VLOOKUP(A350,TSLA!A349:C1604,3)</f>
        <v>221.3</v>
      </c>
      <c r="H350" s="1">
        <f>VLOOKUP(A350,GOOGL!A349:C1604,3)</f>
        <v>108.515</v>
      </c>
      <c r="I350" s="1">
        <f>VLOOKUP(A350,META!A349:C1604,3)</f>
        <v>193.54</v>
      </c>
      <c r="J350" s="1">
        <f>VLOOKUP(A350,Nasdaq!A349:C1604,3)</f>
        <v>11354.62</v>
      </c>
    </row>
    <row r="351" spans="1:10" x14ac:dyDescent="0.2">
      <c r="A351" s="2">
        <v>44704</v>
      </c>
      <c r="B351" s="1">
        <f>VLOOKUP(A351,AAPL!A350:C1605,3)</f>
        <v>140.55199999999999</v>
      </c>
      <c r="C351" s="1">
        <f>VLOOKUP(A351,MSFT!A350:C1605,3)</f>
        <v>255.179</v>
      </c>
      <c r="D351" s="1">
        <f>VLOOKUP(A351,NVDA!A350:C1605,3)</f>
        <v>16.872800000000002</v>
      </c>
      <c r="E351" s="1">
        <f>VLOOKUP(A351,AMD!A350:C1605,3)</f>
        <v>95.07</v>
      </c>
      <c r="F351" s="1">
        <f>VLOOKUP(A351,AMZN!A350:C1605,3)</f>
        <v>107.557</v>
      </c>
      <c r="G351" s="1">
        <f>VLOOKUP(A351,TSLA!A350:C1605,3)</f>
        <v>224.96700000000001</v>
      </c>
      <c r="H351" s="1">
        <f>VLOOKUP(A351,GOOGL!A350:C1605,3)</f>
        <v>111.08499999999999</v>
      </c>
      <c r="I351" s="1">
        <f>VLOOKUP(A351,META!A350:C1605,3)</f>
        <v>196.23</v>
      </c>
      <c r="J351" s="1">
        <f>VLOOKUP(A351,Nasdaq!A350:C1605,3)</f>
        <v>11535.27</v>
      </c>
    </row>
    <row r="352" spans="1:10" x14ac:dyDescent="0.2">
      <c r="A352" s="2">
        <v>44705</v>
      </c>
      <c r="B352" s="1">
        <f>VLOOKUP(A352,AAPL!A351:C1606,3)</f>
        <v>137.85499999999999</v>
      </c>
      <c r="C352" s="1">
        <f>VLOOKUP(A352,MSFT!A351:C1606,3)</f>
        <v>254.17099999999999</v>
      </c>
      <c r="D352" s="1">
        <f>VLOOKUP(A352,NVDA!A351:C1606,3)</f>
        <v>16.13</v>
      </c>
      <c r="E352" s="1">
        <f>VLOOKUP(A352,AMD!A351:C1606,3)</f>
        <v>91.16</v>
      </c>
      <c r="F352" s="1">
        <f>VLOOKUP(A352,AMZN!A351:C1606,3)</f>
        <v>104.1</v>
      </c>
      <c r="G352" s="1">
        <f>VLOOKUP(A352,TSLA!A351:C1606,3)</f>
        <v>209.387</v>
      </c>
      <c r="H352" s="1">
        <f>VLOOKUP(A352,GOOGL!A351:C1606,3)</f>
        <v>105.58799999999999</v>
      </c>
      <c r="I352" s="1">
        <f>VLOOKUP(A352,META!A351:C1606,3)</f>
        <v>181.28</v>
      </c>
      <c r="J352" s="1">
        <f>VLOOKUP(A352,Nasdaq!A351:C1606,3)</f>
        <v>11264.45</v>
      </c>
    </row>
    <row r="353" spans="1:10" x14ac:dyDescent="0.2">
      <c r="A353" s="2">
        <v>44706</v>
      </c>
      <c r="B353" s="1">
        <f>VLOOKUP(A353,AAPL!A352:C1607,3)</f>
        <v>138.01</v>
      </c>
      <c r="C353" s="1">
        <f>VLOOKUP(A353,MSFT!A352:C1607,3)</f>
        <v>257.01100000000002</v>
      </c>
      <c r="D353" s="1">
        <f>VLOOKUP(A353,NVDA!A352:C1607,3)</f>
        <v>16.9496</v>
      </c>
      <c r="E353" s="1">
        <f>VLOOKUP(A353,AMD!A352:C1607,3)</f>
        <v>92.65</v>
      </c>
      <c r="F353" s="1">
        <f>VLOOKUP(A353,AMZN!A352:C1607,3)</f>
        <v>106.77500000000001</v>
      </c>
      <c r="G353" s="1">
        <f>VLOOKUP(A353,TSLA!A352:C1607,3)</f>
        <v>219.6</v>
      </c>
      <c r="H353" s="1">
        <f>VLOOKUP(A353,GOOGL!A352:C1607,3)</f>
        <v>105.423</v>
      </c>
      <c r="I353" s="1">
        <f>VLOOKUP(A353,META!A352:C1607,3)</f>
        <v>183.83</v>
      </c>
      <c r="J353" s="1">
        <f>VLOOKUP(A353,Nasdaq!A352:C1607,3)</f>
        <v>11434.74</v>
      </c>
    </row>
    <row r="354" spans="1:10" x14ac:dyDescent="0.2">
      <c r="A354" s="2">
        <v>44707</v>
      </c>
      <c r="B354" s="1">
        <f>VLOOKUP(A354,AAPL!A353:C1608,3)</f>
        <v>141.21100000000001</v>
      </c>
      <c r="C354" s="1">
        <f>VLOOKUP(A354,MSFT!A353:C1608,3)</f>
        <v>260.32</v>
      </c>
      <c r="D354" s="1">
        <f>VLOOKUP(A354,NVDA!A353:C1608,3)</f>
        <v>17.824400000000001</v>
      </c>
      <c r="E354" s="1">
        <f>VLOOKUP(A354,AMD!A353:C1608,3)</f>
        <v>98.75</v>
      </c>
      <c r="F354" s="1">
        <f>VLOOKUP(A354,AMZN!A353:C1608,3)</f>
        <v>111.078</v>
      </c>
      <c r="G354" s="1">
        <f>VLOOKUP(A354,TSLA!A353:C1608,3)</f>
        <v>235.91</v>
      </c>
      <c r="H354" s="1">
        <f>VLOOKUP(A354,GOOGL!A353:C1608,3)</f>
        <v>107.402</v>
      </c>
      <c r="I354" s="1">
        <f>VLOOKUP(A354,META!A353:C1608,3)</f>
        <v>191.63</v>
      </c>
      <c r="J354" s="1">
        <f>VLOOKUP(A354,Nasdaq!A353:C1608,3)</f>
        <v>11740.65</v>
      </c>
    </row>
    <row r="355" spans="1:10" x14ac:dyDescent="0.2">
      <c r="A355" s="2">
        <v>44708</v>
      </c>
      <c r="B355" s="1">
        <f>VLOOKUP(A355,AAPL!A354:C1609,3)</f>
        <v>146.96899999999999</v>
      </c>
      <c r="C355" s="1">
        <f>VLOOKUP(A355,MSFT!A354:C1609,3)</f>
        <v>267.50599999999997</v>
      </c>
      <c r="D355" s="1">
        <f>VLOOKUP(A355,NVDA!A354:C1609,3)</f>
        <v>18.783000000000001</v>
      </c>
      <c r="E355" s="1">
        <f>VLOOKUP(A355,AMD!A354:C1609,3)</f>
        <v>102.26</v>
      </c>
      <c r="F355" s="1">
        <f>VLOOKUP(A355,AMZN!A354:C1609,3)</f>
        <v>115.146</v>
      </c>
      <c r="G355" s="1">
        <f>VLOOKUP(A355,TSLA!A354:C1609,3)</f>
        <v>253.21</v>
      </c>
      <c r="H355" s="1">
        <f>VLOOKUP(A355,GOOGL!A354:C1609,3)</f>
        <v>111.91</v>
      </c>
      <c r="I355" s="1">
        <f>VLOOKUP(A355,META!A354:C1609,3)</f>
        <v>195.13</v>
      </c>
      <c r="J355" s="1">
        <f>VLOOKUP(A355,Nasdaq!A354:C1609,3)</f>
        <v>12131.13</v>
      </c>
    </row>
    <row r="356" spans="1:10" x14ac:dyDescent="0.2">
      <c r="A356" s="2">
        <v>44712</v>
      </c>
      <c r="B356" s="1">
        <f>VLOOKUP(A356,AAPL!A355:C1610,3)</f>
        <v>146.18199999999999</v>
      </c>
      <c r="C356" s="1">
        <f>VLOOKUP(A356,MSFT!A355:C1610,3)</f>
        <v>266.16300000000001</v>
      </c>
      <c r="D356" s="1">
        <f>VLOOKUP(A356,NVDA!A355:C1610,3)</f>
        <v>18.644300000000001</v>
      </c>
      <c r="E356" s="1">
        <f>VLOOKUP(A356,AMD!A355:C1610,3)</f>
        <v>101.86</v>
      </c>
      <c r="F356" s="1">
        <f>VLOOKUP(A356,AMZN!A355:C1610,3)</f>
        <v>120.21</v>
      </c>
      <c r="G356" s="1">
        <f>VLOOKUP(A356,TSLA!A355:C1610,3)</f>
        <v>252.75299999999999</v>
      </c>
      <c r="H356" s="1">
        <f>VLOOKUP(A356,GOOGL!A355:C1610,3)</f>
        <v>113.351</v>
      </c>
      <c r="I356" s="1">
        <f>VLOOKUP(A356,META!A355:C1610,3)</f>
        <v>193.64</v>
      </c>
      <c r="J356" s="1">
        <f>VLOOKUP(A356,Nasdaq!A355:C1610,3)</f>
        <v>12081.39</v>
      </c>
    </row>
    <row r="357" spans="1:10" x14ac:dyDescent="0.2">
      <c r="A357" s="2">
        <v>44713</v>
      </c>
      <c r="B357" s="1">
        <f>VLOOKUP(A357,AAPL!A356:C1611,3)</f>
        <v>146.05600000000001</v>
      </c>
      <c r="C357" s="1">
        <f>VLOOKUP(A357,MSFT!A356:C1611,3)</f>
        <v>266.702</v>
      </c>
      <c r="D357" s="1">
        <f>VLOOKUP(A357,NVDA!A356:C1611,3)</f>
        <v>18.2926</v>
      </c>
      <c r="E357" s="1">
        <f>VLOOKUP(A357,AMD!A356:C1611,3)</f>
        <v>101.22</v>
      </c>
      <c r="F357" s="1">
        <f>VLOOKUP(A357,AMZN!A356:C1611,3)</f>
        <v>121.684</v>
      </c>
      <c r="G357" s="1">
        <f>VLOOKUP(A357,TSLA!A356:C1611,3)</f>
        <v>246.79</v>
      </c>
      <c r="H357" s="1">
        <f>VLOOKUP(A357,GOOGL!A356:C1611,3)</f>
        <v>113.48</v>
      </c>
      <c r="I357" s="1">
        <f>VLOOKUP(A357,META!A356:C1611,3)</f>
        <v>188.64</v>
      </c>
      <c r="J357" s="1">
        <f>VLOOKUP(A357,Nasdaq!A356:C1611,3)</f>
        <v>11994.46</v>
      </c>
    </row>
    <row r="358" spans="1:10" x14ac:dyDescent="0.2">
      <c r="A358" s="2">
        <v>44714</v>
      </c>
      <c r="B358" s="1">
        <f>VLOOKUP(A358,AAPL!A357:C1612,3)</f>
        <v>148.50800000000001</v>
      </c>
      <c r="C358" s="1">
        <f>VLOOKUP(A358,MSFT!A357:C1612,3)</f>
        <v>268.815</v>
      </c>
      <c r="D358" s="1">
        <f>VLOOKUP(A358,NVDA!A357:C1612,3)</f>
        <v>19.562999999999999</v>
      </c>
      <c r="E358" s="1">
        <f>VLOOKUP(A358,AMD!A357:C1612,3)</f>
        <v>108.59</v>
      </c>
      <c r="F358" s="1">
        <f>VLOOKUP(A358,AMZN!A357:C1612,3)</f>
        <v>125.511</v>
      </c>
      <c r="G358" s="1">
        <f>VLOOKUP(A358,TSLA!A357:C1612,3)</f>
        <v>258.33300000000003</v>
      </c>
      <c r="H358" s="1">
        <f>VLOOKUP(A358,GOOGL!A357:C1612,3)</f>
        <v>117.197</v>
      </c>
      <c r="I358" s="1">
        <f>VLOOKUP(A358,META!A357:C1612,3)</f>
        <v>198.86</v>
      </c>
      <c r="J358" s="1">
        <f>VLOOKUP(A358,Nasdaq!A357:C1612,3)</f>
        <v>12316.9</v>
      </c>
    </row>
    <row r="359" spans="1:10" x14ac:dyDescent="0.2">
      <c r="A359" s="2">
        <v>44715</v>
      </c>
      <c r="B359" s="1">
        <f>VLOOKUP(A359,AAPL!A358:C1613,3)</f>
        <v>142.78299999999999</v>
      </c>
      <c r="C359" s="1">
        <f>VLOOKUP(A359,MSFT!A358:C1613,3)</f>
        <v>264.35199999999998</v>
      </c>
      <c r="D359" s="1">
        <f>VLOOKUP(A359,NVDA!A358:C1613,3)</f>
        <v>18.6921</v>
      </c>
      <c r="E359" s="1">
        <f>VLOOKUP(A359,AMD!A358:C1613,3)</f>
        <v>106.3</v>
      </c>
      <c r="F359" s="1">
        <f>VLOOKUP(A359,AMZN!A358:C1613,3)</f>
        <v>122.35</v>
      </c>
      <c r="G359" s="1">
        <f>VLOOKUP(A359,TSLA!A358:C1613,3)</f>
        <v>234.517</v>
      </c>
      <c r="H359" s="1">
        <f>VLOOKUP(A359,GOOGL!A358:C1613,3)</f>
        <v>114.127</v>
      </c>
      <c r="I359" s="1">
        <f>VLOOKUP(A359,META!A358:C1613,3)</f>
        <v>190.78</v>
      </c>
      <c r="J359" s="1">
        <f>VLOOKUP(A359,Nasdaq!A358:C1613,3)</f>
        <v>12012.73</v>
      </c>
    </row>
    <row r="360" spans="1:10" x14ac:dyDescent="0.2">
      <c r="A360" s="2">
        <v>44718</v>
      </c>
      <c r="B360" s="1">
        <f>VLOOKUP(A360,AAPL!A359:C1614,3)</f>
        <v>143.529</v>
      </c>
      <c r="C360" s="1">
        <f>VLOOKUP(A360,MSFT!A359:C1614,3)</f>
        <v>263.11</v>
      </c>
      <c r="D360" s="1">
        <f>VLOOKUP(A360,NVDA!A359:C1614,3)</f>
        <v>18.758099999999999</v>
      </c>
      <c r="E360" s="1">
        <f>VLOOKUP(A360,AMD!A359:C1614,3)</f>
        <v>105.65</v>
      </c>
      <c r="F360" s="1">
        <f>VLOOKUP(A360,AMZN!A359:C1614,3)</f>
        <v>124.79</v>
      </c>
      <c r="G360" s="1">
        <f>VLOOKUP(A360,TSLA!A359:C1614,3)</f>
        <v>238.28</v>
      </c>
      <c r="H360" s="1">
        <f>VLOOKUP(A360,GOOGL!A359:C1614,3)</f>
        <v>116.398</v>
      </c>
      <c r="I360" s="1">
        <f>VLOOKUP(A360,META!A359:C1614,3)</f>
        <v>194.25</v>
      </c>
      <c r="J360" s="1">
        <f>VLOOKUP(A360,Nasdaq!A359:C1614,3)</f>
        <v>12061.37</v>
      </c>
    </row>
    <row r="361" spans="1:10" x14ac:dyDescent="0.2">
      <c r="A361" s="2">
        <v>44719</v>
      </c>
      <c r="B361" s="1">
        <f>VLOOKUP(A361,AAPL!A360:C1615,3)</f>
        <v>146.05600000000001</v>
      </c>
      <c r="C361" s="1">
        <f>VLOOKUP(A361,MSFT!A360:C1615,3)</f>
        <v>266.78100000000001</v>
      </c>
      <c r="D361" s="1">
        <f>VLOOKUP(A361,NVDA!A360:C1615,3)</f>
        <v>18.8977</v>
      </c>
      <c r="E361" s="1">
        <f>VLOOKUP(A361,AMD!A360:C1615,3)</f>
        <v>105.28</v>
      </c>
      <c r="F361" s="1">
        <f>VLOOKUP(A361,AMZN!A360:C1615,3)</f>
        <v>123</v>
      </c>
      <c r="G361" s="1">
        <f>VLOOKUP(A361,TSLA!A360:C1615,3)</f>
        <v>238.887</v>
      </c>
      <c r="H361" s="1">
        <f>VLOOKUP(A361,GOOGL!A360:C1615,3)</f>
        <v>116.726</v>
      </c>
      <c r="I361" s="1">
        <f>VLOOKUP(A361,META!A360:C1615,3)</f>
        <v>195.65</v>
      </c>
      <c r="J361" s="1">
        <f>VLOOKUP(A361,Nasdaq!A360:C1615,3)</f>
        <v>12175.23</v>
      </c>
    </row>
    <row r="362" spans="1:10" x14ac:dyDescent="0.2">
      <c r="A362" s="2">
        <v>44720</v>
      </c>
      <c r="B362" s="1">
        <f>VLOOKUP(A362,AAPL!A361:C1616,3)</f>
        <v>145.31899999999999</v>
      </c>
      <c r="C362" s="1">
        <f>VLOOKUP(A362,MSFT!A361:C1616,3)</f>
        <v>264.73599999999999</v>
      </c>
      <c r="D362" s="1">
        <f>VLOOKUP(A362,NVDA!A361:C1616,3)</f>
        <v>18.624199999999998</v>
      </c>
      <c r="E362" s="1">
        <f>VLOOKUP(A362,AMD!A361:C1616,3)</f>
        <v>101.9</v>
      </c>
      <c r="F362" s="1">
        <f>VLOOKUP(A362,AMZN!A361:C1616,3)</f>
        <v>121.18</v>
      </c>
      <c r="G362" s="1">
        <f>VLOOKUP(A362,TSLA!A361:C1616,3)</f>
        <v>241.86699999999999</v>
      </c>
      <c r="H362" s="1">
        <f>VLOOKUP(A362,GOOGL!A361:C1616,3)</f>
        <v>116.771</v>
      </c>
      <c r="I362" s="1">
        <f>VLOOKUP(A362,META!A361:C1616,3)</f>
        <v>196.64</v>
      </c>
      <c r="J362" s="1">
        <f>VLOOKUP(A362,Nasdaq!A361:C1616,3)</f>
        <v>12086.27</v>
      </c>
    </row>
    <row r="363" spans="1:10" x14ac:dyDescent="0.2">
      <c r="A363" s="2">
        <v>44721</v>
      </c>
      <c r="B363" s="1">
        <f>VLOOKUP(A363,AAPL!A362:C1617,3)</f>
        <v>140.09299999999999</v>
      </c>
      <c r="C363" s="1">
        <f>VLOOKUP(A363,MSFT!A362:C1617,3)</f>
        <v>259.233</v>
      </c>
      <c r="D363" s="1">
        <f>VLOOKUP(A363,NVDA!A362:C1617,3)</f>
        <v>18.024899999999999</v>
      </c>
      <c r="E363" s="1">
        <f>VLOOKUP(A363,AMD!A362:C1617,3)</f>
        <v>98.8</v>
      </c>
      <c r="F363" s="1">
        <f>VLOOKUP(A363,AMZN!A362:C1617,3)</f>
        <v>116.15</v>
      </c>
      <c r="G363" s="1">
        <f>VLOOKUP(A363,TSLA!A362:C1617,3)</f>
        <v>239.70699999999999</v>
      </c>
      <c r="H363" s="1">
        <f>VLOOKUP(A363,GOOGL!A362:C1617,3)</f>
        <v>114.42100000000001</v>
      </c>
      <c r="I363" s="1">
        <f>VLOOKUP(A363,META!A362:C1617,3)</f>
        <v>184</v>
      </c>
      <c r="J363" s="1">
        <f>VLOOKUP(A363,Nasdaq!A362:C1617,3)</f>
        <v>11754.23</v>
      </c>
    </row>
    <row r="364" spans="1:10" x14ac:dyDescent="0.2">
      <c r="A364" s="2">
        <v>44722</v>
      </c>
      <c r="B364" s="1">
        <f>VLOOKUP(A364,AAPL!A363:C1618,3)</f>
        <v>134.68</v>
      </c>
      <c r="C364" s="1">
        <f>VLOOKUP(A364,MSFT!A363:C1618,3)</f>
        <v>247.68100000000001</v>
      </c>
      <c r="D364" s="1">
        <f>VLOOKUP(A364,NVDA!A363:C1618,3)</f>
        <v>16.952200000000001</v>
      </c>
      <c r="E364" s="1">
        <f>VLOOKUP(A364,AMD!A363:C1618,3)</f>
        <v>94.82</v>
      </c>
      <c r="F364" s="1">
        <f>VLOOKUP(A364,AMZN!A363:C1618,3)</f>
        <v>109.65</v>
      </c>
      <c r="G364" s="1">
        <f>VLOOKUP(A364,TSLA!A363:C1618,3)</f>
        <v>232.23</v>
      </c>
      <c r="H364" s="1">
        <f>VLOOKUP(A364,GOOGL!A363:C1618,3)</f>
        <v>110.761</v>
      </c>
      <c r="I364" s="1">
        <f>VLOOKUP(A364,META!A363:C1618,3)</f>
        <v>175.57</v>
      </c>
      <c r="J364" s="1">
        <f>VLOOKUP(A364,Nasdaq!A363:C1618,3)</f>
        <v>11340.02</v>
      </c>
    </row>
    <row r="365" spans="1:10" x14ac:dyDescent="0.2">
      <c r="A365" s="2">
        <v>44725</v>
      </c>
      <c r="B365" s="1">
        <f>VLOOKUP(A365,AAPL!A364:C1619,3)</f>
        <v>129.52500000000001</v>
      </c>
      <c r="C365" s="1">
        <f>VLOOKUP(A365,MSFT!A364:C1619,3)</f>
        <v>237.17599999999999</v>
      </c>
      <c r="D365" s="1">
        <f>VLOOKUP(A365,NVDA!A364:C1619,3)</f>
        <v>15.627000000000001</v>
      </c>
      <c r="E365" s="1">
        <f>VLOOKUP(A365,AMD!A364:C1619,3)</f>
        <v>86.99</v>
      </c>
      <c r="F365" s="1">
        <f>VLOOKUP(A365,AMZN!A364:C1619,3)</f>
        <v>103.67</v>
      </c>
      <c r="G365" s="1">
        <f>VLOOKUP(A365,TSLA!A364:C1619,3)</f>
        <v>215.73699999999999</v>
      </c>
      <c r="H365" s="1">
        <f>VLOOKUP(A365,GOOGL!A364:C1619,3)</f>
        <v>106.008</v>
      </c>
      <c r="I365" s="1">
        <f>VLOOKUP(A365,META!A364:C1619,3)</f>
        <v>164.26</v>
      </c>
      <c r="J365" s="1">
        <f>VLOOKUP(A365,Nasdaq!A364:C1619,3)</f>
        <v>10809.23</v>
      </c>
    </row>
    <row r="366" spans="1:10" x14ac:dyDescent="0.2">
      <c r="A366" s="2">
        <v>44726</v>
      </c>
      <c r="B366" s="1">
        <f>VLOOKUP(A366,AAPL!A365:C1620,3)</f>
        <v>130.38900000000001</v>
      </c>
      <c r="C366" s="1">
        <f>VLOOKUP(A366,MSFT!A365:C1620,3)</f>
        <v>239.35900000000001</v>
      </c>
      <c r="D366" s="1">
        <f>VLOOKUP(A366,NVDA!A365:C1620,3)</f>
        <v>15.815799999999999</v>
      </c>
      <c r="E366" s="1">
        <f>VLOOKUP(A366,AMD!A365:C1620,3)</f>
        <v>86.99</v>
      </c>
      <c r="F366" s="1">
        <f>VLOOKUP(A366,AMZN!A365:C1620,3)</f>
        <v>102.31</v>
      </c>
      <c r="G366" s="1">
        <f>VLOOKUP(A366,TSLA!A365:C1620,3)</f>
        <v>220.89</v>
      </c>
      <c r="H366" s="1">
        <f>VLOOKUP(A366,GOOGL!A365:C1620,3)</f>
        <v>106.33</v>
      </c>
      <c r="I366" s="1">
        <f>VLOOKUP(A366,META!A365:C1620,3)</f>
        <v>163.72999999999999</v>
      </c>
      <c r="J366" s="1">
        <f>VLOOKUP(A366,Nasdaq!A365:C1620,3)</f>
        <v>10828.35</v>
      </c>
    </row>
    <row r="367" spans="1:10" x14ac:dyDescent="0.2">
      <c r="A367" s="2">
        <v>44727</v>
      </c>
      <c r="B367" s="1">
        <f>VLOOKUP(A367,AAPL!A366:C1621,3)</f>
        <v>133.01</v>
      </c>
      <c r="C367" s="1">
        <f>VLOOKUP(A367,MSFT!A366:C1621,3)</f>
        <v>246.477</v>
      </c>
      <c r="D367" s="1">
        <f>VLOOKUP(A367,NVDA!A366:C1621,3)</f>
        <v>16.505800000000001</v>
      </c>
      <c r="E367" s="1">
        <f>VLOOKUP(A367,AMD!A366:C1621,3)</f>
        <v>89.3</v>
      </c>
      <c r="F367" s="1">
        <f>VLOOKUP(A367,AMZN!A366:C1621,3)</f>
        <v>107.67</v>
      </c>
      <c r="G367" s="1">
        <f>VLOOKUP(A367,TSLA!A366:C1621,3)</f>
        <v>233</v>
      </c>
      <c r="H367" s="1">
        <f>VLOOKUP(A367,GOOGL!A366:C1621,3)</f>
        <v>109.36799999999999</v>
      </c>
      <c r="I367" s="1">
        <f>VLOOKUP(A367,META!A366:C1621,3)</f>
        <v>169.35</v>
      </c>
      <c r="J367" s="1">
        <f>VLOOKUP(A367,Nasdaq!A366:C1621,3)</f>
        <v>11099.15</v>
      </c>
    </row>
    <row r="368" spans="1:10" x14ac:dyDescent="0.2">
      <c r="A368" s="2">
        <v>44728</v>
      </c>
      <c r="B368" s="1">
        <f>VLOOKUP(A368,AAPL!A367:C1622,3)</f>
        <v>127.738</v>
      </c>
      <c r="C368" s="1">
        <f>VLOOKUP(A368,MSFT!A367:C1622,3)</f>
        <v>239.82900000000001</v>
      </c>
      <c r="D368" s="1">
        <f>VLOOKUP(A368,NVDA!A367:C1622,3)</f>
        <v>15.581099999999999</v>
      </c>
      <c r="E368" s="1">
        <f>VLOOKUP(A368,AMD!A367:C1622,3)</f>
        <v>82.05</v>
      </c>
      <c r="F368" s="1">
        <f>VLOOKUP(A368,AMZN!A367:C1622,3)</f>
        <v>103.66</v>
      </c>
      <c r="G368" s="1">
        <f>VLOOKUP(A368,TSLA!A367:C1622,3)</f>
        <v>213.1</v>
      </c>
      <c r="H368" s="1">
        <f>VLOOKUP(A368,GOOGL!A367:C1622,3)</f>
        <v>105.651</v>
      </c>
      <c r="I368" s="1">
        <f>VLOOKUP(A368,META!A367:C1622,3)</f>
        <v>160.87</v>
      </c>
      <c r="J368" s="1">
        <f>VLOOKUP(A368,Nasdaq!A367:C1622,3)</f>
        <v>10646.1</v>
      </c>
    </row>
    <row r="369" spans="1:10" x14ac:dyDescent="0.2">
      <c r="A369" s="2">
        <v>44729</v>
      </c>
      <c r="B369" s="1">
        <f>VLOOKUP(A369,AAPL!A368:C1623,3)</f>
        <v>129.21100000000001</v>
      </c>
      <c r="C369" s="1">
        <f>VLOOKUP(A369,MSFT!A368:C1623,3)</f>
        <v>242.452</v>
      </c>
      <c r="D369" s="1">
        <f>VLOOKUP(A369,NVDA!A368:C1623,3)</f>
        <v>15.8597</v>
      </c>
      <c r="E369" s="1">
        <f>VLOOKUP(A369,AMD!A368:C1623,3)</f>
        <v>81.569999999999993</v>
      </c>
      <c r="F369" s="1">
        <f>VLOOKUP(A369,AMZN!A368:C1623,3)</f>
        <v>106.22</v>
      </c>
      <c r="G369" s="1">
        <f>VLOOKUP(A369,TSLA!A368:C1623,3)</f>
        <v>216.76</v>
      </c>
      <c r="H369" s="1">
        <f>VLOOKUP(A369,GOOGL!A368:C1623,3)</f>
        <v>106.756</v>
      </c>
      <c r="I369" s="1">
        <f>VLOOKUP(A369,META!A368:C1623,3)</f>
        <v>163.74</v>
      </c>
      <c r="J369" s="1">
        <f>VLOOKUP(A369,Nasdaq!A368:C1623,3)</f>
        <v>10798.35</v>
      </c>
    </row>
    <row r="370" spans="1:10" x14ac:dyDescent="0.2">
      <c r="A370" s="2">
        <v>44733</v>
      </c>
      <c r="B370" s="1">
        <f>VLOOKUP(A370,AAPL!A369:C1624,3)</f>
        <v>133.44499999999999</v>
      </c>
      <c r="C370" s="1">
        <f>VLOOKUP(A370,MSFT!A369:C1624,3)</f>
        <v>248.41399999999999</v>
      </c>
      <c r="D370" s="1">
        <f>VLOOKUP(A370,NVDA!A369:C1624,3)</f>
        <v>16.544799999999999</v>
      </c>
      <c r="E370" s="1">
        <f>VLOOKUP(A370,AMD!A369:C1624,3)</f>
        <v>83.79</v>
      </c>
      <c r="F370" s="1">
        <f>VLOOKUP(A370,AMZN!A369:C1624,3)</f>
        <v>108.68</v>
      </c>
      <c r="G370" s="1">
        <f>VLOOKUP(A370,TSLA!A369:C1624,3)</f>
        <v>237.03700000000001</v>
      </c>
      <c r="H370" s="1">
        <f>VLOOKUP(A370,GOOGL!A369:C1624,3)</f>
        <v>111.14100000000001</v>
      </c>
      <c r="I370" s="1">
        <f>VLOOKUP(A370,META!A369:C1624,3)</f>
        <v>157.05000000000001</v>
      </c>
      <c r="J370" s="1">
        <f>VLOOKUP(A370,Nasdaq!A369:C1624,3)</f>
        <v>11069.3</v>
      </c>
    </row>
    <row r="371" spans="1:10" x14ac:dyDescent="0.2">
      <c r="A371" s="2">
        <v>44734</v>
      </c>
      <c r="B371" s="1">
        <f>VLOOKUP(A371,AAPL!A370:C1625,3)</f>
        <v>132.93100000000001</v>
      </c>
      <c r="C371" s="1">
        <f>VLOOKUP(A371,MSFT!A370:C1625,3)</f>
        <v>247.816</v>
      </c>
      <c r="D371" s="1">
        <f>VLOOKUP(A371,NVDA!A370:C1625,3)</f>
        <v>16.339099999999998</v>
      </c>
      <c r="E371" s="1">
        <f>VLOOKUP(A371,AMD!A370:C1625,3)</f>
        <v>83.75</v>
      </c>
      <c r="F371" s="1">
        <f>VLOOKUP(A371,AMZN!A370:C1625,3)</f>
        <v>108.95</v>
      </c>
      <c r="G371" s="1">
        <f>VLOOKUP(A371,TSLA!A370:C1625,3)</f>
        <v>236.08699999999999</v>
      </c>
      <c r="H371" s="1">
        <f>VLOOKUP(A371,GOOGL!A370:C1625,3)</f>
        <v>111.08499999999999</v>
      </c>
      <c r="I371" s="1">
        <f>VLOOKUP(A371,META!A370:C1625,3)</f>
        <v>155.85</v>
      </c>
      <c r="J371" s="1">
        <f>VLOOKUP(A371,Nasdaq!A370:C1625,3)</f>
        <v>11053.08</v>
      </c>
    </row>
    <row r="372" spans="1:10" x14ac:dyDescent="0.2">
      <c r="A372" s="2">
        <v>44735</v>
      </c>
      <c r="B372" s="1">
        <f>VLOOKUP(A372,AAPL!A371:C1626,3)</f>
        <v>135.80099999999999</v>
      </c>
      <c r="C372" s="1">
        <f>VLOOKUP(A372,MSFT!A371:C1626,3)</f>
        <v>253.42699999999999</v>
      </c>
      <c r="D372" s="1">
        <f>VLOOKUP(A372,NVDA!A371:C1626,3)</f>
        <v>16.2043</v>
      </c>
      <c r="E372" s="1">
        <f>VLOOKUP(A372,AMD!A371:C1626,3)</f>
        <v>82.43</v>
      </c>
      <c r="F372" s="1">
        <f>VLOOKUP(A372,AMZN!A371:C1626,3)</f>
        <v>112.44</v>
      </c>
      <c r="G372" s="1">
        <f>VLOOKUP(A372,TSLA!A371:C1626,3)</f>
        <v>235.07</v>
      </c>
      <c r="H372" s="1">
        <f>VLOOKUP(A372,GOOGL!A371:C1626,3)</f>
        <v>111.836</v>
      </c>
      <c r="I372" s="1">
        <f>VLOOKUP(A372,META!A371:C1626,3)</f>
        <v>158.75</v>
      </c>
      <c r="J372" s="1">
        <f>VLOOKUP(A372,Nasdaq!A371:C1626,3)</f>
        <v>11232.19</v>
      </c>
    </row>
    <row r="373" spans="1:10" x14ac:dyDescent="0.2">
      <c r="A373" s="2">
        <v>44736</v>
      </c>
      <c r="B373" s="1">
        <f>VLOOKUP(A373,AAPL!A372:C1627,3)</f>
        <v>139.13</v>
      </c>
      <c r="C373" s="1">
        <f>VLOOKUP(A373,MSFT!A372:C1627,3)</f>
        <v>262.08</v>
      </c>
      <c r="D373" s="1">
        <f>VLOOKUP(A373,NVDA!A372:C1627,3)</f>
        <v>17.103999999999999</v>
      </c>
      <c r="E373" s="1">
        <f>VLOOKUP(A373,AMD!A372:C1627,3)</f>
        <v>87.08</v>
      </c>
      <c r="F373" s="1">
        <f>VLOOKUP(A373,AMZN!A372:C1627,3)</f>
        <v>116.46</v>
      </c>
      <c r="G373" s="1">
        <f>VLOOKUP(A373,TSLA!A372:C1627,3)</f>
        <v>245.70699999999999</v>
      </c>
      <c r="H373" s="1">
        <f>VLOOKUP(A373,GOOGL!A372:C1627,3)</f>
        <v>117.54900000000001</v>
      </c>
      <c r="I373" s="1">
        <f>VLOOKUP(A373,META!A372:C1627,3)</f>
        <v>170.16</v>
      </c>
      <c r="J373" s="1">
        <f>VLOOKUP(A373,Nasdaq!A372:C1627,3)</f>
        <v>11607.62</v>
      </c>
    </row>
    <row r="374" spans="1:10" x14ac:dyDescent="0.2">
      <c r="A374" s="2">
        <v>44739</v>
      </c>
      <c r="B374" s="1">
        <f>VLOOKUP(A374,AAPL!A373:C1628,3)</f>
        <v>139.13</v>
      </c>
      <c r="C374" s="1">
        <f>VLOOKUP(A374,MSFT!A373:C1628,3)</f>
        <v>259.33</v>
      </c>
      <c r="D374" s="1">
        <f>VLOOKUP(A374,NVDA!A373:C1628,3)</f>
        <v>16.8474</v>
      </c>
      <c r="E374" s="1">
        <f>VLOOKUP(A374,AMD!A373:C1628,3)</f>
        <v>86.16</v>
      </c>
      <c r="F374" s="1">
        <f>VLOOKUP(A374,AMZN!A373:C1628,3)</f>
        <v>113.22</v>
      </c>
      <c r="G374" s="1">
        <f>VLOOKUP(A374,TSLA!A373:C1628,3)</f>
        <v>244.92</v>
      </c>
      <c r="H374" s="1">
        <f>VLOOKUP(A374,GOOGL!A373:C1628,3)</f>
        <v>115.416</v>
      </c>
      <c r="I374" s="1">
        <f>VLOOKUP(A374,META!A373:C1628,3)</f>
        <v>169.49</v>
      </c>
      <c r="J374" s="1">
        <f>VLOOKUP(A374,Nasdaq!A373:C1628,3)</f>
        <v>11524.55</v>
      </c>
    </row>
    <row r="375" spans="1:10" x14ac:dyDescent="0.2">
      <c r="A375" s="2">
        <v>44740</v>
      </c>
      <c r="B375" s="1">
        <f>VLOOKUP(A375,AAPL!A374:C1629,3)</f>
        <v>134.98599999999999</v>
      </c>
      <c r="C375" s="1">
        <f>VLOOKUP(A375,MSFT!A374:C1629,3)</f>
        <v>251.09700000000001</v>
      </c>
      <c r="D375" s="1">
        <f>VLOOKUP(A375,NVDA!A374:C1629,3)</f>
        <v>15.961600000000001</v>
      </c>
      <c r="E375" s="1">
        <f>VLOOKUP(A375,AMD!A374:C1629,3)</f>
        <v>80.78</v>
      </c>
      <c r="F375" s="1">
        <f>VLOOKUP(A375,AMZN!A374:C1629,3)</f>
        <v>107.4</v>
      </c>
      <c r="G375" s="1">
        <f>VLOOKUP(A375,TSLA!A374:C1629,3)</f>
        <v>232.66300000000001</v>
      </c>
      <c r="H375" s="1">
        <f>VLOOKUP(A375,GOOGL!A374:C1629,3)</f>
        <v>111.604</v>
      </c>
      <c r="I375" s="1">
        <f>VLOOKUP(A375,META!A374:C1629,3)</f>
        <v>160.68</v>
      </c>
      <c r="J375" s="1">
        <f>VLOOKUP(A375,Nasdaq!A374:C1629,3)</f>
        <v>11181.54</v>
      </c>
    </row>
    <row r="376" spans="1:10" x14ac:dyDescent="0.2">
      <c r="A376" s="2">
        <v>44741</v>
      </c>
      <c r="B376" s="1">
        <f>VLOOKUP(A376,AAPL!A375:C1630,3)</f>
        <v>136.74299999999999</v>
      </c>
      <c r="C376" s="1">
        <f>VLOOKUP(A376,MSFT!A375:C1630,3)</f>
        <v>254.797</v>
      </c>
      <c r="D376" s="1">
        <f>VLOOKUP(A376,NVDA!A375:C1630,3)</f>
        <v>15.5221</v>
      </c>
      <c r="E376" s="1">
        <f>VLOOKUP(A376,AMD!A375:C1630,3)</f>
        <v>77.989999999999995</v>
      </c>
      <c r="F376" s="1">
        <f>VLOOKUP(A376,AMZN!A375:C1630,3)</f>
        <v>108.92</v>
      </c>
      <c r="G376" s="1">
        <f>VLOOKUP(A376,TSLA!A375:C1630,3)</f>
        <v>228.49</v>
      </c>
      <c r="H376" s="1">
        <f>VLOOKUP(A376,GOOGL!A375:C1630,3)</f>
        <v>111.298</v>
      </c>
      <c r="I376" s="1">
        <f>VLOOKUP(A376,META!A375:C1630,3)</f>
        <v>163.94</v>
      </c>
      <c r="J376" s="1">
        <f>VLOOKUP(A376,Nasdaq!A375:C1630,3)</f>
        <v>11177.89</v>
      </c>
    </row>
    <row r="377" spans="1:10" x14ac:dyDescent="0.2">
      <c r="A377" s="2">
        <v>44742</v>
      </c>
      <c r="B377" s="1">
        <f>VLOOKUP(A377,AAPL!A376:C1631,3)</f>
        <v>134.279</v>
      </c>
      <c r="C377" s="1">
        <f>VLOOKUP(A377,MSFT!A376:C1631,3)</f>
        <v>251.44</v>
      </c>
      <c r="D377" s="1">
        <f>VLOOKUP(A377,NVDA!A376:C1631,3)</f>
        <v>15.139699999999999</v>
      </c>
      <c r="E377" s="1">
        <f>VLOOKUP(A377,AMD!A376:C1631,3)</f>
        <v>76.47</v>
      </c>
      <c r="F377" s="1">
        <f>VLOOKUP(A377,AMZN!A376:C1631,3)</f>
        <v>106.21</v>
      </c>
      <c r="G377" s="1">
        <f>VLOOKUP(A377,TSLA!A376:C1631,3)</f>
        <v>224.47300000000001</v>
      </c>
      <c r="H377" s="1">
        <f>VLOOKUP(A377,GOOGL!A376:C1631,3)</f>
        <v>108.57</v>
      </c>
      <c r="I377" s="1">
        <f>VLOOKUP(A377,META!A376:C1631,3)</f>
        <v>161.25</v>
      </c>
      <c r="J377" s="1">
        <f>VLOOKUP(A377,Nasdaq!A376:C1631,3)</f>
        <v>11028.74</v>
      </c>
    </row>
    <row r="378" spans="1:10" x14ac:dyDescent="0.2">
      <c r="A378" s="2">
        <v>44743</v>
      </c>
      <c r="B378" s="1">
        <f>VLOOKUP(A378,AAPL!A377:C1632,3)</f>
        <v>136.44900000000001</v>
      </c>
      <c r="C378" s="1">
        <f>VLOOKUP(A378,MSFT!A377:C1632,3)</f>
        <v>254.131</v>
      </c>
      <c r="D378" s="1">
        <f>VLOOKUP(A378,NVDA!A377:C1632,3)</f>
        <v>14.5044</v>
      </c>
      <c r="E378" s="1">
        <f>VLOOKUP(A378,AMD!A377:C1632,3)</f>
        <v>73.67</v>
      </c>
      <c r="F378" s="1">
        <f>VLOOKUP(A378,AMZN!A377:C1632,3)</f>
        <v>109.56</v>
      </c>
      <c r="G378" s="1">
        <f>VLOOKUP(A378,TSLA!A377:C1632,3)</f>
        <v>227.26300000000001</v>
      </c>
      <c r="H378" s="1">
        <f>VLOOKUP(A378,GOOGL!A377:C1632,3)</f>
        <v>108.345</v>
      </c>
      <c r="I378" s="1">
        <f>VLOOKUP(A378,META!A377:C1632,3)</f>
        <v>160.03</v>
      </c>
      <c r="J378" s="1">
        <f>VLOOKUP(A378,Nasdaq!A377:C1632,3)</f>
        <v>11127.84</v>
      </c>
    </row>
    <row r="379" spans="1:10" x14ac:dyDescent="0.2">
      <c r="A379" s="2">
        <v>44747</v>
      </c>
      <c r="B379" s="1">
        <f>VLOOKUP(A379,AAPL!A378:C1633,3)</f>
        <v>139.03100000000001</v>
      </c>
      <c r="C379" s="1">
        <f>VLOOKUP(A379,MSFT!A378:C1633,3)</f>
        <v>257.33300000000003</v>
      </c>
      <c r="D379" s="1">
        <f>VLOOKUP(A379,NVDA!A378:C1633,3)</f>
        <v>14.9451</v>
      </c>
      <c r="E379" s="1">
        <f>VLOOKUP(A379,AMD!A378:C1633,3)</f>
        <v>75.2</v>
      </c>
      <c r="F379" s="1">
        <f>VLOOKUP(A379,AMZN!A378:C1633,3)</f>
        <v>113.5</v>
      </c>
      <c r="G379" s="1">
        <f>VLOOKUP(A379,TSLA!A378:C1633,3)</f>
        <v>233.06700000000001</v>
      </c>
      <c r="H379" s="1">
        <f>VLOOKUP(A379,GOOGL!A378:C1633,3)</f>
        <v>112.854</v>
      </c>
      <c r="I379" s="1">
        <f>VLOOKUP(A379,META!A378:C1633,3)</f>
        <v>168.19</v>
      </c>
      <c r="J379" s="1">
        <f>VLOOKUP(A379,Nasdaq!A378:C1633,3)</f>
        <v>11322.24</v>
      </c>
    </row>
    <row r="380" spans="1:10" x14ac:dyDescent="0.2">
      <c r="A380" s="2">
        <v>44748</v>
      </c>
      <c r="B380" s="1">
        <f>VLOOKUP(A380,AAPL!A379:C1634,3)</f>
        <v>140.36799999999999</v>
      </c>
      <c r="C380" s="1">
        <f>VLOOKUP(A380,MSFT!A379:C1634,3)</f>
        <v>260.62099999999998</v>
      </c>
      <c r="D380" s="1">
        <f>VLOOKUP(A380,NVDA!A379:C1634,3)</f>
        <v>15.1107</v>
      </c>
      <c r="E380" s="1">
        <f>VLOOKUP(A380,AMD!A379:C1634,3)</f>
        <v>75.349999999999994</v>
      </c>
      <c r="F380" s="1">
        <f>VLOOKUP(A380,AMZN!A379:C1634,3)</f>
        <v>114.33</v>
      </c>
      <c r="G380" s="1">
        <f>VLOOKUP(A380,TSLA!A379:C1634,3)</f>
        <v>231.733</v>
      </c>
      <c r="H380" s="1">
        <f>VLOOKUP(A380,GOOGL!A379:C1634,3)</f>
        <v>114.158</v>
      </c>
      <c r="I380" s="1">
        <f>VLOOKUP(A380,META!A379:C1634,3)</f>
        <v>169.77</v>
      </c>
      <c r="J380" s="1">
        <f>VLOOKUP(A380,Nasdaq!A379:C1634,3)</f>
        <v>11361.85</v>
      </c>
    </row>
    <row r="381" spans="1:10" x14ac:dyDescent="0.2">
      <c r="A381" s="2">
        <v>44749</v>
      </c>
      <c r="B381" s="1">
        <f>VLOOKUP(A381,AAPL!A380:C1635,3)</f>
        <v>143.738</v>
      </c>
      <c r="C381" s="1">
        <f>VLOOKUP(A381,MSFT!A380:C1635,3)</f>
        <v>262.76499999999999</v>
      </c>
      <c r="D381" s="1">
        <f>VLOOKUP(A381,NVDA!A380:C1635,3)</f>
        <v>15.8377</v>
      </c>
      <c r="E381" s="1">
        <f>VLOOKUP(A381,AMD!A380:C1635,3)</f>
        <v>79.3</v>
      </c>
      <c r="F381" s="1">
        <f>VLOOKUP(A381,AMZN!A380:C1635,3)</f>
        <v>116.33</v>
      </c>
      <c r="G381" s="1">
        <f>VLOOKUP(A381,TSLA!A380:C1635,3)</f>
        <v>244.54300000000001</v>
      </c>
      <c r="H381" s="1">
        <f>VLOOKUP(A381,GOOGL!A380:C1635,3)</f>
        <v>118.354</v>
      </c>
      <c r="I381" s="1">
        <f>VLOOKUP(A381,META!A380:C1635,3)</f>
        <v>172.19</v>
      </c>
      <c r="J381" s="1">
        <f>VLOOKUP(A381,Nasdaq!A380:C1635,3)</f>
        <v>11621.35</v>
      </c>
    </row>
    <row r="382" spans="1:10" x14ac:dyDescent="0.2">
      <c r="A382" s="2">
        <v>44750</v>
      </c>
      <c r="B382" s="1">
        <f>VLOOKUP(A382,AAPL!A381:C1636,3)</f>
        <v>144.41499999999999</v>
      </c>
      <c r="C382" s="1">
        <f>VLOOKUP(A382,MSFT!A381:C1636,3)</f>
        <v>262.04199999999997</v>
      </c>
      <c r="D382" s="1">
        <f>VLOOKUP(A382,NVDA!A381:C1636,3)</f>
        <v>15.8178</v>
      </c>
      <c r="E382" s="1">
        <f>VLOOKUP(A382,AMD!A381:C1636,3)</f>
        <v>79.349999999999994</v>
      </c>
      <c r="F382" s="1">
        <f>VLOOKUP(A382,AMZN!A381:C1636,3)</f>
        <v>115.54</v>
      </c>
      <c r="G382" s="1">
        <f>VLOOKUP(A382,TSLA!A381:C1636,3)</f>
        <v>250.76300000000001</v>
      </c>
      <c r="H382" s="1">
        <f>VLOOKUP(A382,GOOGL!A381:C1636,3)</f>
        <v>118.923</v>
      </c>
      <c r="I382" s="1">
        <f>VLOOKUP(A382,META!A381:C1636,3)</f>
        <v>170.88</v>
      </c>
      <c r="J382" s="1">
        <f>VLOOKUP(A382,Nasdaq!A381:C1636,3)</f>
        <v>11635.31</v>
      </c>
    </row>
    <row r="383" spans="1:10" x14ac:dyDescent="0.2">
      <c r="A383" s="2">
        <v>44753</v>
      </c>
      <c r="B383" s="1">
        <f>VLOOKUP(A383,AAPL!A382:C1637,3)</f>
        <v>142.28299999999999</v>
      </c>
      <c r="C383" s="1">
        <f>VLOOKUP(A383,MSFT!A382:C1637,3)</f>
        <v>258.95699999999999</v>
      </c>
      <c r="D383" s="1">
        <f>VLOOKUP(A383,NVDA!A382:C1637,3)</f>
        <v>15.1327</v>
      </c>
      <c r="E383" s="1">
        <f>VLOOKUP(A383,AMD!A382:C1637,3)</f>
        <v>76.95</v>
      </c>
      <c r="F383" s="1">
        <f>VLOOKUP(A383,AMZN!A382:C1637,3)</f>
        <v>111.75</v>
      </c>
      <c r="G383" s="1">
        <f>VLOOKUP(A383,TSLA!A382:C1637,3)</f>
        <v>234.34299999999999</v>
      </c>
      <c r="H383" s="1">
        <f>VLOOKUP(A383,GOOGL!A382:C1637,3)</f>
        <v>115.258</v>
      </c>
      <c r="I383" s="1">
        <f>VLOOKUP(A383,META!A382:C1637,3)</f>
        <v>162.88</v>
      </c>
      <c r="J383" s="1">
        <f>VLOOKUP(A383,Nasdaq!A382:C1637,3)</f>
        <v>11372.6</v>
      </c>
    </row>
    <row r="384" spans="1:10" x14ac:dyDescent="0.2">
      <c r="A384" s="2">
        <v>44754</v>
      </c>
      <c r="B384" s="1">
        <f>VLOOKUP(A384,AAPL!A383:C1638,3)</f>
        <v>143.25399999999999</v>
      </c>
      <c r="C384" s="1">
        <f>VLOOKUP(A384,MSFT!A383:C1638,3)</f>
        <v>248.345</v>
      </c>
      <c r="D384" s="1">
        <f>VLOOKUP(A384,NVDA!A383:C1638,3)</f>
        <v>15.0627</v>
      </c>
      <c r="E384" s="1">
        <f>VLOOKUP(A384,AMD!A383:C1638,3)</f>
        <v>76.36</v>
      </c>
      <c r="F384" s="1">
        <f>VLOOKUP(A384,AMZN!A383:C1638,3)</f>
        <v>109.22</v>
      </c>
      <c r="G384" s="1">
        <f>VLOOKUP(A384,TSLA!A383:C1638,3)</f>
        <v>233.07</v>
      </c>
      <c r="H384" s="1">
        <f>VLOOKUP(A384,GOOGL!A383:C1638,3)</f>
        <v>113.608</v>
      </c>
      <c r="I384" s="1">
        <f>VLOOKUP(A384,META!A383:C1638,3)</f>
        <v>163.27000000000001</v>
      </c>
      <c r="J384" s="1">
        <f>VLOOKUP(A384,Nasdaq!A383:C1638,3)</f>
        <v>11264.73</v>
      </c>
    </row>
    <row r="385" spans="1:10" x14ac:dyDescent="0.2">
      <c r="A385" s="2">
        <v>44755</v>
      </c>
      <c r="B385" s="1">
        <f>VLOOKUP(A385,AAPL!A384:C1639,3)</f>
        <v>142.89099999999999</v>
      </c>
      <c r="C385" s="1">
        <f>VLOOKUP(A385,MSFT!A384:C1639,3)</f>
        <v>247.416</v>
      </c>
      <c r="D385" s="1">
        <f>VLOOKUP(A385,NVDA!A384:C1639,3)</f>
        <v>15.1447</v>
      </c>
      <c r="E385" s="1">
        <f>VLOOKUP(A385,AMD!A384:C1639,3)</f>
        <v>77.52</v>
      </c>
      <c r="F385" s="1">
        <f>VLOOKUP(A385,AMZN!A384:C1639,3)</f>
        <v>110.4</v>
      </c>
      <c r="G385" s="1">
        <f>VLOOKUP(A385,TSLA!A384:C1639,3)</f>
        <v>237.04</v>
      </c>
      <c r="H385" s="1">
        <f>VLOOKUP(A385,GOOGL!A384:C1639,3)</f>
        <v>110.952</v>
      </c>
      <c r="I385" s="1">
        <f>VLOOKUP(A385,META!A384:C1639,3)</f>
        <v>163.49</v>
      </c>
      <c r="J385" s="1">
        <f>VLOOKUP(A385,Nasdaq!A384:C1639,3)</f>
        <v>11247.58</v>
      </c>
    </row>
    <row r="386" spans="1:10" x14ac:dyDescent="0.2">
      <c r="A386" s="2">
        <v>44756</v>
      </c>
      <c r="B386" s="1">
        <f>VLOOKUP(A386,AAPL!A385:C1640,3)</f>
        <v>145.81700000000001</v>
      </c>
      <c r="C386" s="1">
        <f>VLOOKUP(A386,MSFT!A385:C1640,3)</f>
        <v>248.74600000000001</v>
      </c>
      <c r="D386" s="1">
        <f>VLOOKUP(A386,NVDA!A385:C1640,3)</f>
        <v>15.3523</v>
      </c>
      <c r="E386" s="1">
        <f>VLOOKUP(A386,AMD!A385:C1640,3)</f>
        <v>78.599999999999994</v>
      </c>
      <c r="F386" s="1">
        <f>VLOOKUP(A386,AMZN!A385:C1640,3)</f>
        <v>110.63</v>
      </c>
      <c r="G386" s="1">
        <f>VLOOKUP(A386,TSLA!A385:C1640,3)</f>
        <v>238.31299999999999</v>
      </c>
      <c r="H386" s="1">
        <f>VLOOKUP(A386,GOOGL!A385:C1640,3)</f>
        <v>109.968</v>
      </c>
      <c r="I386" s="1">
        <f>VLOOKUP(A386,META!A385:C1640,3)</f>
        <v>158.05000000000001</v>
      </c>
      <c r="J386" s="1">
        <f>VLOOKUP(A386,Nasdaq!A385:C1640,3)</f>
        <v>11251.19</v>
      </c>
    </row>
    <row r="387" spans="1:10" x14ac:dyDescent="0.2">
      <c r="A387" s="2">
        <v>44757</v>
      </c>
      <c r="B387" s="1">
        <f>VLOOKUP(A387,AAPL!A386:C1641,3)</f>
        <v>147.489</v>
      </c>
      <c r="C387" s="1">
        <f>VLOOKUP(A387,MSFT!A386:C1641,3)</f>
        <v>251.33199999999999</v>
      </c>
      <c r="D387" s="1">
        <f>VLOOKUP(A387,NVDA!A386:C1641,3)</f>
        <v>15.741899999999999</v>
      </c>
      <c r="E387" s="1">
        <f>VLOOKUP(A387,AMD!A386:C1641,3)</f>
        <v>81.11</v>
      </c>
      <c r="F387" s="1">
        <f>VLOOKUP(A387,AMZN!A386:C1641,3)</f>
        <v>113.55</v>
      </c>
      <c r="G387" s="1">
        <f>VLOOKUP(A387,TSLA!A386:C1641,3)</f>
        <v>240.06700000000001</v>
      </c>
      <c r="H387" s="1">
        <f>VLOOKUP(A387,GOOGL!A386:C1641,3)</f>
        <v>111.374</v>
      </c>
      <c r="I387" s="1">
        <f>VLOOKUP(A387,META!A386:C1641,3)</f>
        <v>164.7</v>
      </c>
      <c r="J387" s="1">
        <f>VLOOKUP(A387,Nasdaq!A386:C1641,3)</f>
        <v>11452.42</v>
      </c>
    </row>
    <row r="388" spans="1:10" x14ac:dyDescent="0.2">
      <c r="A388" s="2">
        <v>44760</v>
      </c>
      <c r="B388" s="1">
        <f>VLOOKUP(A388,AAPL!A387:C1642,3)</f>
        <v>144.44399999999999</v>
      </c>
      <c r="C388" s="1">
        <f>VLOOKUP(A388,MSFT!A387:C1642,3)</f>
        <v>248.91300000000001</v>
      </c>
      <c r="D388" s="1">
        <f>VLOOKUP(A388,NVDA!A387:C1642,3)</f>
        <v>16.080400000000001</v>
      </c>
      <c r="E388" s="1">
        <f>VLOOKUP(A388,AMD!A387:C1642,3)</f>
        <v>81.430000000000007</v>
      </c>
      <c r="F388" s="1">
        <f>VLOOKUP(A388,AMZN!A387:C1642,3)</f>
        <v>113.76</v>
      </c>
      <c r="G388" s="1">
        <f>VLOOKUP(A388,TSLA!A387:C1642,3)</f>
        <v>240.547</v>
      </c>
      <c r="H388" s="1">
        <f>VLOOKUP(A388,GOOGL!A387:C1642,3)</f>
        <v>108.636</v>
      </c>
      <c r="I388" s="1">
        <f>VLOOKUP(A388,META!A387:C1642,3)</f>
        <v>167.23</v>
      </c>
      <c r="J388" s="1">
        <f>VLOOKUP(A388,Nasdaq!A387:C1642,3)</f>
        <v>11360.05</v>
      </c>
    </row>
    <row r="389" spans="1:10" x14ac:dyDescent="0.2">
      <c r="A389" s="2">
        <v>44761</v>
      </c>
      <c r="B389" s="1">
        <f>VLOOKUP(A389,AAPL!A388:C1643,3)</f>
        <v>148.303</v>
      </c>
      <c r="C389" s="1">
        <f>VLOOKUP(A389,MSFT!A388:C1643,3)</f>
        <v>254.08099999999999</v>
      </c>
      <c r="D389" s="1">
        <f>VLOOKUP(A389,NVDA!A388:C1643,3)</f>
        <v>16.970199999999998</v>
      </c>
      <c r="E389" s="1">
        <f>VLOOKUP(A389,AMD!A388:C1643,3)</f>
        <v>85.88</v>
      </c>
      <c r="F389" s="1">
        <f>VLOOKUP(A389,AMZN!A388:C1643,3)</f>
        <v>118.21</v>
      </c>
      <c r="G389" s="1">
        <f>VLOOKUP(A389,TSLA!A388:C1643,3)</f>
        <v>245.53</v>
      </c>
      <c r="H389" s="1">
        <f>VLOOKUP(A389,GOOGL!A388:C1643,3)</f>
        <v>113.399</v>
      </c>
      <c r="I389" s="1">
        <f>VLOOKUP(A389,META!A388:C1643,3)</f>
        <v>175.78</v>
      </c>
      <c r="J389" s="1">
        <f>VLOOKUP(A389,Nasdaq!A388:C1643,3)</f>
        <v>11713.15</v>
      </c>
    </row>
    <row r="390" spans="1:10" x14ac:dyDescent="0.2">
      <c r="A390" s="2">
        <v>44762</v>
      </c>
      <c r="B390" s="1">
        <f>VLOOKUP(A390,AAPL!A389:C1644,3)</f>
        <v>150.30699999999999</v>
      </c>
      <c r="C390" s="1">
        <f>VLOOKUP(A390,MSFT!A389:C1644,3)</f>
        <v>256.76499999999999</v>
      </c>
      <c r="D390" s="1">
        <f>VLOOKUP(A390,NVDA!A389:C1644,3)</f>
        <v>17.784199999999998</v>
      </c>
      <c r="E390" s="1">
        <f>VLOOKUP(A390,AMD!A389:C1644,3)</f>
        <v>89.43</v>
      </c>
      <c r="F390" s="1">
        <f>VLOOKUP(A390,AMZN!A389:C1644,3)</f>
        <v>122.77</v>
      </c>
      <c r="G390" s="1">
        <f>VLOOKUP(A390,TSLA!A389:C1644,3)</f>
        <v>247.5</v>
      </c>
      <c r="H390" s="1">
        <f>VLOOKUP(A390,GOOGL!A389:C1644,3)</f>
        <v>113.488</v>
      </c>
      <c r="I390" s="1">
        <f>VLOOKUP(A390,META!A389:C1644,3)</f>
        <v>183.09</v>
      </c>
      <c r="J390" s="1">
        <f>VLOOKUP(A390,Nasdaq!A389:C1644,3)</f>
        <v>11897.65</v>
      </c>
    </row>
    <row r="391" spans="1:10" x14ac:dyDescent="0.2">
      <c r="A391" s="2">
        <v>44763</v>
      </c>
      <c r="B391" s="1">
        <f>VLOOKUP(A391,AAPL!A390:C1645,3)</f>
        <v>152.57599999999999</v>
      </c>
      <c r="C391" s="1">
        <f>VLOOKUP(A391,MSFT!A390:C1645,3)</f>
        <v>259.28300000000002</v>
      </c>
      <c r="D391" s="1">
        <f>VLOOKUP(A391,NVDA!A390:C1645,3)</f>
        <v>18.026900000000001</v>
      </c>
      <c r="E391" s="1">
        <f>VLOOKUP(A391,AMD!A390:C1645,3)</f>
        <v>91.09</v>
      </c>
      <c r="F391" s="1">
        <f>VLOOKUP(A391,AMZN!A390:C1645,3)</f>
        <v>124.63</v>
      </c>
      <c r="G391" s="1">
        <f>VLOOKUP(A391,TSLA!A390:C1645,3)</f>
        <v>271.70699999999999</v>
      </c>
      <c r="H391" s="1">
        <f>VLOOKUP(A391,GOOGL!A390:C1645,3)</f>
        <v>113.92700000000001</v>
      </c>
      <c r="I391" s="1">
        <f>VLOOKUP(A391,META!A390:C1645,3)</f>
        <v>183.17</v>
      </c>
      <c r="J391" s="1">
        <f>VLOOKUP(A391,Nasdaq!A390:C1645,3)</f>
        <v>12059.61</v>
      </c>
    </row>
    <row r="392" spans="1:10" x14ac:dyDescent="0.2">
      <c r="A392" s="2">
        <v>44764</v>
      </c>
      <c r="B392" s="1">
        <f>VLOOKUP(A392,AAPL!A391:C1646,3)</f>
        <v>151.33699999999999</v>
      </c>
      <c r="C392" s="1">
        <f>VLOOKUP(A392,MSFT!A391:C1646,3)</f>
        <v>254.89599999999999</v>
      </c>
      <c r="D392" s="1">
        <f>VLOOKUP(A392,NVDA!A391:C1646,3)</f>
        <v>17.297000000000001</v>
      </c>
      <c r="E392" s="1">
        <f>VLOOKUP(A392,AMD!A391:C1646,3)</f>
        <v>88.1</v>
      </c>
      <c r="F392" s="1">
        <f>VLOOKUP(A392,AMZN!A391:C1646,3)</f>
        <v>122.42</v>
      </c>
      <c r="G392" s="1">
        <f>VLOOKUP(A392,TSLA!A391:C1646,3)</f>
        <v>272.24299999999999</v>
      </c>
      <c r="H392" s="1">
        <f>VLOOKUP(A392,GOOGL!A391:C1646,3)</f>
        <v>107.51</v>
      </c>
      <c r="I392" s="1">
        <f>VLOOKUP(A392,META!A391:C1646,3)</f>
        <v>169.27</v>
      </c>
      <c r="J392" s="1">
        <f>VLOOKUP(A392,Nasdaq!A391:C1646,3)</f>
        <v>11834.11</v>
      </c>
    </row>
    <row r="393" spans="1:10" x14ac:dyDescent="0.2">
      <c r="A393" s="2">
        <v>44767</v>
      </c>
      <c r="B393" s="1">
        <f>VLOOKUP(A393,AAPL!A392:C1647,3)</f>
        <v>150.21899999999999</v>
      </c>
      <c r="C393" s="1">
        <f>VLOOKUP(A393,MSFT!A392:C1647,3)</f>
        <v>253.398</v>
      </c>
      <c r="D393" s="1">
        <f>VLOOKUP(A393,NVDA!A392:C1647,3)</f>
        <v>17.001999999999999</v>
      </c>
      <c r="E393" s="1">
        <f>VLOOKUP(A393,AMD!A392:C1647,3)</f>
        <v>87.54</v>
      </c>
      <c r="F393" s="1">
        <f>VLOOKUP(A393,AMZN!A392:C1647,3)</f>
        <v>121.14</v>
      </c>
      <c r="G393" s="1">
        <f>VLOOKUP(A393,TSLA!A392:C1647,3)</f>
        <v>268.43299999999999</v>
      </c>
      <c r="H393" s="1">
        <f>VLOOKUP(A393,GOOGL!A392:C1647,3)</f>
        <v>107.122</v>
      </c>
      <c r="I393" s="1">
        <f>VLOOKUP(A393,META!A392:C1647,3)</f>
        <v>166.65</v>
      </c>
      <c r="J393" s="1">
        <f>VLOOKUP(A393,Nasdaq!A392:C1647,3)</f>
        <v>11782.67</v>
      </c>
    </row>
    <row r="394" spans="1:10" x14ac:dyDescent="0.2">
      <c r="A394" s="2">
        <v>44768</v>
      </c>
      <c r="B394" s="1">
        <f>VLOOKUP(A394,AAPL!A393:C1648,3)</f>
        <v>148.89400000000001</v>
      </c>
      <c r="C394" s="1">
        <f>VLOOKUP(A394,MSFT!A393:C1648,3)</f>
        <v>246.613</v>
      </c>
      <c r="D394" s="1">
        <f>VLOOKUP(A394,NVDA!A393:C1648,3)</f>
        <v>16.511800000000001</v>
      </c>
      <c r="E394" s="1">
        <f>VLOOKUP(A394,AMD!A393:C1648,3)</f>
        <v>85.25</v>
      </c>
      <c r="F394" s="1">
        <f>VLOOKUP(A394,AMZN!A393:C1648,3)</f>
        <v>114.81</v>
      </c>
      <c r="G394" s="1">
        <f>VLOOKUP(A394,TSLA!A393:C1648,3)</f>
        <v>258.86</v>
      </c>
      <c r="H394" s="1">
        <f>VLOOKUP(A394,GOOGL!A393:C1648,3)</f>
        <v>104.64100000000001</v>
      </c>
      <c r="I394" s="1">
        <f>VLOOKUP(A394,META!A393:C1648,3)</f>
        <v>159.15</v>
      </c>
      <c r="J394" s="1">
        <f>VLOOKUP(A394,Nasdaq!A393:C1648,3)</f>
        <v>11562.57</v>
      </c>
    </row>
    <row r="395" spans="1:10" x14ac:dyDescent="0.2">
      <c r="A395" s="2">
        <v>44769</v>
      </c>
      <c r="B395" s="1">
        <f>VLOOKUP(A395,AAPL!A394:C1649,3)</f>
        <v>153.99199999999999</v>
      </c>
      <c r="C395" s="1">
        <f>VLOOKUP(A395,MSFT!A394:C1649,3)</f>
        <v>263.10000000000002</v>
      </c>
      <c r="D395" s="1">
        <f>VLOOKUP(A395,NVDA!A394:C1649,3)</f>
        <v>17.767299999999999</v>
      </c>
      <c r="E395" s="1">
        <f>VLOOKUP(A395,AMD!A394:C1649,3)</f>
        <v>89.82</v>
      </c>
      <c r="F395" s="1">
        <f>VLOOKUP(A395,AMZN!A394:C1649,3)</f>
        <v>120.97</v>
      </c>
      <c r="G395" s="1">
        <f>VLOOKUP(A395,TSLA!A394:C1649,3)</f>
        <v>274.82</v>
      </c>
      <c r="H395" s="1">
        <f>VLOOKUP(A395,GOOGL!A394:C1649,3)</f>
        <v>112.651</v>
      </c>
      <c r="I395" s="1">
        <f>VLOOKUP(A395,META!A394:C1649,3)</f>
        <v>169.58</v>
      </c>
      <c r="J395" s="1">
        <f>VLOOKUP(A395,Nasdaq!A394:C1649,3)</f>
        <v>12032.42</v>
      </c>
    </row>
    <row r="396" spans="1:10" x14ac:dyDescent="0.2">
      <c r="A396" s="2">
        <v>44770</v>
      </c>
      <c r="B396" s="1">
        <f>VLOOKUP(A396,AAPL!A395:C1650,3)</f>
        <v>154.54</v>
      </c>
      <c r="C396" s="1">
        <f>VLOOKUP(A396,MSFT!A395:C1650,3)</f>
        <v>270.61</v>
      </c>
      <c r="D396" s="1">
        <f>VLOOKUP(A396,NVDA!A395:C1650,3)</f>
        <v>17.960999999999999</v>
      </c>
      <c r="E396" s="1">
        <f>VLOOKUP(A396,AMD!A395:C1650,3)</f>
        <v>91.67</v>
      </c>
      <c r="F396" s="1">
        <f>VLOOKUP(A396,AMZN!A395:C1650,3)</f>
        <v>122.28</v>
      </c>
      <c r="G396" s="1">
        <f>VLOOKUP(A396,TSLA!A395:C1650,3)</f>
        <v>280.89999999999998</v>
      </c>
      <c r="H396" s="1">
        <f>VLOOKUP(A396,GOOGL!A395:C1650,3)</f>
        <v>113.80800000000001</v>
      </c>
      <c r="I396" s="1">
        <f>VLOOKUP(A396,META!A395:C1650,3)</f>
        <v>160.72</v>
      </c>
      <c r="J396" s="1">
        <f>VLOOKUP(A396,Nasdaq!A395:C1650,3)</f>
        <v>12162.59</v>
      </c>
    </row>
    <row r="397" spans="1:10" x14ac:dyDescent="0.2">
      <c r="A397" s="2">
        <v>44771</v>
      </c>
      <c r="B397" s="1">
        <f>VLOOKUP(A397,AAPL!A396:C1651,3)</f>
        <v>159.60900000000001</v>
      </c>
      <c r="C397" s="1">
        <f>VLOOKUP(A397,MSFT!A396:C1651,3)</f>
        <v>274.84800000000001</v>
      </c>
      <c r="D397" s="1">
        <f>VLOOKUP(A397,NVDA!A396:C1651,3)</f>
        <v>18.139700000000001</v>
      </c>
      <c r="E397" s="1">
        <f>VLOOKUP(A397,AMD!A396:C1651,3)</f>
        <v>94.47</v>
      </c>
      <c r="F397" s="1">
        <f>VLOOKUP(A397,AMZN!A396:C1651,3)</f>
        <v>134.94999999999999</v>
      </c>
      <c r="G397" s="1">
        <f>VLOOKUP(A397,TSLA!A396:C1651,3)</f>
        <v>297.14999999999998</v>
      </c>
      <c r="H397" s="1">
        <f>VLOOKUP(A397,GOOGL!A396:C1651,3)</f>
        <v>115.9</v>
      </c>
      <c r="I397" s="1">
        <f>VLOOKUP(A397,META!A396:C1651,3)</f>
        <v>159.1</v>
      </c>
      <c r="J397" s="1">
        <f>VLOOKUP(A397,Nasdaq!A396:C1651,3)</f>
        <v>12390.69</v>
      </c>
    </row>
    <row r="398" spans="1:10" x14ac:dyDescent="0.2">
      <c r="A398" s="2">
        <v>44774</v>
      </c>
      <c r="B398" s="1">
        <f>VLOOKUP(A398,AAPL!A397:C1652,3)</f>
        <v>158.626</v>
      </c>
      <c r="C398" s="1">
        <f>VLOOKUP(A398,MSFT!A397:C1652,3)</f>
        <v>272.173</v>
      </c>
      <c r="D398" s="1">
        <f>VLOOKUP(A398,NVDA!A397:C1652,3)</f>
        <v>18.417400000000001</v>
      </c>
      <c r="E398" s="1">
        <f>VLOOKUP(A398,AMD!A397:C1652,3)</f>
        <v>96.78</v>
      </c>
      <c r="F398" s="1">
        <f>VLOOKUP(A398,AMZN!A397:C1652,3)</f>
        <v>135.38999999999999</v>
      </c>
      <c r="G398" s="1">
        <f>VLOOKUP(A398,TSLA!A397:C1652,3)</f>
        <v>297.27699999999999</v>
      </c>
      <c r="H398" s="1">
        <f>VLOOKUP(A398,GOOGL!A397:C1652,3)</f>
        <v>114.44499999999999</v>
      </c>
      <c r="I398" s="1">
        <f>VLOOKUP(A398,META!A397:C1652,3)</f>
        <v>159.93</v>
      </c>
      <c r="J398" s="1">
        <f>VLOOKUP(A398,Nasdaq!A397:C1652,3)</f>
        <v>12368.98</v>
      </c>
    </row>
    <row r="399" spans="1:10" x14ac:dyDescent="0.2">
      <c r="A399" s="2">
        <v>44775</v>
      </c>
      <c r="B399" s="1">
        <f>VLOOKUP(A399,AAPL!A398:C1653,3)</f>
        <v>157.15199999999999</v>
      </c>
      <c r="C399" s="1">
        <f>VLOOKUP(A399,MSFT!A398:C1653,3)</f>
        <v>269.05200000000002</v>
      </c>
      <c r="D399" s="1">
        <f>VLOOKUP(A399,NVDA!A398:C1653,3)</f>
        <v>18.502400000000002</v>
      </c>
      <c r="E399" s="1">
        <f>VLOOKUP(A399,AMD!A398:C1653,3)</f>
        <v>99.29</v>
      </c>
      <c r="F399" s="1">
        <f>VLOOKUP(A399,AMZN!A398:C1653,3)</f>
        <v>134.16</v>
      </c>
      <c r="G399" s="1">
        <f>VLOOKUP(A399,TSLA!A398:C1653,3)</f>
        <v>300.58699999999999</v>
      </c>
      <c r="H399" s="1">
        <f>VLOOKUP(A399,GOOGL!A398:C1653,3)</f>
        <v>114.715</v>
      </c>
      <c r="I399" s="1">
        <f>VLOOKUP(A399,META!A398:C1653,3)</f>
        <v>160.19</v>
      </c>
      <c r="J399" s="1">
        <f>VLOOKUP(A399,Nasdaq!A398:C1653,3)</f>
        <v>12348.76</v>
      </c>
    </row>
    <row r="400" spans="1:10" x14ac:dyDescent="0.2">
      <c r="A400" s="2">
        <v>44776</v>
      </c>
      <c r="B400" s="1">
        <f>VLOOKUP(A400,AAPL!A399:C1654,3)</f>
        <v>163.16499999999999</v>
      </c>
      <c r="C400" s="1">
        <f>VLOOKUP(A400,MSFT!A399:C1654,3)</f>
        <v>276.54199999999997</v>
      </c>
      <c r="D400" s="1">
        <f>VLOOKUP(A400,NVDA!A399:C1654,3)</f>
        <v>18.8688</v>
      </c>
      <c r="E400" s="1">
        <f>VLOOKUP(A400,AMD!A399:C1654,3)</f>
        <v>98.09</v>
      </c>
      <c r="F400" s="1">
        <f>VLOOKUP(A400,AMZN!A399:C1654,3)</f>
        <v>139.52000000000001</v>
      </c>
      <c r="G400" s="1">
        <f>VLOOKUP(A400,TSLA!A399:C1654,3)</f>
        <v>307.39699999999999</v>
      </c>
      <c r="H400" s="1">
        <f>VLOOKUP(A400,GOOGL!A399:C1654,3)</f>
        <v>117.654</v>
      </c>
      <c r="I400" s="1">
        <f>VLOOKUP(A400,META!A399:C1654,3)</f>
        <v>168.8</v>
      </c>
      <c r="J400" s="1">
        <f>VLOOKUP(A400,Nasdaq!A399:C1654,3)</f>
        <v>12668.16</v>
      </c>
    </row>
    <row r="401" spans="1:10" x14ac:dyDescent="0.2">
      <c r="A401" s="2">
        <v>44777</v>
      </c>
      <c r="B401" s="1">
        <f>VLOOKUP(A401,AAPL!A400:C1655,3)</f>
        <v>162.84899999999999</v>
      </c>
      <c r="C401" s="1">
        <f>VLOOKUP(A401,MSFT!A400:C1655,3)</f>
        <v>277.69600000000003</v>
      </c>
      <c r="D401" s="1">
        <f>VLOOKUP(A401,NVDA!A400:C1655,3)</f>
        <v>19.1904</v>
      </c>
      <c r="E401" s="1">
        <f>VLOOKUP(A401,AMD!A400:C1655,3)</f>
        <v>103.91</v>
      </c>
      <c r="F401" s="1">
        <f>VLOOKUP(A401,AMZN!A400:C1655,3)</f>
        <v>142.57</v>
      </c>
      <c r="G401" s="1">
        <f>VLOOKUP(A401,TSLA!A400:C1655,3)</f>
        <v>308.63299999999998</v>
      </c>
      <c r="H401" s="1">
        <f>VLOOKUP(A401,GOOGL!A400:C1655,3)</f>
        <v>117.764</v>
      </c>
      <c r="I401" s="1">
        <f>VLOOKUP(A401,META!A400:C1655,3)</f>
        <v>170.57</v>
      </c>
      <c r="J401" s="1">
        <f>VLOOKUP(A401,Nasdaq!A400:C1655,3)</f>
        <v>12720.58</v>
      </c>
    </row>
    <row r="402" spans="1:10" x14ac:dyDescent="0.2">
      <c r="A402" s="2">
        <v>44778</v>
      </c>
      <c r="B402" s="1">
        <f>VLOOKUP(A402,AAPL!A401:C1656,3)</f>
        <v>162.62200000000001</v>
      </c>
      <c r="C402" s="1">
        <f>VLOOKUP(A402,MSFT!A401:C1656,3)</f>
        <v>276.97399999999999</v>
      </c>
      <c r="D402" s="1">
        <f>VLOOKUP(A402,NVDA!A401:C1656,3)</f>
        <v>18.964600000000001</v>
      </c>
      <c r="E402" s="1">
        <f>VLOOKUP(A402,AMD!A401:C1656,3)</f>
        <v>102.31</v>
      </c>
      <c r="F402" s="1">
        <f>VLOOKUP(A402,AMZN!A401:C1656,3)</f>
        <v>140.80000000000001</v>
      </c>
      <c r="G402" s="1">
        <f>VLOOKUP(A402,TSLA!A401:C1656,3)</f>
        <v>288.17</v>
      </c>
      <c r="H402" s="1">
        <f>VLOOKUP(A402,GOOGL!A401:C1656,3)</f>
        <v>117.04600000000001</v>
      </c>
      <c r="I402" s="1">
        <f>VLOOKUP(A402,META!A401:C1656,3)</f>
        <v>167.11</v>
      </c>
      <c r="J402" s="1">
        <f>VLOOKUP(A402,Nasdaq!A401:C1656,3)</f>
        <v>12657.55</v>
      </c>
    </row>
    <row r="403" spans="1:10" x14ac:dyDescent="0.2">
      <c r="A403" s="2">
        <v>44781</v>
      </c>
      <c r="B403" s="1">
        <f>VLOOKUP(A403,AAPL!A402:C1657,3)</f>
        <v>162.15100000000001</v>
      </c>
      <c r="C403" s="1">
        <f>VLOOKUP(A403,MSFT!A402:C1657,3)</f>
        <v>274.43599999999998</v>
      </c>
      <c r="D403" s="1">
        <f>VLOOKUP(A403,NVDA!A402:C1657,3)</f>
        <v>17.770299999999999</v>
      </c>
      <c r="E403" s="1">
        <f>VLOOKUP(A403,AMD!A402:C1657,3)</f>
        <v>100.07</v>
      </c>
      <c r="F403" s="1">
        <f>VLOOKUP(A403,AMZN!A402:C1657,3)</f>
        <v>139.41</v>
      </c>
      <c r="G403" s="1">
        <f>VLOOKUP(A403,TSLA!A402:C1657,3)</f>
        <v>290.423</v>
      </c>
      <c r="H403" s="1">
        <f>VLOOKUP(A403,GOOGL!A402:C1657,3)</f>
        <v>116.877</v>
      </c>
      <c r="I403" s="1">
        <f>VLOOKUP(A403,META!A402:C1657,3)</f>
        <v>170.25</v>
      </c>
      <c r="J403" s="1">
        <f>VLOOKUP(A403,Nasdaq!A402:C1657,3)</f>
        <v>12644.46</v>
      </c>
    </row>
    <row r="404" spans="1:10" x14ac:dyDescent="0.2">
      <c r="A404" s="2">
        <v>44782</v>
      </c>
      <c r="B404" s="1">
        <f>VLOOKUP(A404,AAPL!A403:C1658,3)</f>
        <v>162.20099999999999</v>
      </c>
      <c r="C404" s="1">
        <f>VLOOKUP(A404,MSFT!A403:C1658,3)</f>
        <v>276.375</v>
      </c>
      <c r="D404" s="1">
        <f>VLOOKUP(A404,NVDA!A403:C1658,3)</f>
        <v>17.064</v>
      </c>
      <c r="E404" s="1">
        <f>VLOOKUP(A404,AMD!A403:C1658,3)</f>
        <v>95.54</v>
      </c>
      <c r="F404" s="1">
        <f>VLOOKUP(A404,AMZN!A403:C1658,3)</f>
        <v>137.83000000000001</v>
      </c>
      <c r="G404" s="1">
        <f>VLOOKUP(A404,TSLA!A403:C1658,3)</f>
        <v>283.33300000000003</v>
      </c>
      <c r="H404" s="1">
        <f>VLOOKUP(A404,GOOGL!A403:C1658,3)</f>
        <v>116.209</v>
      </c>
      <c r="I404" s="1">
        <f>VLOOKUP(A404,META!A403:C1658,3)</f>
        <v>168.53</v>
      </c>
      <c r="J404" s="1">
        <f>VLOOKUP(A404,Nasdaq!A403:C1658,3)</f>
        <v>12493.93</v>
      </c>
    </row>
    <row r="405" spans="1:10" x14ac:dyDescent="0.2">
      <c r="A405" s="2">
        <v>44783</v>
      </c>
      <c r="B405" s="1">
        <f>VLOOKUP(A405,AAPL!A404:C1659,3)</f>
        <v>166.44900000000001</v>
      </c>
      <c r="C405" s="1">
        <f>VLOOKUP(A405,MSFT!A404:C1659,3)</f>
        <v>283.09100000000001</v>
      </c>
      <c r="D405" s="1">
        <f>VLOOKUP(A405,NVDA!A404:C1659,3)</f>
        <v>18.073899999999998</v>
      </c>
      <c r="E405" s="1">
        <f>VLOOKUP(A405,AMD!A404:C1659,3)</f>
        <v>99.05</v>
      </c>
      <c r="F405" s="1">
        <f>VLOOKUP(A405,AMZN!A404:C1659,3)</f>
        <v>142.69</v>
      </c>
      <c r="G405" s="1">
        <f>VLOOKUP(A405,TSLA!A404:C1659,3)</f>
        <v>294.35700000000003</v>
      </c>
      <c r="H405" s="1">
        <f>VLOOKUP(A405,GOOGL!A404:C1659,3)</f>
        <v>119.268</v>
      </c>
      <c r="I405" s="1">
        <f>VLOOKUP(A405,META!A404:C1659,3)</f>
        <v>178.34</v>
      </c>
      <c r="J405" s="1">
        <f>VLOOKUP(A405,Nasdaq!A404:C1659,3)</f>
        <v>12854.8</v>
      </c>
    </row>
    <row r="406" spans="1:10" x14ac:dyDescent="0.2">
      <c r="A406" s="2">
        <v>44784</v>
      </c>
      <c r="B406" s="1">
        <f>VLOOKUP(A406,AAPL!A405:C1660,3)</f>
        <v>165.71199999999999</v>
      </c>
      <c r="C406" s="1">
        <f>VLOOKUP(A406,MSFT!A405:C1660,3)</f>
        <v>280.995</v>
      </c>
      <c r="D406" s="1">
        <f>VLOOKUP(A406,NVDA!A405:C1660,3)</f>
        <v>17.9191</v>
      </c>
      <c r="E406" s="1">
        <f>VLOOKUP(A406,AMD!A405:C1660,3)</f>
        <v>98.12</v>
      </c>
      <c r="F406" s="1">
        <f>VLOOKUP(A406,AMZN!A405:C1660,3)</f>
        <v>140.63999999999999</v>
      </c>
      <c r="G406" s="1">
        <f>VLOOKUP(A406,TSLA!A405:C1660,3)</f>
        <v>286.63</v>
      </c>
      <c r="H406" s="1">
        <f>VLOOKUP(A406,GOOGL!A405:C1660,3)</f>
        <v>118.411</v>
      </c>
      <c r="I406" s="1">
        <f>VLOOKUP(A406,META!A405:C1660,3)</f>
        <v>177.49</v>
      </c>
      <c r="J406" s="1">
        <f>VLOOKUP(A406,Nasdaq!A405:C1660,3)</f>
        <v>12779.91</v>
      </c>
    </row>
    <row r="407" spans="1:10" x14ac:dyDescent="0.2">
      <c r="A407" s="2">
        <v>44785</v>
      </c>
      <c r="B407" s="1">
        <f>VLOOKUP(A407,AAPL!A406:C1661,3)</f>
        <v>169.262</v>
      </c>
      <c r="C407" s="1">
        <f>VLOOKUP(A407,MSFT!A406:C1661,3)</f>
        <v>285.78399999999999</v>
      </c>
      <c r="D407" s="1">
        <f>VLOOKUP(A407,NVDA!A406:C1661,3)</f>
        <v>18.685099999999998</v>
      </c>
      <c r="E407" s="1">
        <f>VLOOKUP(A407,AMD!A406:C1661,3)</f>
        <v>100.83</v>
      </c>
      <c r="F407" s="1">
        <f>VLOOKUP(A407,AMZN!A406:C1661,3)</f>
        <v>143.55000000000001</v>
      </c>
      <c r="G407" s="1">
        <f>VLOOKUP(A407,TSLA!A406:C1661,3)</f>
        <v>300.02999999999997</v>
      </c>
      <c r="H407" s="1">
        <f>VLOOKUP(A407,GOOGL!A406:C1661,3)</f>
        <v>121.241</v>
      </c>
      <c r="I407" s="1">
        <f>VLOOKUP(A407,META!A406:C1661,3)</f>
        <v>180.5</v>
      </c>
      <c r="J407" s="1">
        <f>VLOOKUP(A407,Nasdaq!A406:C1661,3)</f>
        <v>13047.19</v>
      </c>
    </row>
    <row r="408" spans="1:10" x14ac:dyDescent="0.2">
      <c r="A408" s="2">
        <v>44788</v>
      </c>
      <c r="B408" s="1">
        <f>VLOOKUP(A408,AAPL!A407:C1662,3)</f>
        <v>170.333</v>
      </c>
      <c r="C408" s="1">
        <f>VLOOKUP(A408,MSFT!A407:C1662,3)</f>
        <v>287.31</v>
      </c>
      <c r="D408" s="1">
        <f>VLOOKUP(A408,NVDA!A407:C1662,3)</f>
        <v>19.0075</v>
      </c>
      <c r="E408" s="1">
        <f>VLOOKUP(A408,AMD!A407:C1662,3)</f>
        <v>101.01</v>
      </c>
      <c r="F408" s="1">
        <f>VLOOKUP(A408,AMZN!A407:C1662,3)</f>
        <v>143.18</v>
      </c>
      <c r="G408" s="1">
        <f>VLOOKUP(A408,TSLA!A407:C1662,3)</f>
        <v>309.32</v>
      </c>
      <c r="H408" s="1">
        <f>VLOOKUP(A408,GOOGL!A407:C1662,3)</f>
        <v>121.639</v>
      </c>
      <c r="I408" s="1">
        <f>VLOOKUP(A408,META!A407:C1662,3)</f>
        <v>180.89</v>
      </c>
      <c r="J408" s="1">
        <f>VLOOKUP(A408,Nasdaq!A407:C1662,3)</f>
        <v>13128.05</v>
      </c>
    </row>
    <row r="409" spans="1:10" x14ac:dyDescent="0.2">
      <c r="A409" s="2">
        <v>44789</v>
      </c>
      <c r="B409" s="1">
        <f>VLOOKUP(A409,AAPL!A408:C1663,3)</f>
        <v>170.17699999999999</v>
      </c>
      <c r="C409" s="1">
        <f>VLOOKUP(A409,MSFT!A408:C1663,3)</f>
        <v>286.565</v>
      </c>
      <c r="D409" s="1">
        <f>VLOOKUP(A409,NVDA!A408:C1663,3)</f>
        <v>18.854800000000001</v>
      </c>
      <c r="E409" s="1">
        <f>VLOOKUP(A409,AMD!A408:C1663,3)</f>
        <v>100.2</v>
      </c>
      <c r="F409" s="1">
        <f>VLOOKUP(A409,AMZN!A408:C1663,3)</f>
        <v>144.78</v>
      </c>
      <c r="G409" s="1">
        <f>VLOOKUP(A409,TSLA!A408:C1663,3)</f>
        <v>306.56299999999999</v>
      </c>
      <c r="H409" s="1">
        <f>VLOOKUP(A409,GOOGL!A408:C1663,3)</f>
        <v>121.26</v>
      </c>
      <c r="I409" s="1">
        <f>VLOOKUP(A409,META!A408:C1663,3)</f>
        <v>179.47</v>
      </c>
      <c r="J409" s="1">
        <f>VLOOKUP(A409,Nasdaq!A408:C1663,3)</f>
        <v>13102.55</v>
      </c>
    </row>
    <row r="410" spans="1:10" x14ac:dyDescent="0.2">
      <c r="A410" s="2">
        <v>44790</v>
      </c>
      <c r="B410" s="1">
        <f>VLOOKUP(A410,AAPL!A409:C1664,3)</f>
        <v>171.672</v>
      </c>
      <c r="C410" s="1">
        <f>VLOOKUP(A410,MSFT!A409:C1664,3)</f>
        <v>285.81099999999998</v>
      </c>
      <c r="D410" s="1">
        <f>VLOOKUP(A410,NVDA!A409:C1664,3)</f>
        <v>18.311499999999999</v>
      </c>
      <c r="E410" s="1">
        <f>VLOOKUP(A410,AMD!A409:C1664,3)</f>
        <v>98.27</v>
      </c>
      <c r="F410" s="1">
        <f>VLOOKUP(A410,AMZN!A409:C1664,3)</f>
        <v>142.1</v>
      </c>
      <c r="G410" s="1">
        <f>VLOOKUP(A410,TSLA!A409:C1664,3)</f>
        <v>303.99700000000001</v>
      </c>
      <c r="H410" s="1">
        <f>VLOOKUP(A410,GOOGL!A409:C1664,3)</f>
        <v>119.11799999999999</v>
      </c>
      <c r="I410" s="1">
        <f>VLOOKUP(A410,META!A409:C1664,3)</f>
        <v>174.85</v>
      </c>
      <c r="J410" s="1">
        <f>VLOOKUP(A410,Nasdaq!A409:C1664,3)</f>
        <v>12938.12</v>
      </c>
    </row>
    <row r="411" spans="1:10" x14ac:dyDescent="0.2">
      <c r="A411" s="2">
        <v>44791</v>
      </c>
      <c r="B411" s="1">
        <f>VLOOKUP(A411,AAPL!A410:C1665,3)</f>
        <v>171.27799999999999</v>
      </c>
      <c r="C411" s="1">
        <f>VLOOKUP(A411,MSFT!A410:C1665,3)</f>
        <v>284.68400000000003</v>
      </c>
      <c r="D411" s="1">
        <f>VLOOKUP(A411,NVDA!A410:C1665,3)</f>
        <v>18.749099999999999</v>
      </c>
      <c r="E411" s="1">
        <f>VLOOKUP(A411,AMD!A410:C1665,3)</f>
        <v>100.44</v>
      </c>
      <c r="F411" s="1">
        <f>VLOOKUP(A411,AMZN!A410:C1665,3)</f>
        <v>142.30000000000001</v>
      </c>
      <c r="G411" s="1">
        <f>VLOOKUP(A411,TSLA!A410:C1665,3)</f>
        <v>302.87</v>
      </c>
      <c r="H411" s="1">
        <f>VLOOKUP(A411,GOOGL!A410:C1665,3)</f>
        <v>119.736</v>
      </c>
      <c r="I411" s="1">
        <f>VLOOKUP(A411,META!A410:C1665,3)</f>
        <v>174.66</v>
      </c>
      <c r="J411" s="1">
        <f>VLOOKUP(A411,Nasdaq!A410:C1665,3)</f>
        <v>12965.34</v>
      </c>
    </row>
    <row r="412" spans="1:10" x14ac:dyDescent="0.2">
      <c r="A412" s="2">
        <v>44792</v>
      </c>
      <c r="B412" s="1">
        <f>VLOOKUP(A412,AAPL!A411:C1666,3)</f>
        <v>168.69200000000001</v>
      </c>
      <c r="C412" s="1">
        <f>VLOOKUP(A412,MSFT!A411:C1666,3)</f>
        <v>280.73899999999998</v>
      </c>
      <c r="D412" s="1">
        <f>VLOOKUP(A412,NVDA!A411:C1666,3)</f>
        <v>17.8262</v>
      </c>
      <c r="E412" s="1">
        <f>VLOOKUP(A412,AMD!A411:C1666,3)</f>
        <v>95.95</v>
      </c>
      <c r="F412" s="1">
        <f>VLOOKUP(A412,AMZN!A411:C1666,3)</f>
        <v>138.22999999999999</v>
      </c>
      <c r="G412" s="1">
        <f>VLOOKUP(A412,TSLA!A411:C1666,3)</f>
        <v>296.66699999999997</v>
      </c>
      <c r="H412" s="1">
        <f>VLOOKUP(A412,GOOGL!A411:C1666,3)</f>
        <v>116.78700000000001</v>
      </c>
      <c r="I412" s="1">
        <f>VLOOKUP(A412,META!A411:C1666,3)</f>
        <v>167.96</v>
      </c>
      <c r="J412" s="1">
        <f>VLOOKUP(A412,Nasdaq!A411:C1666,3)</f>
        <v>12705.21</v>
      </c>
    </row>
    <row r="413" spans="1:10" x14ac:dyDescent="0.2">
      <c r="A413" s="2">
        <v>44795</v>
      </c>
      <c r="B413" s="1">
        <f>VLOOKUP(A413,AAPL!A412:C1667,3)</f>
        <v>164.80500000000001</v>
      </c>
      <c r="C413" s="1">
        <f>VLOOKUP(A413,MSFT!A412:C1667,3)</f>
        <v>272.49799999999999</v>
      </c>
      <c r="D413" s="1">
        <f>VLOOKUP(A413,NVDA!A412:C1667,3)</f>
        <v>17.012</v>
      </c>
      <c r="E413" s="1">
        <f>VLOOKUP(A413,AMD!A412:C1667,3)</f>
        <v>92.84</v>
      </c>
      <c r="F413" s="1">
        <f>VLOOKUP(A413,AMZN!A412:C1667,3)</f>
        <v>133.22</v>
      </c>
      <c r="G413" s="1">
        <f>VLOOKUP(A413,TSLA!A412:C1667,3)</f>
        <v>289.91300000000001</v>
      </c>
      <c r="H413" s="1">
        <f>VLOOKUP(A413,GOOGL!A412:C1667,3)</f>
        <v>113.828</v>
      </c>
      <c r="I413" s="1">
        <f>VLOOKUP(A413,META!A412:C1667,3)</f>
        <v>163.05000000000001</v>
      </c>
      <c r="J413" s="1">
        <f>VLOOKUP(A413,Nasdaq!A412:C1667,3)</f>
        <v>12381.57</v>
      </c>
    </row>
    <row r="414" spans="1:10" x14ac:dyDescent="0.2">
      <c r="A414" s="2">
        <v>44796</v>
      </c>
      <c r="B414" s="1">
        <f>VLOOKUP(A414,AAPL!A413:C1668,3)</f>
        <v>164.47200000000001</v>
      </c>
      <c r="C414" s="1">
        <f>VLOOKUP(A414,MSFT!A413:C1668,3)</f>
        <v>271.21100000000001</v>
      </c>
      <c r="D414" s="1">
        <f>VLOOKUP(A414,NVDA!A413:C1668,3)</f>
        <v>17.158999999999999</v>
      </c>
      <c r="E414" s="1">
        <f>VLOOKUP(A414,AMD!A413:C1668,3)</f>
        <v>92.49</v>
      </c>
      <c r="F414" s="1">
        <f>VLOOKUP(A414,AMZN!A413:C1668,3)</f>
        <v>133.62</v>
      </c>
      <c r="G414" s="1">
        <f>VLOOKUP(A414,TSLA!A413:C1668,3)</f>
        <v>296.45299999999997</v>
      </c>
      <c r="H414" s="1">
        <f>VLOOKUP(A414,GOOGL!A413:C1668,3)</f>
        <v>113.44799999999999</v>
      </c>
      <c r="I414" s="1">
        <f>VLOOKUP(A414,META!A413:C1668,3)</f>
        <v>161.11000000000001</v>
      </c>
      <c r="J414" s="1">
        <f>VLOOKUP(A414,Nasdaq!A413:C1668,3)</f>
        <v>12381.3</v>
      </c>
    </row>
    <row r="415" spans="1:10" x14ac:dyDescent="0.2">
      <c r="A415" s="2">
        <v>44797</v>
      </c>
      <c r="B415" s="1">
        <f>VLOOKUP(A415,AAPL!A414:C1669,3)</f>
        <v>164.76599999999999</v>
      </c>
      <c r="C415" s="1">
        <f>VLOOKUP(A415,MSFT!A414:C1669,3)</f>
        <v>270.57499999999999</v>
      </c>
      <c r="D415" s="1">
        <f>VLOOKUP(A415,NVDA!A414:C1669,3)</f>
        <v>17.2</v>
      </c>
      <c r="E415" s="1">
        <f>VLOOKUP(A415,AMD!A414:C1669,3)</f>
        <v>92.73</v>
      </c>
      <c r="F415" s="1">
        <f>VLOOKUP(A415,AMZN!A414:C1669,3)</f>
        <v>133.80000000000001</v>
      </c>
      <c r="G415" s="1">
        <f>VLOOKUP(A415,TSLA!A414:C1669,3)</f>
        <v>297.09699999999998</v>
      </c>
      <c r="H415" s="1">
        <f>VLOOKUP(A415,GOOGL!A414:C1669,3)</f>
        <v>113.28</v>
      </c>
      <c r="I415" s="1">
        <f>VLOOKUP(A415,META!A414:C1669,3)</f>
        <v>163.26</v>
      </c>
      <c r="J415" s="1">
        <f>VLOOKUP(A415,Nasdaq!A414:C1669,3)</f>
        <v>12431.53</v>
      </c>
    </row>
    <row r="416" spans="1:10" x14ac:dyDescent="0.2">
      <c r="A416" s="2">
        <v>44798</v>
      </c>
      <c r="B416" s="1">
        <f>VLOOKUP(A416,AAPL!A415:C1670,3)</f>
        <v>167.226</v>
      </c>
      <c r="C416" s="1">
        <f>VLOOKUP(A416,MSFT!A415:C1670,3)</f>
        <v>273.57600000000002</v>
      </c>
      <c r="D416" s="1">
        <f>VLOOKUP(A416,NVDA!A415:C1670,3)</f>
        <v>17.8901</v>
      </c>
      <c r="E416" s="1">
        <f>VLOOKUP(A416,AMD!A415:C1670,3)</f>
        <v>97.18</v>
      </c>
      <c r="F416" s="1">
        <f>VLOOKUP(A416,AMZN!A415:C1670,3)</f>
        <v>137.28</v>
      </c>
      <c r="G416" s="1">
        <f>VLOOKUP(A416,TSLA!A415:C1670,3)</f>
        <v>296.07</v>
      </c>
      <c r="H416" s="1">
        <f>VLOOKUP(A416,GOOGL!A415:C1670,3)</f>
        <v>116.229</v>
      </c>
      <c r="I416" s="1">
        <f>VLOOKUP(A416,META!A415:C1670,3)</f>
        <v>168.78</v>
      </c>
      <c r="J416" s="1">
        <f>VLOOKUP(A416,Nasdaq!A415:C1670,3)</f>
        <v>12639.27</v>
      </c>
    </row>
    <row r="417" spans="1:10" x14ac:dyDescent="0.2">
      <c r="A417" s="2">
        <v>44799</v>
      </c>
      <c r="B417" s="1">
        <f>VLOOKUP(A417,AAPL!A416:C1671,3)</f>
        <v>160.92099999999999</v>
      </c>
      <c r="C417" s="1">
        <f>VLOOKUP(A417,MSFT!A416:C1671,3)</f>
        <v>263.02100000000002</v>
      </c>
      <c r="D417" s="1">
        <f>VLOOKUP(A417,NVDA!A416:C1671,3)</f>
        <v>16.2392</v>
      </c>
      <c r="E417" s="1">
        <f>VLOOKUP(A417,AMD!A416:C1671,3)</f>
        <v>91.18</v>
      </c>
      <c r="F417" s="1">
        <f>VLOOKUP(A417,AMZN!A416:C1671,3)</f>
        <v>130.75</v>
      </c>
      <c r="G417" s="1">
        <f>VLOOKUP(A417,TSLA!A416:C1671,3)</f>
        <v>288.08999999999997</v>
      </c>
      <c r="H417" s="1">
        <f>VLOOKUP(A417,GOOGL!A416:C1671,3)</f>
        <v>109.94199999999999</v>
      </c>
      <c r="I417" s="1">
        <f>VLOOKUP(A417,META!A416:C1671,3)</f>
        <v>161.78</v>
      </c>
      <c r="J417" s="1">
        <f>VLOOKUP(A417,Nasdaq!A416:C1671,3)</f>
        <v>12141.71</v>
      </c>
    </row>
    <row r="418" spans="1:10" x14ac:dyDescent="0.2">
      <c r="A418" s="2">
        <v>44802</v>
      </c>
      <c r="B418" s="1">
        <f>VLOOKUP(A418,AAPL!A417:C1672,3)</f>
        <v>158.71799999999999</v>
      </c>
      <c r="C418" s="1">
        <f>VLOOKUP(A418,MSFT!A417:C1672,3)</f>
        <v>260.21499999999997</v>
      </c>
      <c r="D418" s="1">
        <f>VLOOKUP(A418,NVDA!A417:C1672,3)</f>
        <v>15.780799999999999</v>
      </c>
      <c r="E418" s="1">
        <f>VLOOKUP(A418,AMD!A417:C1672,3)</f>
        <v>88.49</v>
      </c>
      <c r="F418" s="1">
        <f>VLOOKUP(A418,AMZN!A417:C1672,3)</f>
        <v>129.79</v>
      </c>
      <c r="G418" s="1">
        <f>VLOOKUP(A418,TSLA!A417:C1672,3)</f>
        <v>284.82</v>
      </c>
      <c r="H418" s="1">
        <f>VLOOKUP(A418,GOOGL!A417:C1672,3)</f>
        <v>109.02500000000001</v>
      </c>
      <c r="I418" s="1">
        <f>VLOOKUP(A418,META!A417:C1672,3)</f>
        <v>159.16999999999999</v>
      </c>
      <c r="J418" s="1">
        <f>VLOOKUP(A418,Nasdaq!A417:C1672,3)</f>
        <v>12017.67</v>
      </c>
    </row>
    <row r="419" spans="1:10" x14ac:dyDescent="0.2">
      <c r="A419" s="2">
        <v>44803</v>
      </c>
      <c r="B419" s="1">
        <f>VLOOKUP(A419,AAPL!A418:C1673,3)</f>
        <v>156.28899999999999</v>
      </c>
      <c r="C419" s="1">
        <f>VLOOKUP(A419,MSFT!A418:C1673,3)</f>
        <v>257.99700000000001</v>
      </c>
      <c r="D419" s="1">
        <f>VLOOKUP(A419,NVDA!A418:C1673,3)</f>
        <v>15.4481</v>
      </c>
      <c r="E419" s="1">
        <f>VLOOKUP(A419,AMD!A418:C1673,3)</f>
        <v>86.94</v>
      </c>
      <c r="F419" s="1">
        <f>VLOOKUP(A419,AMZN!A418:C1673,3)</f>
        <v>128.72999999999999</v>
      </c>
      <c r="G419" s="1">
        <f>VLOOKUP(A419,TSLA!A418:C1673,3)</f>
        <v>277.7</v>
      </c>
      <c r="H419" s="1">
        <f>VLOOKUP(A419,GOOGL!A418:C1673,3)</f>
        <v>108.547</v>
      </c>
      <c r="I419" s="1">
        <f>VLOOKUP(A419,META!A418:C1673,3)</f>
        <v>157.16</v>
      </c>
      <c r="J419" s="1">
        <f>VLOOKUP(A419,Nasdaq!A418:C1673,3)</f>
        <v>11883.14</v>
      </c>
    </row>
    <row r="420" spans="1:10" x14ac:dyDescent="0.2">
      <c r="A420" s="2">
        <v>44804</v>
      </c>
      <c r="B420" s="1">
        <f>VLOOKUP(A420,AAPL!A419:C1674,3)</f>
        <v>154.62700000000001</v>
      </c>
      <c r="C420" s="1">
        <f>VLOOKUP(A420,MSFT!A419:C1674,3)</f>
        <v>256.52699999999999</v>
      </c>
      <c r="D420" s="1">
        <f>VLOOKUP(A420,NVDA!A419:C1674,3)</f>
        <v>15.0747</v>
      </c>
      <c r="E420" s="1">
        <f>VLOOKUP(A420,AMD!A419:C1674,3)</f>
        <v>84.87</v>
      </c>
      <c r="F420" s="1">
        <f>VLOOKUP(A420,AMZN!A419:C1674,3)</f>
        <v>126.77</v>
      </c>
      <c r="G420" s="1">
        <f>VLOOKUP(A420,TSLA!A419:C1674,3)</f>
        <v>275.61</v>
      </c>
      <c r="H420" s="1">
        <f>VLOOKUP(A420,GOOGL!A419:C1674,3)</f>
        <v>107.82899999999999</v>
      </c>
      <c r="I420" s="1">
        <f>VLOOKUP(A420,META!A419:C1674,3)</f>
        <v>162.93</v>
      </c>
      <c r="J420" s="1">
        <f>VLOOKUP(A420,Nasdaq!A419:C1674,3)</f>
        <v>11816.2</v>
      </c>
    </row>
    <row r="421" spans="1:10" x14ac:dyDescent="0.2">
      <c r="A421" s="2">
        <v>44805</v>
      </c>
      <c r="B421" s="1">
        <f>VLOOKUP(A421,AAPL!A420:C1675,3)</f>
        <v>155.35499999999999</v>
      </c>
      <c r="C421" s="1">
        <f>VLOOKUP(A421,MSFT!A420:C1675,3)</f>
        <v>255.476</v>
      </c>
      <c r="D421" s="1">
        <f>VLOOKUP(A421,NVDA!A420:C1675,3)</f>
        <v>13.9192</v>
      </c>
      <c r="E421" s="1">
        <f>VLOOKUP(A421,AMD!A420:C1675,3)</f>
        <v>82.33</v>
      </c>
      <c r="F421" s="1">
        <f>VLOOKUP(A421,AMZN!A420:C1675,3)</f>
        <v>127.82</v>
      </c>
      <c r="G421" s="1">
        <f>VLOOKUP(A421,TSLA!A420:C1675,3)</f>
        <v>277.16000000000003</v>
      </c>
      <c r="H421" s="1">
        <f>VLOOKUP(A421,GOOGL!A420:C1675,3)</f>
        <v>109.34399999999999</v>
      </c>
      <c r="I421" s="1">
        <f>VLOOKUP(A421,META!A420:C1675,3)</f>
        <v>165.36</v>
      </c>
      <c r="J421" s="1">
        <f>VLOOKUP(A421,Nasdaq!A420:C1675,3)</f>
        <v>11785.13</v>
      </c>
    </row>
    <row r="422" spans="1:10" x14ac:dyDescent="0.2">
      <c r="A422" s="2">
        <v>44806</v>
      </c>
      <c r="B422" s="1">
        <f>VLOOKUP(A422,AAPL!A421:C1676,3)</f>
        <v>153.24100000000001</v>
      </c>
      <c r="C422" s="1">
        <f>VLOOKUP(A422,MSFT!A421:C1676,3)</f>
        <v>251.21600000000001</v>
      </c>
      <c r="D422" s="1">
        <f>VLOOKUP(A422,NVDA!A421:C1676,3)</f>
        <v>13.6296</v>
      </c>
      <c r="E422" s="1">
        <f>VLOOKUP(A422,AMD!A421:C1676,3)</f>
        <v>80.239999999999995</v>
      </c>
      <c r="F422" s="1">
        <f>VLOOKUP(A422,AMZN!A421:C1676,3)</f>
        <v>127.51</v>
      </c>
      <c r="G422" s="1">
        <f>VLOOKUP(A422,TSLA!A421:C1676,3)</f>
        <v>270.20999999999998</v>
      </c>
      <c r="H422" s="1">
        <f>VLOOKUP(A422,GOOGL!A421:C1676,3)</f>
        <v>107.46</v>
      </c>
      <c r="I422" s="1">
        <f>VLOOKUP(A422,META!A421:C1676,3)</f>
        <v>160.32</v>
      </c>
      <c r="J422" s="1">
        <f>VLOOKUP(A422,Nasdaq!A421:C1676,3)</f>
        <v>11630.86</v>
      </c>
    </row>
    <row r="423" spans="1:10" x14ac:dyDescent="0.2">
      <c r="A423" s="2">
        <v>44810</v>
      </c>
      <c r="B423" s="1">
        <f>VLOOKUP(A423,AAPL!A422:C1677,3)</f>
        <v>151.97999999999999</v>
      </c>
      <c r="C423" s="1">
        <f>VLOOKUP(A423,MSFT!A422:C1677,3)</f>
        <v>248.46100000000001</v>
      </c>
      <c r="D423" s="1">
        <f>VLOOKUP(A423,NVDA!A422:C1677,3)</f>
        <v>13.447800000000001</v>
      </c>
      <c r="E423" s="1">
        <f>VLOOKUP(A423,AMD!A422:C1677,3)</f>
        <v>78.72</v>
      </c>
      <c r="F423" s="1">
        <f>VLOOKUP(A423,AMZN!A422:C1677,3)</f>
        <v>126.11</v>
      </c>
      <c r="G423" s="1">
        <f>VLOOKUP(A423,TSLA!A422:C1677,3)</f>
        <v>274.42</v>
      </c>
      <c r="H423" s="1">
        <f>VLOOKUP(A423,GOOGL!A422:C1677,3)</f>
        <v>106.425</v>
      </c>
      <c r="I423" s="1">
        <f>VLOOKUP(A423,META!A422:C1677,3)</f>
        <v>158.54</v>
      </c>
      <c r="J423" s="1">
        <f>VLOOKUP(A423,Nasdaq!A422:C1677,3)</f>
        <v>11544.91</v>
      </c>
    </row>
    <row r="424" spans="1:10" x14ac:dyDescent="0.2">
      <c r="A424" s="2">
        <v>44811</v>
      </c>
      <c r="B424" s="1">
        <f>VLOOKUP(A424,AAPL!A423:C1678,3)</f>
        <v>153.38800000000001</v>
      </c>
      <c r="C424" s="1">
        <f>VLOOKUP(A424,MSFT!A423:C1678,3)</f>
        <v>253.21</v>
      </c>
      <c r="D424" s="1">
        <f>VLOOKUP(A424,NVDA!A423:C1678,3)</f>
        <v>13.700699999999999</v>
      </c>
      <c r="E424" s="1">
        <f>VLOOKUP(A424,AMD!A423:C1678,3)</f>
        <v>79.61</v>
      </c>
      <c r="F424" s="1">
        <f>VLOOKUP(A424,AMZN!A423:C1678,3)</f>
        <v>129.47999999999999</v>
      </c>
      <c r="G424" s="1">
        <f>VLOOKUP(A424,TSLA!A423:C1678,3)</f>
        <v>283.7</v>
      </c>
      <c r="H424" s="1">
        <f>VLOOKUP(A424,GOOGL!A423:C1678,3)</f>
        <v>109.05500000000001</v>
      </c>
      <c r="I424" s="1">
        <f>VLOOKUP(A424,META!A423:C1678,3)</f>
        <v>160.38999999999999</v>
      </c>
      <c r="J424" s="1">
        <f>VLOOKUP(A424,Nasdaq!A423:C1678,3)</f>
        <v>11791.9</v>
      </c>
    </row>
    <row r="425" spans="1:10" x14ac:dyDescent="0.2">
      <c r="A425" s="2">
        <v>44812</v>
      </c>
      <c r="B425" s="1">
        <f>VLOOKUP(A425,AAPL!A424:C1679,3)</f>
        <v>151.91200000000001</v>
      </c>
      <c r="C425" s="1">
        <f>VLOOKUP(A425,MSFT!A424:C1679,3)</f>
        <v>253.63</v>
      </c>
      <c r="D425" s="1">
        <f>VLOOKUP(A425,NVDA!A424:C1679,3)</f>
        <v>13.9762</v>
      </c>
      <c r="E425" s="1">
        <f>VLOOKUP(A425,AMD!A424:C1679,3)</f>
        <v>82.78</v>
      </c>
      <c r="F425" s="1">
        <f>VLOOKUP(A425,AMZN!A424:C1679,3)</f>
        <v>129.82</v>
      </c>
      <c r="G425" s="1">
        <f>VLOOKUP(A425,TSLA!A424:C1679,3)</f>
        <v>289.26</v>
      </c>
      <c r="H425" s="1">
        <f>VLOOKUP(A425,GOOGL!A424:C1679,3)</f>
        <v>107.989</v>
      </c>
      <c r="I425" s="1">
        <f>VLOOKUP(A425,META!A424:C1679,3)</f>
        <v>162.06</v>
      </c>
      <c r="J425" s="1">
        <f>VLOOKUP(A425,Nasdaq!A424:C1679,3)</f>
        <v>11862.13</v>
      </c>
    </row>
    <row r="426" spans="1:10" x14ac:dyDescent="0.2">
      <c r="A426" s="2">
        <v>44813</v>
      </c>
      <c r="B426" s="1">
        <f>VLOOKUP(A426,AAPL!A425:C1680,3)</f>
        <v>154.774</v>
      </c>
      <c r="C426" s="1">
        <f>VLOOKUP(A426,MSFT!A425:C1680,3)</f>
        <v>259.45800000000003</v>
      </c>
      <c r="D426" s="1">
        <f>VLOOKUP(A426,NVDA!A425:C1680,3)</f>
        <v>14.3728</v>
      </c>
      <c r="E426" s="1">
        <f>VLOOKUP(A426,AMD!A425:C1680,3)</f>
        <v>85.45</v>
      </c>
      <c r="F426" s="1">
        <f>VLOOKUP(A426,AMZN!A425:C1680,3)</f>
        <v>133.27000000000001</v>
      </c>
      <c r="G426" s="1">
        <f>VLOOKUP(A426,TSLA!A425:C1680,3)</f>
        <v>299.68</v>
      </c>
      <c r="H426" s="1">
        <f>VLOOKUP(A426,GOOGL!A425:C1680,3)</f>
        <v>110.251</v>
      </c>
      <c r="I426" s="1">
        <f>VLOOKUP(A426,META!A425:C1680,3)</f>
        <v>169.15</v>
      </c>
      <c r="J426" s="1">
        <f>VLOOKUP(A426,Nasdaq!A425:C1680,3)</f>
        <v>12112.31</v>
      </c>
    </row>
    <row r="427" spans="1:10" x14ac:dyDescent="0.2">
      <c r="A427" s="2">
        <v>44816</v>
      </c>
      <c r="B427" s="1">
        <f>VLOOKUP(A427,AAPL!A426:C1681,3)</f>
        <v>160.73400000000001</v>
      </c>
      <c r="C427" s="1">
        <f>VLOOKUP(A427,MSFT!A426:C1681,3)</f>
        <v>261.608</v>
      </c>
      <c r="D427" s="1">
        <f>VLOOKUP(A427,NVDA!A426:C1681,3)</f>
        <v>14.4907</v>
      </c>
      <c r="E427" s="1">
        <f>VLOOKUP(A427,AMD!A426:C1681,3)</f>
        <v>84.64</v>
      </c>
      <c r="F427" s="1">
        <f>VLOOKUP(A427,AMZN!A426:C1681,3)</f>
        <v>136.44999999999999</v>
      </c>
      <c r="G427" s="1">
        <f>VLOOKUP(A427,TSLA!A426:C1681,3)</f>
        <v>304.42</v>
      </c>
      <c r="H427" s="1">
        <f>VLOOKUP(A427,GOOGL!A426:C1681,3)</f>
        <v>110.459</v>
      </c>
      <c r="I427" s="1">
        <f>VLOOKUP(A427,META!A426:C1681,3)</f>
        <v>168.96</v>
      </c>
      <c r="J427" s="1">
        <f>VLOOKUP(A427,Nasdaq!A426:C1681,3)</f>
        <v>12266.41</v>
      </c>
    </row>
    <row r="428" spans="1:10" x14ac:dyDescent="0.2">
      <c r="A428" s="2">
        <v>44817</v>
      </c>
      <c r="B428" s="1">
        <f>VLOOKUP(A428,AAPL!A427:C1682,3)</f>
        <v>151.30099999999999</v>
      </c>
      <c r="C428" s="1">
        <f>VLOOKUP(A428,MSFT!A427:C1682,3)</f>
        <v>247.22399999999999</v>
      </c>
      <c r="D428" s="1">
        <f>VLOOKUP(A428,NVDA!A427:C1682,3)</f>
        <v>13.118</v>
      </c>
      <c r="E428" s="1">
        <f>VLOOKUP(A428,AMD!A427:C1682,3)</f>
        <v>77.03</v>
      </c>
      <c r="F428" s="1">
        <f>VLOOKUP(A428,AMZN!A427:C1682,3)</f>
        <v>126.82</v>
      </c>
      <c r="G428" s="1">
        <f>VLOOKUP(A428,TSLA!A427:C1682,3)</f>
        <v>292.13</v>
      </c>
      <c r="H428" s="1">
        <f>VLOOKUP(A428,GOOGL!A427:C1682,3)</f>
        <v>103.943</v>
      </c>
      <c r="I428" s="1">
        <f>VLOOKUP(A428,META!A427:C1682,3)</f>
        <v>153.13</v>
      </c>
      <c r="J428" s="1">
        <f>VLOOKUP(A428,Nasdaq!A427:C1682,3)</f>
        <v>11633.57</v>
      </c>
    </row>
    <row r="429" spans="1:10" x14ac:dyDescent="0.2">
      <c r="A429" s="2">
        <v>44818</v>
      </c>
      <c r="B429" s="1">
        <f>VLOOKUP(A429,AAPL!A428:C1683,3)</f>
        <v>152.74700000000001</v>
      </c>
      <c r="C429" s="1">
        <f>VLOOKUP(A429,MSFT!A428:C1683,3)</f>
        <v>247.45099999999999</v>
      </c>
      <c r="D429" s="1">
        <f>VLOOKUP(A429,NVDA!A428:C1683,3)</f>
        <v>13.115</v>
      </c>
      <c r="E429" s="1">
        <f>VLOOKUP(A429,AMD!A428:C1683,3)</f>
        <v>77.45</v>
      </c>
      <c r="F429" s="1">
        <f>VLOOKUP(A429,AMZN!A428:C1683,3)</f>
        <v>128.55000000000001</v>
      </c>
      <c r="G429" s="1">
        <f>VLOOKUP(A429,TSLA!A428:C1683,3)</f>
        <v>302.61</v>
      </c>
      <c r="H429" s="1">
        <f>VLOOKUP(A429,GOOGL!A428:C1683,3)</f>
        <v>104.621</v>
      </c>
      <c r="I429" s="1">
        <f>VLOOKUP(A429,META!A428:C1683,3)</f>
        <v>151.47</v>
      </c>
      <c r="J429" s="1">
        <f>VLOOKUP(A429,Nasdaq!A428:C1683,3)</f>
        <v>11719.68</v>
      </c>
    </row>
    <row r="430" spans="1:10" x14ac:dyDescent="0.2">
      <c r="A430" s="2">
        <v>44819</v>
      </c>
      <c r="B430" s="1">
        <f>VLOOKUP(A430,AAPL!A429:C1684,3)</f>
        <v>149.857</v>
      </c>
      <c r="C430" s="1">
        <f>VLOOKUP(A430,MSFT!A429:C1684,3)</f>
        <v>240.739</v>
      </c>
      <c r="D430" s="1">
        <f>VLOOKUP(A430,NVDA!A429:C1684,3)</f>
        <v>12.9163</v>
      </c>
      <c r="E430" s="1">
        <f>VLOOKUP(A430,AMD!A429:C1684,3)</f>
        <v>76.66</v>
      </c>
      <c r="F430" s="1">
        <f>VLOOKUP(A430,AMZN!A429:C1684,3)</f>
        <v>126.28</v>
      </c>
      <c r="G430" s="1">
        <f>VLOOKUP(A430,TSLA!A429:C1684,3)</f>
        <v>303.75</v>
      </c>
      <c r="H430" s="1">
        <f>VLOOKUP(A430,GOOGL!A429:C1684,3)</f>
        <v>102.538</v>
      </c>
      <c r="I430" s="1">
        <f>VLOOKUP(A430,META!A429:C1684,3)</f>
        <v>149.55000000000001</v>
      </c>
      <c r="J430" s="1">
        <f>VLOOKUP(A430,Nasdaq!A429:C1684,3)</f>
        <v>11552.36</v>
      </c>
    </row>
    <row r="431" spans="1:10" x14ac:dyDescent="0.2">
      <c r="A431" s="2">
        <v>44820</v>
      </c>
      <c r="B431" s="1">
        <f>VLOOKUP(A431,AAPL!A430:C1685,3)</f>
        <v>148.214</v>
      </c>
      <c r="C431" s="1">
        <f>VLOOKUP(A431,MSFT!A430:C1685,3)</f>
        <v>240.11</v>
      </c>
      <c r="D431" s="1">
        <f>VLOOKUP(A431,NVDA!A430:C1685,3)</f>
        <v>13.185</v>
      </c>
      <c r="E431" s="1">
        <f>VLOOKUP(A431,AMD!A430:C1685,3)</f>
        <v>76.510000000000005</v>
      </c>
      <c r="F431" s="1">
        <f>VLOOKUP(A431,AMZN!A430:C1685,3)</f>
        <v>123.53</v>
      </c>
      <c r="G431" s="1">
        <f>VLOOKUP(A431,TSLA!A430:C1685,3)</f>
        <v>303.35000000000002</v>
      </c>
      <c r="H431" s="1">
        <f>VLOOKUP(A431,GOOGL!A430:C1685,3)</f>
        <v>102.429</v>
      </c>
      <c r="I431" s="1">
        <f>VLOOKUP(A431,META!A430:C1685,3)</f>
        <v>146.29</v>
      </c>
      <c r="J431" s="1">
        <f>VLOOKUP(A431,Nasdaq!A430:C1685,3)</f>
        <v>11448.4</v>
      </c>
    </row>
    <row r="432" spans="1:10" x14ac:dyDescent="0.2">
      <c r="A432" s="2">
        <v>44823</v>
      </c>
      <c r="B432" s="1">
        <f>VLOOKUP(A432,AAPL!A431:C1686,3)</f>
        <v>151.93199999999999</v>
      </c>
      <c r="C432" s="1">
        <f>VLOOKUP(A432,MSFT!A431:C1686,3)</f>
        <v>239.89599999999999</v>
      </c>
      <c r="D432" s="1">
        <f>VLOOKUP(A432,NVDA!A431:C1686,3)</f>
        <v>13.3689</v>
      </c>
      <c r="E432" s="1">
        <f>VLOOKUP(A432,AMD!A431:C1686,3)</f>
        <v>76.77</v>
      </c>
      <c r="F432" s="1">
        <f>VLOOKUP(A432,AMZN!A431:C1686,3)</f>
        <v>124.66</v>
      </c>
      <c r="G432" s="1">
        <f>VLOOKUP(A432,TSLA!A431:C1686,3)</f>
        <v>309.07</v>
      </c>
      <c r="H432" s="1">
        <f>VLOOKUP(A432,GOOGL!A431:C1686,3)</f>
        <v>102.69799999999999</v>
      </c>
      <c r="I432" s="1">
        <f>VLOOKUP(A432,META!A431:C1686,3)</f>
        <v>148.02000000000001</v>
      </c>
      <c r="J432" s="1">
        <f>VLOOKUP(A432,Nasdaq!A431:C1686,3)</f>
        <v>11535.02</v>
      </c>
    </row>
    <row r="433" spans="1:10" x14ac:dyDescent="0.2">
      <c r="A433" s="2">
        <v>44824</v>
      </c>
      <c r="B433" s="1">
        <f>VLOOKUP(A433,AAPL!A432:C1687,3)</f>
        <v>154.31</v>
      </c>
      <c r="C433" s="1">
        <f>VLOOKUP(A433,MSFT!A432:C1687,3)</f>
        <v>237.86600000000001</v>
      </c>
      <c r="D433" s="1">
        <f>VLOOKUP(A433,NVDA!A432:C1687,3)</f>
        <v>13.163</v>
      </c>
      <c r="E433" s="1">
        <f>VLOOKUP(A433,AMD!A432:C1687,3)</f>
        <v>75.25</v>
      </c>
      <c r="F433" s="1">
        <f>VLOOKUP(A433,AMZN!A432:C1687,3)</f>
        <v>122.19</v>
      </c>
      <c r="G433" s="1">
        <f>VLOOKUP(A433,TSLA!A432:C1687,3)</f>
        <v>308.73</v>
      </c>
      <c r="H433" s="1">
        <f>VLOOKUP(A433,GOOGL!A432:C1687,3)</f>
        <v>100.77500000000001</v>
      </c>
      <c r="I433" s="1">
        <f>VLOOKUP(A433,META!A432:C1687,3)</f>
        <v>146.09</v>
      </c>
      <c r="J433" s="1">
        <f>VLOOKUP(A433,Nasdaq!A432:C1687,3)</f>
        <v>11425.05</v>
      </c>
    </row>
    <row r="434" spans="1:10" x14ac:dyDescent="0.2">
      <c r="A434" s="2">
        <v>44825</v>
      </c>
      <c r="B434" s="1">
        <f>VLOOKUP(A434,AAPL!A433:C1688,3)</f>
        <v>151.184</v>
      </c>
      <c r="C434" s="1">
        <f>VLOOKUP(A434,MSFT!A433:C1688,3)</f>
        <v>234.43299999999999</v>
      </c>
      <c r="D434" s="1">
        <f>VLOOKUP(A434,NVDA!A433:C1688,3)</f>
        <v>13.2479</v>
      </c>
      <c r="E434" s="1">
        <f>VLOOKUP(A434,AMD!A433:C1688,3)</f>
        <v>74.48</v>
      </c>
      <c r="F434" s="1">
        <f>VLOOKUP(A434,AMZN!A433:C1688,3)</f>
        <v>118.54</v>
      </c>
      <c r="G434" s="1">
        <f>VLOOKUP(A434,TSLA!A433:C1688,3)</f>
        <v>300.8</v>
      </c>
      <c r="H434" s="1">
        <f>VLOOKUP(A434,GOOGL!A433:C1688,3)</f>
        <v>98.921400000000006</v>
      </c>
      <c r="I434" s="1">
        <f>VLOOKUP(A434,META!A433:C1688,3)</f>
        <v>142.12</v>
      </c>
      <c r="J434" s="1">
        <f>VLOOKUP(A434,Nasdaq!A433:C1688,3)</f>
        <v>11220.19</v>
      </c>
    </row>
    <row r="435" spans="1:10" x14ac:dyDescent="0.2">
      <c r="A435" s="2">
        <v>44826</v>
      </c>
      <c r="B435" s="1">
        <f>VLOOKUP(A435,AAPL!A434:C1689,3)</f>
        <v>150.221</v>
      </c>
      <c r="C435" s="1">
        <f>VLOOKUP(A435,MSFT!A434:C1689,3)</f>
        <v>236.42400000000001</v>
      </c>
      <c r="D435" s="1">
        <f>VLOOKUP(A435,NVDA!A434:C1689,3)</f>
        <v>12.5487</v>
      </c>
      <c r="E435" s="1">
        <f>VLOOKUP(A435,AMD!A434:C1689,3)</f>
        <v>69.5</v>
      </c>
      <c r="F435" s="1">
        <f>VLOOKUP(A435,AMZN!A434:C1689,3)</f>
        <v>117.31</v>
      </c>
      <c r="G435" s="1">
        <f>VLOOKUP(A435,TSLA!A434:C1689,3)</f>
        <v>288.58999999999997</v>
      </c>
      <c r="H435" s="1">
        <f>VLOOKUP(A435,GOOGL!A434:C1689,3)</f>
        <v>99.778000000000006</v>
      </c>
      <c r="I435" s="1">
        <f>VLOOKUP(A435,META!A434:C1689,3)</f>
        <v>142.82</v>
      </c>
      <c r="J435" s="1">
        <f>VLOOKUP(A435,Nasdaq!A434:C1689,3)</f>
        <v>11066.8</v>
      </c>
    </row>
    <row r="436" spans="1:10" x14ac:dyDescent="0.2">
      <c r="A436" s="2">
        <v>44827</v>
      </c>
      <c r="B436" s="1">
        <f>VLOOKUP(A436,AAPL!A435:C1690,3)</f>
        <v>147.94999999999999</v>
      </c>
      <c r="C436" s="1">
        <f>VLOOKUP(A436,MSFT!A435:C1690,3)</f>
        <v>233.42</v>
      </c>
      <c r="D436" s="1">
        <f>VLOOKUP(A436,NVDA!A435:C1690,3)</f>
        <v>12.5037</v>
      </c>
      <c r="E436" s="1">
        <f>VLOOKUP(A436,AMD!A435:C1690,3)</f>
        <v>67.959999999999994</v>
      </c>
      <c r="F436" s="1">
        <f>VLOOKUP(A436,AMZN!A435:C1690,3)</f>
        <v>113.78</v>
      </c>
      <c r="G436" s="1">
        <f>VLOOKUP(A436,TSLA!A435:C1690,3)</f>
        <v>275.33</v>
      </c>
      <c r="H436" s="1">
        <f>VLOOKUP(A436,GOOGL!A435:C1690,3)</f>
        <v>98.383300000000006</v>
      </c>
      <c r="I436" s="1">
        <f>VLOOKUP(A436,META!A435:C1690,3)</f>
        <v>140.41</v>
      </c>
      <c r="J436" s="1">
        <f>VLOOKUP(A436,Nasdaq!A435:C1690,3)</f>
        <v>10867.93</v>
      </c>
    </row>
    <row r="437" spans="1:10" x14ac:dyDescent="0.2">
      <c r="A437" s="2">
        <v>44830</v>
      </c>
      <c r="B437" s="1">
        <f>VLOOKUP(A437,AAPL!A436:C1691,3)</f>
        <v>148.28299999999999</v>
      </c>
      <c r="C437" s="1">
        <f>VLOOKUP(A437,MSFT!A436:C1691,3)</f>
        <v>232.96</v>
      </c>
      <c r="D437" s="1">
        <f>VLOOKUP(A437,NVDA!A436:C1691,3)</f>
        <v>12.215999999999999</v>
      </c>
      <c r="E437" s="1">
        <f>VLOOKUP(A437,AMD!A436:C1691,3)</f>
        <v>66.3</v>
      </c>
      <c r="F437" s="1">
        <f>VLOOKUP(A437,AMZN!A436:C1691,3)</f>
        <v>115.15</v>
      </c>
      <c r="G437" s="1">
        <f>VLOOKUP(A437,TSLA!A436:C1691,3)</f>
        <v>276.01</v>
      </c>
      <c r="H437" s="1">
        <f>VLOOKUP(A437,GOOGL!A436:C1691,3)</f>
        <v>97.8155</v>
      </c>
      <c r="I437" s="1">
        <f>VLOOKUP(A437,META!A436:C1691,3)</f>
        <v>136.37</v>
      </c>
      <c r="J437" s="1">
        <f>VLOOKUP(A437,Nasdaq!A436:C1691,3)</f>
        <v>10802.92</v>
      </c>
    </row>
    <row r="438" spans="1:10" x14ac:dyDescent="0.2">
      <c r="A438" s="2">
        <v>44831</v>
      </c>
      <c r="B438" s="1">
        <f>VLOOKUP(A438,AAPL!A437:C1692,3)</f>
        <v>149.256</v>
      </c>
      <c r="C438" s="1">
        <f>VLOOKUP(A438,MSFT!A437:C1692,3)</f>
        <v>231.94</v>
      </c>
      <c r="D438" s="1">
        <f>VLOOKUP(A438,NVDA!A437:C1692,3)</f>
        <v>12.400700000000001</v>
      </c>
      <c r="E438" s="1">
        <f>VLOOKUP(A438,AMD!A437:C1692,3)</f>
        <v>67.17</v>
      </c>
      <c r="F438" s="1">
        <f>VLOOKUP(A438,AMZN!A437:C1692,3)</f>
        <v>114.41</v>
      </c>
      <c r="G438" s="1">
        <f>VLOOKUP(A438,TSLA!A437:C1692,3)</f>
        <v>282.94</v>
      </c>
      <c r="H438" s="1">
        <f>VLOOKUP(A438,GOOGL!A437:C1692,3)</f>
        <v>97.147800000000004</v>
      </c>
      <c r="I438" s="1">
        <f>VLOOKUP(A438,META!A437:C1692,3)</f>
        <v>134.4</v>
      </c>
      <c r="J438" s="1">
        <f>VLOOKUP(A438,Nasdaq!A437:C1692,3)</f>
        <v>10829.5</v>
      </c>
    </row>
    <row r="439" spans="1:10" x14ac:dyDescent="0.2">
      <c r="A439" s="2">
        <v>44832</v>
      </c>
      <c r="B439" s="1">
        <f>VLOOKUP(A439,AAPL!A438:C1693,3)</f>
        <v>147.36799999999999</v>
      </c>
      <c r="C439" s="1">
        <f>VLOOKUP(A439,MSFT!A438:C1693,3)</f>
        <v>236.511</v>
      </c>
      <c r="D439" s="1">
        <f>VLOOKUP(A439,NVDA!A438:C1693,3)</f>
        <v>12.7235</v>
      </c>
      <c r="E439" s="1">
        <f>VLOOKUP(A439,AMD!A438:C1693,3)</f>
        <v>68.36</v>
      </c>
      <c r="F439" s="1">
        <f>VLOOKUP(A439,AMZN!A438:C1693,3)</f>
        <v>118.01</v>
      </c>
      <c r="G439" s="1">
        <f>VLOOKUP(A439,TSLA!A438:C1693,3)</f>
        <v>287.81</v>
      </c>
      <c r="H439" s="1">
        <f>VLOOKUP(A439,GOOGL!A438:C1693,3)</f>
        <v>99.688699999999997</v>
      </c>
      <c r="I439" s="1">
        <f>VLOOKUP(A439,META!A438:C1693,3)</f>
        <v>141.61000000000001</v>
      </c>
      <c r="J439" s="1">
        <f>VLOOKUP(A439,Nasdaq!A438:C1693,3)</f>
        <v>11051.64</v>
      </c>
    </row>
    <row r="440" spans="1:10" x14ac:dyDescent="0.2">
      <c r="A440" s="2">
        <v>44833</v>
      </c>
      <c r="B440" s="1">
        <f>VLOOKUP(A440,AAPL!A439:C1694,3)</f>
        <v>140.131</v>
      </c>
      <c r="C440" s="1">
        <f>VLOOKUP(A440,MSFT!A439:C1694,3)</f>
        <v>233.01</v>
      </c>
      <c r="D440" s="1">
        <f>VLOOKUP(A440,NVDA!A439:C1694,3)</f>
        <v>12.208</v>
      </c>
      <c r="E440" s="1">
        <f>VLOOKUP(A440,AMD!A439:C1694,3)</f>
        <v>64.14</v>
      </c>
      <c r="F440" s="1">
        <f>VLOOKUP(A440,AMZN!A439:C1694,3)</f>
        <v>114.8</v>
      </c>
      <c r="G440" s="1">
        <f>VLOOKUP(A440,TSLA!A439:C1694,3)</f>
        <v>268.20999999999998</v>
      </c>
      <c r="H440" s="1">
        <f>VLOOKUP(A440,GOOGL!A439:C1694,3)</f>
        <v>97.068100000000001</v>
      </c>
      <c r="I440" s="1">
        <f>VLOOKUP(A440,META!A439:C1694,3)</f>
        <v>136.41</v>
      </c>
      <c r="J440" s="1">
        <f>VLOOKUP(A440,Nasdaq!A439:C1694,3)</f>
        <v>10737.51</v>
      </c>
    </row>
    <row r="441" spans="1:10" x14ac:dyDescent="0.2">
      <c r="A441" s="2">
        <v>44834</v>
      </c>
      <c r="B441" s="1">
        <f>VLOOKUP(A441,AAPL!A440:C1695,3)</f>
        <v>135.91999999999999</v>
      </c>
      <c r="C441" s="1">
        <f>VLOOKUP(A441,MSFT!A440:C1695,3)</f>
        <v>228.49600000000001</v>
      </c>
      <c r="D441" s="1">
        <f>VLOOKUP(A441,NVDA!A440:C1695,3)</f>
        <v>12.127000000000001</v>
      </c>
      <c r="E441" s="1">
        <f>VLOOKUP(A441,AMD!A440:C1695,3)</f>
        <v>63.36</v>
      </c>
      <c r="F441" s="1">
        <f>VLOOKUP(A441,AMZN!A440:C1695,3)</f>
        <v>113</v>
      </c>
      <c r="G441" s="1">
        <f>VLOOKUP(A441,TSLA!A440:C1695,3)</f>
        <v>265.25</v>
      </c>
      <c r="H441" s="1">
        <f>VLOOKUP(A441,GOOGL!A440:C1695,3)</f>
        <v>95.304500000000004</v>
      </c>
      <c r="I441" s="1">
        <f>VLOOKUP(A441,META!A440:C1695,3)</f>
        <v>135.68</v>
      </c>
      <c r="J441" s="1">
        <f>VLOOKUP(A441,Nasdaq!A440:C1695,3)</f>
        <v>10575.62</v>
      </c>
    </row>
    <row r="442" spans="1:10" x14ac:dyDescent="0.2">
      <c r="A442" s="2">
        <v>44837</v>
      </c>
      <c r="B442" s="1">
        <f>VLOOKUP(A442,AAPL!A441:C1696,3)</f>
        <v>140.101</v>
      </c>
      <c r="C442" s="1">
        <f>VLOOKUP(A442,MSFT!A441:C1696,3)</f>
        <v>236.18600000000001</v>
      </c>
      <c r="D442" s="1">
        <f>VLOOKUP(A442,NVDA!A441:C1696,3)</f>
        <v>12.499700000000001</v>
      </c>
      <c r="E442" s="1">
        <f>VLOOKUP(A442,AMD!A441:C1696,3)</f>
        <v>66.11</v>
      </c>
      <c r="F442" s="1">
        <f>VLOOKUP(A442,AMZN!A441:C1696,3)</f>
        <v>115.88</v>
      </c>
      <c r="G442" s="1">
        <f>VLOOKUP(A442,TSLA!A441:C1696,3)</f>
        <v>242.4</v>
      </c>
      <c r="H442" s="1">
        <f>VLOOKUP(A442,GOOGL!A441:C1696,3)</f>
        <v>98.283699999999996</v>
      </c>
      <c r="I442" s="1">
        <f>VLOOKUP(A442,META!A441:C1696,3)</f>
        <v>138.61000000000001</v>
      </c>
      <c r="J442" s="1">
        <f>VLOOKUP(A442,Nasdaq!A441:C1696,3)</f>
        <v>10815.43</v>
      </c>
    </row>
    <row r="443" spans="1:10" x14ac:dyDescent="0.2">
      <c r="A443" s="2">
        <v>44838</v>
      </c>
      <c r="B443" s="1">
        <f>VLOOKUP(A443,AAPL!A442:C1697,3)</f>
        <v>143.691</v>
      </c>
      <c r="C443" s="1">
        <f>VLOOKUP(A443,MSFT!A442:C1697,3)</f>
        <v>244.17400000000001</v>
      </c>
      <c r="D443" s="1">
        <f>VLOOKUP(A443,NVDA!A442:C1697,3)</f>
        <v>13.154</v>
      </c>
      <c r="E443" s="1">
        <f>VLOOKUP(A443,AMD!A442:C1697,3)</f>
        <v>67.900000000000006</v>
      </c>
      <c r="F443" s="1">
        <f>VLOOKUP(A443,AMZN!A442:C1697,3)</f>
        <v>121.09</v>
      </c>
      <c r="G443" s="1">
        <f>VLOOKUP(A443,TSLA!A442:C1697,3)</f>
        <v>249.44</v>
      </c>
      <c r="H443" s="1">
        <f>VLOOKUP(A443,GOOGL!A442:C1697,3)</f>
        <v>101.27200000000001</v>
      </c>
      <c r="I443" s="1">
        <f>VLOOKUP(A443,META!A442:C1697,3)</f>
        <v>140.28</v>
      </c>
      <c r="J443" s="1">
        <f>VLOOKUP(A443,Nasdaq!A442:C1697,3)</f>
        <v>11176.41</v>
      </c>
    </row>
    <row r="444" spans="1:10" x14ac:dyDescent="0.2">
      <c r="A444" s="2">
        <v>44839</v>
      </c>
      <c r="B444" s="1">
        <f>VLOOKUP(A444,AAPL!A443:C1698,3)</f>
        <v>143.98400000000001</v>
      </c>
      <c r="C444" s="1">
        <f>VLOOKUP(A444,MSFT!A443:C1698,3)</f>
        <v>244.48599999999999</v>
      </c>
      <c r="D444" s="1">
        <f>VLOOKUP(A444,NVDA!A443:C1698,3)</f>
        <v>13.196</v>
      </c>
      <c r="E444" s="1">
        <f>VLOOKUP(A444,AMD!A443:C1698,3)</f>
        <v>67.94</v>
      </c>
      <c r="F444" s="1">
        <f>VLOOKUP(A444,AMZN!A443:C1698,3)</f>
        <v>120.95</v>
      </c>
      <c r="G444" s="1">
        <f>VLOOKUP(A444,TSLA!A443:C1698,3)</f>
        <v>240.81</v>
      </c>
      <c r="H444" s="1">
        <f>VLOOKUP(A444,GOOGL!A443:C1698,3)</f>
        <v>101.06399999999999</v>
      </c>
      <c r="I444" s="1">
        <f>VLOOKUP(A444,META!A443:C1698,3)</f>
        <v>138.97999999999999</v>
      </c>
      <c r="J444" s="1">
        <f>VLOOKUP(A444,Nasdaq!A443:C1698,3)</f>
        <v>11148.64</v>
      </c>
    </row>
    <row r="445" spans="1:10" x14ac:dyDescent="0.2">
      <c r="A445" s="2">
        <v>44840</v>
      </c>
      <c r="B445" s="1">
        <f>VLOOKUP(A445,AAPL!A444:C1699,3)</f>
        <v>143.03299999999999</v>
      </c>
      <c r="C445" s="1">
        <f>VLOOKUP(A445,MSFT!A444:C1699,3)</f>
        <v>242.12299999999999</v>
      </c>
      <c r="D445" s="1">
        <f>VLOOKUP(A445,NVDA!A444:C1699,3)</f>
        <v>13.117000000000001</v>
      </c>
      <c r="E445" s="1">
        <f>VLOOKUP(A445,AMD!A444:C1699,3)</f>
        <v>67.849999999999994</v>
      </c>
      <c r="F445" s="1">
        <f>VLOOKUP(A445,AMZN!A444:C1699,3)</f>
        <v>120.3</v>
      </c>
      <c r="G445" s="1">
        <f>VLOOKUP(A445,TSLA!A444:C1699,3)</f>
        <v>238.13</v>
      </c>
      <c r="H445" s="1">
        <f>VLOOKUP(A445,GOOGL!A444:C1699,3)</f>
        <v>101.054</v>
      </c>
      <c r="I445" s="1">
        <f>VLOOKUP(A445,META!A444:C1699,3)</f>
        <v>139.07</v>
      </c>
      <c r="J445" s="1">
        <f>VLOOKUP(A445,Nasdaq!A444:C1699,3)</f>
        <v>11073.31</v>
      </c>
    </row>
    <row r="446" spans="1:10" x14ac:dyDescent="0.2">
      <c r="A446" s="2">
        <v>44841</v>
      </c>
      <c r="B446" s="1">
        <f>VLOOKUP(A446,AAPL!A445:C1700,3)</f>
        <v>137.78</v>
      </c>
      <c r="C446" s="1">
        <f>VLOOKUP(A446,MSFT!A445:C1700,3)</f>
        <v>229.81100000000001</v>
      </c>
      <c r="D446" s="1">
        <f>VLOOKUP(A446,NVDA!A445:C1700,3)</f>
        <v>12.0641</v>
      </c>
      <c r="E446" s="1">
        <f>VLOOKUP(A446,AMD!A445:C1700,3)</f>
        <v>58.44</v>
      </c>
      <c r="F446" s="1">
        <f>VLOOKUP(A446,AMZN!A445:C1700,3)</f>
        <v>114.56</v>
      </c>
      <c r="G446" s="1">
        <f>VLOOKUP(A446,TSLA!A445:C1700,3)</f>
        <v>223.07</v>
      </c>
      <c r="H446" s="1">
        <f>VLOOKUP(A446,GOOGL!A445:C1700,3)</f>
        <v>98.323599999999999</v>
      </c>
      <c r="I446" s="1">
        <f>VLOOKUP(A446,META!A445:C1700,3)</f>
        <v>133.44999999999999</v>
      </c>
      <c r="J446" s="1">
        <f>VLOOKUP(A446,Nasdaq!A445:C1700,3)</f>
        <v>10652.4</v>
      </c>
    </row>
    <row r="447" spans="1:10" x14ac:dyDescent="0.2">
      <c r="A447" s="2">
        <v>44844</v>
      </c>
      <c r="B447" s="1">
        <f>VLOOKUP(A447,AAPL!A446:C1701,3)</f>
        <v>138.10300000000001</v>
      </c>
      <c r="C447" s="1">
        <f>VLOOKUP(A447,MSFT!A446:C1701,3)</f>
        <v>224.916</v>
      </c>
      <c r="D447" s="1">
        <f>VLOOKUP(A447,NVDA!A446:C1701,3)</f>
        <v>11.6585</v>
      </c>
      <c r="E447" s="1">
        <f>VLOOKUP(A447,AMD!A446:C1701,3)</f>
        <v>57.81</v>
      </c>
      <c r="F447" s="1">
        <f>VLOOKUP(A447,AMZN!A446:C1701,3)</f>
        <v>113.67</v>
      </c>
      <c r="G447" s="1">
        <f>VLOOKUP(A447,TSLA!A446:C1701,3)</f>
        <v>222.96</v>
      </c>
      <c r="H447" s="1">
        <f>VLOOKUP(A447,GOOGL!A446:C1701,3)</f>
        <v>97.506600000000006</v>
      </c>
      <c r="I447" s="1">
        <f>VLOOKUP(A447,META!A446:C1701,3)</f>
        <v>133.79</v>
      </c>
      <c r="J447" s="1">
        <f>VLOOKUP(A447,Nasdaq!A446:C1701,3)</f>
        <v>10542.1</v>
      </c>
    </row>
    <row r="448" spans="1:10" x14ac:dyDescent="0.2">
      <c r="A448" s="2">
        <v>44845</v>
      </c>
      <c r="B448" s="1">
        <f>VLOOKUP(A448,AAPL!A447:C1702,3)</f>
        <v>136.68600000000001</v>
      </c>
      <c r="C448" s="1">
        <f>VLOOKUP(A448,MSFT!A447:C1702,3)</f>
        <v>221.148</v>
      </c>
      <c r="D448" s="1">
        <f>VLOOKUP(A448,NVDA!A447:C1702,3)</f>
        <v>11.5745</v>
      </c>
      <c r="E448" s="1">
        <f>VLOOKUP(A448,AMD!A447:C1702,3)</f>
        <v>57.63</v>
      </c>
      <c r="F448" s="1">
        <f>VLOOKUP(A448,AMZN!A447:C1702,3)</f>
        <v>112.21</v>
      </c>
      <c r="G448" s="1">
        <f>VLOOKUP(A448,TSLA!A447:C1702,3)</f>
        <v>216.5</v>
      </c>
      <c r="H448" s="1">
        <f>VLOOKUP(A448,GOOGL!A447:C1702,3)</f>
        <v>96.828999999999994</v>
      </c>
      <c r="I448" s="1">
        <f>VLOOKUP(A448,META!A447:C1702,3)</f>
        <v>128.54</v>
      </c>
      <c r="J448" s="1">
        <f>VLOOKUP(A448,Nasdaq!A447:C1702,3)</f>
        <v>10426.19</v>
      </c>
    </row>
    <row r="449" spans="1:10" x14ac:dyDescent="0.2">
      <c r="A449" s="2">
        <v>44846</v>
      </c>
      <c r="B449" s="1">
        <f>VLOOKUP(A449,AAPL!A448:C1703,3)</f>
        <v>136.05799999999999</v>
      </c>
      <c r="C449" s="1">
        <f>VLOOKUP(A449,MSFT!A448:C1703,3)</f>
        <v>221.482</v>
      </c>
      <c r="D449" s="1">
        <f>VLOOKUP(A449,NVDA!A448:C1703,3)</f>
        <v>11.488799999999999</v>
      </c>
      <c r="E449" s="1">
        <f>VLOOKUP(A449,AMD!A448:C1703,3)</f>
        <v>57.85</v>
      </c>
      <c r="F449" s="1">
        <f>VLOOKUP(A449,AMZN!A448:C1703,3)</f>
        <v>112.9</v>
      </c>
      <c r="G449" s="1">
        <f>VLOOKUP(A449,TSLA!A448:C1703,3)</f>
        <v>217.24</v>
      </c>
      <c r="H449" s="1">
        <f>VLOOKUP(A449,GOOGL!A448:C1703,3)</f>
        <v>97.207700000000003</v>
      </c>
      <c r="I449" s="1">
        <f>VLOOKUP(A449,META!A448:C1703,3)</f>
        <v>127.5</v>
      </c>
      <c r="J449" s="1">
        <f>VLOOKUP(A449,Nasdaq!A448:C1703,3)</f>
        <v>10417.1</v>
      </c>
    </row>
    <row r="450" spans="1:10" x14ac:dyDescent="0.2">
      <c r="A450" s="2">
        <v>44847</v>
      </c>
      <c r="B450" s="1">
        <f>VLOOKUP(A450,AAPL!A449:C1704,3)</f>
        <v>140.631</v>
      </c>
      <c r="C450" s="1">
        <f>VLOOKUP(A450,MSFT!A449:C1704,3)</f>
        <v>229.81100000000001</v>
      </c>
      <c r="D450" s="1">
        <f>VLOOKUP(A450,NVDA!A449:C1704,3)</f>
        <v>11.9482</v>
      </c>
      <c r="E450" s="1">
        <f>VLOOKUP(A450,AMD!A449:C1704,3)</f>
        <v>58.94</v>
      </c>
      <c r="F450" s="1">
        <f>VLOOKUP(A450,AMZN!A449:C1704,3)</f>
        <v>112.53</v>
      </c>
      <c r="G450" s="1">
        <f>VLOOKUP(A450,TSLA!A449:C1704,3)</f>
        <v>221.72</v>
      </c>
      <c r="H450" s="1">
        <f>VLOOKUP(A450,GOOGL!A449:C1704,3)</f>
        <v>98.702200000000005</v>
      </c>
      <c r="I450" s="1">
        <f>VLOOKUP(A450,META!A449:C1704,3)</f>
        <v>130.29</v>
      </c>
      <c r="J450" s="1">
        <f>VLOOKUP(A450,Nasdaq!A449:C1704,3)</f>
        <v>10649.15</v>
      </c>
    </row>
    <row r="451" spans="1:10" x14ac:dyDescent="0.2">
      <c r="A451" s="2">
        <v>44848</v>
      </c>
      <c r="B451" s="1">
        <f>VLOOKUP(A451,AAPL!A450:C1705,3)</f>
        <v>136.09700000000001</v>
      </c>
      <c r="C451" s="1">
        <f>VLOOKUP(A451,MSFT!A450:C1705,3)</f>
        <v>224.238</v>
      </c>
      <c r="D451" s="1">
        <f>VLOOKUP(A451,NVDA!A450:C1705,3)</f>
        <v>11.2159</v>
      </c>
      <c r="E451" s="1">
        <f>VLOOKUP(A451,AMD!A450:C1705,3)</f>
        <v>55.94</v>
      </c>
      <c r="F451" s="1">
        <f>VLOOKUP(A451,AMZN!A450:C1705,3)</f>
        <v>106.9</v>
      </c>
      <c r="G451" s="1">
        <f>VLOOKUP(A451,TSLA!A450:C1705,3)</f>
        <v>204.99</v>
      </c>
      <c r="H451" s="1">
        <f>VLOOKUP(A451,GOOGL!A450:C1705,3)</f>
        <v>96.211200000000005</v>
      </c>
      <c r="I451" s="1">
        <f>VLOOKUP(A451,META!A450:C1705,3)</f>
        <v>126.76</v>
      </c>
      <c r="J451" s="1">
        <f>VLOOKUP(A451,Nasdaq!A450:C1705,3)</f>
        <v>10321.39</v>
      </c>
    </row>
    <row r="452" spans="1:10" x14ac:dyDescent="0.2">
      <c r="A452" s="2">
        <v>44851</v>
      </c>
      <c r="B452" s="1">
        <f>VLOOKUP(A452,AAPL!A451:C1706,3)</f>
        <v>140.06100000000001</v>
      </c>
      <c r="C452" s="1">
        <f>VLOOKUP(A452,MSFT!A451:C1706,3)</f>
        <v>233.03800000000001</v>
      </c>
      <c r="D452" s="1">
        <f>VLOOKUP(A452,NVDA!A451:C1706,3)</f>
        <v>11.8764</v>
      </c>
      <c r="E452" s="1">
        <f>VLOOKUP(A452,AMD!A451:C1706,3)</f>
        <v>57.96</v>
      </c>
      <c r="F452" s="1">
        <f>VLOOKUP(A452,AMZN!A451:C1706,3)</f>
        <v>113.79</v>
      </c>
      <c r="G452" s="1">
        <f>VLOOKUP(A452,TSLA!A451:C1706,3)</f>
        <v>219.35</v>
      </c>
      <c r="H452" s="1">
        <f>VLOOKUP(A452,GOOGL!A451:C1706,3)</f>
        <v>99.608900000000006</v>
      </c>
      <c r="I452" s="1">
        <f>VLOOKUP(A452,META!A451:C1706,3)</f>
        <v>134.04</v>
      </c>
      <c r="J452" s="1">
        <f>VLOOKUP(A452,Nasdaq!A451:C1706,3)</f>
        <v>10675.8</v>
      </c>
    </row>
    <row r="453" spans="1:10" x14ac:dyDescent="0.2">
      <c r="A453" s="2">
        <v>44852</v>
      </c>
      <c r="B453" s="1">
        <f>VLOOKUP(A453,AAPL!A452:C1707,3)</f>
        <v>141.37799999999999</v>
      </c>
      <c r="C453" s="1">
        <f>VLOOKUP(A453,MSFT!A452:C1707,3)</f>
        <v>233.99100000000001</v>
      </c>
      <c r="D453" s="1">
        <f>VLOOKUP(A453,NVDA!A452:C1707,3)</f>
        <v>11.9552</v>
      </c>
      <c r="E453" s="1">
        <f>VLOOKUP(A453,AMD!A452:C1707,3)</f>
        <v>57.92</v>
      </c>
      <c r="F453" s="1">
        <f>VLOOKUP(A453,AMZN!A452:C1707,3)</f>
        <v>116.36</v>
      </c>
      <c r="G453" s="1">
        <f>VLOOKUP(A453,TSLA!A452:C1707,3)</f>
        <v>220.19</v>
      </c>
      <c r="H453" s="1">
        <f>VLOOKUP(A453,GOOGL!A452:C1707,3)</f>
        <v>100.40600000000001</v>
      </c>
      <c r="I453" s="1">
        <f>VLOOKUP(A453,META!A452:C1707,3)</f>
        <v>132.80000000000001</v>
      </c>
      <c r="J453" s="1">
        <f>VLOOKUP(A453,Nasdaq!A452:C1707,3)</f>
        <v>10772.4</v>
      </c>
    </row>
    <row r="454" spans="1:10" x14ac:dyDescent="0.2">
      <c r="A454" s="2">
        <v>44853</v>
      </c>
      <c r="B454" s="1">
        <f>VLOOKUP(A454,AAPL!A453:C1708,3)</f>
        <v>141.488</v>
      </c>
      <c r="C454" s="1">
        <f>VLOOKUP(A454,MSFT!A453:C1708,3)</f>
        <v>232.00899999999999</v>
      </c>
      <c r="D454" s="1">
        <f>VLOOKUP(A454,NVDA!A453:C1708,3)</f>
        <v>12.039199999999999</v>
      </c>
      <c r="E454" s="1">
        <f>VLOOKUP(A454,AMD!A453:C1708,3)</f>
        <v>57.23</v>
      </c>
      <c r="F454" s="1">
        <f>VLOOKUP(A454,AMZN!A453:C1708,3)</f>
        <v>115.07</v>
      </c>
      <c r="G454" s="1">
        <f>VLOOKUP(A454,TSLA!A453:C1708,3)</f>
        <v>222.04</v>
      </c>
      <c r="H454" s="1">
        <f>VLOOKUP(A454,GOOGL!A453:C1708,3)</f>
        <v>99.270099999999999</v>
      </c>
      <c r="I454" s="1">
        <f>VLOOKUP(A454,META!A453:C1708,3)</f>
        <v>133.22999999999999</v>
      </c>
      <c r="J454" s="1">
        <f>VLOOKUP(A454,Nasdaq!A453:C1708,3)</f>
        <v>10680.51</v>
      </c>
    </row>
    <row r="455" spans="1:10" x14ac:dyDescent="0.2">
      <c r="A455" s="2">
        <v>44854</v>
      </c>
      <c r="B455" s="1">
        <f>VLOOKUP(A455,AAPL!A454:C1709,3)</f>
        <v>141.02600000000001</v>
      </c>
      <c r="C455" s="1">
        <f>VLOOKUP(A455,MSFT!A454:C1709,3)</f>
        <v>231.685</v>
      </c>
      <c r="D455" s="1">
        <f>VLOOKUP(A455,NVDA!A454:C1709,3)</f>
        <v>12.182</v>
      </c>
      <c r="E455" s="1">
        <f>VLOOKUP(A455,AMD!A454:C1709,3)</f>
        <v>57.77</v>
      </c>
      <c r="F455" s="1">
        <f>VLOOKUP(A455,AMZN!A454:C1709,3)</f>
        <v>115.25</v>
      </c>
      <c r="G455" s="1">
        <f>VLOOKUP(A455,TSLA!A454:C1709,3)</f>
        <v>207.28</v>
      </c>
      <c r="H455" s="1">
        <f>VLOOKUP(A455,GOOGL!A454:C1709,3)</f>
        <v>99.608900000000006</v>
      </c>
      <c r="I455" s="1">
        <f>VLOOKUP(A455,META!A454:C1709,3)</f>
        <v>131.53</v>
      </c>
      <c r="J455" s="1">
        <f>VLOOKUP(A455,Nasdaq!A454:C1709,3)</f>
        <v>10614.84</v>
      </c>
    </row>
    <row r="456" spans="1:10" x14ac:dyDescent="0.2">
      <c r="A456" s="2">
        <v>44855</v>
      </c>
      <c r="B456" s="1">
        <f>VLOOKUP(A456,AAPL!A455:C1710,3)</f>
        <v>144.84</v>
      </c>
      <c r="C456" s="1">
        <f>VLOOKUP(A456,MSFT!A455:C1710,3)</f>
        <v>237.542</v>
      </c>
      <c r="D456" s="1">
        <f>VLOOKUP(A456,NVDA!A455:C1710,3)</f>
        <v>12.4537</v>
      </c>
      <c r="E456" s="1">
        <f>VLOOKUP(A456,AMD!A455:C1710,3)</f>
        <v>58.82</v>
      </c>
      <c r="F456" s="1">
        <f>VLOOKUP(A456,AMZN!A455:C1710,3)</f>
        <v>119.32</v>
      </c>
      <c r="G456" s="1">
        <f>VLOOKUP(A456,TSLA!A455:C1710,3)</f>
        <v>214.44</v>
      </c>
      <c r="H456" s="1">
        <f>VLOOKUP(A456,GOOGL!A455:C1710,3)</f>
        <v>100.765</v>
      </c>
      <c r="I456" s="1">
        <f>VLOOKUP(A456,META!A455:C1710,3)</f>
        <v>130.01</v>
      </c>
      <c r="J456" s="1">
        <f>VLOOKUP(A456,Nasdaq!A455:C1710,3)</f>
        <v>10859.72</v>
      </c>
    </row>
    <row r="457" spans="1:10" x14ac:dyDescent="0.2">
      <c r="A457" s="2">
        <v>44858</v>
      </c>
      <c r="B457" s="1">
        <f>VLOOKUP(A457,AAPL!A456:C1711,3)</f>
        <v>146.98599999999999</v>
      </c>
      <c r="C457" s="1">
        <f>VLOOKUP(A457,MSFT!A456:C1711,3)</f>
        <v>242.57499999999999</v>
      </c>
      <c r="D457" s="1">
        <f>VLOOKUP(A457,NVDA!A456:C1711,3)</f>
        <v>12.5867</v>
      </c>
      <c r="E457" s="1">
        <f>VLOOKUP(A457,AMD!A456:C1711,3)</f>
        <v>58.7</v>
      </c>
      <c r="F457" s="1">
        <f>VLOOKUP(A457,AMZN!A456:C1711,3)</f>
        <v>119.82</v>
      </c>
      <c r="G457" s="1">
        <f>VLOOKUP(A457,TSLA!A456:C1711,3)</f>
        <v>211.25</v>
      </c>
      <c r="H457" s="1">
        <f>VLOOKUP(A457,GOOGL!A456:C1711,3)</f>
        <v>102.149</v>
      </c>
      <c r="I457" s="1">
        <f>VLOOKUP(A457,META!A456:C1711,3)</f>
        <v>129.72</v>
      </c>
      <c r="J457" s="1">
        <f>VLOOKUP(A457,Nasdaq!A456:C1711,3)</f>
        <v>10952.61</v>
      </c>
    </row>
    <row r="458" spans="1:10" x14ac:dyDescent="0.2">
      <c r="A458" s="2">
        <v>44859</v>
      </c>
      <c r="B458" s="1">
        <f>VLOOKUP(A458,AAPL!A457:C1712,3)</f>
        <v>149.827</v>
      </c>
      <c r="C458" s="1">
        <f>VLOOKUP(A458,MSFT!A457:C1712,3)</f>
        <v>245.92099999999999</v>
      </c>
      <c r="D458" s="1">
        <f>VLOOKUP(A458,NVDA!A457:C1712,3)</f>
        <v>13.2479</v>
      </c>
      <c r="E458" s="1">
        <f>VLOOKUP(A458,AMD!A457:C1712,3)</f>
        <v>61.47</v>
      </c>
      <c r="F458" s="1">
        <f>VLOOKUP(A458,AMZN!A457:C1712,3)</f>
        <v>120.6</v>
      </c>
      <c r="G458" s="1">
        <f>VLOOKUP(A458,TSLA!A457:C1712,3)</f>
        <v>222.41499999999999</v>
      </c>
      <c r="H458" s="1">
        <f>VLOOKUP(A458,GOOGL!A457:C1712,3)</f>
        <v>104.10299999999999</v>
      </c>
      <c r="I458" s="1">
        <f>VLOOKUP(A458,META!A457:C1712,3)</f>
        <v>137.51</v>
      </c>
      <c r="J458" s="1">
        <f>VLOOKUP(A458,Nasdaq!A457:C1712,3)</f>
        <v>11199.12</v>
      </c>
    </row>
    <row r="459" spans="1:10" x14ac:dyDescent="0.2">
      <c r="A459" s="2">
        <v>44860</v>
      </c>
      <c r="B459" s="1">
        <f>VLOOKUP(A459,AAPL!A458:C1713,3)</f>
        <v>146.88800000000001</v>
      </c>
      <c r="C459" s="1">
        <f>VLOOKUP(A459,MSFT!A458:C1713,3)</f>
        <v>226.946</v>
      </c>
      <c r="D459" s="1">
        <f>VLOOKUP(A459,NVDA!A458:C1713,3)</f>
        <v>12.8833</v>
      </c>
      <c r="E459" s="1">
        <f>VLOOKUP(A459,AMD!A458:C1713,3)</f>
        <v>59.73</v>
      </c>
      <c r="F459" s="1">
        <f>VLOOKUP(A459,AMZN!A458:C1713,3)</f>
        <v>115.66</v>
      </c>
      <c r="G459" s="1">
        <f>VLOOKUP(A459,TSLA!A458:C1713,3)</f>
        <v>224.64</v>
      </c>
      <c r="H459" s="1">
        <f>VLOOKUP(A459,GOOGL!A458:C1713,3)</f>
        <v>94.587100000000007</v>
      </c>
      <c r="I459" s="1">
        <f>VLOOKUP(A459,META!A458:C1713,3)</f>
        <v>129.82</v>
      </c>
      <c r="J459" s="1">
        <f>VLOOKUP(A459,Nasdaq!A458:C1713,3)</f>
        <v>10970.99</v>
      </c>
    </row>
    <row r="460" spans="1:10" x14ac:dyDescent="0.2">
      <c r="A460" s="2">
        <v>44861</v>
      </c>
      <c r="B460" s="1">
        <f>VLOOKUP(A460,AAPL!A459:C1714,3)</f>
        <v>142.41399999999999</v>
      </c>
      <c r="C460" s="1">
        <f>VLOOKUP(A460,MSFT!A459:C1714,3)</f>
        <v>222.46199999999999</v>
      </c>
      <c r="D460" s="1">
        <f>VLOOKUP(A460,NVDA!A459:C1714,3)</f>
        <v>13.163</v>
      </c>
      <c r="E460" s="1">
        <f>VLOOKUP(A460,AMD!A459:C1714,3)</f>
        <v>58.6</v>
      </c>
      <c r="F460" s="1">
        <f>VLOOKUP(A460,AMZN!A459:C1714,3)</f>
        <v>110.96</v>
      </c>
      <c r="G460" s="1">
        <f>VLOOKUP(A460,TSLA!A459:C1714,3)</f>
        <v>225.09</v>
      </c>
      <c r="H460" s="1">
        <f>VLOOKUP(A460,GOOGL!A459:C1714,3)</f>
        <v>91.886899999999997</v>
      </c>
      <c r="I460" s="1">
        <f>VLOOKUP(A460,META!A459:C1714,3)</f>
        <v>97.94</v>
      </c>
      <c r="J460" s="1">
        <f>VLOOKUP(A460,Nasdaq!A459:C1714,3)</f>
        <v>10792.67</v>
      </c>
    </row>
    <row r="461" spans="1:10" x14ac:dyDescent="0.2">
      <c r="A461" s="2">
        <v>44862</v>
      </c>
      <c r="B461" s="1">
        <f>VLOOKUP(A461,AAPL!A460:C1715,3)</f>
        <v>153.173</v>
      </c>
      <c r="C461" s="1">
        <f>VLOOKUP(A461,MSFT!A460:C1715,3)</f>
        <v>231.40899999999999</v>
      </c>
      <c r="D461" s="1">
        <f>VLOOKUP(A461,NVDA!A460:C1715,3)</f>
        <v>13.820600000000001</v>
      </c>
      <c r="E461" s="1">
        <f>VLOOKUP(A461,AMD!A460:C1715,3)</f>
        <v>62.01</v>
      </c>
      <c r="F461" s="1">
        <f>VLOOKUP(A461,AMZN!A460:C1715,3)</f>
        <v>103.41</v>
      </c>
      <c r="G461" s="1">
        <f>VLOOKUP(A461,TSLA!A460:C1715,3)</f>
        <v>228.52</v>
      </c>
      <c r="H461" s="1">
        <f>VLOOKUP(A461,GOOGL!A460:C1715,3)</f>
        <v>95.942099999999996</v>
      </c>
      <c r="I461" s="1">
        <f>VLOOKUP(A461,META!A460:C1715,3)</f>
        <v>99.2</v>
      </c>
      <c r="J461" s="1">
        <f>VLOOKUP(A461,Nasdaq!A460:C1715,3)</f>
        <v>11102.45</v>
      </c>
    </row>
    <row r="462" spans="1:10" x14ac:dyDescent="0.2">
      <c r="A462" s="2">
        <v>44865</v>
      </c>
      <c r="B462" s="1">
        <f>VLOOKUP(A462,AAPL!A461:C1716,3)</f>
        <v>150.81100000000001</v>
      </c>
      <c r="C462" s="1">
        <f>VLOOKUP(A462,MSFT!A461:C1716,3)</f>
        <v>227.74</v>
      </c>
      <c r="D462" s="1">
        <f>VLOOKUP(A462,NVDA!A461:C1716,3)</f>
        <v>13.483700000000001</v>
      </c>
      <c r="E462" s="1">
        <f>VLOOKUP(A462,AMD!A461:C1716,3)</f>
        <v>60.06</v>
      </c>
      <c r="F462" s="1">
        <f>VLOOKUP(A462,AMZN!A461:C1716,3)</f>
        <v>102.44</v>
      </c>
      <c r="G462" s="1">
        <f>VLOOKUP(A462,TSLA!A461:C1716,3)</f>
        <v>227.54</v>
      </c>
      <c r="H462" s="1">
        <f>VLOOKUP(A462,GOOGL!A461:C1716,3)</f>
        <v>94.168700000000001</v>
      </c>
      <c r="I462" s="1">
        <f>VLOOKUP(A462,META!A461:C1716,3)</f>
        <v>93.16</v>
      </c>
      <c r="J462" s="1">
        <f>VLOOKUP(A462,Nasdaq!A461:C1716,3)</f>
        <v>10988.15</v>
      </c>
    </row>
    <row r="463" spans="1:10" x14ac:dyDescent="0.2">
      <c r="A463" s="2">
        <v>44866</v>
      </c>
      <c r="B463" s="1">
        <f>VLOOKUP(A463,AAPL!A462:C1717,3)</f>
        <v>148.167</v>
      </c>
      <c r="C463" s="1">
        <f>VLOOKUP(A463,MSFT!A462:C1717,3)</f>
        <v>223.857</v>
      </c>
      <c r="D463" s="1">
        <f>VLOOKUP(A463,NVDA!A462:C1717,3)</f>
        <v>13.5297</v>
      </c>
      <c r="E463" s="1">
        <f>VLOOKUP(A463,AMD!A462:C1717,3)</f>
        <v>59.66</v>
      </c>
      <c r="F463" s="1">
        <f>VLOOKUP(A463,AMZN!A462:C1717,3)</f>
        <v>96.79</v>
      </c>
      <c r="G463" s="1">
        <f>VLOOKUP(A463,TSLA!A462:C1717,3)</f>
        <v>227.82</v>
      </c>
      <c r="H463" s="1">
        <f>VLOOKUP(A463,GOOGL!A462:C1717,3)</f>
        <v>90.143199999999993</v>
      </c>
      <c r="I463" s="1">
        <f>VLOOKUP(A463,META!A462:C1717,3)</f>
        <v>95.2</v>
      </c>
      <c r="J463" s="1">
        <f>VLOOKUP(A463,Nasdaq!A462:C1717,3)</f>
        <v>10890.85</v>
      </c>
    </row>
    <row r="464" spans="1:10" x14ac:dyDescent="0.2">
      <c r="A464" s="2">
        <v>44867</v>
      </c>
      <c r="B464" s="1">
        <f>VLOOKUP(A464,AAPL!A463:C1718,3)</f>
        <v>142.63800000000001</v>
      </c>
      <c r="C464" s="1">
        <f>VLOOKUP(A464,MSFT!A463:C1718,3)</f>
        <v>215.93600000000001</v>
      </c>
      <c r="D464" s="1">
        <f>VLOOKUP(A464,NVDA!A463:C1718,3)</f>
        <v>13.206</v>
      </c>
      <c r="E464" s="1">
        <f>VLOOKUP(A464,AMD!A463:C1718,3)</f>
        <v>58.63</v>
      </c>
      <c r="F464" s="1">
        <f>VLOOKUP(A464,AMZN!A463:C1718,3)</f>
        <v>92.12</v>
      </c>
      <c r="G464" s="1">
        <f>VLOOKUP(A464,TSLA!A463:C1718,3)</f>
        <v>214.98</v>
      </c>
      <c r="H464" s="1">
        <f>VLOOKUP(A464,GOOGL!A463:C1718,3)</f>
        <v>86.655900000000003</v>
      </c>
      <c r="I464" s="1">
        <f>VLOOKUP(A464,META!A463:C1718,3)</f>
        <v>90.54</v>
      </c>
      <c r="J464" s="1">
        <f>VLOOKUP(A464,Nasdaq!A463:C1718,3)</f>
        <v>10524.8</v>
      </c>
    </row>
    <row r="465" spans="1:10" x14ac:dyDescent="0.2">
      <c r="A465" s="2">
        <v>44868</v>
      </c>
      <c r="B465" s="1">
        <f>VLOOKUP(A465,AAPL!A464:C1719,3)</f>
        <v>136.59</v>
      </c>
      <c r="C465" s="1">
        <f>VLOOKUP(A465,MSFT!A464:C1719,3)</f>
        <v>210.197</v>
      </c>
      <c r="D465" s="1">
        <f>VLOOKUP(A465,NVDA!A464:C1719,3)</f>
        <v>13.4079</v>
      </c>
      <c r="E465" s="1">
        <f>VLOOKUP(A465,AMD!A464:C1719,3)</f>
        <v>60.11</v>
      </c>
      <c r="F465" s="1">
        <f>VLOOKUP(A465,AMZN!A464:C1719,3)</f>
        <v>89.3</v>
      </c>
      <c r="G465" s="1">
        <f>VLOOKUP(A465,TSLA!A464:C1719,3)</f>
        <v>215.31</v>
      </c>
      <c r="H465" s="1">
        <f>VLOOKUP(A465,GOOGL!A464:C1719,3)</f>
        <v>83.128699999999995</v>
      </c>
      <c r="I465" s="1">
        <f>VLOOKUP(A465,META!A464:C1719,3)</f>
        <v>88.91</v>
      </c>
      <c r="J465" s="1">
        <f>VLOOKUP(A465,Nasdaq!A464:C1719,3)</f>
        <v>10342.94</v>
      </c>
    </row>
    <row r="466" spans="1:10" x14ac:dyDescent="0.2">
      <c r="A466" s="2">
        <v>44869</v>
      </c>
      <c r="B466" s="1">
        <f>VLOOKUP(A466,AAPL!A465:C1720,3)</f>
        <v>136.32400000000001</v>
      </c>
      <c r="C466" s="1">
        <f>VLOOKUP(A466,MSFT!A465:C1720,3)</f>
        <v>217.20400000000001</v>
      </c>
      <c r="D466" s="1">
        <f>VLOOKUP(A466,NVDA!A465:C1720,3)</f>
        <v>14.141999999999999</v>
      </c>
      <c r="E466" s="1">
        <f>VLOOKUP(A466,AMD!A465:C1720,3)</f>
        <v>62.19</v>
      </c>
      <c r="F466" s="1">
        <f>VLOOKUP(A466,AMZN!A465:C1720,3)</f>
        <v>90.98</v>
      </c>
      <c r="G466" s="1">
        <f>VLOOKUP(A466,TSLA!A465:C1720,3)</f>
        <v>207.47</v>
      </c>
      <c r="H466" s="1">
        <f>VLOOKUP(A466,GOOGL!A465:C1720,3)</f>
        <v>86.267200000000003</v>
      </c>
      <c r="I466" s="1">
        <f>VLOOKUP(A466,META!A465:C1720,3)</f>
        <v>90.79</v>
      </c>
      <c r="J466" s="1">
        <f>VLOOKUP(A466,Nasdaq!A465:C1720,3)</f>
        <v>10475.25</v>
      </c>
    </row>
    <row r="467" spans="1:10" x14ac:dyDescent="0.2">
      <c r="A467" s="2">
        <v>44872</v>
      </c>
      <c r="B467" s="1">
        <f>VLOOKUP(A467,AAPL!A466:C1721,3)</f>
        <v>136.85499999999999</v>
      </c>
      <c r="C467" s="1">
        <f>VLOOKUP(A467,MSFT!A466:C1721,3)</f>
        <v>223.56100000000001</v>
      </c>
      <c r="D467" s="1">
        <f>VLOOKUP(A467,NVDA!A466:C1721,3)</f>
        <v>14.286799999999999</v>
      </c>
      <c r="E467" s="1">
        <f>VLOOKUP(A467,AMD!A466:C1721,3)</f>
        <v>63.08</v>
      </c>
      <c r="F467" s="1">
        <f>VLOOKUP(A467,AMZN!A466:C1721,3)</f>
        <v>90.53</v>
      </c>
      <c r="G467" s="1">
        <f>VLOOKUP(A467,TSLA!A466:C1721,3)</f>
        <v>197.08</v>
      </c>
      <c r="H467" s="1">
        <f>VLOOKUP(A467,GOOGL!A466:C1721,3)</f>
        <v>88.170500000000004</v>
      </c>
      <c r="I467" s="1">
        <f>VLOOKUP(A467,META!A466:C1721,3)</f>
        <v>96.72</v>
      </c>
      <c r="J467" s="1">
        <f>VLOOKUP(A467,Nasdaq!A466:C1721,3)</f>
        <v>10564.52</v>
      </c>
    </row>
    <row r="468" spans="1:10" x14ac:dyDescent="0.2">
      <c r="A468" s="2">
        <v>44873</v>
      </c>
      <c r="B468" s="1">
        <f>VLOOKUP(A468,AAPL!A467:C1722,3)</f>
        <v>137.42500000000001</v>
      </c>
      <c r="C468" s="1">
        <f>VLOOKUP(A468,MSFT!A467:C1722,3)</f>
        <v>224.541</v>
      </c>
      <c r="D468" s="1">
        <f>VLOOKUP(A468,NVDA!A467:C1722,3)</f>
        <v>14.5877</v>
      </c>
      <c r="E468" s="1">
        <f>VLOOKUP(A468,AMD!A467:C1722,3)</f>
        <v>63.85</v>
      </c>
      <c r="F468" s="1">
        <f>VLOOKUP(A468,AMZN!A467:C1722,3)</f>
        <v>89.98</v>
      </c>
      <c r="G468" s="1">
        <f>VLOOKUP(A468,TSLA!A467:C1722,3)</f>
        <v>191.3</v>
      </c>
      <c r="H468" s="1">
        <f>VLOOKUP(A468,GOOGL!A467:C1722,3)</f>
        <v>88.578900000000004</v>
      </c>
      <c r="I468" s="1">
        <f>VLOOKUP(A468,META!A467:C1722,3)</f>
        <v>96.47</v>
      </c>
      <c r="J468" s="1">
        <f>VLOOKUP(A468,Nasdaq!A467:C1722,3)</f>
        <v>10616.2</v>
      </c>
    </row>
    <row r="469" spans="1:10" x14ac:dyDescent="0.2">
      <c r="A469" s="2">
        <v>44874</v>
      </c>
      <c r="B469" s="1">
        <f>VLOOKUP(A469,AAPL!A468:C1723,3)</f>
        <v>132.864</v>
      </c>
      <c r="C469" s="1">
        <f>VLOOKUP(A469,MSFT!A468:C1723,3)</f>
        <v>220.26400000000001</v>
      </c>
      <c r="D469" s="1">
        <f>VLOOKUP(A469,NVDA!A468:C1723,3)</f>
        <v>13.762700000000001</v>
      </c>
      <c r="E469" s="1">
        <f>VLOOKUP(A469,AMD!A468:C1723,3)</f>
        <v>59.92</v>
      </c>
      <c r="F469" s="1">
        <f>VLOOKUP(A469,AMZN!A468:C1723,3)</f>
        <v>86.14</v>
      </c>
      <c r="G469" s="1">
        <f>VLOOKUP(A469,TSLA!A468:C1723,3)</f>
        <v>177.59</v>
      </c>
      <c r="H469" s="1">
        <f>VLOOKUP(A469,GOOGL!A468:C1723,3)</f>
        <v>87.004599999999996</v>
      </c>
      <c r="I469" s="1">
        <f>VLOOKUP(A469,META!A468:C1723,3)</f>
        <v>101.47</v>
      </c>
      <c r="J469" s="1">
        <f>VLOOKUP(A469,Nasdaq!A468:C1723,3)</f>
        <v>10353.17</v>
      </c>
    </row>
    <row r="470" spans="1:10" x14ac:dyDescent="0.2">
      <c r="A470" s="2">
        <v>44875</v>
      </c>
      <c r="B470" s="1">
        <f>VLOOKUP(A470,AAPL!A469:C1724,3)</f>
        <v>144.68799999999999</v>
      </c>
      <c r="C470" s="1">
        <f>VLOOKUP(A470,MSFT!A469:C1724,3)</f>
        <v>238.38499999999999</v>
      </c>
      <c r="D470" s="1">
        <f>VLOOKUP(A470,NVDA!A469:C1724,3)</f>
        <v>15.7346</v>
      </c>
      <c r="E470" s="1">
        <f>VLOOKUP(A470,AMD!A469:C1724,3)</f>
        <v>68.47</v>
      </c>
      <c r="F470" s="1">
        <f>VLOOKUP(A470,AMZN!A469:C1724,3)</f>
        <v>96.63</v>
      </c>
      <c r="G470" s="1">
        <f>VLOOKUP(A470,TSLA!A469:C1724,3)</f>
        <v>190.72</v>
      </c>
      <c r="H470" s="1">
        <f>VLOOKUP(A470,GOOGL!A469:C1724,3)</f>
        <v>93.600700000000003</v>
      </c>
      <c r="I470" s="1">
        <f>VLOOKUP(A470,META!A469:C1724,3)</f>
        <v>111.87</v>
      </c>
      <c r="J470" s="1">
        <f>VLOOKUP(A470,Nasdaq!A469:C1724,3)</f>
        <v>11114.15</v>
      </c>
    </row>
    <row r="471" spans="1:10" x14ac:dyDescent="0.2">
      <c r="A471" s="2">
        <v>44876</v>
      </c>
      <c r="B471" s="1">
        <f>VLOOKUP(A471,AAPL!A470:C1725,3)</f>
        <v>147.47499999999999</v>
      </c>
      <c r="C471" s="1">
        <f>VLOOKUP(A471,MSFT!A470:C1725,3)</f>
        <v>242.43700000000001</v>
      </c>
      <c r="D471" s="1">
        <f>VLOOKUP(A471,NVDA!A470:C1725,3)</f>
        <v>16.311</v>
      </c>
      <c r="E471" s="1">
        <f>VLOOKUP(A471,AMD!A470:C1725,3)</f>
        <v>72.37</v>
      </c>
      <c r="F471" s="1">
        <f>VLOOKUP(A471,AMZN!A470:C1725,3)</f>
        <v>100.79</v>
      </c>
      <c r="G471" s="1">
        <f>VLOOKUP(A471,TSLA!A470:C1725,3)</f>
        <v>195.97</v>
      </c>
      <c r="H471" s="1">
        <f>VLOOKUP(A471,GOOGL!A470:C1725,3)</f>
        <v>96.061800000000005</v>
      </c>
      <c r="I471" s="1">
        <f>VLOOKUP(A471,META!A470:C1725,3)</f>
        <v>113.02</v>
      </c>
      <c r="J471" s="1">
        <f>VLOOKUP(A471,Nasdaq!A470:C1725,3)</f>
        <v>11323.33</v>
      </c>
    </row>
    <row r="472" spans="1:10" x14ac:dyDescent="0.2">
      <c r="A472" s="2">
        <v>44879</v>
      </c>
      <c r="B472" s="1">
        <f>VLOOKUP(A472,AAPL!A471:C1726,3)</f>
        <v>146.077</v>
      </c>
      <c r="C472" s="1">
        <f>VLOOKUP(A472,MSFT!A471:C1726,3)</f>
        <v>236.98099999999999</v>
      </c>
      <c r="D472" s="1">
        <f>VLOOKUP(A472,NVDA!A471:C1726,3)</f>
        <v>16.279</v>
      </c>
      <c r="E472" s="1">
        <f>VLOOKUP(A472,AMD!A471:C1726,3)</f>
        <v>73.53</v>
      </c>
      <c r="F472" s="1">
        <f>VLOOKUP(A472,AMZN!A471:C1726,3)</f>
        <v>98.49</v>
      </c>
      <c r="G472" s="1">
        <f>VLOOKUP(A472,TSLA!A471:C1726,3)</f>
        <v>190.95</v>
      </c>
      <c r="H472" s="1">
        <f>VLOOKUP(A472,GOOGL!A471:C1726,3)</f>
        <v>95.354299999999995</v>
      </c>
      <c r="I472" s="1">
        <f>VLOOKUP(A472,META!A471:C1726,3)</f>
        <v>114.22</v>
      </c>
      <c r="J472" s="1">
        <f>VLOOKUP(A472,Nasdaq!A471:C1726,3)</f>
        <v>11196.22</v>
      </c>
    </row>
    <row r="473" spans="1:10" x14ac:dyDescent="0.2">
      <c r="A473" s="2">
        <v>44880</v>
      </c>
      <c r="B473" s="1">
        <f>VLOOKUP(A473,AAPL!A472:C1727,3)</f>
        <v>147.81</v>
      </c>
      <c r="C473" s="1">
        <f>VLOOKUP(A473,MSFT!A472:C1727,3)</f>
        <v>237.39500000000001</v>
      </c>
      <c r="D473" s="1">
        <f>VLOOKUP(A473,NVDA!A472:C1727,3)</f>
        <v>16.6496</v>
      </c>
      <c r="E473" s="1">
        <f>VLOOKUP(A473,AMD!A472:C1727,3)</f>
        <v>76.37</v>
      </c>
      <c r="F473" s="1">
        <f>VLOOKUP(A473,AMZN!A472:C1727,3)</f>
        <v>98.94</v>
      </c>
      <c r="G473" s="1">
        <f>VLOOKUP(A473,TSLA!A472:C1727,3)</f>
        <v>194.42</v>
      </c>
      <c r="H473" s="1">
        <f>VLOOKUP(A473,GOOGL!A472:C1727,3)</f>
        <v>98.084400000000002</v>
      </c>
      <c r="I473" s="1">
        <f>VLOOKUP(A473,META!A472:C1727,3)</f>
        <v>117.08</v>
      </c>
      <c r="J473" s="1">
        <f>VLOOKUP(A473,Nasdaq!A472:C1727,3)</f>
        <v>11358.41</v>
      </c>
    </row>
    <row r="474" spans="1:10" x14ac:dyDescent="0.2">
      <c r="A474" s="2">
        <v>44881</v>
      </c>
      <c r="B474" s="1">
        <f>VLOOKUP(A474,AAPL!A473:C1728,3)</f>
        <v>146.577</v>
      </c>
      <c r="C474" s="1">
        <f>VLOOKUP(A474,MSFT!A473:C1728,3)</f>
        <v>237.827</v>
      </c>
      <c r="D474" s="1">
        <f>VLOOKUP(A474,NVDA!A473:C1728,3)</f>
        <v>15.894399999999999</v>
      </c>
      <c r="E474" s="1">
        <f>VLOOKUP(A474,AMD!A473:C1728,3)</f>
        <v>72.7</v>
      </c>
      <c r="F474" s="1">
        <f>VLOOKUP(A474,AMZN!A473:C1728,3)</f>
        <v>97.12</v>
      </c>
      <c r="G474" s="1">
        <f>VLOOKUP(A474,TSLA!A473:C1728,3)</f>
        <v>186.92</v>
      </c>
      <c r="H474" s="1">
        <f>VLOOKUP(A474,GOOGL!A473:C1728,3)</f>
        <v>98.492999999999995</v>
      </c>
      <c r="I474" s="1">
        <f>VLOOKUP(A474,META!A473:C1728,3)</f>
        <v>113.23</v>
      </c>
      <c r="J474" s="1">
        <f>VLOOKUP(A474,Nasdaq!A473:C1728,3)</f>
        <v>11183.66</v>
      </c>
    </row>
    <row r="475" spans="1:10" x14ac:dyDescent="0.2">
      <c r="A475" s="2">
        <v>44882</v>
      </c>
      <c r="B475" s="1">
        <f>VLOOKUP(A475,AAPL!A474:C1729,3)</f>
        <v>148.47900000000001</v>
      </c>
      <c r="C475" s="1">
        <f>VLOOKUP(A475,MSFT!A474:C1729,3)</f>
        <v>237.77799999999999</v>
      </c>
      <c r="D475" s="1">
        <f>VLOOKUP(A475,NVDA!A474:C1729,3)</f>
        <v>15.6616</v>
      </c>
      <c r="E475" s="1">
        <f>VLOOKUP(A475,AMD!A474:C1729,3)</f>
        <v>73.900000000000006</v>
      </c>
      <c r="F475" s="1">
        <f>VLOOKUP(A475,AMZN!A474:C1729,3)</f>
        <v>94.85</v>
      </c>
      <c r="G475" s="1">
        <f>VLOOKUP(A475,TSLA!A474:C1729,3)</f>
        <v>183.17</v>
      </c>
      <c r="H475" s="1">
        <f>VLOOKUP(A475,GOOGL!A474:C1729,3)</f>
        <v>98.0047</v>
      </c>
      <c r="I475" s="1">
        <f>VLOOKUP(A475,META!A474:C1729,3)</f>
        <v>111.45</v>
      </c>
      <c r="J475" s="1">
        <f>VLOOKUP(A475,Nasdaq!A474:C1729,3)</f>
        <v>11144.96</v>
      </c>
    </row>
    <row r="476" spans="1:10" x14ac:dyDescent="0.2">
      <c r="A476" s="2">
        <v>44883</v>
      </c>
      <c r="B476" s="1">
        <f>VLOOKUP(A476,AAPL!A475:C1730,3)</f>
        <v>149.042</v>
      </c>
      <c r="C476" s="1">
        <f>VLOOKUP(A476,MSFT!A475:C1730,3)</f>
        <v>237.32499999999999</v>
      </c>
      <c r="D476" s="1">
        <f>VLOOKUP(A476,NVDA!A475:C1730,3)</f>
        <v>15.393800000000001</v>
      </c>
      <c r="E476" s="1">
        <f>VLOOKUP(A476,AMD!A475:C1730,3)</f>
        <v>73.569999999999993</v>
      </c>
      <c r="F476" s="1">
        <f>VLOOKUP(A476,AMZN!A475:C1730,3)</f>
        <v>94.14</v>
      </c>
      <c r="G476" s="1">
        <f>VLOOKUP(A476,TSLA!A475:C1730,3)</f>
        <v>180.19</v>
      </c>
      <c r="H476" s="1">
        <f>VLOOKUP(A476,GOOGL!A475:C1730,3)</f>
        <v>97.078000000000003</v>
      </c>
      <c r="I476" s="1">
        <f>VLOOKUP(A476,META!A475:C1730,3)</f>
        <v>112.05</v>
      </c>
      <c r="J476" s="1">
        <f>VLOOKUP(A476,Nasdaq!A475:C1730,3)</f>
        <v>11146.06</v>
      </c>
    </row>
    <row r="477" spans="1:10" x14ac:dyDescent="0.2">
      <c r="A477" s="2">
        <v>44886</v>
      </c>
      <c r="B477" s="1">
        <f>VLOOKUP(A477,AAPL!A476:C1731,3)</f>
        <v>145.809</v>
      </c>
      <c r="C477" s="1">
        <f>VLOOKUP(A477,MSFT!A476:C1731,3)</f>
        <v>238.14099999999999</v>
      </c>
      <c r="D477" s="1">
        <f>VLOOKUP(A477,NVDA!A476:C1731,3)</f>
        <v>15.3019</v>
      </c>
      <c r="E477" s="1">
        <f>VLOOKUP(A477,AMD!A476:C1731,3)</f>
        <v>72.459999999999994</v>
      </c>
      <c r="F477" s="1">
        <f>VLOOKUP(A477,AMZN!A476:C1731,3)</f>
        <v>92.46</v>
      </c>
      <c r="G477" s="1">
        <f>VLOOKUP(A477,TSLA!A476:C1731,3)</f>
        <v>167.87</v>
      </c>
      <c r="H477" s="1">
        <f>VLOOKUP(A477,GOOGL!A476:C1731,3)</f>
        <v>95.2547</v>
      </c>
      <c r="I477" s="1">
        <f>VLOOKUP(A477,META!A476:C1731,3)</f>
        <v>109.86</v>
      </c>
      <c r="J477" s="1">
        <f>VLOOKUP(A477,Nasdaq!A476:C1731,3)</f>
        <v>11024.51</v>
      </c>
    </row>
    <row r="478" spans="1:10" x14ac:dyDescent="0.2">
      <c r="A478" s="2">
        <v>44887</v>
      </c>
      <c r="B478" s="1">
        <f>VLOOKUP(A478,AAPL!A477:C1732,3)</f>
        <v>147.94900000000001</v>
      </c>
      <c r="C478" s="1">
        <f>VLOOKUP(A478,MSFT!A477:C1732,3)</f>
        <v>241.07499999999999</v>
      </c>
      <c r="D478" s="1">
        <f>VLOOKUP(A478,NVDA!A477:C1732,3)</f>
        <v>16.022200000000002</v>
      </c>
      <c r="E478" s="1">
        <f>VLOOKUP(A478,AMD!A477:C1732,3)</f>
        <v>75.25</v>
      </c>
      <c r="F478" s="1">
        <f>VLOOKUP(A478,AMZN!A477:C1732,3)</f>
        <v>93.2</v>
      </c>
      <c r="G478" s="1">
        <f>VLOOKUP(A478,TSLA!A477:C1732,3)</f>
        <v>169.91</v>
      </c>
      <c r="H478" s="1">
        <f>VLOOKUP(A478,GOOGL!A477:C1732,3)</f>
        <v>96.699399999999997</v>
      </c>
      <c r="I478" s="1">
        <f>VLOOKUP(A478,META!A477:C1732,3)</f>
        <v>111.44</v>
      </c>
      <c r="J478" s="1">
        <f>VLOOKUP(A478,Nasdaq!A477:C1732,3)</f>
        <v>11174.41</v>
      </c>
    </row>
    <row r="479" spans="1:10" x14ac:dyDescent="0.2">
      <c r="A479" s="2">
        <v>44888</v>
      </c>
      <c r="B479" s="1">
        <f>VLOOKUP(A479,AAPL!A478:C1733,3)</f>
        <v>148.827</v>
      </c>
      <c r="C479" s="1">
        <f>VLOOKUP(A479,MSFT!A478:C1733,3)</f>
        <v>243.58099999999999</v>
      </c>
      <c r="D479" s="1">
        <f>VLOOKUP(A479,NVDA!A478:C1733,3)</f>
        <v>16.502700000000001</v>
      </c>
      <c r="E479" s="1">
        <f>VLOOKUP(A479,AMD!A478:C1733,3)</f>
        <v>76.400000000000006</v>
      </c>
      <c r="F479" s="1">
        <f>VLOOKUP(A479,AMZN!A478:C1733,3)</f>
        <v>94.13</v>
      </c>
      <c r="G479" s="1">
        <f>VLOOKUP(A479,TSLA!A478:C1733,3)</f>
        <v>183.2</v>
      </c>
      <c r="H479" s="1">
        <f>VLOOKUP(A479,GOOGL!A478:C1733,3)</f>
        <v>98.104399999999998</v>
      </c>
      <c r="I479" s="1">
        <f>VLOOKUP(A479,META!A478:C1733,3)</f>
        <v>112.24</v>
      </c>
      <c r="J479" s="1">
        <f>VLOOKUP(A479,Nasdaq!A478:C1733,3)</f>
        <v>11285.32</v>
      </c>
    </row>
    <row r="480" spans="1:10" x14ac:dyDescent="0.2">
      <c r="A480" s="2">
        <v>44890</v>
      </c>
      <c r="B480" s="1">
        <f>VLOOKUP(A480,AAPL!A479:C1734,3)</f>
        <v>145.90899999999999</v>
      </c>
      <c r="C480" s="1">
        <f>VLOOKUP(A480,MSFT!A479:C1734,3)</f>
        <v>243.494</v>
      </c>
      <c r="D480" s="1">
        <f>VLOOKUP(A480,NVDA!A479:C1734,3)</f>
        <v>16.254000000000001</v>
      </c>
      <c r="E480" s="1">
        <f>VLOOKUP(A480,AMD!A479:C1734,3)</f>
        <v>75.14</v>
      </c>
      <c r="F480" s="1">
        <f>VLOOKUP(A480,AMZN!A479:C1734,3)</f>
        <v>93.41</v>
      </c>
      <c r="G480" s="1">
        <f>VLOOKUP(A480,TSLA!A479:C1734,3)</f>
        <v>182.86</v>
      </c>
      <c r="H480" s="1">
        <f>VLOOKUP(A480,GOOGL!A479:C1734,3)</f>
        <v>97.108000000000004</v>
      </c>
      <c r="I480" s="1">
        <f>VLOOKUP(A480,META!A479:C1734,3)</f>
        <v>111.41</v>
      </c>
      <c r="J480" s="1">
        <f>VLOOKUP(A480,Nasdaq!A479:C1734,3)</f>
        <v>11226.36</v>
      </c>
    </row>
    <row r="481" spans="1:10" x14ac:dyDescent="0.2">
      <c r="A481" s="2">
        <v>44893</v>
      </c>
      <c r="B481" s="1">
        <f>VLOOKUP(A481,AAPL!A480:C1735,3)</f>
        <v>142.07599999999999</v>
      </c>
      <c r="C481" s="1">
        <f>VLOOKUP(A481,MSFT!A480:C1735,3)</f>
        <v>237.857</v>
      </c>
      <c r="D481" s="1">
        <f>VLOOKUP(A481,NVDA!A480:C1735,3)</f>
        <v>15.811500000000001</v>
      </c>
      <c r="E481" s="1">
        <f>VLOOKUP(A481,AMD!A480:C1735,3)</f>
        <v>73.19</v>
      </c>
      <c r="F481" s="1">
        <f>VLOOKUP(A481,AMZN!A480:C1735,3)</f>
        <v>93.95</v>
      </c>
      <c r="G481" s="1">
        <f>VLOOKUP(A481,TSLA!A480:C1735,3)</f>
        <v>182.92</v>
      </c>
      <c r="H481" s="1">
        <f>VLOOKUP(A481,GOOGL!A480:C1735,3)</f>
        <v>95.703100000000006</v>
      </c>
      <c r="I481" s="1">
        <f>VLOOKUP(A481,META!A480:C1735,3)</f>
        <v>108.78</v>
      </c>
      <c r="J481" s="1">
        <f>VLOOKUP(A481,Nasdaq!A480:C1735,3)</f>
        <v>11049.5</v>
      </c>
    </row>
    <row r="482" spans="1:10" x14ac:dyDescent="0.2">
      <c r="A482" s="2">
        <v>44894</v>
      </c>
      <c r="B482" s="1">
        <f>VLOOKUP(A482,AAPL!A481:C1736,3)</f>
        <v>139.071</v>
      </c>
      <c r="C482" s="1">
        <f>VLOOKUP(A482,MSFT!A481:C1736,3)</f>
        <v>236.45</v>
      </c>
      <c r="D482" s="1">
        <f>VLOOKUP(A482,NVDA!A481:C1736,3)</f>
        <v>15.6236</v>
      </c>
      <c r="E482" s="1">
        <f>VLOOKUP(A482,AMD!A481:C1736,3)</f>
        <v>73.39</v>
      </c>
      <c r="F482" s="1">
        <f>VLOOKUP(A482,AMZN!A481:C1736,3)</f>
        <v>92.42</v>
      </c>
      <c r="G482" s="1">
        <f>VLOOKUP(A482,TSLA!A481:C1736,3)</f>
        <v>180.83</v>
      </c>
      <c r="H482" s="1">
        <f>VLOOKUP(A482,GOOGL!A481:C1736,3)</f>
        <v>94.846199999999996</v>
      </c>
      <c r="I482" s="1">
        <f>VLOOKUP(A482,META!A481:C1736,3)</f>
        <v>109.46</v>
      </c>
      <c r="J482" s="1">
        <f>VLOOKUP(A482,Nasdaq!A481:C1736,3)</f>
        <v>10983.78</v>
      </c>
    </row>
    <row r="483" spans="1:10" x14ac:dyDescent="0.2">
      <c r="A483" s="2">
        <v>44895</v>
      </c>
      <c r="B483" s="1">
        <f>VLOOKUP(A483,AAPL!A482:C1737,3)</f>
        <v>145.82900000000001</v>
      </c>
      <c r="C483" s="1">
        <f>VLOOKUP(A483,MSFT!A482:C1737,3)</f>
        <v>251.02199999999999</v>
      </c>
      <c r="D483" s="1">
        <f>VLOOKUP(A483,NVDA!A482:C1737,3)</f>
        <v>16.910599999999999</v>
      </c>
      <c r="E483" s="1">
        <f>VLOOKUP(A483,AMD!A482:C1737,3)</f>
        <v>77.63</v>
      </c>
      <c r="F483" s="1">
        <f>VLOOKUP(A483,AMZN!A482:C1737,3)</f>
        <v>96.54</v>
      </c>
      <c r="G483" s="1">
        <f>VLOOKUP(A483,TSLA!A482:C1737,3)</f>
        <v>194.7</v>
      </c>
      <c r="H483" s="1">
        <f>VLOOKUP(A483,GOOGL!A482:C1737,3)</f>
        <v>100.625</v>
      </c>
      <c r="I483" s="1">
        <f>VLOOKUP(A483,META!A482:C1737,3)</f>
        <v>118.1</v>
      </c>
      <c r="J483" s="1">
        <f>VLOOKUP(A483,Nasdaq!A482:C1737,3)</f>
        <v>11468</v>
      </c>
    </row>
    <row r="484" spans="1:10" x14ac:dyDescent="0.2">
      <c r="A484" s="2">
        <v>44896</v>
      </c>
      <c r="B484" s="1">
        <f>VLOOKUP(A484,AAPL!A483:C1738,3)</f>
        <v>146.10599999999999</v>
      </c>
      <c r="C484" s="1">
        <f>VLOOKUP(A484,MSFT!A483:C1738,3)</f>
        <v>250.577</v>
      </c>
      <c r="D484" s="1">
        <f>VLOOKUP(A484,NVDA!A483:C1738,3)</f>
        <v>17.122499999999999</v>
      </c>
      <c r="E484" s="1">
        <f>VLOOKUP(A484,AMD!A483:C1738,3)</f>
        <v>77.48</v>
      </c>
      <c r="F484" s="1">
        <f>VLOOKUP(A484,AMZN!A483:C1738,3)</f>
        <v>95.5</v>
      </c>
      <c r="G484" s="1">
        <f>VLOOKUP(A484,TSLA!A483:C1738,3)</f>
        <v>194.7</v>
      </c>
      <c r="H484" s="1">
        <f>VLOOKUP(A484,GOOGL!A483:C1738,3)</f>
        <v>100.625</v>
      </c>
      <c r="I484" s="1">
        <f>VLOOKUP(A484,META!A483:C1738,3)</f>
        <v>120.44</v>
      </c>
      <c r="J484" s="1">
        <f>VLOOKUP(A484,Nasdaq!A483:C1738,3)</f>
        <v>11482.45</v>
      </c>
    </row>
    <row r="485" spans="1:10" x14ac:dyDescent="0.2">
      <c r="A485" s="2">
        <v>44897</v>
      </c>
      <c r="B485" s="1">
        <f>VLOOKUP(A485,AAPL!A484:C1739,3)</f>
        <v>145.614</v>
      </c>
      <c r="C485" s="1">
        <f>VLOOKUP(A485,MSFT!A484:C1739,3)</f>
        <v>250.90299999999999</v>
      </c>
      <c r="D485" s="1">
        <f>VLOOKUP(A485,NVDA!A484:C1739,3)</f>
        <v>16.863700000000001</v>
      </c>
      <c r="E485" s="1">
        <f>VLOOKUP(A485,AMD!A484:C1739,3)</f>
        <v>74.98</v>
      </c>
      <c r="F485" s="1">
        <f>VLOOKUP(A485,AMZN!A484:C1739,3)</f>
        <v>94.13</v>
      </c>
      <c r="G485" s="1">
        <f>VLOOKUP(A485,TSLA!A484:C1739,3)</f>
        <v>194.86</v>
      </c>
      <c r="H485" s="1">
        <f>VLOOKUP(A485,GOOGL!A484:C1739,3)</f>
        <v>100.077</v>
      </c>
      <c r="I485" s="1">
        <f>VLOOKUP(A485,META!A484:C1739,3)</f>
        <v>123.49</v>
      </c>
      <c r="J485" s="1">
        <f>VLOOKUP(A485,Nasdaq!A484:C1739,3)</f>
        <v>11461.5</v>
      </c>
    </row>
    <row r="486" spans="1:10" x14ac:dyDescent="0.2">
      <c r="A486" s="2">
        <v>44900</v>
      </c>
      <c r="B486" s="1">
        <f>VLOOKUP(A486,AAPL!A485:C1740,3)</f>
        <v>144.45099999999999</v>
      </c>
      <c r="C486" s="1">
        <f>VLOOKUP(A486,MSFT!A485:C1740,3)</f>
        <v>246.16</v>
      </c>
      <c r="D486" s="1">
        <f>VLOOKUP(A486,NVDA!A485:C1740,3)</f>
        <v>16.597899999999999</v>
      </c>
      <c r="E486" s="1">
        <f>VLOOKUP(A486,AMD!A485:C1740,3)</f>
        <v>73.62</v>
      </c>
      <c r="F486" s="1">
        <f>VLOOKUP(A486,AMZN!A485:C1740,3)</f>
        <v>91.01</v>
      </c>
      <c r="G486" s="1">
        <f>VLOOKUP(A486,TSLA!A485:C1740,3)</f>
        <v>182.45</v>
      </c>
      <c r="H486" s="1">
        <f>VLOOKUP(A486,GOOGL!A485:C1740,3)</f>
        <v>99.120699999999999</v>
      </c>
      <c r="I486" s="1">
        <f>VLOOKUP(A486,META!A485:C1740,3)</f>
        <v>122.43</v>
      </c>
      <c r="J486" s="1">
        <f>VLOOKUP(A486,Nasdaq!A485:C1740,3)</f>
        <v>11239.94</v>
      </c>
    </row>
    <row r="487" spans="1:10" x14ac:dyDescent="0.2">
      <c r="A487" s="2">
        <v>44901</v>
      </c>
      <c r="B487" s="1">
        <f>VLOOKUP(A487,AAPL!A486:C1741,3)</f>
        <v>140.78700000000001</v>
      </c>
      <c r="C487" s="1">
        <f>VLOOKUP(A487,MSFT!A486:C1741,3)</f>
        <v>241.16300000000001</v>
      </c>
      <c r="D487" s="1">
        <f>VLOOKUP(A487,NVDA!A486:C1741,3)</f>
        <v>15.9754</v>
      </c>
      <c r="E487" s="1">
        <f>VLOOKUP(A487,AMD!A486:C1741,3)</f>
        <v>70.27</v>
      </c>
      <c r="F487" s="1">
        <f>VLOOKUP(A487,AMZN!A486:C1741,3)</f>
        <v>88.25</v>
      </c>
      <c r="G487" s="1">
        <f>VLOOKUP(A487,TSLA!A486:C1741,3)</f>
        <v>179.82</v>
      </c>
      <c r="H487" s="1">
        <f>VLOOKUP(A487,GOOGL!A486:C1741,3)</f>
        <v>96.6297</v>
      </c>
      <c r="I487" s="1">
        <f>VLOOKUP(A487,META!A486:C1741,3)</f>
        <v>114.12</v>
      </c>
      <c r="J487" s="1">
        <f>VLOOKUP(A487,Nasdaq!A486:C1741,3)</f>
        <v>11014.89</v>
      </c>
    </row>
    <row r="488" spans="1:10" x14ac:dyDescent="0.2">
      <c r="A488" s="2">
        <v>44902</v>
      </c>
      <c r="B488" s="1">
        <f>VLOOKUP(A488,AAPL!A487:C1742,3)</f>
        <v>138.84399999999999</v>
      </c>
      <c r="C488" s="1">
        <f>VLOOKUP(A488,MSFT!A487:C1742,3)</f>
        <v>240.42400000000001</v>
      </c>
      <c r="D488" s="1">
        <f>VLOOKUP(A488,NVDA!A487:C1742,3)</f>
        <v>16.1083</v>
      </c>
      <c r="E488" s="1">
        <f>VLOOKUP(A488,AMD!A487:C1742,3)</f>
        <v>70.14</v>
      </c>
      <c r="F488" s="1">
        <f>VLOOKUP(A488,AMZN!A487:C1742,3)</f>
        <v>88.46</v>
      </c>
      <c r="G488" s="1">
        <f>VLOOKUP(A488,TSLA!A487:C1742,3)</f>
        <v>174.04</v>
      </c>
      <c r="H488" s="1">
        <f>VLOOKUP(A488,GOOGL!A487:C1742,3)</f>
        <v>94.597099999999998</v>
      </c>
      <c r="I488" s="1">
        <f>VLOOKUP(A488,META!A487:C1742,3)</f>
        <v>113.93</v>
      </c>
      <c r="J488" s="1">
        <f>VLOOKUP(A488,Nasdaq!A487:C1742,3)</f>
        <v>10958.55</v>
      </c>
    </row>
    <row r="489" spans="1:10" x14ac:dyDescent="0.2">
      <c r="A489" s="2">
        <v>44903</v>
      </c>
      <c r="B489" s="1">
        <f>VLOOKUP(A489,AAPL!A488:C1743,3)</f>
        <v>140.529</v>
      </c>
      <c r="C489" s="1">
        <f>VLOOKUP(A489,MSFT!A488:C1743,3)</f>
        <v>243.405</v>
      </c>
      <c r="D489" s="1">
        <f>VLOOKUP(A489,NVDA!A488:C1743,3)</f>
        <v>17.156500000000001</v>
      </c>
      <c r="E489" s="1">
        <f>VLOOKUP(A489,AMD!A488:C1743,3)</f>
        <v>70.47</v>
      </c>
      <c r="F489" s="1">
        <f>VLOOKUP(A489,AMZN!A488:C1743,3)</f>
        <v>90.35</v>
      </c>
      <c r="G489" s="1">
        <f>VLOOKUP(A489,TSLA!A488:C1743,3)</f>
        <v>173.44</v>
      </c>
      <c r="H489" s="1">
        <f>VLOOKUP(A489,GOOGL!A488:C1743,3)</f>
        <v>93.371600000000001</v>
      </c>
      <c r="I489" s="1">
        <f>VLOOKUP(A489,META!A488:C1743,3)</f>
        <v>115.33</v>
      </c>
      <c r="J489" s="1">
        <f>VLOOKUP(A489,Nasdaq!A488:C1743,3)</f>
        <v>11082</v>
      </c>
    </row>
    <row r="490" spans="1:10" x14ac:dyDescent="0.2">
      <c r="A490" s="2">
        <v>44904</v>
      </c>
      <c r="B490" s="1">
        <f>VLOOKUP(A490,AAPL!A489:C1744,3)</f>
        <v>140.047</v>
      </c>
      <c r="C490" s="1">
        <f>VLOOKUP(A490,MSFT!A489:C1744,3)</f>
        <v>241.458</v>
      </c>
      <c r="D490" s="1">
        <f>VLOOKUP(A490,NVDA!A489:C1744,3)</f>
        <v>16.988499999999998</v>
      </c>
      <c r="E490" s="1">
        <f>VLOOKUP(A490,AMD!A489:C1744,3)</f>
        <v>68.59</v>
      </c>
      <c r="F490" s="1">
        <f>VLOOKUP(A490,AMZN!A489:C1744,3)</f>
        <v>89.09</v>
      </c>
      <c r="G490" s="1">
        <f>VLOOKUP(A490,TSLA!A489:C1744,3)</f>
        <v>179.05</v>
      </c>
      <c r="H490" s="1">
        <f>VLOOKUP(A490,GOOGL!A489:C1744,3)</f>
        <v>92.494699999999995</v>
      </c>
      <c r="I490" s="1">
        <f>VLOOKUP(A490,META!A489:C1744,3)</f>
        <v>115.9</v>
      </c>
      <c r="J490" s="1">
        <f>VLOOKUP(A490,Nasdaq!A489:C1744,3)</f>
        <v>11004.62</v>
      </c>
    </row>
    <row r="491" spans="1:10" x14ac:dyDescent="0.2">
      <c r="A491" s="2">
        <v>44907</v>
      </c>
      <c r="B491" s="1">
        <f>VLOOKUP(A491,AAPL!A490:C1745,3)</f>
        <v>142.34399999999999</v>
      </c>
      <c r="C491" s="1">
        <f>VLOOKUP(A491,MSFT!A490:C1745,3)</f>
        <v>248.43299999999999</v>
      </c>
      <c r="D491" s="1">
        <f>VLOOKUP(A491,NVDA!A490:C1745,3)</f>
        <v>17.522400000000001</v>
      </c>
      <c r="E491" s="1">
        <f>VLOOKUP(A491,AMD!A490:C1745,3)</f>
        <v>70.67</v>
      </c>
      <c r="F491" s="1">
        <f>VLOOKUP(A491,AMZN!A490:C1745,3)</f>
        <v>90.55</v>
      </c>
      <c r="G491" s="1">
        <f>VLOOKUP(A491,TSLA!A490:C1745,3)</f>
        <v>167.82</v>
      </c>
      <c r="H491" s="1">
        <f>VLOOKUP(A491,GOOGL!A490:C1745,3)</f>
        <v>92.972899999999996</v>
      </c>
      <c r="I491" s="1">
        <f>VLOOKUP(A491,META!A490:C1745,3)</f>
        <v>114.71</v>
      </c>
      <c r="J491" s="1">
        <f>VLOOKUP(A491,Nasdaq!A490:C1745,3)</f>
        <v>11143.74</v>
      </c>
    </row>
    <row r="492" spans="1:10" x14ac:dyDescent="0.2">
      <c r="A492" s="2">
        <v>44908</v>
      </c>
      <c r="B492" s="1">
        <f>VLOOKUP(A492,AAPL!A491:C1746,3)</f>
        <v>143.30699999999999</v>
      </c>
      <c r="C492" s="1">
        <f>VLOOKUP(A492,MSFT!A491:C1746,3)</f>
        <v>252.77099999999999</v>
      </c>
      <c r="D492" s="1">
        <f>VLOOKUP(A492,NVDA!A491:C1746,3)</f>
        <v>18.058900000000001</v>
      </c>
      <c r="E492" s="1">
        <f>VLOOKUP(A492,AMD!A491:C1746,3)</f>
        <v>71.650000000000006</v>
      </c>
      <c r="F492" s="1">
        <f>VLOOKUP(A492,AMZN!A491:C1746,3)</f>
        <v>92.49</v>
      </c>
      <c r="G492" s="1">
        <f>VLOOKUP(A492,TSLA!A491:C1746,3)</f>
        <v>160.94999999999999</v>
      </c>
      <c r="H492" s="1">
        <f>VLOOKUP(A492,GOOGL!A491:C1746,3)</f>
        <v>95.284599999999998</v>
      </c>
      <c r="I492" s="1">
        <f>VLOOKUP(A492,META!A491:C1746,3)</f>
        <v>120.15</v>
      </c>
      <c r="J492" s="1">
        <f>VLOOKUP(A492,Nasdaq!A491:C1746,3)</f>
        <v>11256.81</v>
      </c>
    </row>
    <row r="493" spans="1:10" x14ac:dyDescent="0.2">
      <c r="A493" s="2">
        <v>44909</v>
      </c>
      <c r="B493" s="1">
        <f>VLOOKUP(A493,AAPL!A492:C1747,3)</f>
        <v>141.08099999999999</v>
      </c>
      <c r="C493" s="1">
        <f>VLOOKUP(A493,MSFT!A492:C1747,3)</f>
        <v>253.066</v>
      </c>
      <c r="D493" s="1">
        <f>VLOOKUP(A493,NVDA!A492:C1747,3)</f>
        <v>17.661100000000001</v>
      </c>
      <c r="E493" s="1">
        <f>VLOOKUP(A493,AMD!A492:C1747,3)</f>
        <v>68.930000000000007</v>
      </c>
      <c r="F493" s="1">
        <f>VLOOKUP(A493,AMZN!A492:C1747,3)</f>
        <v>91.58</v>
      </c>
      <c r="G493" s="1">
        <f>VLOOKUP(A493,TSLA!A492:C1747,3)</f>
        <v>156.80000000000001</v>
      </c>
      <c r="H493" s="1">
        <f>VLOOKUP(A493,GOOGL!A492:C1747,3)</f>
        <v>94.726600000000005</v>
      </c>
      <c r="I493" s="1">
        <f>VLOOKUP(A493,META!A492:C1747,3)</f>
        <v>121.59</v>
      </c>
      <c r="J493" s="1">
        <f>VLOOKUP(A493,Nasdaq!A492:C1747,3)</f>
        <v>11170.89</v>
      </c>
    </row>
    <row r="494" spans="1:10" x14ac:dyDescent="0.2">
      <c r="A494" s="2">
        <v>44910</v>
      </c>
      <c r="B494" s="1">
        <f>VLOOKUP(A494,AAPL!A493:C1748,3)</f>
        <v>134.47</v>
      </c>
      <c r="C494" s="1">
        <f>VLOOKUP(A494,MSFT!A493:C1748,3)</f>
        <v>244.989</v>
      </c>
      <c r="D494" s="1">
        <f>VLOOKUP(A494,NVDA!A493:C1748,3)</f>
        <v>16.939599999999999</v>
      </c>
      <c r="E494" s="1">
        <f>VLOOKUP(A494,AMD!A493:C1748,3)</f>
        <v>66.53</v>
      </c>
      <c r="F494" s="1">
        <f>VLOOKUP(A494,AMZN!A493:C1748,3)</f>
        <v>88.45</v>
      </c>
      <c r="G494" s="1">
        <f>VLOOKUP(A494,TSLA!A493:C1748,3)</f>
        <v>157.66999999999999</v>
      </c>
      <c r="H494" s="1">
        <f>VLOOKUP(A494,GOOGL!A493:C1748,3)</f>
        <v>90.531700000000001</v>
      </c>
      <c r="I494" s="1">
        <f>VLOOKUP(A494,META!A493:C1748,3)</f>
        <v>116.15</v>
      </c>
      <c r="J494" s="1">
        <f>VLOOKUP(A494,Nasdaq!A493:C1748,3)</f>
        <v>10810.53</v>
      </c>
    </row>
    <row r="495" spans="1:10" x14ac:dyDescent="0.2">
      <c r="A495" s="2">
        <v>44911</v>
      </c>
      <c r="B495" s="1">
        <f>VLOOKUP(A495,AAPL!A494:C1749,3)</f>
        <v>132.512</v>
      </c>
      <c r="C495" s="1">
        <f>VLOOKUP(A495,MSFT!A494:C1749,3)</f>
        <v>240.739</v>
      </c>
      <c r="D495" s="1">
        <f>VLOOKUP(A495,NVDA!A494:C1749,3)</f>
        <v>16.558900000000001</v>
      </c>
      <c r="E495" s="1">
        <f>VLOOKUP(A495,AMD!A494:C1749,3)</f>
        <v>65.41</v>
      </c>
      <c r="F495" s="1">
        <f>VLOOKUP(A495,AMZN!A494:C1749,3)</f>
        <v>87.86</v>
      </c>
      <c r="G495" s="1">
        <f>VLOOKUP(A495,TSLA!A494:C1749,3)</f>
        <v>150.22999999999999</v>
      </c>
      <c r="H495" s="1">
        <f>VLOOKUP(A495,GOOGL!A494:C1749,3)</f>
        <v>89.933899999999994</v>
      </c>
      <c r="I495" s="1">
        <f>VLOOKUP(A495,META!A494:C1749,3)</f>
        <v>119.43</v>
      </c>
      <c r="J495" s="1">
        <f>VLOOKUP(A495,Nasdaq!A494:C1749,3)</f>
        <v>10705.41</v>
      </c>
    </row>
    <row r="496" spans="1:10" x14ac:dyDescent="0.2">
      <c r="A496" s="2">
        <v>44914</v>
      </c>
      <c r="B496" s="1">
        <f>VLOOKUP(A496,AAPL!A495:C1750,3)</f>
        <v>130.40299999999999</v>
      </c>
      <c r="C496" s="1">
        <f>VLOOKUP(A496,MSFT!A495:C1750,3)</f>
        <v>236.56700000000001</v>
      </c>
      <c r="D496" s="1">
        <f>VLOOKUP(A496,NVDA!A495:C1750,3)</f>
        <v>16.2422</v>
      </c>
      <c r="E496" s="1">
        <f>VLOOKUP(A496,AMD!A495:C1750,3)</f>
        <v>64.59</v>
      </c>
      <c r="F496" s="1">
        <f>VLOOKUP(A496,AMZN!A495:C1750,3)</f>
        <v>84.92</v>
      </c>
      <c r="G496" s="1">
        <f>VLOOKUP(A496,TSLA!A495:C1750,3)</f>
        <v>149.87</v>
      </c>
      <c r="H496" s="1">
        <f>VLOOKUP(A496,GOOGL!A495:C1750,3)</f>
        <v>88.120500000000007</v>
      </c>
      <c r="I496" s="1">
        <f>VLOOKUP(A496,META!A495:C1750,3)</f>
        <v>114.48</v>
      </c>
      <c r="J496" s="1">
        <f>VLOOKUP(A496,Nasdaq!A495:C1750,3)</f>
        <v>10546.03</v>
      </c>
    </row>
    <row r="497" spans="1:10" x14ac:dyDescent="0.2">
      <c r="A497" s="2">
        <v>44915</v>
      </c>
      <c r="B497" s="1">
        <f>VLOOKUP(A497,AAPL!A496:C1751,3)</f>
        <v>130.334</v>
      </c>
      <c r="C497" s="1">
        <f>VLOOKUP(A497,MSFT!A496:C1751,3)</f>
        <v>237.89699999999999</v>
      </c>
      <c r="D497" s="1">
        <f>VLOOKUP(A497,NVDA!A496:C1751,3)</f>
        <v>16.0733</v>
      </c>
      <c r="E497" s="1">
        <f>VLOOKUP(A497,AMD!A496:C1751,3)</f>
        <v>65.05</v>
      </c>
      <c r="F497" s="1">
        <f>VLOOKUP(A497,AMZN!A496:C1751,3)</f>
        <v>85.19</v>
      </c>
      <c r="G497" s="1">
        <f>VLOOKUP(A497,TSLA!A496:C1751,3)</f>
        <v>137.80000000000001</v>
      </c>
      <c r="H497" s="1">
        <f>VLOOKUP(A497,GOOGL!A496:C1751,3)</f>
        <v>88.698400000000007</v>
      </c>
      <c r="I497" s="1">
        <f>VLOOKUP(A497,META!A496:C1751,3)</f>
        <v>117.09</v>
      </c>
      <c r="J497" s="1">
        <f>VLOOKUP(A497,Nasdaq!A496:C1751,3)</f>
        <v>10547.11</v>
      </c>
    </row>
    <row r="498" spans="1:10" x14ac:dyDescent="0.2">
      <c r="A498" s="2">
        <v>44916</v>
      </c>
      <c r="B498" s="1">
        <f>VLOOKUP(A498,AAPL!A497:C1752,3)</f>
        <v>133.43899999999999</v>
      </c>
      <c r="C498" s="1">
        <f>VLOOKUP(A498,MSFT!A497:C1752,3)</f>
        <v>240.48400000000001</v>
      </c>
      <c r="D498" s="1">
        <f>VLOOKUP(A498,NVDA!A497:C1752,3)</f>
        <v>16.489000000000001</v>
      </c>
      <c r="E498" s="1">
        <f>VLOOKUP(A498,AMD!A497:C1752,3)</f>
        <v>67.680000000000007</v>
      </c>
      <c r="F498" s="1">
        <f>VLOOKUP(A498,AMZN!A497:C1752,3)</f>
        <v>86.77</v>
      </c>
      <c r="G498" s="1">
        <f>VLOOKUP(A498,TSLA!A497:C1752,3)</f>
        <v>137.57</v>
      </c>
      <c r="H498" s="1">
        <f>VLOOKUP(A498,GOOGL!A497:C1752,3)</f>
        <v>89.256399999999999</v>
      </c>
      <c r="I498" s="1">
        <f>VLOOKUP(A498,META!A497:C1752,3)</f>
        <v>119.76</v>
      </c>
      <c r="J498" s="1">
        <f>VLOOKUP(A498,Nasdaq!A497:C1752,3)</f>
        <v>10709.37</v>
      </c>
    </row>
    <row r="499" spans="1:10" x14ac:dyDescent="0.2">
      <c r="A499" s="2">
        <v>44917</v>
      </c>
      <c r="B499" s="1">
        <f>VLOOKUP(A499,AAPL!A498:C1753,3)</f>
        <v>130.26400000000001</v>
      </c>
      <c r="C499" s="1">
        <f>VLOOKUP(A499,MSFT!A498:C1753,3)</f>
        <v>234.345</v>
      </c>
      <c r="D499" s="1">
        <f>VLOOKUP(A499,NVDA!A498:C1753,3)</f>
        <v>15.3278</v>
      </c>
      <c r="E499" s="1">
        <f>VLOOKUP(A499,AMD!A498:C1753,3)</f>
        <v>63.86</v>
      </c>
      <c r="F499" s="1">
        <f>VLOOKUP(A499,AMZN!A498:C1753,3)</f>
        <v>83.79</v>
      </c>
      <c r="G499" s="1">
        <f>VLOOKUP(A499,TSLA!A498:C1753,3)</f>
        <v>125.35</v>
      </c>
      <c r="H499" s="1">
        <f>VLOOKUP(A499,GOOGL!A498:C1753,3)</f>
        <v>87.442999999999998</v>
      </c>
      <c r="I499" s="1">
        <f>VLOOKUP(A499,META!A498:C1753,3)</f>
        <v>117.12</v>
      </c>
      <c r="J499" s="1">
        <f>VLOOKUP(A499,Nasdaq!A498:C1753,3)</f>
        <v>10476.120000000001</v>
      </c>
    </row>
    <row r="500" spans="1:10" x14ac:dyDescent="0.2">
      <c r="A500" s="2">
        <v>44918</v>
      </c>
      <c r="B500" s="1">
        <f>VLOOKUP(A500,AAPL!A499:C1754,3)</f>
        <v>129.9</v>
      </c>
      <c r="C500" s="1">
        <f>VLOOKUP(A500,MSFT!A499:C1754,3)</f>
        <v>234.87700000000001</v>
      </c>
      <c r="D500" s="1">
        <f>VLOOKUP(A500,NVDA!A499:C1754,3)</f>
        <v>15.195</v>
      </c>
      <c r="E500" s="1">
        <f>VLOOKUP(A500,AMD!A499:C1754,3)</f>
        <v>64.52</v>
      </c>
      <c r="F500" s="1">
        <f>VLOOKUP(A500,AMZN!A499:C1754,3)</f>
        <v>85.25</v>
      </c>
      <c r="G500" s="1">
        <f>VLOOKUP(A500,TSLA!A499:C1754,3)</f>
        <v>123.15</v>
      </c>
      <c r="H500" s="1">
        <f>VLOOKUP(A500,GOOGL!A499:C1754,3)</f>
        <v>88.907700000000006</v>
      </c>
      <c r="I500" s="1">
        <f>VLOOKUP(A500,META!A499:C1754,3)</f>
        <v>118.04</v>
      </c>
      <c r="J500" s="1">
        <f>VLOOKUP(A500,Nasdaq!A499:C1754,3)</f>
        <v>10497.86</v>
      </c>
    </row>
    <row r="501" spans="1:10" x14ac:dyDescent="0.2">
      <c r="A501" s="2">
        <v>44922</v>
      </c>
      <c r="B501" s="1">
        <f>VLOOKUP(A501,AAPL!A500:C1755,3)</f>
        <v>128.09800000000001</v>
      </c>
      <c r="C501" s="1">
        <f>VLOOKUP(A501,MSFT!A500:C1755,3)</f>
        <v>233.13300000000001</v>
      </c>
      <c r="D501" s="1">
        <f>VLOOKUP(A501,NVDA!A500:C1755,3)</f>
        <v>14.1106</v>
      </c>
      <c r="E501" s="1">
        <f>VLOOKUP(A501,AMD!A500:C1755,3)</f>
        <v>63.27</v>
      </c>
      <c r="F501" s="1">
        <f>VLOOKUP(A501,AMZN!A500:C1755,3)</f>
        <v>83.04</v>
      </c>
      <c r="G501" s="1">
        <f>VLOOKUP(A501,TSLA!A500:C1755,3)</f>
        <v>109.1</v>
      </c>
      <c r="H501" s="1">
        <f>VLOOKUP(A501,GOOGL!A500:C1755,3)</f>
        <v>87.074299999999994</v>
      </c>
      <c r="I501" s="1">
        <f>VLOOKUP(A501,META!A500:C1755,3)</f>
        <v>116.88</v>
      </c>
      <c r="J501" s="1">
        <f>VLOOKUP(A501,Nasdaq!A500:C1755,3)</f>
        <v>10353.23</v>
      </c>
    </row>
    <row r="502" spans="1:10" x14ac:dyDescent="0.2">
      <c r="A502" s="2">
        <v>44923</v>
      </c>
      <c r="B502" s="1">
        <f>VLOOKUP(A502,AAPL!A501:C1756,3)</f>
        <v>124.167</v>
      </c>
      <c r="C502" s="1">
        <f>VLOOKUP(A502,MSFT!A501:C1756,3)</f>
        <v>230.74299999999999</v>
      </c>
      <c r="D502" s="1">
        <f>VLOOKUP(A502,NVDA!A501:C1756,3)</f>
        <v>14.025600000000001</v>
      </c>
      <c r="E502" s="1">
        <f>VLOOKUP(A502,AMD!A501:C1756,3)</f>
        <v>62.57</v>
      </c>
      <c r="F502" s="1">
        <f>VLOOKUP(A502,AMZN!A501:C1756,3)</f>
        <v>81.819999999999993</v>
      </c>
      <c r="G502" s="1">
        <f>VLOOKUP(A502,TSLA!A501:C1756,3)</f>
        <v>112.71</v>
      </c>
      <c r="H502" s="1">
        <f>VLOOKUP(A502,GOOGL!A501:C1756,3)</f>
        <v>85.709299999999999</v>
      </c>
      <c r="I502" s="1">
        <f>VLOOKUP(A502,META!A501:C1756,3)</f>
        <v>115.62</v>
      </c>
      <c r="J502" s="1">
        <f>VLOOKUP(A502,Nasdaq!A501:C1756,3)</f>
        <v>10213.290000000001</v>
      </c>
    </row>
    <row r="503" spans="1:10" x14ac:dyDescent="0.2">
      <c r="A503" s="2">
        <v>44924</v>
      </c>
      <c r="B503" s="1">
        <f>VLOOKUP(A503,AAPL!A502:C1757,3)</f>
        <v>127.68300000000001</v>
      </c>
      <c r="C503" s="1">
        <f>VLOOKUP(A503,MSFT!A502:C1757,3)</f>
        <v>237.119</v>
      </c>
      <c r="D503" s="1">
        <f>VLOOKUP(A503,NVDA!A502:C1757,3)</f>
        <v>14.5924</v>
      </c>
      <c r="E503" s="1">
        <f>VLOOKUP(A503,AMD!A502:C1757,3)</f>
        <v>64.819999999999993</v>
      </c>
      <c r="F503" s="1">
        <f>VLOOKUP(A503,AMZN!A502:C1757,3)</f>
        <v>84.18</v>
      </c>
      <c r="G503" s="1">
        <f>VLOOKUP(A503,TSLA!A502:C1757,3)</f>
        <v>121.82</v>
      </c>
      <c r="H503" s="1">
        <f>VLOOKUP(A503,GOOGL!A502:C1757,3)</f>
        <v>88.130499999999998</v>
      </c>
      <c r="I503" s="1">
        <f>VLOOKUP(A503,META!A502:C1757,3)</f>
        <v>120.26</v>
      </c>
      <c r="J503" s="1">
        <f>VLOOKUP(A503,Nasdaq!A502:C1757,3)</f>
        <v>10478.09</v>
      </c>
    </row>
    <row r="504" spans="1:10" x14ac:dyDescent="0.2">
      <c r="A504" s="2">
        <v>44925</v>
      </c>
      <c r="B504" s="1">
        <f>VLOOKUP(A504,AAPL!A503:C1758,3)</f>
        <v>128</v>
      </c>
      <c r="C504" s="1">
        <f>VLOOKUP(A504,MSFT!A503:C1758,3)</f>
        <v>235.94900000000001</v>
      </c>
      <c r="D504" s="1">
        <f>VLOOKUP(A504,NVDA!A503:C1758,3)</f>
        <v>14.603400000000001</v>
      </c>
      <c r="E504" s="1">
        <f>VLOOKUP(A504,AMD!A503:C1758,3)</f>
        <v>64.77</v>
      </c>
      <c r="F504" s="1">
        <f>VLOOKUP(A504,AMZN!A503:C1758,3)</f>
        <v>84</v>
      </c>
      <c r="G504" s="1">
        <f>VLOOKUP(A504,TSLA!A503:C1758,3)</f>
        <v>123.18</v>
      </c>
      <c r="H504" s="1">
        <f>VLOOKUP(A504,GOOGL!A503:C1758,3)</f>
        <v>87.911299999999997</v>
      </c>
      <c r="I504" s="1">
        <f>VLOOKUP(A504,META!A503:C1758,3)</f>
        <v>120.34</v>
      </c>
      <c r="J504" s="1">
        <f>VLOOKUP(A504,Nasdaq!A503:C1758,3)</f>
        <v>10466.48</v>
      </c>
    </row>
    <row r="505" spans="1:10" x14ac:dyDescent="0.2">
      <c r="A505" s="2">
        <v>44929</v>
      </c>
      <c r="B505" s="1">
        <f>VLOOKUP(A505,AAPL!A504:C1759,3)</f>
        <v>123.212</v>
      </c>
      <c r="C505" s="1">
        <f>VLOOKUP(A505,MSFT!A504:C1759,3)</f>
        <v>235.71100000000001</v>
      </c>
      <c r="D505" s="1">
        <f>VLOOKUP(A505,NVDA!A504:C1759,3)</f>
        <v>14.304500000000001</v>
      </c>
      <c r="E505" s="1">
        <f>VLOOKUP(A505,AMD!A504:C1759,3)</f>
        <v>64.02</v>
      </c>
      <c r="F505" s="1">
        <f>VLOOKUP(A505,AMZN!A504:C1759,3)</f>
        <v>85.82</v>
      </c>
      <c r="G505" s="1">
        <f>VLOOKUP(A505,TSLA!A504:C1759,3)</f>
        <v>108.1</v>
      </c>
      <c r="H505" s="1">
        <f>VLOOKUP(A505,GOOGL!A504:C1759,3)</f>
        <v>88.798000000000002</v>
      </c>
      <c r="I505" s="1">
        <f>VLOOKUP(A505,META!A504:C1759,3)</f>
        <v>124.74</v>
      </c>
      <c r="J505" s="1">
        <f>VLOOKUP(A505,Nasdaq!A504:C1759,3)</f>
        <v>10386.98</v>
      </c>
    </row>
    <row r="506" spans="1:10" x14ac:dyDescent="0.2">
      <c r="A506" s="2">
        <v>44930</v>
      </c>
      <c r="B506" s="1">
        <f>VLOOKUP(A506,AAPL!A505:C1760,3)</f>
        <v>124.48099999999999</v>
      </c>
      <c r="C506" s="1">
        <f>VLOOKUP(A506,MSFT!A505:C1760,3)</f>
        <v>225.40199999999999</v>
      </c>
      <c r="D506" s="1">
        <f>VLOOKUP(A506,NVDA!A505:C1760,3)</f>
        <v>14.738300000000001</v>
      </c>
      <c r="E506" s="1">
        <f>VLOOKUP(A506,AMD!A505:C1760,3)</f>
        <v>64.66</v>
      </c>
      <c r="F506" s="1">
        <f>VLOOKUP(A506,AMZN!A505:C1760,3)</f>
        <v>85.14</v>
      </c>
      <c r="G506" s="1">
        <f>VLOOKUP(A506,TSLA!A505:C1760,3)</f>
        <v>113.64</v>
      </c>
      <c r="H506" s="1">
        <f>VLOOKUP(A506,GOOGL!A505:C1760,3)</f>
        <v>87.761799999999994</v>
      </c>
      <c r="I506" s="1">
        <f>VLOOKUP(A506,META!A505:C1760,3)</f>
        <v>127.37</v>
      </c>
      <c r="J506" s="1">
        <f>VLOOKUP(A506,Nasdaq!A505:C1760,3)</f>
        <v>10458.76</v>
      </c>
    </row>
    <row r="507" spans="1:10" x14ac:dyDescent="0.2">
      <c r="A507" s="2">
        <v>44931</v>
      </c>
      <c r="B507" s="1">
        <f>VLOOKUP(A507,AAPL!A506:C1761,3)</f>
        <v>123.163</v>
      </c>
      <c r="C507" s="1">
        <f>VLOOKUP(A507,MSFT!A506:C1761,3)</f>
        <v>218.721</v>
      </c>
      <c r="D507" s="1">
        <f>VLOOKUP(A507,NVDA!A506:C1761,3)</f>
        <v>14.2545</v>
      </c>
      <c r="E507" s="1">
        <f>VLOOKUP(A507,AMD!A506:C1761,3)</f>
        <v>62.33</v>
      </c>
      <c r="F507" s="1">
        <f>VLOOKUP(A507,AMZN!A506:C1761,3)</f>
        <v>83.12</v>
      </c>
      <c r="G507" s="1">
        <f>VLOOKUP(A507,TSLA!A506:C1761,3)</f>
        <v>110.34</v>
      </c>
      <c r="H507" s="1">
        <f>VLOOKUP(A507,GOOGL!A506:C1761,3)</f>
        <v>85.8887</v>
      </c>
      <c r="I507" s="1">
        <f>VLOOKUP(A507,META!A506:C1761,3)</f>
        <v>126.94</v>
      </c>
      <c r="J507" s="1">
        <f>VLOOKUP(A507,Nasdaq!A506:C1761,3)</f>
        <v>10305.24</v>
      </c>
    </row>
    <row r="508" spans="1:10" x14ac:dyDescent="0.2">
      <c r="A508" s="2">
        <v>44932</v>
      </c>
      <c r="B508" s="1">
        <f>VLOOKUP(A508,AAPL!A507:C1762,3)</f>
        <v>127.693</v>
      </c>
      <c r="C508" s="1">
        <f>VLOOKUP(A508,MSFT!A507:C1762,3)</f>
        <v>221.297</v>
      </c>
      <c r="D508" s="1">
        <f>VLOOKUP(A508,NVDA!A507:C1762,3)</f>
        <v>14.8483</v>
      </c>
      <c r="E508" s="1">
        <f>VLOOKUP(A508,AMD!A507:C1762,3)</f>
        <v>63.96</v>
      </c>
      <c r="F508" s="1">
        <f>VLOOKUP(A508,AMZN!A507:C1762,3)</f>
        <v>86.08</v>
      </c>
      <c r="G508" s="1">
        <f>VLOOKUP(A508,TSLA!A507:C1762,3)</f>
        <v>113.06</v>
      </c>
      <c r="H508" s="1">
        <f>VLOOKUP(A508,GOOGL!A507:C1762,3)</f>
        <v>87.024600000000007</v>
      </c>
      <c r="I508" s="1">
        <f>VLOOKUP(A508,META!A507:C1762,3)</f>
        <v>130.02000000000001</v>
      </c>
      <c r="J508" s="1">
        <f>VLOOKUP(A508,Nasdaq!A507:C1762,3)</f>
        <v>10569.29</v>
      </c>
    </row>
    <row r="509" spans="1:10" x14ac:dyDescent="0.2">
      <c r="A509" s="2">
        <v>44935</v>
      </c>
      <c r="B509" s="1">
        <f>VLOOKUP(A509,AAPL!A508:C1763,3)</f>
        <v>128.21600000000001</v>
      </c>
      <c r="C509" s="1">
        <f>VLOOKUP(A509,MSFT!A508:C1763,3)</f>
        <v>223.452</v>
      </c>
      <c r="D509" s="1">
        <f>VLOOKUP(A509,NVDA!A508:C1763,3)</f>
        <v>15.6166</v>
      </c>
      <c r="E509" s="1">
        <f>VLOOKUP(A509,AMD!A508:C1763,3)</f>
        <v>67.239999999999995</v>
      </c>
      <c r="F509" s="1">
        <f>VLOOKUP(A509,AMZN!A508:C1763,3)</f>
        <v>87.36</v>
      </c>
      <c r="G509" s="1">
        <f>VLOOKUP(A509,TSLA!A508:C1763,3)</f>
        <v>119.77</v>
      </c>
      <c r="H509" s="1">
        <f>VLOOKUP(A509,GOOGL!A508:C1763,3)</f>
        <v>87.702100000000002</v>
      </c>
      <c r="I509" s="1">
        <f>VLOOKUP(A509,META!A508:C1763,3)</f>
        <v>129.47</v>
      </c>
      <c r="J509" s="1">
        <f>VLOOKUP(A509,Nasdaq!A508:C1763,3)</f>
        <v>10635.65</v>
      </c>
    </row>
    <row r="510" spans="1:10" x14ac:dyDescent="0.2">
      <c r="A510" s="2">
        <v>44936</v>
      </c>
      <c r="B510" s="1">
        <f>VLOOKUP(A510,AAPL!A509:C1764,3)</f>
        <v>128.78800000000001</v>
      </c>
      <c r="C510" s="1">
        <f>VLOOKUP(A510,MSFT!A509:C1764,3)</f>
        <v>225.154</v>
      </c>
      <c r="D510" s="1">
        <f>VLOOKUP(A510,NVDA!A509:C1764,3)</f>
        <v>15.897500000000001</v>
      </c>
      <c r="E510" s="1">
        <f>VLOOKUP(A510,AMD!A509:C1764,3)</f>
        <v>68.05</v>
      </c>
      <c r="F510" s="1">
        <f>VLOOKUP(A510,AMZN!A509:C1764,3)</f>
        <v>89.87</v>
      </c>
      <c r="G510" s="1">
        <f>VLOOKUP(A510,TSLA!A509:C1764,3)</f>
        <v>118.85</v>
      </c>
      <c r="H510" s="1">
        <f>VLOOKUP(A510,GOOGL!A509:C1764,3)</f>
        <v>88.1006</v>
      </c>
      <c r="I510" s="1">
        <f>VLOOKUP(A510,META!A509:C1764,3)</f>
        <v>132.99</v>
      </c>
      <c r="J510" s="1">
        <f>VLOOKUP(A510,Nasdaq!A509:C1764,3)</f>
        <v>10742.63</v>
      </c>
    </row>
    <row r="511" spans="1:10" x14ac:dyDescent="0.2">
      <c r="A511" s="2">
        <v>44937</v>
      </c>
      <c r="B511" s="1">
        <f>VLOOKUP(A511,AAPL!A510:C1765,3)</f>
        <v>131.50700000000001</v>
      </c>
      <c r="C511" s="1">
        <f>VLOOKUP(A511,MSFT!A510:C1765,3)</f>
        <v>231.964</v>
      </c>
      <c r="D511" s="1">
        <f>VLOOKUP(A511,NVDA!A510:C1765,3)</f>
        <v>15.9893</v>
      </c>
      <c r="E511" s="1">
        <f>VLOOKUP(A511,AMD!A510:C1765,3)</f>
        <v>69.06</v>
      </c>
      <c r="F511" s="1">
        <f>VLOOKUP(A511,AMZN!A510:C1765,3)</f>
        <v>95.09</v>
      </c>
      <c r="G511" s="1">
        <f>VLOOKUP(A511,TSLA!A510:C1765,3)</f>
        <v>123.22</v>
      </c>
      <c r="H511" s="1">
        <f>VLOOKUP(A511,GOOGL!A510:C1765,3)</f>
        <v>91.189499999999995</v>
      </c>
      <c r="I511" s="1">
        <f>VLOOKUP(A511,META!A510:C1765,3)</f>
        <v>132.88999999999999</v>
      </c>
      <c r="J511" s="1">
        <f>VLOOKUP(A511,Nasdaq!A510:C1765,3)</f>
        <v>10931.67</v>
      </c>
    </row>
    <row r="512" spans="1:10" x14ac:dyDescent="0.2">
      <c r="A512" s="2">
        <v>44938</v>
      </c>
      <c r="B512" s="1">
        <f>VLOOKUP(A512,AAPL!A511:C1766,3)</f>
        <v>131.429</v>
      </c>
      <c r="C512" s="1">
        <f>VLOOKUP(A512,MSFT!A511:C1766,3)</f>
        <v>234.65799999999999</v>
      </c>
      <c r="D512" s="1">
        <f>VLOOKUP(A512,NVDA!A511:C1766,3)</f>
        <v>16.498899999999999</v>
      </c>
      <c r="E512" s="1">
        <f>VLOOKUP(A512,AMD!A511:C1766,3)</f>
        <v>70.8</v>
      </c>
      <c r="F512" s="1">
        <f>VLOOKUP(A512,AMZN!A511:C1766,3)</f>
        <v>95.27</v>
      </c>
      <c r="G512" s="1">
        <f>VLOOKUP(A512,TSLA!A511:C1766,3)</f>
        <v>123.56</v>
      </c>
      <c r="H512" s="1">
        <f>VLOOKUP(A512,GOOGL!A511:C1766,3)</f>
        <v>90.800799999999995</v>
      </c>
      <c r="I512" s="1">
        <f>VLOOKUP(A512,META!A511:C1766,3)</f>
        <v>136.71</v>
      </c>
      <c r="J512" s="1">
        <f>VLOOKUP(A512,Nasdaq!A511:C1766,3)</f>
        <v>11001.1</v>
      </c>
    </row>
    <row r="513" spans="1:10" x14ac:dyDescent="0.2">
      <c r="A513" s="2">
        <v>44939</v>
      </c>
      <c r="B513" s="1">
        <f>VLOOKUP(A513,AAPL!A512:C1767,3)</f>
        <v>132.75700000000001</v>
      </c>
      <c r="C513" s="1">
        <f>VLOOKUP(A513,MSFT!A512:C1767,3)</f>
        <v>235.36699999999999</v>
      </c>
      <c r="D513" s="1">
        <f>VLOOKUP(A513,NVDA!A512:C1767,3)</f>
        <v>16.886700000000001</v>
      </c>
      <c r="E513" s="1">
        <f>VLOOKUP(A513,AMD!A512:C1767,3)</f>
        <v>71</v>
      </c>
      <c r="F513" s="1">
        <f>VLOOKUP(A513,AMZN!A512:C1767,3)</f>
        <v>98.12</v>
      </c>
      <c r="G513" s="1">
        <f>VLOOKUP(A513,TSLA!A512:C1767,3)</f>
        <v>122.4</v>
      </c>
      <c r="H513" s="1">
        <f>VLOOKUP(A513,GOOGL!A512:C1767,3)</f>
        <v>91.787300000000002</v>
      </c>
      <c r="I513" s="1">
        <f>VLOOKUP(A513,META!A512:C1767,3)</f>
        <v>136.97999999999999</v>
      </c>
      <c r="J513" s="1">
        <f>VLOOKUP(A513,Nasdaq!A512:C1767,3)</f>
        <v>11079.16</v>
      </c>
    </row>
    <row r="514" spans="1:10" x14ac:dyDescent="0.2">
      <c r="A514" s="2">
        <v>44943</v>
      </c>
      <c r="B514" s="1">
        <f>VLOOKUP(A514,AAPL!A513:C1768,3)</f>
        <v>133.91999999999999</v>
      </c>
      <c r="C514" s="1">
        <f>VLOOKUP(A514,MSFT!A513:C1768,3)</f>
        <v>236.47</v>
      </c>
      <c r="D514" s="1">
        <f>VLOOKUP(A514,NVDA!A513:C1768,3)</f>
        <v>17.6891</v>
      </c>
      <c r="E514" s="1">
        <f>VLOOKUP(A514,AMD!A513:C1768,3)</f>
        <v>71.59</v>
      </c>
      <c r="F514" s="1">
        <f>VLOOKUP(A514,AMZN!A513:C1768,3)</f>
        <v>96.05</v>
      </c>
      <c r="G514" s="1">
        <f>VLOOKUP(A514,TSLA!A513:C1768,3)</f>
        <v>131.49</v>
      </c>
      <c r="H514" s="1">
        <f>VLOOKUP(A514,GOOGL!A513:C1768,3)</f>
        <v>90.960300000000004</v>
      </c>
      <c r="I514" s="1">
        <f>VLOOKUP(A514,META!A513:C1768,3)</f>
        <v>135.36000000000001</v>
      </c>
      <c r="J514" s="1">
        <f>VLOOKUP(A514,Nasdaq!A513:C1768,3)</f>
        <v>11095.11</v>
      </c>
    </row>
    <row r="515" spans="1:10" x14ac:dyDescent="0.2">
      <c r="A515" s="2">
        <v>44944</v>
      </c>
      <c r="B515" s="1">
        <f>VLOOKUP(A515,AAPL!A514:C1769,3)</f>
        <v>133.202</v>
      </c>
      <c r="C515" s="1">
        <f>VLOOKUP(A515,MSFT!A514:C1769,3)</f>
        <v>232.00399999999999</v>
      </c>
      <c r="D515" s="1">
        <f>VLOOKUP(A515,NVDA!A514:C1769,3)</f>
        <v>17.3644</v>
      </c>
      <c r="E515" s="1">
        <f>VLOOKUP(A515,AMD!A514:C1769,3)</f>
        <v>70.53</v>
      </c>
      <c r="F515" s="1">
        <f>VLOOKUP(A515,AMZN!A514:C1769,3)</f>
        <v>95.46</v>
      </c>
      <c r="G515" s="1">
        <f>VLOOKUP(A515,TSLA!A514:C1769,3)</f>
        <v>128.78</v>
      </c>
      <c r="H515" s="1">
        <f>VLOOKUP(A515,GOOGL!A514:C1769,3)</f>
        <v>90.790800000000004</v>
      </c>
      <c r="I515" s="1">
        <f>VLOOKUP(A515,META!A514:C1769,3)</f>
        <v>133.02000000000001</v>
      </c>
      <c r="J515" s="1">
        <f>VLOOKUP(A515,Nasdaq!A514:C1769,3)</f>
        <v>10957.01</v>
      </c>
    </row>
    <row r="516" spans="1:10" x14ac:dyDescent="0.2">
      <c r="A516" s="2">
        <v>44945</v>
      </c>
      <c r="B516" s="1">
        <f>VLOOKUP(A516,AAPL!A515:C1770,3)</f>
        <v>133.261</v>
      </c>
      <c r="C516" s="1">
        <f>VLOOKUP(A516,MSFT!A515:C1770,3)</f>
        <v>228.185</v>
      </c>
      <c r="D516" s="1">
        <f>VLOOKUP(A516,NVDA!A515:C1770,3)</f>
        <v>16.752800000000001</v>
      </c>
      <c r="E516" s="1">
        <f>VLOOKUP(A516,AMD!A515:C1770,3)</f>
        <v>67.709999999999994</v>
      </c>
      <c r="F516" s="1">
        <f>VLOOKUP(A516,AMZN!A515:C1770,3)</f>
        <v>93.68</v>
      </c>
      <c r="G516" s="1">
        <f>VLOOKUP(A516,TSLA!A515:C1770,3)</f>
        <v>127.17</v>
      </c>
      <c r="H516" s="1">
        <f>VLOOKUP(A516,GOOGL!A515:C1770,3)</f>
        <v>92.713800000000006</v>
      </c>
      <c r="I516" s="1">
        <f>VLOOKUP(A516,META!A515:C1770,3)</f>
        <v>136.15</v>
      </c>
      <c r="J516" s="1">
        <f>VLOOKUP(A516,Nasdaq!A515:C1770,3)</f>
        <v>10852.27</v>
      </c>
    </row>
    <row r="517" spans="1:10" x14ac:dyDescent="0.2">
      <c r="A517" s="2">
        <v>44946</v>
      </c>
      <c r="B517" s="1">
        <f>VLOOKUP(A517,AAPL!A516:C1771,3)</f>
        <v>135.822</v>
      </c>
      <c r="C517" s="1">
        <f>VLOOKUP(A517,MSFT!A516:C1771,3)</f>
        <v>236.34100000000001</v>
      </c>
      <c r="D517" s="1">
        <f>VLOOKUP(A517,NVDA!A516:C1771,3)</f>
        <v>17.8261</v>
      </c>
      <c r="E517" s="1">
        <f>VLOOKUP(A517,AMD!A516:C1771,3)</f>
        <v>70.069999999999993</v>
      </c>
      <c r="F517" s="1">
        <f>VLOOKUP(A517,AMZN!A516:C1771,3)</f>
        <v>97.25</v>
      </c>
      <c r="G517" s="1">
        <f>VLOOKUP(A517,TSLA!A516:C1771,3)</f>
        <v>133.41999999999999</v>
      </c>
      <c r="H517" s="1">
        <f>VLOOKUP(A517,GOOGL!A516:C1771,3)</f>
        <v>97.665999999999997</v>
      </c>
      <c r="I517" s="1">
        <f>VLOOKUP(A517,META!A516:C1771,3)</f>
        <v>139.37</v>
      </c>
      <c r="J517" s="1">
        <f>VLOOKUP(A517,Nasdaq!A516:C1771,3)</f>
        <v>11140.43</v>
      </c>
    </row>
    <row r="518" spans="1:10" x14ac:dyDescent="0.2">
      <c r="A518" s="2">
        <v>44949</v>
      </c>
      <c r="B518" s="1">
        <f>VLOOKUP(A518,AAPL!A517:C1772,3)</f>
        <v>139.011</v>
      </c>
      <c r="C518" s="1">
        <f>VLOOKUP(A518,MSFT!A517:C1772,3)</f>
        <v>238.66300000000001</v>
      </c>
      <c r="D518" s="1">
        <f>VLOOKUP(A518,NVDA!A517:C1772,3)</f>
        <v>19.178999999999998</v>
      </c>
      <c r="E518" s="1">
        <f>VLOOKUP(A518,AMD!A517:C1772,3)</f>
        <v>76.53</v>
      </c>
      <c r="F518" s="1">
        <f>VLOOKUP(A518,AMZN!A517:C1772,3)</f>
        <v>97.52</v>
      </c>
      <c r="G518" s="1">
        <f>VLOOKUP(A518,TSLA!A517:C1772,3)</f>
        <v>143.75</v>
      </c>
      <c r="H518" s="1">
        <f>VLOOKUP(A518,GOOGL!A517:C1772,3)</f>
        <v>99.429500000000004</v>
      </c>
      <c r="I518" s="1">
        <f>VLOOKUP(A518,META!A517:C1772,3)</f>
        <v>143.27000000000001</v>
      </c>
      <c r="J518" s="1">
        <f>VLOOKUP(A518,Nasdaq!A517:C1772,3)</f>
        <v>11364.41</v>
      </c>
    </row>
    <row r="519" spans="1:10" x14ac:dyDescent="0.2">
      <c r="A519" s="2">
        <v>44950</v>
      </c>
      <c r="B519" s="1">
        <f>VLOOKUP(A519,AAPL!A518:C1773,3)</f>
        <v>140.41</v>
      </c>
      <c r="C519" s="1">
        <f>VLOOKUP(A519,MSFT!A518:C1773,3)</f>
        <v>238.131</v>
      </c>
      <c r="D519" s="1">
        <f>VLOOKUP(A519,NVDA!A518:C1773,3)</f>
        <v>19.251000000000001</v>
      </c>
      <c r="E519" s="1">
        <f>VLOOKUP(A519,AMD!A518:C1773,3)</f>
        <v>74.7</v>
      </c>
      <c r="F519" s="1">
        <f>VLOOKUP(A519,AMZN!A518:C1773,3)</f>
        <v>96.32</v>
      </c>
      <c r="G519" s="1">
        <f>VLOOKUP(A519,TSLA!A518:C1773,3)</f>
        <v>143.88999999999999</v>
      </c>
      <c r="H519" s="1">
        <f>VLOOKUP(A519,GOOGL!A518:C1773,3)</f>
        <v>97.347099999999998</v>
      </c>
      <c r="I519" s="1">
        <f>VLOOKUP(A519,META!A518:C1773,3)</f>
        <v>143.13999999999999</v>
      </c>
      <c r="J519" s="1">
        <f>VLOOKUP(A519,Nasdaq!A518:C1773,3)</f>
        <v>11334.27</v>
      </c>
    </row>
    <row r="520" spans="1:10" x14ac:dyDescent="0.2">
      <c r="A520" s="2">
        <v>44951</v>
      </c>
      <c r="B520" s="1">
        <f>VLOOKUP(A520,AAPL!A519:C1774,3)</f>
        <v>139.751</v>
      </c>
      <c r="C520" s="1">
        <f>VLOOKUP(A520,MSFT!A519:C1774,3)</f>
        <v>236.72399999999999</v>
      </c>
      <c r="D520" s="1">
        <f>VLOOKUP(A520,NVDA!A519:C1774,3)</f>
        <v>19.308900000000001</v>
      </c>
      <c r="E520" s="1">
        <f>VLOOKUP(A520,AMD!A519:C1774,3)</f>
        <v>74.91</v>
      </c>
      <c r="F520" s="1">
        <f>VLOOKUP(A520,AMZN!A519:C1774,3)</f>
        <v>97.18</v>
      </c>
      <c r="G520" s="1">
        <f>VLOOKUP(A520,TSLA!A519:C1774,3)</f>
        <v>144.43</v>
      </c>
      <c r="H520" s="1">
        <f>VLOOKUP(A520,GOOGL!A519:C1774,3)</f>
        <v>94.876099999999994</v>
      </c>
      <c r="I520" s="1">
        <f>VLOOKUP(A520,META!A519:C1774,3)</f>
        <v>141.5</v>
      </c>
      <c r="J520" s="1">
        <f>VLOOKUP(A520,Nasdaq!A519:C1774,3)</f>
        <v>11313.36</v>
      </c>
    </row>
    <row r="521" spans="1:10" x14ac:dyDescent="0.2">
      <c r="A521" s="2">
        <v>44952</v>
      </c>
      <c r="B521" s="1">
        <f>VLOOKUP(A521,AAPL!A520:C1775,3)</f>
        <v>141.821</v>
      </c>
      <c r="C521" s="1">
        <f>VLOOKUP(A521,MSFT!A520:C1775,3)</f>
        <v>243.994</v>
      </c>
      <c r="D521" s="1">
        <f>VLOOKUP(A521,NVDA!A520:C1775,3)</f>
        <v>19.787700000000001</v>
      </c>
      <c r="E521" s="1">
        <f>VLOOKUP(A521,AMD!A520:C1775,3)</f>
        <v>75.16</v>
      </c>
      <c r="F521" s="1">
        <f>VLOOKUP(A521,AMZN!A520:C1775,3)</f>
        <v>99.22</v>
      </c>
      <c r="G521" s="1">
        <f>VLOOKUP(A521,TSLA!A520:C1775,3)</f>
        <v>160.27000000000001</v>
      </c>
      <c r="H521" s="1">
        <f>VLOOKUP(A521,GOOGL!A520:C1775,3)</f>
        <v>97.167699999999996</v>
      </c>
      <c r="I521" s="1">
        <f>VLOOKUP(A521,META!A520:C1775,3)</f>
        <v>147.30000000000001</v>
      </c>
      <c r="J521" s="1">
        <f>VLOOKUP(A521,Nasdaq!A520:C1775,3)</f>
        <v>11512.41</v>
      </c>
    </row>
    <row r="522" spans="1:10" x14ac:dyDescent="0.2">
      <c r="A522" s="2">
        <v>44953</v>
      </c>
      <c r="B522" s="1">
        <f>VLOOKUP(A522,AAPL!A521:C1776,3)</f>
        <v>143.76300000000001</v>
      </c>
      <c r="C522" s="1">
        <f>VLOOKUP(A522,MSFT!A521:C1776,3)</f>
        <v>244.15299999999999</v>
      </c>
      <c r="D522" s="1">
        <f>VLOOKUP(A522,NVDA!A521:C1776,3)</f>
        <v>20.350100000000001</v>
      </c>
      <c r="E522" s="1">
        <f>VLOOKUP(A522,AMD!A521:C1776,3)</f>
        <v>75.400000000000006</v>
      </c>
      <c r="F522" s="1">
        <f>VLOOKUP(A522,AMZN!A521:C1776,3)</f>
        <v>102.24</v>
      </c>
      <c r="G522" s="1">
        <f>VLOOKUP(A522,TSLA!A521:C1776,3)</f>
        <v>177.9</v>
      </c>
      <c r="H522" s="1">
        <f>VLOOKUP(A522,GOOGL!A521:C1776,3)</f>
        <v>99.011099999999999</v>
      </c>
      <c r="I522" s="1">
        <f>VLOOKUP(A522,META!A521:C1776,3)</f>
        <v>151.74</v>
      </c>
      <c r="J522" s="1">
        <f>VLOOKUP(A522,Nasdaq!A521:C1776,3)</f>
        <v>11621.71</v>
      </c>
    </row>
    <row r="523" spans="1:10" x14ac:dyDescent="0.2">
      <c r="A523" s="2">
        <v>44956</v>
      </c>
      <c r="B523" s="1">
        <f>VLOOKUP(A523,AAPL!A522:C1777,3)</f>
        <v>140.876</v>
      </c>
      <c r="C523" s="1">
        <f>VLOOKUP(A523,MSFT!A522:C1777,3)</f>
        <v>238.79300000000001</v>
      </c>
      <c r="D523" s="1">
        <f>VLOOKUP(A523,NVDA!A522:C1777,3)</f>
        <v>19.148</v>
      </c>
      <c r="E523" s="1">
        <f>VLOOKUP(A523,AMD!A522:C1777,3)</f>
        <v>72.45</v>
      </c>
      <c r="F523" s="1">
        <f>VLOOKUP(A523,AMZN!A522:C1777,3)</f>
        <v>100.55</v>
      </c>
      <c r="G523" s="1">
        <f>VLOOKUP(A523,TSLA!A522:C1777,3)</f>
        <v>166.66</v>
      </c>
      <c r="H523" s="1">
        <f>VLOOKUP(A523,GOOGL!A522:C1777,3)</f>
        <v>96.5899</v>
      </c>
      <c r="I523" s="1">
        <f>VLOOKUP(A523,META!A522:C1777,3)</f>
        <v>147.06</v>
      </c>
      <c r="J523" s="1">
        <f>VLOOKUP(A523,Nasdaq!A522:C1777,3)</f>
        <v>11393.81</v>
      </c>
    </row>
    <row r="524" spans="1:10" x14ac:dyDescent="0.2">
      <c r="A524" s="2">
        <v>44957</v>
      </c>
      <c r="B524" s="1">
        <f>VLOOKUP(A524,AAPL!A523:C1778,3)</f>
        <v>142.14599999999999</v>
      </c>
      <c r="C524" s="1">
        <f>VLOOKUP(A524,MSFT!A523:C1778,3)</f>
        <v>243.81</v>
      </c>
      <c r="D524" s="1">
        <f>VLOOKUP(A524,NVDA!A523:C1778,3)</f>
        <v>19.5229</v>
      </c>
      <c r="E524" s="1">
        <f>VLOOKUP(A524,AMD!A523:C1778,3)</f>
        <v>75.150000000000006</v>
      </c>
      <c r="F524" s="1">
        <f>VLOOKUP(A524,AMZN!A523:C1778,3)</f>
        <v>103.13</v>
      </c>
      <c r="G524" s="1">
        <f>VLOOKUP(A524,TSLA!A523:C1778,3)</f>
        <v>173.22</v>
      </c>
      <c r="H524" s="1">
        <f>VLOOKUP(A524,GOOGL!A523:C1778,3)</f>
        <v>98.483000000000004</v>
      </c>
      <c r="I524" s="1">
        <f>VLOOKUP(A524,META!A523:C1778,3)</f>
        <v>148.97</v>
      </c>
      <c r="J524" s="1">
        <f>VLOOKUP(A524,Nasdaq!A523:C1778,3)</f>
        <v>11584.55</v>
      </c>
    </row>
    <row r="525" spans="1:10" x14ac:dyDescent="0.2">
      <c r="A525" s="2">
        <v>44958</v>
      </c>
      <c r="B525" s="1">
        <f>VLOOKUP(A525,AAPL!A524:C1779,3)</f>
        <v>143.267</v>
      </c>
      <c r="C525" s="1">
        <f>VLOOKUP(A525,MSFT!A524:C1779,3)</f>
        <v>248.67099999999999</v>
      </c>
      <c r="D525" s="1">
        <f>VLOOKUP(A525,NVDA!A524:C1779,3)</f>
        <v>20.927800000000001</v>
      </c>
      <c r="E525" s="1">
        <f>VLOOKUP(A525,AMD!A524:C1779,3)</f>
        <v>84.64</v>
      </c>
      <c r="F525" s="1">
        <f>VLOOKUP(A525,AMZN!A524:C1779,3)</f>
        <v>105.15</v>
      </c>
      <c r="G525" s="1">
        <f>VLOOKUP(A525,TSLA!A524:C1779,3)</f>
        <v>181.41</v>
      </c>
      <c r="H525" s="1">
        <f>VLOOKUP(A525,GOOGL!A524:C1779,3)</f>
        <v>100.06699999999999</v>
      </c>
      <c r="I525" s="1">
        <f>VLOOKUP(A525,META!A524:C1779,3)</f>
        <v>153.12</v>
      </c>
      <c r="J525" s="1">
        <f>VLOOKUP(A525,Nasdaq!A524:C1779,3)</f>
        <v>11816.32</v>
      </c>
    </row>
    <row r="526" spans="1:10" x14ac:dyDescent="0.2">
      <c r="A526" s="2">
        <v>44959</v>
      </c>
      <c r="B526" s="1">
        <f>VLOOKUP(A526,AAPL!A525:C1780,3)</f>
        <v>148.578</v>
      </c>
      <c r="C526" s="1">
        <f>VLOOKUP(A526,MSFT!A525:C1780,3)</f>
        <v>260.32900000000001</v>
      </c>
      <c r="D526" s="1">
        <f>VLOOKUP(A526,NVDA!A525:C1780,3)</f>
        <v>21.693200000000001</v>
      </c>
      <c r="E526" s="1">
        <f>VLOOKUP(A526,AMD!A525:C1780,3)</f>
        <v>88.31</v>
      </c>
      <c r="F526" s="1">
        <f>VLOOKUP(A526,AMZN!A525:C1780,3)</f>
        <v>112.91</v>
      </c>
      <c r="G526" s="1">
        <f>VLOOKUP(A526,TSLA!A525:C1780,3)</f>
        <v>188.27</v>
      </c>
      <c r="H526" s="1">
        <f>VLOOKUP(A526,GOOGL!A525:C1780,3)</f>
        <v>107.35</v>
      </c>
      <c r="I526" s="1">
        <f>VLOOKUP(A526,META!A525:C1780,3)</f>
        <v>188.77</v>
      </c>
      <c r="J526" s="1">
        <f>VLOOKUP(A526,Nasdaq!A525:C1780,3)</f>
        <v>12200.82</v>
      </c>
    </row>
    <row r="527" spans="1:10" x14ac:dyDescent="0.2">
      <c r="A527" s="2">
        <v>44960</v>
      </c>
      <c r="B527" s="1">
        <f>VLOOKUP(A527,AAPL!A526:C1781,3)</f>
        <v>152.203</v>
      </c>
      <c r="C527" s="1">
        <f>VLOOKUP(A527,MSFT!A526:C1781,3)</f>
        <v>254.179</v>
      </c>
      <c r="D527" s="1">
        <f>VLOOKUP(A527,NVDA!A526:C1781,3)</f>
        <v>21.084599999999998</v>
      </c>
      <c r="E527" s="1">
        <f>VLOOKUP(A527,AMD!A526:C1781,3)</f>
        <v>86.09</v>
      </c>
      <c r="F527" s="1">
        <f>VLOOKUP(A527,AMZN!A526:C1781,3)</f>
        <v>103.39</v>
      </c>
      <c r="G527" s="1">
        <f>VLOOKUP(A527,TSLA!A526:C1781,3)</f>
        <v>189.98</v>
      </c>
      <c r="H527" s="1">
        <f>VLOOKUP(A527,GOOGL!A526:C1781,3)</f>
        <v>104.401</v>
      </c>
      <c r="I527" s="1">
        <f>VLOOKUP(A527,META!A526:C1781,3)</f>
        <v>186.53</v>
      </c>
      <c r="J527" s="1">
        <f>VLOOKUP(A527,Nasdaq!A526:C1781,3)</f>
        <v>12006.96</v>
      </c>
    </row>
    <row r="528" spans="1:10" x14ac:dyDescent="0.2">
      <c r="A528" s="2">
        <v>44963</v>
      </c>
      <c r="B528" s="1">
        <f>VLOOKUP(A528,AAPL!A527:C1782,3)</f>
        <v>149.476</v>
      </c>
      <c r="C528" s="1">
        <f>VLOOKUP(A528,MSFT!A527:C1782,3)</f>
        <v>252.62299999999999</v>
      </c>
      <c r="D528" s="1">
        <f>VLOOKUP(A528,NVDA!A527:C1782,3)</f>
        <v>21.073599999999999</v>
      </c>
      <c r="E528" s="1">
        <f>VLOOKUP(A528,AMD!A527:C1782,3)</f>
        <v>83.68</v>
      </c>
      <c r="F528" s="1">
        <f>VLOOKUP(A528,AMZN!A527:C1782,3)</f>
        <v>102.18</v>
      </c>
      <c r="G528" s="1">
        <f>VLOOKUP(A528,TSLA!A527:C1782,3)</f>
        <v>194.76</v>
      </c>
      <c r="H528" s="1">
        <f>VLOOKUP(A528,GOOGL!A527:C1782,3)</f>
        <v>102.52800000000001</v>
      </c>
      <c r="I528" s="1">
        <f>VLOOKUP(A528,META!A527:C1782,3)</f>
        <v>186.06</v>
      </c>
      <c r="J528" s="1">
        <f>VLOOKUP(A528,Nasdaq!A527:C1782,3)</f>
        <v>11887.45</v>
      </c>
    </row>
    <row r="529" spans="1:10" x14ac:dyDescent="0.2">
      <c r="A529" s="2">
        <v>44964</v>
      </c>
      <c r="B529" s="1">
        <f>VLOOKUP(A529,AAPL!A528:C1783,3)</f>
        <v>152.352</v>
      </c>
      <c r="C529" s="1">
        <f>VLOOKUP(A529,MSFT!A528:C1783,3)</f>
        <v>263.24</v>
      </c>
      <c r="D529" s="1">
        <f>VLOOKUP(A529,NVDA!A528:C1783,3)</f>
        <v>22.157</v>
      </c>
      <c r="E529" s="1">
        <f>VLOOKUP(A529,AMD!A528:C1783,3)</f>
        <v>85.91</v>
      </c>
      <c r="F529" s="1">
        <f>VLOOKUP(A529,AMZN!A528:C1783,3)</f>
        <v>102.11</v>
      </c>
      <c r="G529" s="1">
        <f>VLOOKUP(A529,TSLA!A528:C1783,3)</f>
        <v>196.81</v>
      </c>
      <c r="H529" s="1">
        <f>VLOOKUP(A529,GOOGL!A528:C1783,3)</f>
        <v>107.252</v>
      </c>
      <c r="I529" s="1">
        <f>VLOOKUP(A529,META!A528:C1783,3)</f>
        <v>191.62</v>
      </c>
      <c r="J529" s="1">
        <f>VLOOKUP(A529,Nasdaq!A528:C1783,3)</f>
        <v>12113.79</v>
      </c>
    </row>
    <row r="530" spans="1:10" x14ac:dyDescent="0.2">
      <c r="A530" s="2">
        <v>44965</v>
      </c>
      <c r="B530" s="1">
        <f>VLOOKUP(A530,AAPL!A529:C1784,3)</f>
        <v>149.66200000000001</v>
      </c>
      <c r="C530" s="1">
        <f>VLOOKUP(A530,MSFT!A529:C1784,3)</f>
        <v>262.42399999999998</v>
      </c>
      <c r="D530" s="1">
        <f>VLOOKUP(A530,NVDA!A529:C1784,3)</f>
        <v>22.1889</v>
      </c>
      <c r="E530" s="1">
        <f>VLOOKUP(A530,AMD!A529:C1784,3)</f>
        <v>84.69</v>
      </c>
      <c r="F530" s="1">
        <f>VLOOKUP(A530,AMZN!A529:C1784,3)</f>
        <v>100.05</v>
      </c>
      <c r="G530" s="1">
        <f>VLOOKUP(A530,TSLA!A529:C1784,3)</f>
        <v>201.29</v>
      </c>
      <c r="H530" s="1">
        <f>VLOOKUP(A530,GOOGL!A529:C1784,3)</f>
        <v>99.011099999999999</v>
      </c>
      <c r="I530" s="1">
        <f>VLOOKUP(A530,META!A529:C1784,3)</f>
        <v>183.43</v>
      </c>
      <c r="J530" s="1">
        <f>VLOOKUP(A530,Nasdaq!A529:C1784,3)</f>
        <v>11910.52</v>
      </c>
    </row>
    <row r="531" spans="1:10" x14ac:dyDescent="0.2">
      <c r="A531" s="2">
        <v>44966</v>
      </c>
      <c r="B531" s="1">
        <f>VLOOKUP(A531,AAPL!A530:C1785,3)</f>
        <v>148.62799999999999</v>
      </c>
      <c r="C531" s="1">
        <f>VLOOKUP(A531,MSFT!A530:C1785,3)</f>
        <v>259.36399999999998</v>
      </c>
      <c r="D531" s="1">
        <f>VLOOKUP(A531,NVDA!A530:C1785,3)</f>
        <v>22.320900000000002</v>
      </c>
      <c r="E531" s="1">
        <f>VLOOKUP(A531,AMD!A530:C1785,3)</f>
        <v>83.21</v>
      </c>
      <c r="F531" s="1">
        <f>VLOOKUP(A531,AMZN!A530:C1785,3)</f>
        <v>98.24</v>
      </c>
      <c r="G531" s="1">
        <f>VLOOKUP(A531,TSLA!A530:C1785,3)</f>
        <v>207.32</v>
      </c>
      <c r="H531" s="1">
        <f>VLOOKUP(A531,GOOGL!A530:C1785,3)</f>
        <v>94.666799999999995</v>
      </c>
      <c r="I531" s="1">
        <f>VLOOKUP(A531,META!A530:C1785,3)</f>
        <v>177.92</v>
      </c>
      <c r="J531" s="1">
        <f>VLOOKUP(A531,Nasdaq!A530:C1785,3)</f>
        <v>11789.58</v>
      </c>
    </row>
    <row r="532" spans="1:10" x14ac:dyDescent="0.2">
      <c r="A532" s="2">
        <v>44967</v>
      </c>
      <c r="B532" s="1">
        <f>VLOOKUP(A532,AAPL!A531:C1786,3)</f>
        <v>148.994</v>
      </c>
      <c r="C532" s="1">
        <f>VLOOKUP(A532,MSFT!A531:C1786,3)</f>
        <v>258.85399999999998</v>
      </c>
      <c r="D532" s="1">
        <f>VLOOKUP(A532,NVDA!A531:C1786,3)</f>
        <v>21.249500000000001</v>
      </c>
      <c r="E532" s="1">
        <f>VLOOKUP(A532,AMD!A531:C1786,3)</f>
        <v>81.48</v>
      </c>
      <c r="F532" s="1">
        <f>VLOOKUP(A532,AMZN!A531:C1786,3)</f>
        <v>97.61</v>
      </c>
      <c r="G532" s="1">
        <f>VLOOKUP(A532,TSLA!A531:C1786,3)</f>
        <v>196.89</v>
      </c>
      <c r="H532" s="1">
        <f>VLOOKUP(A532,GOOGL!A531:C1786,3)</f>
        <v>94.228399999999993</v>
      </c>
      <c r="I532" s="1">
        <f>VLOOKUP(A532,META!A531:C1786,3)</f>
        <v>174.15</v>
      </c>
      <c r="J532" s="1">
        <f>VLOOKUP(A532,Nasdaq!A531:C1786,3)</f>
        <v>11718.12</v>
      </c>
    </row>
    <row r="533" spans="1:10" x14ac:dyDescent="0.2">
      <c r="A533" s="2">
        <v>44970</v>
      </c>
      <c r="B533" s="1">
        <f>VLOOKUP(A533,AAPL!A532:C1787,3)</f>
        <v>151.79599999999999</v>
      </c>
      <c r="C533" s="1">
        <f>VLOOKUP(A533,MSFT!A532:C1787,3)</f>
        <v>266.94</v>
      </c>
      <c r="D533" s="1">
        <f>VLOOKUP(A533,NVDA!A532:C1787,3)</f>
        <v>21.772099999999998</v>
      </c>
      <c r="E533" s="1">
        <f>VLOOKUP(A533,AMD!A532:C1787,3)</f>
        <v>83.13</v>
      </c>
      <c r="F533" s="1">
        <f>VLOOKUP(A533,AMZN!A532:C1787,3)</f>
        <v>99.54</v>
      </c>
      <c r="G533" s="1">
        <f>VLOOKUP(A533,TSLA!A532:C1787,3)</f>
        <v>194.64</v>
      </c>
      <c r="H533" s="1">
        <f>VLOOKUP(A533,GOOGL!A532:C1787,3)</f>
        <v>94.268299999999996</v>
      </c>
      <c r="I533" s="1">
        <f>VLOOKUP(A533,META!A532:C1787,3)</f>
        <v>179.43</v>
      </c>
      <c r="J533" s="1">
        <f>VLOOKUP(A533,Nasdaq!A532:C1787,3)</f>
        <v>11891.79</v>
      </c>
    </row>
    <row r="534" spans="1:10" x14ac:dyDescent="0.2">
      <c r="A534" s="2">
        <v>44971</v>
      </c>
      <c r="B534" s="1">
        <f>VLOOKUP(A534,AAPL!A533:C1788,3)</f>
        <v>151.15299999999999</v>
      </c>
      <c r="C534" s="1">
        <f>VLOOKUP(A534,MSFT!A533:C1788,3)</f>
        <v>267.77499999999998</v>
      </c>
      <c r="D534" s="1">
        <f>VLOOKUP(A534,NVDA!A533:C1788,3)</f>
        <v>22.9542</v>
      </c>
      <c r="E534" s="1">
        <f>VLOOKUP(A534,AMD!A533:C1788,3)</f>
        <v>85.95</v>
      </c>
      <c r="F534" s="1">
        <f>VLOOKUP(A534,AMZN!A533:C1788,3)</f>
        <v>99.7</v>
      </c>
      <c r="G534" s="1">
        <f>VLOOKUP(A534,TSLA!A533:C1788,3)</f>
        <v>209.25</v>
      </c>
      <c r="H534" s="1">
        <f>VLOOKUP(A534,GOOGL!A533:C1788,3)</f>
        <v>94.338099999999997</v>
      </c>
      <c r="I534" s="1">
        <f>VLOOKUP(A534,META!A533:C1788,3)</f>
        <v>179.48</v>
      </c>
      <c r="J534" s="1">
        <f>VLOOKUP(A534,Nasdaq!A533:C1788,3)</f>
        <v>11960.15</v>
      </c>
    </row>
    <row r="535" spans="1:10" x14ac:dyDescent="0.2">
      <c r="A535" s="2">
        <v>44972</v>
      </c>
      <c r="B535" s="1">
        <f>VLOOKUP(A535,AAPL!A534:C1789,3)</f>
        <v>153.256</v>
      </c>
      <c r="C535" s="1">
        <f>VLOOKUP(A535,MSFT!A534:C1789,3)</f>
        <v>265.63499999999999</v>
      </c>
      <c r="D535" s="1">
        <f>VLOOKUP(A535,NVDA!A534:C1789,3)</f>
        <v>22.747299999999999</v>
      </c>
      <c r="E535" s="1">
        <f>VLOOKUP(A535,AMD!A534:C1789,3)</f>
        <v>85.18</v>
      </c>
      <c r="F535" s="1">
        <f>VLOOKUP(A535,AMZN!A534:C1789,3)</f>
        <v>101.16</v>
      </c>
      <c r="G535" s="1">
        <f>VLOOKUP(A535,TSLA!A534:C1789,3)</f>
        <v>214.24</v>
      </c>
      <c r="H535" s="1">
        <f>VLOOKUP(A535,GOOGL!A534:C1789,3)</f>
        <v>96.5899</v>
      </c>
      <c r="I535" s="1">
        <f>VLOOKUP(A535,META!A534:C1789,3)</f>
        <v>177.16</v>
      </c>
      <c r="J535" s="1">
        <f>VLOOKUP(A535,Nasdaq!A534:C1789,3)</f>
        <v>12070.59</v>
      </c>
    </row>
    <row r="536" spans="1:10" x14ac:dyDescent="0.2">
      <c r="A536" s="2">
        <v>44973</v>
      </c>
      <c r="B536" s="1">
        <f>VLOOKUP(A536,AAPL!A535:C1790,3)</f>
        <v>151.65700000000001</v>
      </c>
      <c r="C536" s="1">
        <f>VLOOKUP(A536,MSFT!A535:C1790,3)</f>
        <v>258.56200000000001</v>
      </c>
      <c r="D536" s="1">
        <f>VLOOKUP(A536,NVDA!A535:C1790,3)</f>
        <v>21.9861</v>
      </c>
      <c r="E536" s="1">
        <f>VLOOKUP(A536,AMD!A535:C1790,3)</f>
        <v>80.08</v>
      </c>
      <c r="F536" s="1">
        <f>VLOOKUP(A536,AMZN!A535:C1790,3)</f>
        <v>98.15</v>
      </c>
      <c r="G536" s="1">
        <f>VLOOKUP(A536,TSLA!A535:C1790,3)</f>
        <v>202.04</v>
      </c>
      <c r="H536" s="1">
        <f>VLOOKUP(A536,GOOGL!A535:C1790,3)</f>
        <v>95.165000000000006</v>
      </c>
      <c r="I536" s="1">
        <f>VLOOKUP(A536,META!A535:C1790,3)</f>
        <v>172.44</v>
      </c>
      <c r="J536" s="1">
        <f>VLOOKUP(A536,Nasdaq!A535:C1790,3)</f>
        <v>11855.83</v>
      </c>
    </row>
    <row r="537" spans="1:10" x14ac:dyDescent="0.2">
      <c r="A537" s="2">
        <v>44974</v>
      </c>
      <c r="B537" s="1">
        <f>VLOOKUP(A537,AAPL!A536:C1791,3)</f>
        <v>150.512</v>
      </c>
      <c r="C537" s="1">
        <f>VLOOKUP(A537,MSFT!A536:C1791,3)</f>
        <v>254.53</v>
      </c>
      <c r="D537" s="1">
        <f>VLOOKUP(A537,NVDA!A536:C1791,3)</f>
        <v>21.372399999999999</v>
      </c>
      <c r="E537" s="1">
        <f>VLOOKUP(A537,AMD!A536:C1791,3)</f>
        <v>78.5</v>
      </c>
      <c r="F537" s="1">
        <f>VLOOKUP(A537,AMZN!A536:C1791,3)</f>
        <v>97.2</v>
      </c>
      <c r="G537" s="1">
        <f>VLOOKUP(A537,TSLA!A536:C1791,3)</f>
        <v>208.31</v>
      </c>
      <c r="H537" s="1">
        <f>VLOOKUP(A537,GOOGL!A536:C1791,3)</f>
        <v>94.009200000000007</v>
      </c>
      <c r="I537" s="1">
        <f>VLOOKUP(A537,META!A536:C1791,3)</f>
        <v>172.88</v>
      </c>
      <c r="J537" s="1">
        <f>VLOOKUP(A537,Nasdaq!A536:C1791,3)</f>
        <v>11787.27</v>
      </c>
    </row>
    <row r="538" spans="1:10" x14ac:dyDescent="0.2">
      <c r="A538" s="2">
        <v>44978</v>
      </c>
      <c r="B538" s="1">
        <f>VLOOKUP(A538,AAPL!A537:C1792,3)</f>
        <v>146.49600000000001</v>
      </c>
      <c r="C538" s="1">
        <f>VLOOKUP(A538,MSFT!A537:C1792,3)</f>
        <v>249.21299999999999</v>
      </c>
      <c r="D538" s="1">
        <f>VLOOKUP(A538,NVDA!A537:C1792,3)</f>
        <v>20.64</v>
      </c>
      <c r="E538" s="1">
        <f>VLOOKUP(A538,AMD!A537:C1792,3)</f>
        <v>76.77</v>
      </c>
      <c r="F538" s="1">
        <f>VLOOKUP(A538,AMZN!A537:C1792,3)</f>
        <v>94.58</v>
      </c>
      <c r="G538" s="1">
        <f>VLOOKUP(A538,TSLA!A537:C1792,3)</f>
        <v>197.37</v>
      </c>
      <c r="H538" s="1">
        <f>VLOOKUP(A538,GOOGL!A537:C1792,3)</f>
        <v>91.458500000000001</v>
      </c>
      <c r="I538" s="1">
        <f>VLOOKUP(A538,META!A537:C1792,3)</f>
        <v>172.08</v>
      </c>
      <c r="J538" s="1">
        <f>VLOOKUP(A538,Nasdaq!A537:C1792,3)</f>
        <v>11492.3</v>
      </c>
    </row>
    <row r="539" spans="1:10" x14ac:dyDescent="0.2">
      <c r="A539" s="2">
        <v>44979</v>
      </c>
      <c r="B539" s="1">
        <f>VLOOKUP(A539,AAPL!A538:C1793,3)</f>
        <v>146.92099999999999</v>
      </c>
      <c r="C539" s="1">
        <f>VLOOKUP(A539,MSFT!A538:C1793,3)</f>
        <v>248.06899999999999</v>
      </c>
      <c r="D539" s="1">
        <f>VLOOKUP(A539,NVDA!A538:C1793,3)</f>
        <v>20.739000000000001</v>
      </c>
      <c r="E539" s="1">
        <f>VLOOKUP(A539,AMD!A538:C1793,3)</f>
        <v>76.61</v>
      </c>
      <c r="F539" s="1">
        <f>VLOOKUP(A539,AMZN!A538:C1793,3)</f>
        <v>95.79</v>
      </c>
      <c r="G539" s="1">
        <f>VLOOKUP(A539,TSLA!A538:C1793,3)</f>
        <v>200.86</v>
      </c>
      <c r="H539" s="1">
        <f>VLOOKUP(A539,GOOGL!A538:C1793,3)</f>
        <v>91.318899999999999</v>
      </c>
      <c r="I539" s="1">
        <f>VLOOKUP(A539,META!A538:C1793,3)</f>
        <v>171.12</v>
      </c>
      <c r="J539" s="1">
        <f>VLOOKUP(A539,Nasdaq!A538:C1793,3)</f>
        <v>11507.07</v>
      </c>
    </row>
    <row r="540" spans="1:10" x14ac:dyDescent="0.2">
      <c r="A540" s="2">
        <v>44980</v>
      </c>
      <c r="B540" s="1">
        <f>VLOOKUP(A540,AAPL!A539:C1794,3)</f>
        <v>147.404</v>
      </c>
      <c r="C540" s="1">
        <f>VLOOKUP(A540,MSFT!A539:C1794,3)</f>
        <v>251.28399999999999</v>
      </c>
      <c r="D540" s="1">
        <f>VLOOKUP(A540,NVDA!A539:C1794,3)</f>
        <v>23.646999999999998</v>
      </c>
      <c r="E540" s="1">
        <f>VLOOKUP(A540,AMD!A539:C1794,3)</f>
        <v>79.75</v>
      </c>
      <c r="F540" s="1">
        <f>VLOOKUP(A540,AMZN!A539:C1794,3)</f>
        <v>95.82</v>
      </c>
      <c r="G540" s="1">
        <f>VLOOKUP(A540,TSLA!A539:C1794,3)</f>
        <v>202.07</v>
      </c>
      <c r="H540" s="1">
        <f>VLOOKUP(A540,GOOGL!A539:C1794,3)</f>
        <v>90.561700000000002</v>
      </c>
      <c r="I540" s="1">
        <f>VLOOKUP(A540,META!A539:C1794,3)</f>
        <v>172.04</v>
      </c>
      <c r="J540" s="1">
        <f>VLOOKUP(A540,Nasdaq!A539:C1794,3)</f>
        <v>11590.4</v>
      </c>
    </row>
    <row r="541" spans="1:10" x14ac:dyDescent="0.2">
      <c r="A541" s="2">
        <v>44981</v>
      </c>
      <c r="B541" s="1">
        <f>VLOOKUP(A541,AAPL!A540:C1795,3)</f>
        <v>144.75</v>
      </c>
      <c r="C541" s="1">
        <f>VLOOKUP(A541,MSFT!A540:C1795,3)</f>
        <v>245.81</v>
      </c>
      <c r="D541" s="1">
        <f>VLOOKUP(A541,NVDA!A540:C1795,3)</f>
        <v>23.269100000000002</v>
      </c>
      <c r="E541" s="1">
        <f>VLOOKUP(A541,AMD!A540:C1795,3)</f>
        <v>78.09</v>
      </c>
      <c r="F541" s="1">
        <f>VLOOKUP(A541,AMZN!A540:C1795,3)</f>
        <v>93.5</v>
      </c>
      <c r="G541" s="1">
        <f>VLOOKUP(A541,TSLA!A540:C1795,3)</f>
        <v>196.88</v>
      </c>
      <c r="H541" s="1">
        <f>VLOOKUP(A541,GOOGL!A540:C1795,3)</f>
        <v>88.808000000000007</v>
      </c>
      <c r="I541" s="1">
        <f>VLOOKUP(A541,META!A540:C1795,3)</f>
        <v>170.39</v>
      </c>
      <c r="J541" s="1">
        <f>VLOOKUP(A541,Nasdaq!A540:C1795,3)</f>
        <v>11394.94</v>
      </c>
    </row>
    <row r="542" spans="1:10" x14ac:dyDescent="0.2">
      <c r="A542" s="2">
        <v>44984</v>
      </c>
      <c r="B542" s="1">
        <f>VLOOKUP(A542,AAPL!A541:C1796,3)</f>
        <v>145.94499999999999</v>
      </c>
      <c r="C542" s="1">
        <f>VLOOKUP(A542,MSFT!A541:C1796,3)</f>
        <v>246.73599999999999</v>
      </c>
      <c r="D542" s="1">
        <f>VLOOKUP(A542,NVDA!A541:C1796,3)</f>
        <v>23.484000000000002</v>
      </c>
      <c r="E542" s="1">
        <f>VLOOKUP(A542,AMD!A541:C1796,3)</f>
        <v>78.77</v>
      </c>
      <c r="F542" s="1">
        <f>VLOOKUP(A542,AMZN!A541:C1796,3)</f>
        <v>93.76</v>
      </c>
      <c r="G542" s="1">
        <f>VLOOKUP(A542,TSLA!A541:C1796,3)</f>
        <v>207.63</v>
      </c>
      <c r="H542" s="1">
        <f>VLOOKUP(A542,GOOGL!A541:C1796,3)</f>
        <v>89.545400000000001</v>
      </c>
      <c r="I542" s="1">
        <f>VLOOKUP(A542,META!A541:C1796,3)</f>
        <v>169.54</v>
      </c>
      <c r="J542" s="1">
        <f>VLOOKUP(A542,Nasdaq!A541:C1796,3)</f>
        <v>11466.98</v>
      </c>
    </row>
    <row r="543" spans="1:10" x14ac:dyDescent="0.2">
      <c r="A543" s="2">
        <v>44985</v>
      </c>
      <c r="B543" s="1">
        <f>VLOOKUP(A543,AAPL!A542:C1797,3)</f>
        <v>145.441</v>
      </c>
      <c r="C543" s="1">
        <f>VLOOKUP(A543,MSFT!A542:C1797,3)</f>
        <v>246.00899999999999</v>
      </c>
      <c r="D543" s="1">
        <f>VLOOKUP(A543,NVDA!A542:C1797,3)</f>
        <v>23.199200000000001</v>
      </c>
      <c r="E543" s="1">
        <f>VLOOKUP(A543,AMD!A542:C1797,3)</f>
        <v>78.58</v>
      </c>
      <c r="F543" s="1">
        <f>VLOOKUP(A543,AMZN!A542:C1797,3)</f>
        <v>94.23</v>
      </c>
      <c r="G543" s="1">
        <f>VLOOKUP(A543,TSLA!A542:C1797,3)</f>
        <v>205.71</v>
      </c>
      <c r="H543" s="1">
        <f>VLOOKUP(A543,GOOGL!A542:C1797,3)</f>
        <v>89.734800000000007</v>
      </c>
      <c r="I543" s="1">
        <f>VLOOKUP(A543,META!A542:C1797,3)</f>
        <v>174.94</v>
      </c>
      <c r="J543" s="1">
        <f>VLOOKUP(A543,Nasdaq!A542:C1797,3)</f>
        <v>11455.54</v>
      </c>
    </row>
    <row r="544" spans="1:10" x14ac:dyDescent="0.2">
      <c r="A544" s="2">
        <v>44986</v>
      </c>
      <c r="B544" s="1">
        <f>VLOOKUP(A544,AAPL!A543:C1798,3)</f>
        <v>143.369</v>
      </c>
      <c r="C544" s="1">
        <f>VLOOKUP(A544,MSFT!A543:C1798,3)</f>
        <v>242.9</v>
      </c>
      <c r="D544" s="1">
        <f>VLOOKUP(A544,NVDA!A543:C1798,3)</f>
        <v>22.6814</v>
      </c>
      <c r="E544" s="1">
        <f>VLOOKUP(A544,AMD!A543:C1798,3)</f>
        <v>78.290000000000006</v>
      </c>
      <c r="F544" s="1">
        <f>VLOOKUP(A544,AMZN!A543:C1798,3)</f>
        <v>92.17</v>
      </c>
      <c r="G544" s="1">
        <f>VLOOKUP(A544,TSLA!A543:C1798,3)</f>
        <v>202.77</v>
      </c>
      <c r="H544" s="1">
        <f>VLOOKUP(A544,GOOGL!A543:C1798,3)</f>
        <v>90.033600000000007</v>
      </c>
      <c r="I544" s="1">
        <f>VLOOKUP(A544,META!A543:C1798,3)</f>
        <v>173.42</v>
      </c>
      <c r="J544" s="1">
        <f>VLOOKUP(A544,Nasdaq!A543:C1798,3)</f>
        <v>11379.48</v>
      </c>
    </row>
    <row r="545" spans="1:10" x14ac:dyDescent="0.2">
      <c r="A545" s="2">
        <v>44987</v>
      </c>
      <c r="B545" s="1">
        <f>VLOOKUP(A545,AAPL!A544:C1799,3)</f>
        <v>143.96</v>
      </c>
      <c r="C545" s="1">
        <f>VLOOKUP(A545,MSFT!A544:C1799,3)</f>
        <v>247.67500000000001</v>
      </c>
      <c r="D545" s="1">
        <f>VLOOKUP(A545,NVDA!A544:C1799,3)</f>
        <v>23.2971</v>
      </c>
      <c r="E545" s="1">
        <f>VLOOKUP(A545,AMD!A544:C1799,3)</f>
        <v>80.44</v>
      </c>
      <c r="F545" s="1">
        <f>VLOOKUP(A545,AMZN!A544:C1799,3)</f>
        <v>92.13</v>
      </c>
      <c r="G545" s="1">
        <f>VLOOKUP(A545,TSLA!A544:C1799,3)</f>
        <v>190.9</v>
      </c>
      <c r="H545" s="1">
        <f>VLOOKUP(A545,GOOGL!A544:C1799,3)</f>
        <v>91.667599999999993</v>
      </c>
      <c r="I545" s="1">
        <f>VLOOKUP(A545,META!A544:C1799,3)</f>
        <v>174.53</v>
      </c>
      <c r="J545" s="1">
        <f>VLOOKUP(A545,Nasdaq!A544:C1799,3)</f>
        <v>11462.98</v>
      </c>
    </row>
    <row r="546" spans="1:10" x14ac:dyDescent="0.2">
      <c r="A546" s="2">
        <v>44988</v>
      </c>
      <c r="B546" s="1">
        <f>VLOOKUP(A546,AAPL!A545:C1800,3)</f>
        <v>149.01400000000001</v>
      </c>
      <c r="C546" s="1">
        <f>VLOOKUP(A546,MSFT!A545:C1800,3)</f>
        <v>251.797</v>
      </c>
      <c r="D546" s="1">
        <f>VLOOKUP(A546,NVDA!A545:C1800,3)</f>
        <v>23.872599999999998</v>
      </c>
      <c r="E546" s="1">
        <f>VLOOKUP(A546,AMD!A545:C1800,3)</f>
        <v>81.52</v>
      </c>
      <c r="F546" s="1">
        <f>VLOOKUP(A546,AMZN!A545:C1800,3)</f>
        <v>94.9</v>
      </c>
      <c r="G546" s="1">
        <f>VLOOKUP(A546,TSLA!A545:C1800,3)</f>
        <v>197.79</v>
      </c>
      <c r="H546" s="1">
        <f>VLOOKUP(A546,GOOGL!A545:C1800,3)</f>
        <v>93.311700000000002</v>
      </c>
      <c r="I546" s="1">
        <f>VLOOKUP(A546,META!A545:C1800,3)</f>
        <v>185.25</v>
      </c>
      <c r="J546" s="1">
        <f>VLOOKUP(A546,Nasdaq!A545:C1800,3)</f>
        <v>11689.01</v>
      </c>
    </row>
    <row r="547" spans="1:10" x14ac:dyDescent="0.2">
      <c r="A547" s="2">
        <v>44991</v>
      </c>
      <c r="B547" s="1">
        <f>VLOOKUP(A547,AAPL!A546:C1801,3)</f>
        <v>151.77699999999999</v>
      </c>
      <c r="C547" s="1">
        <f>VLOOKUP(A547,MSFT!A546:C1801,3)</f>
        <v>253.35499999999999</v>
      </c>
      <c r="D547" s="1">
        <f>VLOOKUP(A547,NVDA!A546:C1801,3)</f>
        <v>23.536999999999999</v>
      </c>
      <c r="E547" s="1">
        <f>VLOOKUP(A547,AMD!A546:C1801,3)</f>
        <v>81.16</v>
      </c>
      <c r="F547" s="1">
        <f>VLOOKUP(A547,AMZN!A546:C1801,3)</f>
        <v>93.75</v>
      </c>
      <c r="G547" s="1">
        <f>VLOOKUP(A547,TSLA!A546:C1801,3)</f>
        <v>193.81</v>
      </c>
      <c r="H547" s="1">
        <f>VLOOKUP(A547,GOOGL!A546:C1801,3)</f>
        <v>94.7864</v>
      </c>
      <c r="I547" s="1">
        <f>VLOOKUP(A547,META!A546:C1801,3)</f>
        <v>184.9</v>
      </c>
      <c r="J547" s="1">
        <f>VLOOKUP(A547,Nasdaq!A546:C1801,3)</f>
        <v>11675.74</v>
      </c>
    </row>
    <row r="548" spans="1:10" x14ac:dyDescent="0.2">
      <c r="A548" s="2">
        <v>44992</v>
      </c>
      <c r="B548" s="1">
        <f>VLOOKUP(A548,AAPL!A547:C1802,3)</f>
        <v>149.57599999999999</v>
      </c>
      <c r="C548" s="1">
        <f>VLOOKUP(A548,MSFT!A547:C1802,3)</f>
        <v>250.672</v>
      </c>
      <c r="D548" s="1">
        <f>VLOOKUP(A548,NVDA!A547:C1802,3)</f>
        <v>23.275099999999998</v>
      </c>
      <c r="E548" s="1">
        <f>VLOOKUP(A548,AMD!A547:C1802,3)</f>
        <v>82.11</v>
      </c>
      <c r="F548" s="1">
        <f>VLOOKUP(A548,AMZN!A547:C1802,3)</f>
        <v>93.55</v>
      </c>
      <c r="G548" s="1">
        <f>VLOOKUP(A548,TSLA!A547:C1802,3)</f>
        <v>187.71</v>
      </c>
      <c r="H548" s="1">
        <f>VLOOKUP(A548,GOOGL!A547:C1802,3)</f>
        <v>93.521000000000001</v>
      </c>
      <c r="I548" s="1">
        <f>VLOOKUP(A548,META!A547:C1802,3)</f>
        <v>184.51</v>
      </c>
      <c r="J548" s="1">
        <f>VLOOKUP(A548,Nasdaq!A547:C1802,3)</f>
        <v>11530.33</v>
      </c>
    </row>
    <row r="549" spans="1:10" x14ac:dyDescent="0.2">
      <c r="A549" s="2">
        <v>44993</v>
      </c>
      <c r="B549" s="1">
        <f>VLOOKUP(A549,AAPL!A548:C1803,3)</f>
        <v>150.828</v>
      </c>
      <c r="C549" s="1">
        <f>VLOOKUP(A549,MSFT!A548:C1803,3)</f>
        <v>250.22900000000001</v>
      </c>
      <c r="D549" s="1">
        <f>VLOOKUP(A549,NVDA!A548:C1803,3)</f>
        <v>24.1675</v>
      </c>
      <c r="E549" s="1">
        <f>VLOOKUP(A549,AMD!A548:C1803,3)</f>
        <v>85.37</v>
      </c>
      <c r="F549" s="1">
        <f>VLOOKUP(A549,AMZN!A548:C1803,3)</f>
        <v>93.92</v>
      </c>
      <c r="G549" s="1">
        <f>VLOOKUP(A549,TSLA!A548:C1803,3)</f>
        <v>182</v>
      </c>
      <c r="H549" s="1">
        <f>VLOOKUP(A549,GOOGL!A548:C1803,3)</f>
        <v>93.909599999999998</v>
      </c>
      <c r="I549" s="1">
        <f>VLOOKUP(A549,META!A548:C1803,3)</f>
        <v>184.97</v>
      </c>
      <c r="J549" s="1">
        <f>VLOOKUP(A549,Nasdaq!A548:C1803,3)</f>
        <v>11576</v>
      </c>
    </row>
    <row r="550" spans="1:10" x14ac:dyDescent="0.2">
      <c r="A550" s="2">
        <v>44994</v>
      </c>
      <c r="B550" s="1">
        <f>VLOOKUP(A550,AAPL!A549:C1804,3)</f>
        <v>148.578</v>
      </c>
      <c r="C550" s="1">
        <f>VLOOKUP(A550,MSFT!A549:C1804,3)</f>
        <v>248.86799999999999</v>
      </c>
      <c r="D550" s="1">
        <f>VLOOKUP(A550,NVDA!A549:C1804,3)</f>
        <v>23.422999999999998</v>
      </c>
      <c r="E550" s="1">
        <f>VLOOKUP(A550,AMD!A549:C1804,3)</f>
        <v>84.03</v>
      </c>
      <c r="F550" s="1">
        <f>VLOOKUP(A550,AMZN!A549:C1804,3)</f>
        <v>92.25</v>
      </c>
      <c r="G550" s="1">
        <f>VLOOKUP(A550,TSLA!A549:C1804,3)</f>
        <v>172.92</v>
      </c>
      <c r="H550" s="1">
        <f>VLOOKUP(A550,GOOGL!A549:C1804,3)</f>
        <v>91.986599999999996</v>
      </c>
      <c r="I550" s="1">
        <f>VLOOKUP(A550,META!A549:C1804,3)</f>
        <v>181.69</v>
      </c>
      <c r="J550" s="1">
        <f>VLOOKUP(A550,Nasdaq!A549:C1804,3)</f>
        <v>11338.35</v>
      </c>
    </row>
    <row r="551" spans="1:10" x14ac:dyDescent="0.2">
      <c r="A551" s="2">
        <v>44995</v>
      </c>
      <c r="B551" s="1">
        <f>VLOOKUP(A551,AAPL!A550:C1805,3)</f>
        <v>146.51599999999999</v>
      </c>
      <c r="C551" s="1">
        <f>VLOOKUP(A551,MSFT!A550:C1805,3)</f>
        <v>245.18899999999999</v>
      </c>
      <c r="D551" s="1">
        <f>VLOOKUP(A551,NVDA!A550:C1805,3)</f>
        <v>22.952100000000002</v>
      </c>
      <c r="E551" s="1">
        <f>VLOOKUP(A551,AMD!A550:C1805,3)</f>
        <v>82.67</v>
      </c>
      <c r="F551" s="1">
        <f>VLOOKUP(A551,AMZN!A550:C1805,3)</f>
        <v>90.73</v>
      </c>
      <c r="G551" s="1">
        <f>VLOOKUP(A551,TSLA!A550:C1805,3)</f>
        <v>173.44</v>
      </c>
      <c r="H551" s="1">
        <f>VLOOKUP(A551,GOOGL!A550:C1805,3)</f>
        <v>90.302599999999998</v>
      </c>
      <c r="I551" s="1">
        <f>VLOOKUP(A551,META!A550:C1805,3)</f>
        <v>179.51</v>
      </c>
      <c r="J551" s="1">
        <f>VLOOKUP(A551,Nasdaq!A550:C1805,3)</f>
        <v>11138.89</v>
      </c>
    </row>
    <row r="552" spans="1:10" x14ac:dyDescent="0.2">
      <c r="A552" s="2">
        <v>44998</v>
      </c>
      <c r="B552" s="1">
        <f>VLOOKUP(A552,AAPL!A551:C1806,3)</f>
        <v>148.459</v>
      </c>
      <c r="C552" s="1">
        <f>VLOOKUP(A552,MSFT!A551:C1806,3)</f>
        <v>250.447</v>
      </c>
      <c r="D552" s="1">
        <f>VLOOKUP(A552,NVDA!A551:C1806,3)</f>
        <v>22.953099999999999</v>
      </c>
      <c r="E552" s="1">
        <f>VLOOKUP(A552,AMD!A551:C1806,3)</f>
        <v>82.01</v>
      </c>
      <c r="F552" s="1">
        <f>VLOOKUP(A552,AMZN!A551:C1806,3)</f>
        <v>92.43</v>
      </c>
      <c r="G552" s="1">
        <f>VLOOKUP(A552,TSLA!A551:C1806,3)</f>
        <v>174.48</v>
      </c>
      <c r="H552" s="1">
        <f>VLOOKUP(A552,GOOGL!A551:C1806,3)</f>
        <v>90.781000000000006</v>
      </c>
      <c r="I552" s="1">
        <f>VLOOKUP(A552,META!A551:C1806,3)</f>
        <v>180.9</v>
      </c>
      <c r="J552" s="1">
        <f>VLOOKUP(A552,Nasdaq!A551:C1806,3)</f>
        <v>11188.84</v>
      </c>
    </row>
    <row r="553" spans="1:10" x14ac:dyDescent="0.2">
      <c r="A553" s="2">
        <v>44999</v>
      </c>
      <c r="B553" s="1">
        <f>VLOOKUP(A553,AAPL!A552:C1807,3)</f>
        <v>150.55199999999999</v>
      </c>
      <c r="C553" s="1">
        <f>VLOOKUP(A553,MSFT!A552:C1807,3)</f>
        <v>257.221</v>
      </c>
      <c r="D553" s="1">
        <f>VLOOKUP(A553,NVDA!A552:C1807,3)</f>
        <v>24.049499999999998</v>
      </c>
      <c r="E553" s="1">
        <f>VLOOKUP(A553,AMD!A552:C1807,3)</f>
        <v>87.45</v>
      </c>
      <c r="F553" s="1">
        <f>VLOOKUP(A553,AMZN!A552:C1807,3)</f>
        <v>94.88</v>
      </c>
      <c r="G553" s="1">
        <f>VLOOKUP(A553,TSLA!A552:C1807,3)</f>
        <v>183.26</v>
      </c>
      <c r="H553" s="1">
        <f>VLOOKUP(A553,GOOGL!A552:C1807,3)</f>
        <v>93.630600000000001</v>
      </c>
      <c r="I553" s="1">
        <f>VLOOKUP(A553,META!A552:C1807,3)</f>
        <v>194.02</v>
      </c>
      <c r="J553" s="1">
        <f>VLOOKUP(A553,Nasdaq!A552:C1807,3)</f>
        <v>11428.15</v>
      </c>
    </row>
    <row r="554" spans="1:10" x14ac:dyDescent="0.2">
      <c r="A554" s="2">
        <v>45000</v>
      </c>
      <c r="B554" s="1">
        <f>VLOOKUP(A554,AAPL!A553:C1808,3)</f>
        <v>150.947</v>
      </c>
      <c r="C554" s="1">
        <f>VLOOKUP(A554,MSFT!A553:C1808,3)</f>
        <v>261.80799999999999</v>
      </c>
      <c r="D554" s="1">
        <f>VLOOKUP(A554,NVDA!A553:C1808,3)</f>
        <v>24.214500000000001</v>
      </c>
      <c r="E554" s="1">
        <f>VLOOKUP(A554,AMD!A553:C1808,3)</f>
        <v>89.68</v>
      </c>
      <c r="F554" s="1">
        <f>VLOOKUP(A554,AMZN!A553:C1808,3)</f>
        <v>96.2</v>
      </c>
      <c r="G554" s="1">
        <f>VLOOKUP(A554,TSLA!A553:C1808,3)</f>
        <v>180.45</v>
      </c>
      <c r="H554" s="1">
        <f>VLOOKUP(A554,GOOGL!A553:C1808,3)</f>
        <v>95.762799999999999</v>
      </c>
      <c r="I554" s="1">
        <f>VLOOKUP(A554,META!A553:C1808,3)</f>
        <v>197.75</v>
      </c>
      <c r="J554" s="1">
        <f>VLOOKUP(A554,Nasdaq!A553:C1808,3)</f>
        <v>11434.05</v>
      </c>
    </row>
    <row r="555" spans="1:10" x14ac:dyDescent="0.2">
      <c r="A555" s="2">
        <v>45001</v>
      </c>
      <c r="B555" s="1">
        <f>VLOOKUP(A555,AAPL!A554:C1809,3)</f>
        <v>153.768</v>
      </c>
      <c r="C555" s="1">
        <f>VLOOKUP(A555,MSFT!A554:C1809,3)</f>
        <v>272.42200000000003</v>
      </c>
      <c r="D555" s="1">
        <f>VLOOKUP(A555,NVDA!A554:C1809,3)</f>
        <v>25.526800000000001</v>
      </c>
      <c r="E555" s="1">
        <f>VLOOKUP(A555,AMD!A554:C1809,3)</f>
        <v>96.6</v>
      </c>
      <c r="F555" s="1">
        <f>VLOOKUP(A555,AMZN!A554:C1809,3)</f>
        <v>100.04</v>
      </c>
      <c r="G555" s="1">
        <f>VLOOKUP(A555,TSLA!A554:C1809,3)</f>
        <v>184.13</v>
      </c>
      <c r="H555" s="1">
        <f>VLOOKUP(A555,GOOGL!A554:C1809,3)</f>
        <v>99.957400000000007</v>
      </c>
      <c r="I555" s="1">
        <f>VLOOKUP(A555,META!A554:C1809,3)</f>
        <v>204.93</v>
      </c>
      <c r="J555" s="1">
        <f>VLOOKUP(A555,Nasdaq!A554:C1809,3)</f>
        <v>11717.28</v>
      </c>
    </row>
    <row r="556" spans="1:10" x14ac:dyDescent="0.2">
      <c r="A556" s="2">
        <v>45002</v>
      </c>
      <c r="B556" s="1">
        <f>VLOOKUP(A556,AAPL!A555:C1810,3)</f>
        <v>152.929</v>
      </c>
      <c r="C556" s="1">
        <f>VLOOKUP(A556,MSFT!A555:C1810,3)</f>
        <v>275.60500000000002</v>
      </c>
      <c r="D556" s="1">
        <f>VLOOKUP(A556,NVDA!A555:C1810,3)</f>
        <v>25.710599999999999</v>
      </c>
      <c r="E556" s="1">
        <f>VLOOKUP(A556,AMD!A555:C1810,3)</f>
        <v>97.84</v>
      </c>
      <c r="F556" s="1">
        <f>VLOOKUP(A556,AMZN!A555:C1810,3)</f>
        <v>98.95</v>
      </c>
      <c r="G556" s="1">
        <f>VLOOKUP(A556,TSLA!A555:C1810,3)</f>
        <v>180.13</v>
      </c>
      <c r="H556" s="1">
        <f>VLOOKUP(A556,GOOGL!A555:C1810,3)</f>
        <v>101.253</v>
      </c>
      <c r="I556" s="1">
        <f>VLOOKUP(A556,META!A555:C1810,3)</f>
        <v>195.61</v>
      </c>
      <c r="J556" s="1">
        <f>VLOOKUP(A556,Nasdaq!A555:C1810,3)</f>
        <v>11630.51</v>
      </c>
    </row>
    <row r="557" spans="1:10" x14ac:dyDescent="0.2">
      <c r="A557" s="2">
        <v>45005</v>
      </c>
      <c r="B557" s="1">
        <f>VLOOKUP(A557,AAPL!A556:C1811,3)</f>
        <v>155.297</v>
      </c>
      <c r="C557" s="1">
        <f>VLOOKUP(A557,MSFT!A556:C1811,3)</f>
        <v>268.50599999999997</v>
      </c>
      <c r="D557" s="1">
        <f>VLOOKUP(A557,NVDA!A556:C1811,3)</f>
        <v>25.8856</v>
      </c>
      <c r="E557" s="1">
        <f>VLOOKUP(A557,AMD!A556:C1811,3)</f>
        <v>96.81</v>
      </c>
      <c r="F557" s="1">
        <f>VLOOKUP(A557,AMZN!A556:C1811,3)</f>
        <v>97.71</v>
      </c>
      <c r="G557" s="1">
        <f>VLOOKUP(A557,TSLA!A556:C1811,3)</f>
        <v>183.25</v>
      </c>
      <c r="H557" s="1">
        <f>VLOOKUP(A557,GOOGL!A556:C1811,3)</f>
        <v>100.854</v>
      </c>
      <c r="I557" s="1">
        <f>VLOOKUP(A557,META!A556:C1811,3)</f>
        <v>197.81</v>
      </c>
      <c r="J557" s="1">
        <f>VLOOKUP(A557,Nasdaq!A556:C1811,3)</f>
        <v>11675.54</v>
      </c>
    </row>
    <row r="558" spans="1:10" x14ac:dyDescent="0.2">
      <c r="A558" s="2">
        <v>45006</v>
      </c>
      <c r="B558" s="1">
        <f>VLOOKUP(A558,AAPL!A557:C1812,3)</f>
        <v>157.15199999999999</v>
      </c>
      <c r="C558" s="1">
        <f>VLOOKUP(A558,MSFT!A557:C1812,3)</f>
        <v>270.03399999999999</v>
      </c>
      <c r="D558" s="1">
        <f>VLOOKUP(A558,NVDA!A557:C1812,3)</f>
        <v>26.1844</v>
      </c>
      <c r="E558" s="1">
        <f>VLOOKUP(A558,AMD!A557:C1812,3)</f>
        <v>95.93</v>
      </c>
      <c r="F558" s="1">
        <f>VLOOKUP(A558,AMZN!A557:C1812,3)</f>
        <v>100.61</v>
      </c>
      <c r="G558" s="1">
        <f>VLOOKUP(A558,TSLA!A557:C1812,3)</f>
        <v>197.58</v>
      </c>
      <c r="H558" s="1">
        <f>VLOOKUP(A558,GOOGL!A557:C1812,3)</f>
        <v>104.541</v>
      </c>
      <c r="I558" s="1">
        <f>VLOOKUP(A558,META!A557:C1812,3)</f>
        <v>202.16</v>
      </c>
      <c r="J558" s="1">
        <f>VLOOKUP(A558,Nasdaq!A557:C1812,3)</f>
        <v>11860.11</v>
      </c>
    </row>
    <row r="559" spans="1:10" x14ac:dyDescent="0.2">
      <c r="A559" s="2">
        <v>45007</v>
      </c>
      <c r="B559" s="1">
        <f>VLOOKUP(A559,AAPL!A558:C1813,3)</f>
        <v>155.721</v>
      </c>
      <c r="C559" s="1">
        <f>VLOOKUP(A559,MSFT!A558:C1813,3)</f>
        <v>268.565</v>
      </c>
      <c r="D559" s="1">
        <f>VLOOKUP(A559,NVDA!A558:C1813,3)</f>
        <v>26.453299999999999</v>
      </c>
      <c r="E559" s="1">
        <f>VLOOKUP(A559,AMD!A558:C1813,3)</f>
        <v>97.58</v>
      </c>
      <c r="F559" s="1">
        <f>VLOOKUP(A559,AMZN!A558:C1813,3)</f>
        <v>98.7</v>
      </c>
      <c r="G559" s="1">
        <f>VLOOKUP(A559,TSLA!A558:C1813,3)</f>
        <v>191.15</v>
      </c>
      <c r="H559" s="1">
        <f>VLOOKUP(A559,GOOGL!A558:C1813,3)</f>
        <v>102.996</v>
      </c>
      <c r="I559" s="1">
        <f>VLOOKUP(A559,META!A558:C1813,3)</f>
        <v>199.81</v>
      </c>
      <c r="J559" s="1">
        <f>VLOOKUP(A559,Nasdaq!A558:C1813,3)</f>
        <v>11669.96</v>
      </c>
    </row>
    <row r="560" spans="1:10" x14ac:dyDescent="0.2">
      <c r="A560" s="2">
        <v>45008</v>
      </c>
      <c r="B560" s="1">
        <f>VLOOKUP(A560,AAPL!A559:C1814,3)</f>
        <v>156.80600000000001</v>
      </c>
      <c r="C560" s="1">
        <f>VLOOKUP(A560,MSFT!A559:C1814,3)</f>
        <v>273.86099999999999</v>
      </c>
      <c r="D560" s="1">
        <f>VLOOKUP(A560,NVDA!A559:C1814,3)</f>
        <v>27.175899999999999</v>
      </c>
      <c r="E560" s="1">
        <f>VLOOKUP(A560,AMD!A559:C1814,3)</f>
        <v>100.28</v>
      </c>
      <c r="F560" s="1">
        <f>VLOOKUP(A560,AMZN!A559:C1814,3)</f>
        <v>98.71</v>
      </c>
      <c r="G560" s="1">
        <f>VLOOKUP(A560,TSLA!A559:C1814,3)</f>
        <v>192.22</v>
      </c>
      <c r="H560" s="1">
        <f>VLOOKUP(A560,GOOGL!A559:C1814,3)</f>
        <v>105.218</v>
      </c>
      <c r="I560" s="1">
        <f>VLOOKUP(A560,META!A559:C1814,3)</f>
        <v>204.28</v>
      </c>
      <c r="J560" s="1">
        <f>VLOOKUP(A560,Nasdaq!A559:C1814,3)</f>
        <v>11787.4</v>
      </c>
    </row>
    <row r="561" spans="1:10" x14ac:dyDescent="0.2">
      <c r="A561" s="2">
        <v>45009</v>
      </c>
      <c r="B561" s="1">
        <f>VLOOKUP(A561,AAPL!A560:C1815,3)</f>
        <v>158.11000000000001</v>
      </c>
      <c r="C561" s="1">
        <f>VLOOKUP(A561,MSFT!A560:C1815,3)</f>
        <v>276.73099999999999</v>
      </c>
      <c r="D561" s="1">
        <f>VLOOKUP(A561,NVDA!A560:C1815,3)</f>
        <v>26.763999999999999</v>
      </c>
      <c r="E561" s="1">
        <f>VLOOKUP(A561,AMD!A560:C1815,3)</f>
        <v>97.95</v>
      </c>
      <c r="F561" s="1">
        <f>VLOOKUP(A561,AMZN!A560:C1815,3)</f>
        <v>98.13</v>
      </c>
      <c r="G561" s="1">
        <f>VLOOKUP(A561,TSLA!A560:C1815,3)</f>
        <v>190.41</v>
      </c>
      <c r="H561" s="1">
        <f>VLOOKUP(A561,GOOGL!A560:C1815,3)</f>
        <v>105.059</v>
      </c>
      <c r="I561" s="1">
        <f>VLOOKUP(A561,META!A560:C1815,3)</f>
        <v>206.01</v>
      </c>
      <c r="J561" s="1">
        <f>VLOOKUP(A561,Nasdaq!A560:C1815,3)</f>
        <v>11823.96</v>
      </c>
    </row>
    <row r="562" spans="1:10" x14ac:dyDescent="0.2">
      <c r="A562" s="2">
        <v>45012</v>
      </c>
      <c r="B562" s="1">
        <f>VLOOKUP(A562,AAPL!A561:C1816,3)</f>
        <v>156.166</v>
      </c>
      <c r="C562" s="1">
        <f>VLOOKUP(A562,MSFT!A561:C1816,3)</f>
        <v>272.59800000000001</v>
      </c>
      <c r="D562" s="1">
        <f>VLOOKUP(A562,NVDA!A561:C1816,3)</f>
        <v>26.516300000000001</v>
      </c>
      <c r="E562" s="1">
        <f>VLOOKUP(A562,AMD!A561:C1816,3)</f>
        <v>96.61</v>
      </c>
      <c r="F562" s="1">
        <f>VLOOKUP(A562,AMZN!A561:C1816,3)</f>
        <v>98.04</v>
      </c>
      <c r="G562" s="1">
        <f>VLOOKUP(A562,TSLA!A561:C1816,3)</f>
        <v>191.81</v>
      </c>
      <c r="H562" s="1">
        <f>VLOOKUP(A562,GOOGL!A561:C1816,3)</f>
        <v>102.09</v>
      </c>
      <c r="I562" s="1">
        <f>VLOOKUP(A562,META!A561:C1816,3)</f>
        <v>202.84</v>
      </c>
      <c r="J562" s="1">
        <f>VLOOKUP(A562,Nasdaq!A561:C1816,3)</f>
        <v>11768.84</v>
      </c>
    </row>
    <row r="563" spans="1:10" x14ac:dyDescent="0.2">
      <c r="A563" s="2">
        <v>45013</v>
      </c>
      <c r="B563" s="1">
        <f>VLOOKUP(A563,AAPL!A562:C1817,3)</f>
        <v>155.54400000000001</v>
      </c>
      <c r="C563" s="1">
        <f>VLOOKUP(A563,MSFT!A562:C1817,3)</f>
        <v>271.46499999999997</v>
      </c>
      <c r="D563" s="1">
        <f>VLOOKUP(A563,NVDA!A562:C1817,3)</f>
        <v>26.395299999999999</v>
      </c>
      <c r="E563" s="1">
        <f>VLOOKUP(A563,AMD!A562:C1817,3)</f>
        <v>94.56</v>
      </c>
      <c r="F563" s="1">
        <f>VLOOKUP(A563,AMZN!A562:C1817,3)</f>
        <v>97.24</v>
      </c>
      <c r="G563" s="1">
        <f>VLOOKUP(A563,TSLA!A562:C1817,3)</f>
        <v>189.19</v>
      </c>
      <c r="H563" s="1">
        <f>VLOOKUP(A563,GOOGL!A562:C1817,3)</f>
        <v>100.66500000000001</v>
      </c>
      <c r="I563" s="1">
        <f>VLOOKUP(A563,META!A562:C1817,3)</f>
        <v>200.68</v>
      </c>
      <c r="J563" s="1">
        <f>VLOOKUP(A563,Nasdaq!A562:C1817,3)</f>
        <v>11716.08</v>
      </c>
    </row>
    <row r="564" spans="1:10" x14ac:dyDescent="0.2">
      <c r="A564" s="2">
        <v>45014</v>
      </c>
      <c r="B564" s="1">
        <f>VLOOKUP(A564,AAPL!A563:C1818,3)</f>
        <v>158.62200000000001</v>
      </c>
      <c r="C564" s="1">
        <f>VLOOKUP(A564,MSFT!A563:C1818,3)</f>
        <v>276.67099999999999</v>
      </c>
      <c r="D564" s="1">
        <f>VLOOKUP(A564,NVDA!A563:C1818,3)</f>
        <v>26.968900000000001</v>
      </c>
      <c r="E564" s="1">
        <f>VLOOKUP(A564,AMD!A563:C1818,3)</f>
        <v>96.09</v>
      </c>
      <c r="F564" s="1">
        <f>VLOOKUP(A564,AMZN!A563:C1818,3)</f>
        <v>100.25</v>
      </c>
      <c r="G564" s="1">
        <f>VLOOKUP(A564,TSLA!A563:C1818,3)</f>
        <v>193.88</v>
      </c>
      <c r="H564" s="1">
        <f>VLOOKUP(A564,GOOGL!A563:C1818,3)</f>
        <v>101.024</v>
      </c>
      <c r="I564" s="1">
        <f>VLOOKUP(A564,META!A563:C1818,3)</f>
        <v>205.35</v>
      </c>
      <c r="J564" s="1">
        <f>VLOOKUP(A564,Nasdaq!A563:C1818,3)</f>
        <v>11926.24</v>
      </c>
    </row>
    <row r="565" spans="1:10" x14ac:dyDescent="0.2">
      <c r="A565" s="2">
        <v>45015</v>
      </c>
      <c r="B565" s="1">
        <f>VLOOKUP(A565,AAPL!A564:C1819,3)</f>
        <v>160.191</v>
      </c>
      <c r="C565" s="1">
        <f>VLOOKUP(A565,MSFT!A564:C1819,3)</f>
        <v>280.16300000000001</v>
      </c>
      <c r="D565" s="1">
        <f>VLOOKUP(A565,NVDA!A564:C1819,3)</f>
        <v>27.367799999999999</v>
      </c>
      <c r="E565" s="1">
        <f>VLOOKUP(A565,AMD!A564:C1819,3)</f>
        <v>97.88</v>
      </c>
      <c r="F565" s="1">
        <f>VLOOKUP(A565,AMZN!A564:C1819,3)</f>
        <v>102</v>
      </c>
      <c r="G565" s="1">
        <f>VLOOKUP(A565,TSLA!A564:C1819,3)</f>
        <v>195.28</v>
      </c>
      <c r="H565" s="1">
        <f>VLOOKUP(A565,GOOGL!A564:C1819,3)</f>
        <v>100.52500000000001</v>
      </c>
      <c r="I565" s="1">
        <f>VLOOKUP(A565,META!A564:C1819,3)</f>
        <v>207.84</v>
      </c>
      <c r="J565" s="1">
        <f>VLOOKUP(A565,Nasdaq!A564:C1819,3)</f>
        <v>12013.47</v>
      </c>
    </row>
    <row r="566" spans="1:10" x14ac:dyDescent="0.2">
      <c r="A566" s="2">
        <v>45016</v>
      </c>
      <c r="B566" s="1">
        <f>VLOOKUP(A566,AAPL!A565:C1820,3)</f>
        <v>162.69800000000001</v>
      </c>
      <c r="C566" s="1">
        <f>VLOOKUP(A566,MSFT!A565:C1820,3)</f>
        <v>284.35500000000002</v>
      </c>
      <c r="D566" s="1">
        <f>VLOOKUP(A566,NVDA!A565:C1820,3)</f>
        <v>27.761500000000002</v>
      </c>
      <c r="E566" s="1">
        <f>VLOOKUP(A566,AMD!A565:C1820,3)</f>
        <v>98.01</v>
      </c>
      <c r="F566" s="1">
        <f>VLOOKUP(A566,AMZN!A565:C1820,3)</f>
        <v>103.29</v>
      </c>
      <c r="G566" s="1">
        <f>VLOOKUP(A566,TSLA!A565:C1820,3)</f>
        <v>207.46</v>
      </c>
      <c r="H566" s="1">
        <f>VLOOKUP(A566,GOOGL!A565:C1820,3)</f>
        <v>103.35599999999999</v>
      </c>
      <c r="I566" s="1">
        <f>VLOOKUP(A566,META!A565:C1820,3)</f>
        <v>211.94</v>
      </c>
      <c r="J566" s="1">
        <f>VLOOKUP(A566,Nasdaq!A565:C1820,3)</f>
        <v>12221.91</v>
      </c>
    </row>
    <row r="567" spans="1:10" x14ac:dyDescent="0.2">
      <c r="A567" s="2">
        <v>45019</v>
      </c>
      <c r="B567" s="1">
        <f>VLOOKUP(A567,AAPL!A566:C1821,3)</f>
        <v>163.95</v>
      </c>
      <c r="C567" s="1">
        <f>VLOOKUP(A567,MSFT!A566:C1821,3)</f>
        <v>283.29899999999998</v>
      </c>
      <c r="D567" s="1">
        <f>VLOOKUP(A567,NVDA!A566:C1821,3)</f>
        <v>27.949400000000001</v>
      </c>
      <c r="E567" s="1">
        <f>VLOOKUP(A567,AMD!A566:C1821,3)</f>
        <v>96.56</v>
      </c>
      <c r="F567" s="1">
        <f>VLOOKUP(A567,AMZN!A566:C1821,3)</f>
        <v>102.41</v>
      </c>
      <c r="G567" s="1">
        <f>VLOOKUP(A567,TSLA!A566:C1821,3)</f>
        <v>194.77</v>
      </c>
      <c r="H567" s="1">
        <f>VLOOKUP(A567,GOOGL!A566:C1821,3)</f>
        <v>103.983</v>
      </c>
      <c r="I567" s="1">
        <f>VLOOKUP(A567,META!A566:C1821,3)</f>
        <v>213.07</v>
      </c>
      <c r="J567" s="1">
        <f>VLOOKUP(A567,Nasdaq!A566:C1821,3)</f>
        <v>12189.45</v>
      </c>
    </row>
    <row r="568" spans="1:10" x14ac:dyDescent="0.2">
      <c r="A568" s="2">
        <v>45020</v>
      </c>
      <c r="B568" s="1">
        <f>VLOOKUP(A568,AAPL!A567:C1822,3)</f>
        <v>163.41800000000001</v>
      </c>
      <c r="C568" s="1">
        <f>VLOOKUP(A568,MSFT!A567:C1822,3)</f>
        <v>283.25099999999998</v>
      </c>
      <c r="D568" s="1">
        <f>VLOOKUP(A568,NVDA!A567:C1822,3)</f>
        <v>27.4377</v>
      </c>
      <c r="E568" s="1">
        <f>VLOOKUP(A568,AMD!A567:C1822,3)</f>
        <v>95.87</v>
      </c>
      <c r="F568" s="1">
        <f>VLOOKUP(A568,AMZN!A567:C1822,3)</f>
        <v>103.95</v>
      </c>
      <c r="G568" s="1">
        <f>VLOOKUP(A568,TSLA!A567:C1822,3)</f>
        <v>192.58</v>
      </c>
      <c r="H568" s="1">
        <f>VLOOKUP(A568,GOOGL!A567:C1822,3)</f>
        <v>104.34099999999999</v>
      </c>
      <c r="I568" s="1">
        <f>VLOOKUP(A568,META!A567:C1822,3)</f>
        <v>214.72</v>
      </c>
      <c r="J568" s="1">
        <f>VLOOKUP(A568,Nasdaq!A567:C1822,3)</f>
        <v>12126.33</v>
      </c>
    </row>
    <row r="569" spans="1:10" x14ac:dyDescent="0.2">
      <c r="A569" s="2">
        <v>45021</v>
      </c>
      <c r="B569" s="1">
        <f>VLOOKUP(A569,AAPL!A568:C1823,3)</f>
        <v>161.571</v>
      </c>
      <c r="C569" s="1">
        <f>VLOOKUP(A569,MSFT!A568:C1823,3)</f>
        <v>280.45100000000002</v>
      </c>
      <c r="D569" s="1">
        <f>VLOOKUP(A569,NVDA!A568:C1823,3)</f>
        <v>26.8659</v>
      </c>
      <c r="E569" s="1">
        <f>VLOOKUP(A569,AMD!A568:C1823,3)</f>
        <v>92.56</v>
      </c>
      <c r="F569" s="1">
        <f>VLOOKUP(A569,AMZN!A568:C1823,3)</f>
        <v>101.1</v>
      </c>
      <c r="G569" s="1">
        <f>VLOOKUP(A569,TSLA!A568:C1823,3)</f>
        <v>185.52</v>
      </c>
      <c r="H569" s="1">
        <f>VLOOKUP(A569,GOOGL!A568:C1823,3)</f>
        <v>104.093</v>
      </c>
      <c r="I569" s="1">
        <f>VLOOKUP(A569,META!A568:C1823,3)</f>
        <v>211.48</v>
      </c>
      <c r="J569" s="1">
        <f>VLOOKUP(A569,Nasdaq!A568:C1823,3)</f>
        <v>11996.86</v>
      </c>
    </row>
    <row r="570" spans="1:10" x14ac:dyDescent="0.2">
      <c r="A570" s="2">
        <v>45022</v>
      </c>
      <c r="B570" s="1">
        <f>VLOOKUP(A570,AAPL!A569:C1824,3)</f>
        <v>162.46100000000001</v>
      </c>
      <c r="C570" s="1">
        <f>VLOOKUP(A570,MSFT!A569:C1824,3)</f>
        <v>287.61</v>
      </c>
      <c r="D570" s="1">
        <f>VLOOKUP(A570,NVDA!A569:C1824,3)</f>
        <v>27.021899999999999</v>
      </c>
      <c r="E570" s="1">
        <f>VLOOKUP(A570,AMD!A569:C1824,3)</f>
        <v>92.47</v>
      </c>
      <c r="F570" s="1">
        <f>VLOOKUP(A570,AMZN!A569:C1824,3)</f>
        <v>102.06</v>
      </c>
      <c r="G570" s="1">
        <f>VLOOKUP(A570,TSLA!A569:C1824,3)</f>
        <v>185.06</v>
      </c>
      <c r="H570" s="1">
        <f>VLOOKUP(A570,GOOGL!A569:C1824,3)</f>
        <v>108.02800000000001</v>
      </c>
      <c r="I570" s="1">
        <f>VLOOKUP(A570,META!A569:C1824,3)</f>
        <v>216.1</v>
      </c>
      <c r="J570" s="1">
        <f>VLOOKUP(A570,Nasdaq!A569:C1824,3)</f>
        <v>12087.96</v>
      </c>
    </row>
    <row r="571" spans="1:10" x14ac:dyDescent="0.2">
      <c r="A571" s="2">
        <v>45026</v>
      </c>
      <c r="B571" s="1">
        <f>VLOOKUP(A571,AAPL!A570:C1825,3)</f>
        <v>159.86500000000001</v>
      </c>
      <c r="C571" s="1">
        <f>VLOOKUP(A571,MSFT!A570:C1825,3)</f>
        <v>285.43099999999998</v>
      </c>
      <c r="D571" s="1">
        <f>VLOOKUP(A571,NVDA!A570:C1825,3)</f>
        <v>27.563500000000001</v>
      </c>
      <c r="E571" s="1">
        <f>VLOOKUP(A571,AMD!A570:C1825,3)</f>
        <v>95.48</v>
      </c>
      <c r="F571" s="1">
        <f>VLOOKUP(A571,AMZN!A570:C1825,3)</f>
        <v>102.17</v>
      </c>
      <c r="G571" s="1">
        <f>VLOOKUP(A571,TSLA!A570:C1825,3)</f>
        <v>184.51</v>
      </c>
      <c r="H571" s="1">
        <f>VLOOKUP(A571,GOOGL!A570:C1825,3)</f>
        <v>106.05500000000001</v>
      </c>
      <c r="I571" s="1">
        <f>VLOOKUP(A571,META!A570:C1825,3)</f>
        <v>214.75</v>
      </c>
      <c r="J571" s="1">
        <f>VLOOKUP(A571,Nasdaq!A570:C1825,3)</f>
        <v>12084.36</v>
      </c>
    </row>
    <row r="572" spans="1:10" x14ac:dyDescent="0.2">
      <c r="A572" s="2">
        <v>45027</v>
      </c>
      <c r="B572" s="1">
        <f>VLOOKUP(A572,AAPL!A571:C1826,3)</f>
        <v>158.65199999999999</v>
      </c>
      <c r="C572" s="1">
        <f>VLOOKUP(A572,MSFT!A571:C1826,3)</f>
        <v>278.96100000000001</v>
      </c>
      <c r="D572" s="1">
        <f>VLOOKUP(A572,NVDA!A571:C1826,3)</f>
        <v>27.1539</v>
      </c>
      <c r="E572" s="1">
        <f>VLOOKUP(A572,AMD!A571:C1826,3)</f>
        <v>94.03</v>
      </c>
      <c r="F572" s="1">
        <f>VLOOKUP(A572,AMZN!A571:C1826,3)</f>
        <v>99.92</v>
      </c>
      <c r="G572" s="1">
        <f>VLOOKUP(A572,TSLA!A571:C1826,3)</f>
        <v>186.79</v>
      </c>
      <c r="H572" s="1">
        <f>VLOOKUP(A572,GOOGL!A571:C1826,3)</f>
        <v>104.97</v>
      </c>
      <c r="I572" s="1">
        <f>VLOOKUP(A572,META!A571:C1826,3)</f>
        <v>213.85</v>
      </c>
      <c r="J572" s="1">
        <f>VLOOKUP(A572,Nasdaq!A571:C1826,3)</f>
        <v>12031.88</v>
      </c>
    </row>
    <row r="573" spans="1:10" x14ac:dyDescent="0.2">
      <c r="A573" s="2">
        <v>45028</v>
      </c>
      <c r="B573" s="1">
        <f>VLOOKUP(A573,AAPL!A572:C1827,3)</f>
        <v>157.96100000000001</v>
      </c>
      <c r="C573" s="1">
        <f>VLOOKUP(A573,MSFT!A572:C1827,3)</f>
        <v>279.61099999999999</v>
      </c>
      <c r="D573" s="1">
        <f>VLOOKUP(A573,NVDA!A572:C1827,3)</f>
        <v>26.4803</v>
      </c>
      <c r="E573" s="1">
        <f>VLOOKUP(A573,AMD!A572:C1827,3)</f>
        <v>92.33</v>
      </c>
      <c r="F573" s="1">
        <f>VLOOKUP(A573,AMZN!A572:C1827,3)</f>
        <v>97.83</v>
      </c>
      <c r="G573" s="1">
        <f>VLOOKUP(A573,TSLA!A572:C1827,3)</f>
        <v>180.54</v>
      </c>
      <c r="H573" s="1">
        <f>VLOOKUP(A573,GOOGL!A572:C1827,3)</f>
        <v>104.262</v>
      </c>
      <c r="I573" s="1">
        <f>VLOOKUP(A573,META!A572:C1827,3)</f>
        <v>214</v>
      </c>
      <c r="J573" s="1">
        <f>VLOOKUP(A573,Nasdaq!A572:C1827,3)</f>
        <v>11929.34</v>
      </c>
    </row>
    <row r="574" spans="1:10" x14ac:dyDescent="0.2">
      <c r="A574" s="2">
        <v>45029</v>
      </c>
      <c r="B574" s="1">
        <f>VLOOKUP(A574,AAPL!A573:C1828,3)</f>
        <v>163.34800000000001</v>
      </c>
      <c r="C574" s="1">
        <f>VLOOKUP(A574,MSFT!A573:C1828,3)</f>
        <v>285.87400000000002</v>
      </c>
      <c r="D574" s="1">
        <f>VLOOKUP(A574,NVDA!A573:C1828,3)</f>
        <v>26.4483</v>
      </c>
      <c r="E574" s="1">
        <f>VLOOKUP(A574,AMD!A573:C1828,3)</f>
        <v>92.09</v>
      </c>
      <c r="F574" s="1">
        <f>VLOOKUP(A574,AMZN!A573:C1828,3)</f>
        <v>102.4</v>
      </c>
      <c r="G574" s="1">
        <f>VLOOKUP(A574,TSLA!A573:C1828,3)</f>
        <v>185.9</v>
      </c>
      <c r="H574" s="1">
        <f>VLOOKUP(A574,GOOGL!A573:C1828,3)</f>
        <v>107.042</v>
      </c>
      <c r="I574" s="1">
        <f>VLOOKUP(A574,META!A573:C1828,3)</f>
        <v>220.35</v>
      </c>
      <c r="J574" s="1">
        <f>VLOOKUP(A574,Nasdaq!A573:C1828,3)</f>
        <v>12166.27</v>
      </c>
    </row>
    <row r="575" spans="1:10" x14ac:dyDescent="0.2">
      <c r="A575" s="2">
        <v>45030</v>
      </c>
      <c r="B575" s="1">
        <f>VLOOKUP(A575,AAPL!A574:C1829,3)</f>
        <v>163.00299999999999</v>
      </c>
      <c r="C575" s="1">
        <f>VLOOKUP(A575,MSFT!A574:C1829,3)</f>
        <v>282.22500000000002</v>
      </c>
      <c r="D575" s="1">
        <f>VLOOKUP(A575,NVDA!A574:C1829,3)</f>
        <v>26.742999999999999</v>
      </c>
      <c r="E575" s="1">
        <f>VLOOKUP(A575,AMD!A574:C1829,3)</f>
        <v>91.75</v>
      </c>
      <c r="F575" s="1">
        <f>VLOOKUP(A575,AMZN!A574:C1829,3)</f>
        <v>102.51</v>
      </c>
      <c r="G575" s="1">
        <f>VLOOKUP(A575,TSLA!A574:C1829,3)</f>
        <v>185</v>
      </c>
      <c r="H575" s="1">
        <f>VLOOKUP(A575,GOOGL!A574:C1829,3)</f>
        <v>108.477</v>
      </c>
      <c r="I575" s="1">
        <f>VLOOKUP(A575,META!A574:C1829,3)</f>
        <v>221.49</v>
      </c>
      <c r="J575" s="1">
        <f>VLOOKUP(A575,Nasdaq!A574:C1829,3)</f>
        <v>12123.47</v>
      </c>
    </row>
    <row r="576" spans="1:10" x14ac:dyDescent="0.2">
      <c r="A576" s="2">
        <v>45033</v>
      </c>
      <c r="B576" s="1">
        <f>VLOOKUP(A576,AAPL!A575:C1830,3)</f>
        <v>163.02199999999999</v>
      </c>
      <c r="C576" s="1">
        <f>VLOOKUP(A576,MSFT!A575:C1830,3)</f>
        <v>284.84899999999999</v>
      </c>
      <c r="D576" s="1">
        <f>VLOOKUP(A576,NVDA!A575:C1830,3)</f>
        <v>26.986899999999999</v>
      </c>
      <c r="E576" s="1">
        <f>VLOOKUP(A576,AMD!A575:C1830,3)</f>
        <v>89.87</v>
      </c>
      <c r="F576" s="1">
        <f>VLOOKUP(A576,AMZN!A575:C1830,3)</f>
        <v>102.74</v>
      </c>
      <c r="G576" s="1">
        <f>VLOOKUP(A576,TSLA!A575:C1830,3)</f>
        <v>187.04</v>
      </c>
      <c r="H576" s="1">
        <f>VLOOKUP(A576,GOOGL!A575:C1830,3)</f>
        <v>105.58799999999999</v>
      </c>
      <c r="I576" s="1">
        <f>VLOOKUP(A576,META!A575:C1830,3)</f>
        <v>218.86</v>
      </c>
      <c r="J576" s="1">
        <f>VLOOKUP(A576,Nasdaq!A575:C1830,3)</f>
        <v>12157.72</v>
      </c>
    </row>
    <row r="577" spans="1:10" x14ac:dyDescent="0.2">
      <c r="A577" s="2">
        <v>45034</v>
      </c>
      <c r="B577" s="1">
        <f>VLOOKUP(A577,AAPL!A576:C1831,3)</f>
        <v>164.24700000000001</v>
      </c>
      <c r="C577" s="1">
        <f>VLOOKUP(A577,MSFT!A576:C1831,3)</f>
        <v>284.42399999999998</v>
      </c>
      <c r="D577" s="1">
        <f>VLOOKUP(A577,NVDA!A576:C1831,3)</f>
        <v>27.651499999999999</v>
      </c>
      <c r="E577" s="1">
        <f>VLOOKUP(A577,AMD!A576:C1831,3)</f>
        <v>89.78</v>
      </c>
      <c r="F577" s="1">
        <f>VLOOKUP(A577,AMZN!A576:C1831,3)</f>
        <v>102.3</v>
      </c>
      <c r="G577" s="1">
        <f>VLOOKUP(A577,TSLA!A576:C1831,3)</f>
        <v>184.31</v>
      </c>
      <c r="H577" s="1">
        <f>VLOOKUP(A577,GOOGL!A576:C1831,3)</f>
        <v>104.123</v>
      </c>
      <c r="I577" s="1">
        <f>VLOOKUP(A577,META!A576:C1831,3)</f>
        <v>217.89</v>
      </c>
      <c r="J577" s="1">
        <f>VLOOKUP(A577,Nasdaq!A576:C1831,3)</f>
        <v>12153.41</v>
      </c>
    </row>
    <row r="578" spans="1:10" x14ac:dyDescent="0.2">
      <c r="A578" s="2">
        <v>45035</v>
      </c>
      <c r="B578" s="1">
        <f>VLOOKUP(A578,AAPL!A577:C1832,3)</f>
        <v>165.39</v>
      </c>
      <c r="C578" s="1">
        <f>VLOOKUP(A578,MSFT!A577:C1832,3)</f>
        <v>284.50400000000002</v>
      </c>
      <c r="D578" s="1">
        <f>VLOOKUP(A578,NVDA!A577:C1832,3)</f>
        <v>27.915400000000002</v>
      </c>
      <c r="E578" s="1">
        <f>VLOOKUP(A578,AMD!A577:C1832,3)</f>
        <v>89.94</v>
      </c>
      <c r="F578" s="1">
        <f>VLOOKUP(A578,AMZN!A577:C1832,3)</f>
        <v>104.3</v>
      </c>
      <c r="G578" s="1">
        <f>VLOOKUP(A578,TSLA!A577:C1832,3)</f>
        <v>180.59</v>
      </c>
      <c r="H578" s="1">
        <f>VLOOKUP(A578,GOOGL!A577:C1832,3)</f>
        <v>103.804</v>
      </c>
      <c r="I578" s="1">
        <f>VLOOKUP(A578,META!A577:C1832,3)</f>
        <v>215.7</v>
      </c>
      <c r="J578" s="1">
        <f>VLOOKUP(A578,Nasdaq!A577:C1832,3)</f>
        <v>12157.23</v>
      </c>
    </row>
    <row r="579" spans="1:10" x14ac:dyDescent="0.2">
      <c r="A579" s="2">
        <v>45036</v>
      </c>
      <c r="B579" s="1">
        <f>VLOOKUP(A579,AAPL!A578:C1833,3)</f>
        <v>164.42400000000001</v>
      </c>
      <c r="C579" s="1">
        <f>VLOOKUP(A579,MSFT!A578:C1833,3)</f>
        <v>282.19499999999999</v>
      </c>
      <c r="D579" s="1">
        <f>VLOOKUP(A579,NVDA!A578:C1833,3)</f>
        <v>27.088899999999999</v>
      </c>
      <c r="E579" s="1">
        <f>VLOOKUP(A579,AMD!A578:C1833,3)</f>
        <v>90.11</v>
      </c>
      <c r="F579" s="1">
        <f>VLOOKUP(A579,AMZN!A578:C1833,3)</f>
        <v>103.81</v>
      </c>
      <c r="G579" s="1">
        <f>VLOOKUP(A579,TSLA!A578:C1833,3)</f>
        <v>162.99</v>
      </c>
      <c r="H579" s="1">
        <f>VLOOKUP(A579,GOOGL!A578:C1833,3)</f>
        <v>104.91</v>
      </c>
      <c r="I579" s="1">
        <f>VLOOKUP(A579,META!A578:C1833,3)</f>
        <v>213.07</v>
      </c>
      <c r="J579" s="1">
        <f>VLOOKUP(A579,Nasdaq!A578:C1833,3)</f>
        <v>12059.56</v>
      </c>
    </row>
    <row r="580" spans="1:10" x14ac:dyDescent="0.2">
      <c r="A580" s="2">
        <v>45037</v>
      </c>
      <c r="B580" s="1">
        <f>VLOOKUP(A580,AAPL!A579:C1834,3)</f>
        <v>162.815</v>
      </c>
      <c r="C580" s="1">
        <f>VLOOKUP(A580,MSFT!A579:C1834,3)</f>
        <v>281.85199999999998</v>
      </c>
      <c r="D580" s="1">
        <f>VLOOKUP(A580,NVDA!A579:C1834,3)</f>
        <v>27.103899999999999</v>
      </c>
      <c r="E580" s="1">
        <f>VLOOKUP(A580,AMD!A579:C1834,3)</f>
        <v>88.43</v>
      </c>
      <c r="F580" s="1">
        <f>VLOOKUP(A580,AMZN!A579:C1834,3)</f>
        <v>106.96</v>
      </c>
      <c r="G580" s="1">
        <f>VLOOKUP(A580,TSLA!A579:C1834,3)</f>
        <v>165.08</v>
      </c>
      <c r="H580" s="1">
        <f>VLOOKUP(A580,GOOGL!A579:C1834,3)</f>
        <v>105.029</v>
      </c>
      <c r="I580" s="1">
        <f>VLOOKUP(A580,META!A579:C1834,3)</f>
        <v>212.89</v>
      </c>
      <c r="J580" s="1">
        <f>VLOOKUP(A580,Nasdaq!A579:C1834,3)</f>
        <v>12072.46</v>
      </c>
    </row>
    <row r="581" spans="1:10" x14ac:dyDescent="0.2">
      <c r="A581" s="2">
        <v>45040</v>
      </c>
      <c r="B581" s="1">
        <f>VLOOKUP(A581,AAPL!A580:C1835,3)</f>
        <v>163.12200000000001</v>
      </c>
      <c r="C581" s="1">
        <f>VLOOKUP(A581,MSFT!A580:C1835,3)</f>
        <v>277.91500000000002</v>
      </c>
      <c r="D581" s="1">
        <f>VLOOKUP(A581,NVDA!A580:C1835,3)</f>
        <v>27.026900000000001</v>
      </c>
      <c r="E581" s="1">
        <f>VLOOKUP(A581,AMD!A580:C1835,3)</f>
        <v>87.57</v>
      </c>
      <c r="F581" s="1">
        <f>VLOOKUP(A581,AMZN!A580:C1835,3)</f>
        <v>106.21</v>
      </c>
      <c r="G581" s="1">
        <f>VLOOKUP(A581,TSLA!A580:C1835,3)</f>
        <v>162.55000000000001</v>
      </c>
      <c r="H581" s="1">
        <f>VLOOKUP(A581,GOOGL!A580:C1835,3)</f>
        <v>105.58799999999999</v>
      </c>
      <c r="I581" s="1">
        <f>VLOOKUP(A581,META!A580:C1835,3)</f>
        <v>212.79</v>
      </c>
      <c r="J581" s="1">
        <f>VLOOKUP(A581,Nasdaq!A580:C1835,3)</f>
        <v>12037.2</v>
      </c>
    </row>
    <row r="582" spans="1:10" x14ac:dyDescent="0.2">
      <c r="A582" s="2">
        <v>45041</v>
      </c>
      <c r="B582" s="1">
        <f>VLOOKUP(A582,AAPL!A581:C1836,3)</f>
        <v>161.58099999999999</v>
      </c>
      <c r="C582" s="1">
        <f>VLOOKUP(A582,MSFT!A581:C1836,3)</f>
        <v>271.65100000000001</v>
      </c>
      <c r="D582" s="1">
        <f>VLOOKUP(A582,NVDA!A581:C1836,3)</f>
        <v>26.226400000000002</v>
      </c>
      <c r="E582" s="1">
        <f>VLOOKUP(A582,AMD!A581:C1836,3)</f>
        <v>83.8</v>
      </c>
      <c r="F582" s="1">
        <f>VLOOKUP(A582,AMZN!A581:C1836,3)</f>
        <v>102.57</v>
      </c>
      <c r="G582" s="1">
        <f>VLOOKUP(A582,TSLA!A581:C1836,3)</f>
        <v>160.66999999999999</v>
      </c>
      <c r="H582" s="1">
        <f>VLOOKUP(A582,GOOGL!A581:C1836,3)</f>
        <v>103.47499999999999</v>
      </c>
      <c r="I582" s="1">
        <f>VLOOKUP(A582,META!A581:C1836,3)</f>
        <v>207.55</v>
      </c>
      <c r="J582" s="1">
        <f>VLOOKUP(A582,Nasdaq!A581:C1836,3)</f>
        <v>11799.16</v>
      </c>
    </row>
    <row r="583" spans="1:10" x14ac:dyDescent="0.2">
      <c r="A583" s="2">
        <v>45042</v>
      </c>
      <c r="B583" s="1">
        <f>VLOOKUP(A583,AAPL!A582:C1837,3)</f>
        <v>161.571</v>
      </c>
      <c r="C583" s="1">
        <f>VLOOKUP(A583,MSFT!A582:C1837,3)</f>
        <v>291.32900000000001</v>
      </c>
      <c r="D583" s="1">
        <f>VLOOKUP(A583,NVDA!A582:C1837,3)</f>
        <v>26.940899999999999</v>
      </c>
      <c r="E583" s="1">
        <f>VLOOKUP(A583,AMD!A582:C1837,3)</f>
        <v>85.94</v>
      </c>
      <c r="F583" s="1">
        <f>VLOOKUP(A583,AMZN!A582:C1837,3)</f>
        <v>104.98</v>
      </c>
      <c r="G583" s="1">
        <f>VLOOKUP(A583,TSLA!A582:C1837,3)</f>
        <v>153.75</v>
      </c>
      <c r="H583" s="1">
        <f>VLOOKUP(A583,GOOGL!A582:C1837,3)</f>
        <v>103.336</v>
      </c>
      <c r="I583" s="1">
        <f>VLOOKUP(A583,META!A582:C1837,3)</f>
        <v>209.4</v>
      </c>
      <c r="J583" s="1">
        <f>VLOOKUP(A583,Nasdaq!A582:C1837,3)</f>
        <v>11854.35</v>
      </c>
    </row>
    <row r="584" spans="1:10" x14ac:dyDescent="0.2">
      <c r="A584" s="2">
        <v>45043</v>
      </c>
      <c r="B584" s="1">
        <f>VLOOKUP(A584,AAPL!A583:C1838,3)</f>
        <v>166.16</v>
      </c>
      <c r="C584" s="1">
        <f>VLOOKUP(A584,MSFT!A583:C1838,3)</f>
        <v>300.65899999999999</v>
      </c>
      <c r="D584" s="1">
        <f>VLOOKUP(A584,NVDA!A583:C1838,3)</f>
        <v>27.210899999999999</v>
      </c>
      <c r="E584" s="1">
        <f>VLOOKUP(A584,AMD!A583:C1838,3)</f>
        <v>87.44</v>
      </c>
      <c r="F584" s="1">
        <f>VLOOKUP(A584,AMZN!A583:C1838,3)</f>
        <v>109.82</v>
      </c>
      <c r="G584" s="1">
        <f>VLOOKUP(A584,TSLA!A583:C1838,3)</f>
        <v>160.19</v>
      </c>
      <c r="H584" s="1">
        <f>VLOOKUP(A584,GOOGL!A583:C1838,3)</f>
        <v>107.202</v>
      </c>
      <c r="I584" s="1">
        <f>VLOOKUP(A584,META!A583:C1838,3)</f>
        <v>238.56</v>
      </c>
      <c r="J584" s="1">
        <f>VLOOKUP(A584,Nasdaq!A583:C1838,3)</f>
        <v>12142.24</v>
      </c>
    </row>
    <row r="585" spans="1:10" x14ac:dyDescent="0.2">
      <c r="A585" s="2">
        <v>45044</v>
      </c>
      <c r="B585" s="1">
        <f>VLOOKUP(A585,AAPL!A584:C1839,3)</f>
        <v>167.41300000000001</v>
      </c>
      <c r="C585" s="1">
        <f>VLOOKUP(A585,MSFT!A584:C1839,3)</f>
        <v>303.05500000000001</v>
      </c>
      <c r="D585" s="1">
        <f>VLOOKUP(A585,NVDA!A584:C1839,3)</f>
        <v>27.733499999999999</v>
      </c>
      <c r="E585" s="1">
        <f>VLOOKUP(A585,AMD!A584:C1839,3)</f>
        <v>89.37</v>
      </c>
      <c r="F585" s="1">
        <f>VLOOKUP(A585,AMZN!A584:C1839,3)</f>
        <v>105.45</v>
      </c>
      <c r="G585" s="1">
        <f>VLOOKUP(A585,TSLA!A584:C1839,3)</f>
        <v>164.31</v>
      </c>
      <c r="H585" s="1">
        <f>VLOOKUP(A585,GOOGL!A584:C1839,3)</f>
        <v>106.952</v>
      </c>
      <c r="I585" s="1">
        <f>VLOOKUP(A585,META!A584:C1839,3)</f>
        <v>240.32</v>
      </c>
      <c r="J585" s="1">
        <f>VLOOKUP(A585,Nasdaq!A584:C1839,3)</f>
        <v>12226.58</v>
      </c>
    </row>
    <row r="586" spans="1:10" x14ac:dyDescent="0.2">
      <c r="A586" s="2">
        <v>45047</v>
      </c>
      <c r="B586" s="1">
        <f>VLOOKUP(A586,AAPL!A585:C1840,3)</f>
        <v>167.32499999999999</v>
      </c>
      <c r="C586" s="1">
        <f>VLOOKUP(A586,MSFT!A585:C1840,3)</f>
        <v>301.38</v>
      </c>
      <c r="D586" s="1">
        <f>VLOOKUP(A586,NVDA!A585:C1840,3)</f>
        <v>28.893799999999999</v>
      </c>
      <c r="E586" s="1">
        <f>VLOOKUP(A586,AMD!A585:C1840,3)</f>
        <v>89.69</v>
      </c>
      <c r="F586" s="1">
        <f>VLOOKUP(A586,AMZN!A585:C1840,3)</f>
        <v>102.05</v>
      </c>
      <c r="G586" s="1">
        <f>VLOOKUP(A586,TSLA!A585:C1840,3)</f>
        <v>161.83000000000001</v>
      </c>
      <c r="H586" s="1">
        <f>VLOOKUP(A586,GOOGL!A585:C1840,3)</f>
        <v>106.813</v>
      </c>
      <c r="I586" s="1">
        <f>VLOOKUP(A586,META!A585:C1840,3)</f>
        <v>243.18</v>
      </c>
      <c r="J586" s="1">
        <f>VLOOKUP(A586,Nasdaq!A585:C1840,3)</f>
        <v>12212.6</v>
      </c>
    </row>
    <row r="587" spans="1:10" x14ac:dyDescent="0.2">
      <c r="A587" s="2">
        <v>45048</v>
      </c>
      <c r="B587" s="1">
        <f>VLOOKUP(A587,AAPL!A586:C1841,3)</f>
        <v>166.28800000000001</v>
      </c>
      <c r="C587" s="1">
        <f>VLOOKUP(A587,MSFT!A586:C1841,3)</f>
        <v>301.23200000000003</v>
      </c>
      <c r="D587" s="1">
        <f>VLOOKUP(A587,NVDA!A586:C1841,3)</f>
        <v>28.194400000000002</v>
      </c>
      <c r="E587" s="1">
        <f>VLOOKUP(A587,AMD!A586:C1841,3)</f>
        <v>89.91</v>
      </c>
      <c r="F587" s="1">
        <f>VLOOKUP(A587,AMZN!A586:C1841,3)</f>
        <v>103.63</v>
      </c>
      <c r="G587" s="1">
        <f>VLOOKUP(A587,TSLA!A586:C1841,3)</f>
        <v>160.31</v>
      </c>
      <c r="H587" s="1">
        <f>VLOOKUP(A587,GOOGL!A586:C1841,3)</f>
        <v>104.94</v>
      </c>
      <c r="I587" s="1">
        <f>VLOOKUP(A587,META!A586:C1841,3)</f>
        <v>239.24</v>
      </c>
      <c r="J587" s="1">
        <f>VLOOKUP(A587,Nasdaq!A586:C1841,3)</f>
        <v>12080.51</v>
      </c>
    </row>
    <row r="588" spans="1:10" x14ac:dyDescent="0.2">
      <c r="A588" s="2">
        <v>45049</v>
      </c>
      <c r="B588" s="1">
        <f>VLOOKUP(A588,AAPL!A587:C1842,3)</f>
        <v>165.21199999999999</v>
      </c>
      <c r="C588" s="1">
        <f>VLOOKUP(A588,MSFT!A587:C1842,3)</f>
        <v>300.23500000000001</v>
      </c>
      <c r="D588" s="1">
        <f>VLOOKUP(A588,NVDA!A587:C1842,3)</f>
        <v>27.7865</v>
      </c>
      <c r="E588" s="1">
        <f>VLOOKUP(A588,AMD!A587:C1842,3)</f>
        <v>81.62</v>
      </c>
      <c r="F588" s="1">
        <f>VLOOKUP(A588,AMZN!A587:C1842,3)</f>
        <v>103.65</v>
      </c>
      <c r="G588" s="1">
        <f>VLOOKUP(A588,TSLA!A587:C1842,3)</f>
        <v>160.61000000000001</v>
      </c>
      <c r="H588" s="1">
        <f>VLOOKUP(A588,GOOGL!A587:C1842,3)</f>
        <v>105.029</v>
      </c>
      <c r="I588" s="1">
        <f>VLOOKUP(A588,META!A587:C1842,3)</f>
        <v>237.03</v>
      </c>
      <c r="J588" s="1">
        <f>VLOOKUP(A588,Nasdaq!A587:C1842,3)</f>
        <v>12025.33</v>
      </c>
    </row>
    <row r="589" spans="1:10" x14ac:dyDescent="0.2">
      <c r="A589" s="2">
        <v>45050</v>
      </c>
      <c r="B589" s="1">
        <f>VLOOKUP(A589,AAPL!A588:C1843,3)</f>
        <v>163.57599999999999</v>
      </c>
      <c r="C589" s="1">
        <f>VLOOKUP(A589,MSFT!A588:C1843,3)</f>
        <v>301.23200000000003</v>
      </c>
      <c r="D589" s="1">
        <f>VLOOKUP(A589,NVDA!A588:C1843,3)</f>
        <v>27.546500000000002</v>
      </c>
      <c r="E589" s="1">
        <f>VLOOKUP(A589,AMD!A588:C1843,3)</f>
        <v>86.61</v>
      </c>
      <c r="F589" s="1">
        <f>VLOOKUP(A589,AMZN!A588:C1843,3)</f>
        <v>104</v>
      </c>
      <c r="G589" s="1">
        <f>VLOOKUP(A589,TSLA!A588:C1843,3)</f>
        <v>161.19999999999999</v>
      </c>
      <c r="H589" s="1">
        <f>VLOOKUP(A589,GOOGL!A588:C1843,3)</f>
        <v>104.31100000000001</v>
      </c>
      <c r="I589" s="1">
        <f>VLOOKUP(A589,META!A588:C1843,3)</f>
        <v>233.52</v>
      </c>
      <c r="J589" s="1">
        <f>VLOOKUP(A589,Nasdaq!A588:C1843,3)</f>
        <v>11966.4</v>
      </c>
    </row>
    <row r="590" spans="1:10" x14ac:dyDescent="0.2">
      <c r="A590" s="2">
        <v>45051</v>
      </c>
      <c r="B590" s="1">
        <f>VLOOKUP(A590,AAPL!A589:C1844,3)</f>
        <v>171.251</v>
      </c>
      <c r="C590" s="1">
        <f>VLOOKUP(A590,MSFT!A589:C1844,3)</f>
        <v>306.399</v>
      </c>
      <c r="D590" s="1">
        <f>VLOOKUP(A590,NVDA!A589:C1844,3)</f>
        <v>28.663900000000002</v>
      </c>
      <c r="E590" s="1">
        <f>VLOOKUP(A590,AMD!A589:C1844,3)</f>
        <v>89.84</v>
      </c>
      <c r="F590" s="1">
        <f>VLOOKUP(A590,AMZN!A589:C1844,3)</f>
        <v>105.655</v>
      </c>
      <c r="G590" s="1">
        <f>VLOOKUP(A590,TSLA!A589:C1844,3)</f>
        <v>170.06</v>
      </c>
      <c r="H590" s="1">
        <f>VLOOKUP(A590,GOOGL!A589:C1844,3)</f>
        <v>105.188</v>
      </c>
      <c r="I590" s="1">
        <f>VLOOKUP(A590,META!A589:C1844,3)</f>
        <v>232.78</v>
      </c>
      <c r="J590" s="1">
        <f>VLOOKUP(A590,Nasdaq!A589:C1844,3)</f>
        <v>12235.41</v>
      </c>
    </row>
    <row r="591" spans="1:10" x14ac:dyDescent="0.2">
      <c r="A591" s="2">
        <v>45054</v>
      </c>
      <c r="B591" s="1">
        <f>VLOOKUP(A591,AAPL!A590:C1845,3)</f>
        <v>171.18199999999999</v>
      </c>
      <c r="C591" s="1">
        <f>VLOOKUP(A591,MSFT!A590:C1845,3)</f>
        <v>304.42700000000002</v>
      </c>
      <c r="D591" s="1">
        <f>VLOOKUP(A591,NVDA!A590:C1845,3)</f>
        <v>29.134699999999999</v>
      </c>
      <c r="E591" s="1">
        <f>VLOOKUP(A591,AMD!A590:C1845,3)</f>
        <v>95.04</v>
      </c>
      <c r="F591" s="1">
        <f>VLOOKUP(A591,AMZN!A590:C1845,3)</f>
        <v>105.83</v>
      </c>
      <c r="G591" s="1">
        <f>VLOOKUP(A591,TSLA!A590:C1845,3)</f>
        <v>171.79</v>
      </c>
      <c r="H591" s="1">
        <f>VLOOKUP(A591,GOOGL!A590:C1845,3)</f>
        <v>107.38</v>
      </c>
      <c r="I591" s="1">
        <f>VLOOKUP(A591,META!A590:C1845,3)</f>
        <v>233.27</v>
      </c>
      <c r="J591" s="1">
        <f>VLOOKUP(A591,Nasdaq!A590:C1845,3)</f>
        <v>12256.92</v>
      </c>
    </row>
    <row r="592" spans="1:10" x14ac:dyDescent="0.2">
      <c r="A592" s="2">
        <v>45055</v>
      </c>
      <c r="B592" s="1">
        <f>VLOOKUP(A592,AAPL!A591:C1846,3)</f>
        <v>169.477</v>
      </c>
      <c r="C592" s="1">
        <f>VLOOKUP(A592,MSFT!A591:C1846,3)</f>
        <v>302.8</v>
      </c>
      <c r="D592" s="1">
        <f>VLOOKUP(A592,NVDA!A591:C1846,3)</f>
        <v>28.555099999999999</v>
      </c>
      <c r="E592" s="1">
        <f>VLOOKUP(A592,AMD!A591:C1846,3)</f>
        <v>95.06</v>
      </c>
      <c r="F592" s="1">
        <f>VLOOKUP(A592,AMZN!A591:C1846,3)</f>
        <v>106.62</v>
      </c>
      <c r="G592" s="1">
        <f>VLOOKUP(A592,TSLA!A591:C1846,3)</f>
        <v>169.15</v>
      </c>
      <c r="H592" s="1">
        <f>VLOOKUP(A592,GOOGL!A591:C1846,3)</f>
        <v>106.962</v>
      </c>
      <c r="I592" s="1">
        <f>VLOOKUP(A592,META!A591:C1846,3)</f>
        <v>233.37</v>
      </c>
      <c r="J592" s="1">
        <f>VLOOKUP(A592,Nasdaq!A591:C1846,3)</f>
        <v>12179.55</v>
      </c>
    </row>
    <row r="593" spans="1:10" x14ac:dyDescent="0.2">
      <c r="A593" s="2">
        <v>45056</v>
      </c>
      <c r="B593" s="1">
        <f>VLOOKUP(A593,AAPL!A592:C1847,3)</f>
        <v>171.23599999999999</v>
      </c>
      <c r="C593" s="1">
        <f>VLOOKUP(A593,MSFT!A592:C1847,3)</f>
        <v>308.03699999999998</v>
      </c>
      <c r="D593" s="1">
        <f>VLOOKUP(A593,NVDA!A592:C1847,3)</f>
        <v>28.8688</v>
      </c>
      <c r="E593" s="1">
        <f>VLOOKUP(A593,AMD!A592:C1847,3)</f>
        <v>97.02</v>
      </c>
      <c r="F593" s="1">
        <f>VLOOKUP(A593,AMZN!A592:C1847,3)</f>
        <v>110.19</v>
      </c>
      <c r="G593" s="1">
        <f>VLOOKUP(A593,TSLA!A592:C1847,3)</f>
        <v>168.54</v>
      </c>
      <c r="H593" s="1">
        <f>VLOOKUP(A593,GOOGL!A592:C1847,3)</f>
        <v>111.346</v>
      </c>
      <c r="I593" s="1">
        <f>VLOOKUP(A593,META!A592:C1847,3)</f>
        <v>233.08</v>
      </c>
      <c r="J593" s="1">
        <f>VLOOKUP(A593,Nasdaq!A592:C1847,3)</f>
        <v>12306.44</v>
      </c>
    </row>
    <row r="594" spans="1:10" x14ac:dyDescent="0.2">
      <c r="A594" s="2">
        <v>45057</v>
      </c>
      <c r="B594" s="1">
        <f>VLOOKUP(A594,AAPL!A593:C1848,3)</f>
        <v>171.429</v>
      </c>
      <c r="C594" s="1">
        <f>VLOOKUP(A594,MSFT!A593:C1848,3)</f>
        <v>305.86799999999999</v>
      </c>
      <c r="D594" s="1">
        <f>VLOOKUP(A594,NVDA!A593:C1848,3)</f>
        <v>28.562100000000001</v>
      </c>
      <c r="E594" s="1">
        <f>VLOOKUP(A594,AMD!A593:C1848,3)</f>
        <v>97.1</v>
      </c>
      <c r="F594" s="1">
        <f>VLOOKUP(A594,AMZN!A593:C1848,3)</f>
        <v>112.18</v>
      </c>
      <c r="G594" s="1">
        <f>VLOOKUP(A594,TSLA!A593:C1848,3)</f>
        <v>172.08</v>
      </c>
      <c r="H594" s="1">
        <f>VLOOKUP(A594,GOOGL!A593:C1848,3)</f>
        <v>116.149</v>
      </c>
      <c r="I594" s="1">
        <f>VLOOKUP(A594,META!A593:C1848,3)</f>
        <v>235.79</v>
      </c>
      <c r="J594" s="1">
        <f>VLOOKUP(A594,Nasdaq!A593:C1848,3)</f>
        <v>12328.51</v>
      </c>
    </row>
    <row r="595" spans="1:10" x14ac:dyDescent="0.2">
      <c r="A595" s="2">
        <v>45058</v>
      </c>
      <c r="B595" s="1">
        <f>VLOOKUP(A595,AAPL!A594:C1849,3)</f>
        <v>170.501</v>
      </c>
      <c r="C595" s="1">
        <f>VLOOKUP(A595,MSFT!A594:C1849,3)</f>
        <v>304.74299999999999</v>
      </c>
      <c r="D595" s="1">
        <f>VLOOKUP(A595,NVDA!A594:C1849,3)</f>
        <v>28.324300000000001</v>
      </c>
      <c r="E595" s="1">
        <f>VLOOKUP(A595,AMD!A594:C1849,3)</f>
        <v>95.26</v>
      </c>
      <c r="F595" s="1">
        <f>VLOOKUP(A595,AMZN!A594:C1849,3)</f>
        <v>110.26</v>
      </c>
      <c r="G595" s="1">
        <f>VLOOKUP(A595,TSLA!A594:C1849,3)</f>
        <v>167.98</v>
      </c>
      <c r="H595" s="1">
        <f>VLOOKUP(A595,GOOGL!A594:C1849,3)</f>
        <v>117.08499999999999</v>
      </c>
      <c r="I595" s="1">
        <f>VLOOKUP(A595,META!A594:C1849,3)</f>
        <v>233.81</v>
      </c>
      <c r="J595" s="1">
        <f>VLOOKUP(A595,Nasdaq!A594:C1849,3)</f>
        <v>12284.74</v>
      </c>
    </row>
    <row r="596" spans="1:10" x14ac:dyDescent="0.2">
      <c r="A596" s="2">
        <v>45061</v>
      </c>
      <c r="B596" s="1">
        <f>VLOOKUP(A596,AAPL!A595:C1850,3)</f>
        <v>170.006</v>
      </c>
      <c r="C596" s="1">
        <f>VLOOKUP(A596,MSFT!A595:C1850,3)</f>
        <v>305.226</v>
      </c>
      <c r="D596" s="1">
        <f>VLOOKUP(A596,NVDA!A595:C1850,3)</f>
        <v>28.936800000000002</v>
      </c>
      <c r="E596" s="1">
        <f>VLOOKUP(A596,AMD!A595:C1850,3)</f>
        <v>97.4</v>
      </c>
      <c r="F596" s="1">
        <f>VLOOKUP(A596,AMZN!A595:C1850,3)</f>
        <v>111.2</v>
      </c>
      <c r="G596" s="1">
        <f>VLOOKUP(A596,TSLA!A595:C1850,3)</f>
        <v>166.35</v>
      </c>
      <c r="H596" s="1">
        <f>VLOOKUP(A596,GOOGL!A595:C1850,3)</f>
        <v>116.089</v>
      </c>
      <c r="I596" s="1">
        <f>VLOOKUP(A596,META!A595:C1850,3)</f>
        <v>238.86</v>
      </c>
      <c r="J596" s="1">
        <f>VLOOKUP(A596,Nasdaq!A595:C1850,3)</f>
        <v>12365.21</v>
      </c>
    </row>
    <row r="597" spans="1:10" x14ac:dyDescent="0.2">
      <c r="A597" s="2">
        <v>45062</v>
      </c>
      <c r="B597" s="1">
        <f>VLOOKUP(A597,AAPL!A596:C1851,3)</f>
        <v>170.006</v>
      </c>
      <c r="C597" s="1">
        <f>VLOOKUP(A597,MSFT!A596:C1851,3)</f>
        <v>307.47500000000002</v>
      </c>
      <c r="D597" s="1">
        <f>VLOOKUP(A597,NVDA!A596:C1851,3)</f>
        <v>29.1967</v>
      </c>
      <c r="E597" s="1">
        <f>VLOOKUP(A597,AMD!A596:C1851,3)</f>
        <v>101.48</v>
      </c>
      <c r="F597" s="1">
        <f>VLOOKUP(A597,AMZN!A596:C1851,3)</f>
        <v>113.4</v>
      </c>
      <c r="G597" s="1">
        <f>VLOOKUP(A597,TSLA!A596:C1851,3)</f>
        <v>166.52</v>
      </c>
      <c r="H597" s="1">
        <f>VLOOKUP(A597,GOOGL!A596:C1851,3)</f>
        <v>119.07899999999999</v>
      </c>
      <c r="I597" s="1">
        <f>VLOOKUP(A597,META!A596:C1851,3)</f>
        <v>238.82</v>
      </c>
      <c r="J597" s="1">
        <f>VLOOKUP(A597,Nasdaq!A596:C1851,3)</f>
        <v>12343.05</v>
      </c>
    </row>
    <row r="598" spans="1:10" x14ac:dyDescent="0.2">
      <c r="A598" s="2">
        <v>45063</v>
      </c>
      <c r="B598" s="1">
        <f>VLOOKUP(A598,AAPL!A597:C1852,3)</f>
        <v>170.619</v>
      </c>
      <c r="C598" s="1">
        <f>VLOOKUP(A598,MSFT!A597:C1852,3)</f>
        <v>310.38099999999997</v>
      </c>
      <c r="D598" s="1">
        <f>VLOOKUP(A598,NVDA!A597:C1852,3)</f>
        <v>30.161100000000001</v>
      </c>
      <c r="E598" s="1">
        <f>VLOOKUP(A598,AMD!A597:C1852,3)</f>
        <v>103.75</v>
      </c>
      <c r="F598" s="1">
        <f>VLOOKUP(A598,AMZN!A597:C1852,3)</f>
        <v>115.5</v>
      </c>
      <c r="G598" s="1">
        <f>VLOOKUP(A598,TSLA!A597:C1852,3)</f>
        <v>173.86</v>
      </c>
      <c r="H598" s="1">
        <f>VLOOKUP(A598,GOOGL!A597:C1852,3)</f>
        <v>120.40300000000001</v>
      </c>
      <c r="I598" s="1">
        <f>VLOOKUP(A598,META!A597:C1852,3)</f>
        <v>242.48500000000001</v>
      </c>
      <c r="J598" s="1">
        <f>VLOOKUP(A598,Nasdaq!A597:C1852,3)</f>
        <v>12500.57</v>
      </c>
    </row>
    <row r="599" spans="1:10" x14ac:dyDescent="0.2">
      <c r="A599" s="2">
        <v>45064</v>
      </c>
      <c r="B599" s="1">
        <f>VLOOKUP(A599,AAPL!A598:C1853,3)</f>
        <v>172.952</v>
      </c>
      <c r="C599" s="1">
        <f>VLOOKUP(A599,MSFT!A598:C1853,3)</f>
        <v>314.84800000000001</v>
      </c>
      <c r="D599" s="1">
        <f>VLOOKUP(A599,NVDA!A598:C1853,3)</f>
        <v>31.660299999999999</v>
      </c>
      <c r="E599" s="1">
        <f>VLOOKUP(A599,AMD!A598:C1853,3)</f>
        <v>107.93</v>
      </c>
      <c r="F599" s="1">
        <f>VLOOKUP(A599,AMZN!A598:C1853,3)</f>
        <v>118.15</v>
      </c>
      <c r="G599" s="1">
        <f>VLOOKUP(A599,TSLA!A598:C1853,3)</f>
        <v>176.89</v>
      </c>
      <c r="H599" s="1">
        <f>VLOOKUP(A599,GOOGL!A598:C1853,3)</f>
        <v>122.386</v>
      </c>
      <c r="I599" s="1">
        <f>VLOOKUP(A599,META!A598:C1853,3)</f>
        <v>246.85</v>
      </c>
      <c r="J599" s="1">
        <f>VLOOKUP(A599,Nasdaq!A598:C1853,3)</f>
        <v>12688.84</v>
      </c>
    </row>
    <row r="600" spans="1:10" x14ac:dyDescent="0.2">
      <c r="A600" s="2">
        <v>45065</v>
      </c>
      <c r="B600" s="1">
        <f>VLOOKUP(A600,AAPL!A599:C1854,3)</f>
        <v>173.06</v>
      </c>
      <c r="C600" s="1">
        <f>VLOOKUP(A600,MSFT!A599:C1854,3)</f>
        <v>314.67099999999999</v>
      </c>
      <c r="D600" s="1">
        <f>VLOOKUP(A600,NVDA!A599:C1854,3)</f>
        <v>31.246500000000001</v>
      </c>
      <c r="E600" s="1">
        <f>VLOOKUP(A600,AMD!A599:C1854,3)</f>
        <v>105.82</v>
      </c>
      <c r="F600" s="1">
        <f>VLOOKUP(A600,AMZN!A599:C1854,3)</f>
        <v>116.25</v>
      </c>
      <c r="G600" s="1">
        <f>VLOOKUP(A600,TSLA!A599:C1854,3)</f>
        <v>180.14</v>
      </c>
      <c r="H600" s="1">
        <f>VLOOKUP(A600,GOOGL!A599:C1854,3)</f>
        <v>122.31699999999999</v>
      </c>
      <c r="I600" s="1">
        <f>VLOOKUP(A600,META!A599:C1854,3)</f>
        <v>245.64</v>
      </c>
      <c r="J600" s="1">
        <f>VLOOKUP(A600,Nasdaq!A599:C1854,3)</f>
        <v>12657.9</v>
      </c>
    </row>
    <row r="601" spans="1:10" x14ac:dyDescent="0.2">
      <c r="A601" s="2">
        <v>45068</v>
      </c>
      <c r="B601" s="1">
        <f>VLOOKUP(A601,AAPL!A600:C1855,3)</f>
        <v>172.11099999999999</v>
      </c>
      <c r="C601" s="1">
        <f>VLOOKUP(A601,MSFT!A600:C1855,3)</f>
        <v>317.47899999999998</v>
      </c>
      <c r="D601" s="1">
        <f>VLOOKUP(A601,NVDA!A600:C1855,3)</f>
        <v>31.1586</v>
      </c>
      <c r="E601" s="1">
        <f>VLOOKUP(A601,AMD!A600:C1855,3)</f>
        <v>108</v>
      </c>
      <c r="F601" s="1">
        <f>VLOOKUP(A601,AMZN!A600:C1855,3)</f>
        <v>115.01</v>
      </c>
      <c r="G601" s="1">
        <f>VLOOKUP(A601,TSLA!A600:C1855,3)</f>
        <v>188.87</v>
      </c>
      <c r="H601" s="1">
        <f>VLOOKUP(A601,GOOGL!A600:C1855,3)</f>
        <v>124.598</v>
      </c>
      <c r="I601" s="1">
        <f>VLOOKUP(A601,META!A600:C1855,3)</f>
        <v>248.32</v>
      </c>
      <c r="J601" s="1">
        <f>VLOOKUP(A601,Nasdaq!A600:C1855,3)</f>
        <v>12720.78</v>
      </c>
    </row>
    <row r="602" spans="1:10" x14ac:dyDescent="0.2">
      <c r="A602" s="2">
        <v>45069</v>
      </c>
      <c r="B602" s="1">
        <f>VLOOKUP(A602,AAPL!A601:C1856,3)</f>
        <v>169.50399999999999</v>
      </c>
      <c r="C602" s="1">
        <f>VLOOKUP(A602,MSFT!A601:C1856,3)</f>
        <v>311.62599999999998</v>
      </c>
      <c r="D602" s="1">
        <f>VLOOKUP(A602,NVDA!A601:C1856,3)</f>
        <v>30.670999999999999</v>
      </c>
      <c r="E602" s="1">
        <f>VLOOKUP(A602,AMD!A601:C1856,3)</f>
        <v>108.12</v>
      </c>
      <c r="F602" s="1">
        <f>VLOOKUP(A602,AMZN!A601:C1856,3)</f>
        <v>114.99</v>
      </c>
      <c r="G602" s="1">
        <f>VLOOKUP(A602,TSLA!A601:C1856,3)</f>
        <v>185.77</v>
      </c>
      <c r="H602" s="1">
        <f>VLOOKUP(A602,GOOGL!A601:C1856,3)</f>
        <v>122.117</v>
      </c>
      <c r="I602" s="1">
        <f>VLOOKUP(A602,META!A601:C1856,3)</f>
        <v>246.74</v>
      </c>
      <c r="J602" s="1">
        <f>VLOOKUP(A602,Nasdaq!A601:C1856,3)</f>
        <v>12560.25</v>
      </c>
    </row>
    <row r="603" spans="1:10" x14ac:dyDescent="0.2">
      <c r="A603" s="2">
        <v>45070</v>
      </c>
      <c r="B603" s="1">
        <f>VLOOKUP(A603,AAPL!A602:C1857,3)</f>
        <v>169.77799999999999</v>
      </c>
      <c r="C603" s="1">
        <f>VLOOKUP(A603,MSFT!A602:C1857,3)</f>
        <v>310.233</v>
      </c>
      <c r="D603" s="1">
        <f>VLOOKUP(A603,NVDA!A602:C1857,3)</f>
        <v>30.521000000000001</v>
      </c>
      <c r="E603" s="1">
        <f>VLOOKUP(A603,AMD!A602:C1857,3)</f>
        <v>108.27</v>
      </c>
      <c r="F603" s="1">
        <f>VLOOKUP(A603,AMZN!A602:C1857,3)</f>
        <v>116.75</v>
      </c>
      <c r="G603" s="1">
        <f>VLOOKUP(A603,TSLA!A602:C1857,3)</f>
        <v>182.9</v>
      </c>
      <c r="H603" s="1">
        <f>VLOOKUP(A603,GOOGL!A602:C1857,3)</f>
        <v>120.46299999999999</v>
      </c>
      <c r="I603" s="1">
        <f>VLOOKUP(A603,META!A602:C1857,3)</f>
        <v>249.21</v>
      </c>
      <c r="J603" s="1">
        <f>VLOOKUP(A603,Nasdaq!A602:C1857,3)</f>
        <v>12484.16</v>
      </c>
    </row>
    <row r="604" spans="1:10" x14ac:dyDescent="0.2">
      <c r="A604" s="2">
        <v>45071</v>
      </c>
      <c r="B604" s="1">
        <f>VLOOKUP(A604,AAPL!A603:C1858,3)</f>
        <v>170.91499999999999</v>
      </c>
      <c r="C604" s="1">
        <f>VLOOKUP(A604,MSFT!A603:C1858,3)</f>
        <v>322.16300000000001</v>
      </c>
      <c r="D604" s="1">
        <f>VLOOKUP(A604,NVDA!A603:C1858,3)</f>
        <v>37.959000000000003</v>
      </c>
      <c r="E604" s="1">
        <f>VLOOKUP(A604,AMD!A603:C1858,3)</f>
        <v>120.35</v>
      </c>
      <c r="F604" s="1">
        <f>VLOOKUP(A604,AMZN!A603:C1858,3)</f>
        <v>115</v>
      </c>
      <c r="G604" s="1">
        <f>VLOOKUP(A604,TSLA!A603:C1858,3)</f>
        <v>184.47</v>
      </c>
      <c r="H604" s="1">
        <f>VLOOKUP(A604,GOOGL!A603:C1858,3)</f>
        <v>123.03400000000001</v>
      </c>
      <c r="I604" s="1">
        <f>VLOOKUP(A604,META!A603:C1858,3)</f>
        <v>252.69</v>
      </c>
      <c r="J604" s="1">
        <f>VLOOKUP(A604,Nasdaq!A603:C1858,3)</f>
        <v>12698.09</v>
      </c>
    </row>
    <row r="605" spans="1:10" x14ac:dyDescent="0.2">
      <c r="A605" s="2">
        <v>45072</v>
      </c>
      <c r="B605" s="1">
        <f>VLOOKUP(A605,AAPL!A604:C1859,3)</f>
        <v>173.32400000000001</v>
      </c>
      <c r="C605" s="1">
        <f>VLOOKUP(A605,MSFT!A604:C1859,3)</f>
        <v>329.053</v>
      </c>
      <c r="D605" s="1">
        <f>VLOOKUP(A605,NVDA!A604:C1859,3)</f>
        <v>38.924399999999999</v>
      </c>
      <c r="E605" s="1">
        <f>VLOOKUP(A605,AMD!A604:C1859,3)</f>
        <v>127.03</v>
      </c>
      <c r="F605" s="1">
        <f>VLOOKUP(A605,AMZN!A604:C1859,3)</f>
        <v>120.11</v>
      </c>
      <c r="G605" s="1">
        <f>VLOOKUP(A605,TSLA!A604:C1859,3)</f>
        <v>193.17</v>
      </c>
      <c r="H605" s="1">
        <f>VLOOKUP(A605,GOOGL!A604:C1859,3)</f>
        <v>124.16</v>
      </c>
      <c r="I605" s="1">
        <f>VLOOKUP(A605,META!A604:C1859,3)</f>
        <v>262.04000000000002</v>
      </c>
      <c r="J605" s="1">
        <f>VLOOKUP(A605,Nasdaq!A604:C1859,3)</f>
        <v>12975.69</v>
      </c>
    </row>
    <row r="606" spans="1:10" x14ac:dyDescent="0.2">
      <c r="A606" s="2">
        <v>45076</v>
      </c>
      <c r="B606" s="1">
        <f>VLOOKUP(A606,AAPL!A605:C1860,3)</f>
        <v>175.17400000000001</v>
      </c>
      <c r="C606" s="1">
        <f>VLOOKUP(A606,MSFT!A605:C1860,3)</f>
        <v>327.39299999999997</v>
      </c>
      <c r="D606" s="1">
        <f>VLOOKUP(A606,NVDA!A605:C1860,3)</f>
        <v>40.0886</v>
      </c>
      <c r="E606" s="1">
        <f>VLOOKUP(A606,AMD!A605:C1860,3)</f>
        <v>125.27</v>
      </c>
      <c r="F606" s="1">
        <f>VLOOKUP(A606,AMZN!A605:C1860,3)</f>
        <v>121.66</v>
      </c>
      <c r="G606" s="1">
        <f>VLOOKUP(A606,TSLA!A605:C1860,3)</f>
        <v>201.16</v>
      </c>
      <c r="H606" s="1">
        <f>VLOOKUP(A606,GOOGL!A605:C1860,3)</f>
        <v>123.223</v>
      </c>
      <c r="I606" s="1">
        <f>VLOOKUP(A606,META!A605:C1860,3)</f>
        <v>262.52</v>
      </c>
      <c r="J606" s="1">
        <f>VLOOKUP(A606,Nasdaq!A605:C1860,3)</f>
        <v>13017.43</v>
      </c>
    </row>
    <row r="607" spans="1:10" x14ac:dyDescent="0.2">
      <c r="A607" s="2">
        <v>45077</v>
      </c>
      <c r="B607" s="1">
        <f>VLOOKUP(A607,AAPL!A606:C1861,3)</f>
        <v>175.124</v>
      </c>
      <c r="C607" s="1">
        <f>VLOOKUP(A607,MSFT!A606:C1861,3)</f>
        <v>324.60399999999998</v>
      </c>
      <c r="D607" s="1">
        <f>VLOOKUP(A607,NVDA!A606:C1861,3)</f>
        <v>37.813000000000002</v>
      </c>
      <c r="E607" s="1">
        <f>VLOOKUP(A607,AMD!A606:C1861,3)</f>
        <v>118.21</v>
      </c>
      <c r="F607" s="1">
        <f>VLOOKUP(A607,AMZN!A606:C1861,3)</f>
        <v>120.58</v>
      </c>
      <c r="G607" s="1">
        <f>VLOOKUP(A607,TSLA!A606:C1861,3)</f>
        <v>203.93</v>
      </c>
      <c r="H607" s="1">
        <f>VLOOKUP(A607,GOOGL!A606:C1861,3)</f>
        <v>122.426</v>
      </c>
      <c r="I607" s="1">
        <f>VLOOKUP(A607,META!A606:C1861,3)</f>
        <v>264.72000000000003</v>
      </c>
      <c r="J607" s="1">
        <f>VLOOKUP(A607,Nasdaq!A606:C1861,3)</f>
        <v>12935.29</v>
      </c>
    </row>
    <row r="608" spans="1:10" x14ac:dyDescent="0.2">
      <c r="A608" s="2">
        <v>45078</v>
      </c>
      <c r="B608" s="1">
        <f>VLOOKUP(A608,AAPL!A607:C1862,3)</f>
        <v>177.93</v>
      </c>
      <c r="C608" s="1">
        <f>VLOOKUP(A608,MSFT!A607:C1862,3)</f>
        <v>328.74700000000001</v>
      </c>
      <c r="D608" s="1">
        <f>VLOOKUP(A608,NVDA!A607:C1862,3)</f>
        <v>39.747799999999998</v>
      </c>
      <c r="E608" s="1">
        <f>VLOOKUP(A608,AMD!A607:C1862,3)</f>
        <v>119.47</v>
      </c>
      <c r="F608" s="1">
        <f>VLOOKUP(A608,AMZN!A607:C1862,3)</f>
        <v>122.77</v>
      </c>
      <c r="G608" s="1">
        <f>VLOOKUP(A608,TSLA!A607:C1862,3)</f>
        <v>207.52</v>
      </c>
      <c r="H608" s="1">
        <f>VLOOKUP(A608,GOOGL!A607:C1862,3)</f>
        <v>123.273</v>
      </c>
      <c r="I608" s="1">
        <f>VLOOKUP(A608,META!A607:C1862,3)</f>
        <v>272.61</v>
      </c>
      <c r="J608" s="1">
        <f>VLOOKUP(A608,Nasdaq!A607:C1862,3)</f>
        <v>13100.98</v>
      </c>
    </row>
    <row r="609" spans="1:10" x14ac:dyDescent="0.2">
      <c r="A609" s="2">
        <v>45079</v>
      </c>
      <c r="B609" s="1">
        <f>VLOOKUP(A609,AAPL!A608:C1863,3)</f>
        <v>178.78</v>
      </c>
      <c r="C609" s="1">
        <f>VLOOKUP(A609,MSFT!A608:C1863,3)</f>
        <v>331.53300000000002</v>
      </c>
      <c r="D609" s="1">
        <f>VLOOKUP(A609,NVDA!A608:C1863,3)</f>
        <v>39.305100000000003</v>
      </c>
      <c r="E609" s="1">
        <f>VLOOKUP(A609,AMD!A608:C1863,3)</f>
        <v>117.86</v>
      </c>
      <c r="F609" s="1">
        <f>VLOOKUP(A609,AMZN!A608:C1863,3)</f>
        <v>124.25</v>
      </c>
      <c r="G609" s="1">
        <f>VLOOKUP(A609,TSLA!A608:C1863,3)</f>
        <v>213.97</v>
      </c>
      <c r="H609" s="1">
        <f>VLOOKUP(A609,GOOGL!A608:C1863,3)</f>
        <v>124.22</v>
      </c>
      <c r="I609" s="1">
        <f>VLOOKUP(A609,META!A608:C1863,3)</f>
        <v>272.61</v>
      </c>
      <c r="J609" s="1">
        <f>VLOOKUP(A609,Nasdaq!A608:C1863,3)</f>
        <v>13240.77</v>
      </c>
    </row>
    <row r="610" spans="1:10" x14ac:dyDescent="0.2">
      <c r="A610" s="2">
        <v>45082</v>
      </c>
      <c r="B610" s="1">
        <f>VLOOKUP(A610,AAPL!A609:C1864,3)</f>
        <v>177.42599999999999</v>
      </c>
      <c r="C610" s="1">
        <f>VLOOKUP(A610,MSFT!A609:C1864,3)</f>
        <v>332.06700000000001</v>
      </c>
      <c r="D610" s="1">
        <f>VLOOKUP(A610,NVDA!A609:C1864,3)</f>
        <v>39.149299999999997</v>
      </c>
      <c r="E610" s="1">
        <f>VLOOKUP(A610,AMD!A609:C1864,3)</f>
        <v>117.93</v>
      </c>
      <c r="F610" s="1">
        <f>VLOOKUP(A610,AMZN!A609:C1864,3)</f>
        <v>125.3</v>
      </c>
      <c r="G610" s="1">
        <f>VLOOKUP(A610,TSLA!A609:C1864,3)</f>
        <v>217.61</v>
      </c>
      <c r="H610" s="1">
        <f>VLOOKUP(A610,GOOGL!A609:C1864,3)</f>
        <v>125.55500000000001</v>
      </c>
      <c r="I610" s="1">
        <f>VLOOKUP(A610,META!A609:C1864,3)</f>
        <v>271.39</v>
      </c>
      <c r="J610" s="1">
        <f>VLOOKUP(A610,Nasdaq!A609:C1864,3)</f>
        <v>13229.43</v>
      </c>
    </row>
    <row r="611" spans="1:10" x14ac:dyDescent="0.2">
      <c r="A611" s="2">
        <v>45083</v>
      </c>
      <c r="B611" s="1">
        <f>VLOOKUP(A611,AAPL!A610:C1865,3)</f>
        <v>177.06</v>
      </c>
      <c r="C611" s="1">
        <f>VLOOKUP(A611,MSFT!A610:C1865,3)</f>
        <v>329.83499999999998</v>
      </c>
      <c r="D611" s="1">
        <f>VLOOKUP(A611,NVDA!A610:C1865,3)</f>
        <v>38.632399999999997</v>
      </c>
      <c r="E611" s="1">
        <f>VLOOKUP(A611,AMD!A610:C1865,3)</f>
        <v>124.23</v>
      </c>
      <c r="F611" s="1">
        <f>VLOOKUP(A611,AMZN!A610:C1865,3)</f>
        <v>126.61</v>
      </c>
      <c r="G611" s="1">
        <f>VLOOKUP(A611,TSLA!A610:C1865,3)</f>
        <v>221.31</v>
      </c>
      <c r="H611" s="1">
        <f>VLOOKUP(A611,GOOGL!A610:C1865,3)</f>
        <v>126.85</v>
      </c>
      <c r="I611" s="1">
        <f>VLOOKUP(A611,META!A610:C1865,3)</f>
        <v>271.12</v>
      </c>
      <c r="J611" s="1">
        <f>VLOOKUP(A611,Nasdaq!A610:C1865,3)</f>
        <v>13276.42</v>
      </c>
    </row>
    <row r="612" spans="1:10" x14ac:dyDescent="0.2">
      <c r="A612" s="2">
        <v>45084</v>
      </c>
      <c r="B612" s="1">
        <f>VLOOKUP(A612,AAPL!A611:C1866,3)</f>
        <v>175.68700000000001</v>
      </c>
      <c r="C612" s="1">
        <f>VLOOKUP(A612,MSFT!A611:C1866,3)</f>
        <v>319.65300000000002</v>
      </c>
      <c r="D612" s="1">
        <f>VLOOKUP(A612,NVDA!A611:C1866,3)</f>
        <v>37.457900000000002</v>
      </c>
      <c r="E612" s="1">
        <f>VLOOKUP(A612,AMD!A611:C1866,3)</f>
        <v>117.83</v>
      </c>
      <c r="F612" s="1">
        <f>VLOOKUP(A612,AMZN!A611:C1866,3)</f>
        <v>121.23</v>
      </c>
      <c r="G612" s="1">
        <f>VLOOKUP(A612,TSLA!A611:C1866,3)</f>
        <v>224.57</v>
      </c>
      <c r="H612" s="1">
        <f>VLOOKUP(A612,GOOGL!A611:C1866,3)</f>
        <v>122.05800000000001</v>
      </c>
      <c r="I612" s="1">
        <f>VLOOKUP(A612,META!A611:C1866,3)</f>
        <v>263.60000000000002</v>
      </c>
      <c r="J612" s="1">
        <f>VLOOKUP(A612,Nasdaq!A611:C1866,3)</f>
        <v>13104.89</v>
      </c>
    </row>
    <row r="613" spans="1:10" x14ac:dyDescent="0.2">
      <c r="A613" s="2">
        <v>45085</v>
      </c>
      <c r="B613" s="1">
        <f>VLOOKUP(A613,AAPL!A612:C1867,3)</f>
        <v>178.40299999999999</v>
      </c>
      <c r="C613" s="1">
        <f>VLOOKUP(A613,MSFT!A612:C1867,3)</f>
        <v>321.51100000000002</v>
      </c>
      <c r="D613" s="1">
        <f>VLOOKUP(A613,NVDA!A612:C1867,3)</f>
        <v>38.492400000000004</v>
      </c>
      <c r="E613" s="1">
        <f>VLOOKUP(A613,AMD!A612:C1867,3)</f>
        <v>121.05</v>
      </c>
      <c r="F613" s="1">
        <f>VLOOKUP(A613,AMZN!A612:C1867,3)</f>
        <v>124.25</v>
      </c>
      <c r="G613" s="1">
        <f>VLOOKUP(A613,TSLA!A612:C1867,3)</f>
        <v>234.86</v>
      </c>
      <c r="H613" s="1">
        <f>VLOOKUP(A613,GOOGL!A612:C1867,3)</f>
        <v>121.699</v>
      </c>
      <c r="I613" s="1">
        <f>VLOOKUP(A613,META!A612:C1867,3)</f>
        <v>264.58</v>
      </c>
      <c r="J613" s="1">
        <f>VLOOKUP(A613,Nasdaq!A612:C1867,3)</f>
        <v>13238.52</v>
      </c>
    </row>
    <row r="614" spans="1:10" x14ac:dyDescent="0.2">
      <c r="A614" s="2">
        <v>45086</v>
      </c>
      <c r="B614" s="1">
        <f>VLOOKUP(A614,AAPL!A613:C1868,3)</f>
        <v>178.79</v>
      </c>
      <c r="C614" s="1">
        <f>VLOOKUP(A614,MSFT!A613:C1868,3)</f>
        <v>323.02300000000002</v>
      </c>
      <c r="D614" s="1">
        <f>VLOOKUP(A614,NVDA!A613:C1868,3)</f>
        <v>38.752400000000002</v>
      </c>
      <c r="E614" s="1">
        <f>VLOOKUP(A614,AMD!A613:C1868,3)</f>
        <v>124.92</v>
      </c>
      <c r="F614" s="1">
        <f>VLOOKUP(A614,AMZN!A613:C1868,3)</f>
        <v>123.43</v>
      </c>
      <c r="G614" s="1">
        <f>VLOOKUP(A614,TSLA!A613:C1868,3)</f>
        <v>244.4</v>
      </c>
      <c r="H614" s="1">
        <f>VLOOKUP(A614,GOOGL!A613:C1868,3)</f>
        <v>121.788</v>
      </c>
      <c r="I614" s="1">
        <f>VLOOKUP(A614,META!A613:C1868,3)</f>
        <v>264.95</v>
      </c>
      <c r="J614" s="1">
        <f>VLOOKUP(A614,Nasdaq!A613:C1868,3)</f>
        <v>13259.14</v>
      </c>
    </row>
    <row r="615" spans="1:10" x14ac:dyDescent="0.2">
      <c r="A615" s="2">
        <v>45089</v>
      </c>
      <c r="B615" s="1">
        <f>VLOOKUP(A615,AAPL!A614:C1869,3)</f>
        <v>181.58600000000001</v>
      </c>
      <c r="C615" s="1">
        <f>VLOOKUP(A615,MSFT!A614:C1869,3)</f>
        <v>328.02499999999998</v>
      </c>
      <c r="D615" s="1">
        <f>VLOOKUP(A615,NVDA!A614:C1869,3)</f>
        <v>39.463999999999999</v>
      </c>
      <c r="E615" s="1">
        <f>VLOOKUP(A615,AMD!A614:C1869,3)</f>
        <v>129.19</v>
      </c>
      <c r="F615" s="1">
        <f>VLOOKUP(A615,AMZN!A614:C1869,3)</f>
        <v>126.57</v>
      </c>
      <c r="G615" s="1">
        <f>VLOOKUP(A615,TSLA!A614:C1869,3)</f>
        <v>249.83</v>
      </c>
      <c r="H615" s="1">
        <f>VLOOKUP(A615,GOOGL!A614:C1869,3)</f>
        <v>123.193</v>
      </c>
      <c r="I615" s="1">
        <f>VLOOKUP(A615,META!A614:C1869,3)</f>
        <v>271.05</v>
      </c>
      <c r="J615" s="1">
        <f>VLOOKUP(A615,Nasdaq!A614:C1869,3)</f>
        <v>13461.92</v>
      </c>
    </row>
    <row r="616" spans="1:10" x14ac:dyDescent="0.2">
      <c r="A616" s="2">
        <v>45090</v>
      </c>
      <c r="B616" s="1">
        <f>VLOOKUP(A616,AAPL!A615:C1870,3)</f>
        <v>181.11099999999999</v>
      </c>
      <c r="C616" s="1">
        <f>VLOOKUP(A616,MSFT!A615:C1870,3)</f>
        <v>330.43799999999999</v>
      </c>
      <c r="D616" s="1">
        <f>VLOOKUP(A616,NVDA!A615:C1870,3)</f>
        <v>41.003399999999999</v>
      </c>
      <c r="E616" s="1">
        <f>VLOOKUP(A616,AMD!A615:C1870,3)</f>
        <v>124.53</v>
      </c>
      <c r="F616" s="1">
        <f>VLOOKUP(A616,AMZN!A615:C1870,3)</f>
        <v>126.66</v>
      </c>
      <c r="G616" s="1">
        <f>VLOOKUP(A616,TSLA!A615:C1870,3)</f>
        <v>258.70999999999998</v>
      </c>
      <c r="H616" s="1">
        <f>VLOOKUP(A616,GOOGL!A615:C1870,3)</f>
        <v>123.383</v>
      </c>
      <c r="I616" s="1">
        <f>VLOOKUP(A616,META!A615:C1870,3)</f>
        <v>271.32</v>
      </c>
      <c r="J616" s="1">
        <f>VLOOKUP(A616,Nasdaq!A615:C1870,3)</f>
        <v>13573.32</v>
      </c>
    </row>
    <row r="617" spans="1:10" x14ac:dyDescent="0.2">
      <c r="A617" s="2">
        <v>45091</v>
      </c>
      <c r="B617" s="1">
        <f>VLOOKUP(A617,AAPL!A616:C1871,3)</f>
        <v>181.74299999999999</v>
      </c>
      <c r="C617" s="1">
        <f>VLOOKUP(A617,MSFT!A616:C1871,3)</f>
        <v>333.452</v>
      </c>
      <c r="D617" s="1">
        <f>VLOOKUP(A617,NVDA!A616:C1871,3)</f>
        <v>42.977499999999999</v>
      </c>
      <c r="E617" s="1">
        <f>VLOOKUP(A617,AMD!A616:C1871,3)</f>
        <v>127.33</v>
      </c>
      <c r="F617" s="1">
        <f>VLOOKUP(A617,AMZN!A616:C1871,3)</f>
        <v>126.42</v>
      </c>
      <c r="G617" s="1">
        <f>VLOOKUP(A617,TSLA!A616:C1871,3)</f>
        <v>256.79000000000002</v>
      </c>
      <c r="H617" s="1">
        <f>VLOOKUP(A617,GOOGL!A616:C1871,3)</f>
        <v>123.223</v>
      </c>
      <c r="I617" s="1">
        <f>VLOOKUP(A617,META!A616:C1871,3)</f>
        <v>273.35000000000002</v>
      </c>
      <c r="J617" s="1">
        <f>VLOOKUP(A617,Nasdaq!A616:C1871,3)</f>
        <v>13626.48</v>
      </c>
    </row>
    <row r="618" spans="1:10" x14ac:dyDescent="0.2">
      <c r="A618" s="2">
        <v>45092</v>
      </c>
      <c r="B618" s="1">
        <f>VLOOKUP(A618,AAPL!A617:C1872,3)</f>
        <v>183.779</v>
      </c>
      <c r="C618" s="1">
        <f>VLOOKUP(A618,MSFT!A617:C1872,3)</f>
        <v>344.08800000000002</v>
      </c>
      <c r="D618" s="1">
        <f>VLOOKUP(A618,NVDA!A617:C1872,3)</f>
        <v>42.633800000000001</v>
      </c>
      <c r="E618" s="1">
        <f>VLOOKUP(A618,AMD!A617:C1872,3)</f>
        <v>124.24</v>
      </c>
      <c r="F618" s="1">
        <f>VLOOKUP(A618,AMZN!A617:C1872,3)</f>
        <v>127.11</v>
      </c>
      <c r="G618" s="1">
        <f>VLOOKUP(A618,TSLA!A617:C1872,3)</f>
        <v>255.9</v>
      </c>
      <c r="H618" s="1">
        <f>VLOOKUP(A618,GOOGL!A617:C1872,3)</f>
        <v>124.63800000000001</v>
      </c>
      <c r="I618" s="1">
        <f>VLOOKUP(A618,META!A617:C1872,3)</f>
        <v>281.83</v>
      </c>
      <c r="J618" s="1">
        <f>VLOOKUP(A618,Nasdaq!A617:C1872,3)</f>
        <v>13782.82</v>
      </c>
    </row>
    <row r="619" spans="1:10" x14ac:dyDescent="0.2">
      <c r="A619" s="2">
        <v>45093</v>
      </c>
      <c r="B619" s="1">
        <f>VLOOKUP(A619,AAPL!A618:C1873,3)</f>
        <v>182.702</v>
      </c>
      <c r="C619" s="1">
        <f>VLOOKUP(A619,MSFT!A618:C1873,3)</f>
        <v>338.38499999999999</v>
      </c>
      <c r="D619" s="1">
        <f>VLOOKUP(A619,NVDA!A618:C1873,3)</f>
        <v>42.672600000000003</v>
      </c>
      <c r="E619" s="1">
        <f>VLOOKUP(A619,AMD!A618:C1873,3)</f>
        <v>120.08</v>
      </c>
      <c r="F619" s="1">
        <f>VLOOKUP(A619,AMZN!A618:C1873,3)</f>
        <v>125.49</v>
      </c>
      <c r="G619" s="1">
        <f>VLOOKUP(A619,TSLA!A618:C1873,3)</f>
        <v>260.54000000000002</v>
      </c>
      <c r="H619" s="1">
        <f>VLOOKUP(A619,GOOGL!A618:C1873,3)</f>
        <v>123.083</v>
      </c>
      <c r="I619" s="1">
        <f>VLOOKUP(A619,META!A618:C1873,3)</f>
        <v>281</v>
      </c>
      <c r="J619" s="1">
        <f>VLOOKUP(A619,Nasdaq!A618:C1873,3)</f>
        <v>13689.57</v>
      </c>
    </row>
    <row r="620" spans="1:10" x14ac:dyDescent="0.2">
      <c r="A620" s="2">
        <v>45097</v>
      </c>
      <c r="B620" s="1">
        <f>VLOOKUP(A620,AAPL!A619:C1874,3)</f>
        <v>182.791</v>
      </c>
      <c r="C620" s="1">
        <f>VLOOKUP(A620,MSFT!A619:C1874,3)</f>
        <v>334.15499999999997</v>
      </c>
      <c r="D620" s="1">
        <f>VLOOKUP(A620,NVDA!A619:C1874,3)</f>
        <v>43.7881</v>
      </c>
      <c r="E620" s="1">
        <f>VLOOKUP(A620,AMD!A619:C1874,3)</f>
        <v>118.93</v>
      </c>
      <c r="F620" s="1">
        <f>VLOOKUP(A620,AMZN!A619:C1874,3)</f>
        <v>125.78</v>
      </c>
      <c r="G620" s="1">
        <f>VLOOKUP(A620,TSLA!A619:C1874,3)</f>
        <v>274.45</v>
      </c>
      <c r="H620" s="1">
        <f>VLOOKUP(A620,GOOGL!A619:C1874,3)</f>
        <v>122.655</v>
      </c>
      <c r="I620" s="1">
        <f>VLOOKUP(A620,META!A619:C1874,3)</f>
        <v>284.33</v>
      </c>
      <c r="J620" s="1">
        <f>VLOOKUP(A620,Nasdaq!A619:C1874,3)</f>
        <v>13667.29</v>
      </c>
    </row>
    <row r="621" spans="1:10" x14ac:dyDescent="0.2">
      <c r="A621" s="2">
        <v>45098</v>
      </c>
      <c r="B621" s="1">
        <f>VLOOKUP(A621,AAPL!A620:C1875,3)</f>
        <v>181.75299999999999</v>
      </c>
      <c r="C621" s="1">
        <f>VLOOKUP(A621,MSFT!A620:C1875,3)</f>
        <v>329.71600000000001</v>
      </c>
      <c r="D621" s="1">
        <f>VLOOKUP(A621,NVDA!A620:C1875,3)</f>
        <v>43.025500000000001</v>
      </c>
      <c r="E621" s="1">
        <f>VLOOKUP(A621,AMD!A620:C1875,3)</f>
        <v>112.11</v>
      </c>
      <c r="F621" s="1">
        <f>VLOOKUP(A621,AMZN!A620:C1875,3)</f>
        <v>124.83</v>
      </c>
      <c r="G621" s="1">
        <f>VLOOKUP(A621,TSLA!A620:C1875,3)</f>
        <v>259.45999999999998</v>
      </c>
      <c r="H621" s="1">
        <f>VLOOKUP(A621,GOOGL!A620:C1875,3)</f>
        <v>120.114</v>
      </c>
      <c r="I621" s="1">
        <f>VLOOKUP(A621,META!A620:C1875,3)</f>
        <v>281.64</v>
      </c>
      <c r="J621" s="1">
        <f>VLOOKUP(A621,Nasdaq!A620:C1875,3)</f>
        <v>13502.2</v>
      </c>
    </row>
    <row r="622" spans="1:10" x14ac:dyDescent="0.2">
      <c r="A622" s="2">
        <v>45099</v>
      </c>
      <c r="B622" s="1">
        <f>VLOOKUP(A622,AAPL!A621:C1876,3)</f>
        <v>184.75700000000001</v>
      </c>
      <c r="C622" s="1">
        <f>VLOOKUP(A622,MSFT!A621:C1876,3)</f>
        <v>335.79500000000002</v>
      </c>
      <c r="D622" s="1">
        <f>VLOOKUP(A622,NVDA!A621:C1876,3)</f>
        <v>43.005499999999998</v>
      </c>
      <c r="E622" s="1">
        <f>VLOOKUP(A622,AMD!A621:C1876,3)</f>
        <v>110.7</v>
      </c>
      <c r="F622" s="1">
        <f>VLOOKUP(A622,AMZN!A621:C1876,3)</f>
        <v>130.15</v>
      </c>
      <c r="G622" s="1">
        <f>VLOOKUP(A622,TSLA!A621:C1876,3)</f>
        <v>264.61</v>
      </c>
      <c r="H622" s="1">
        <f>VLOOKUP(A622,GOOGL!A621:C1876,3)</f>
        <v>122.705</v>
      </c>
      <c r="I622" s="1">
        <f>VLOOKUP(A622,META!A621:C1876,3)</f>
        <v>284.88</v>
      </c>
      <c r="J622" s="1">
        <f>VLOOKUP(A622,Nasdaq!A621:C1876,3)</f>
        <v>13630.61</v>
      </c>
    </row>
    <row r="623" spans="1:10" x14ac:dyDescent="0.2">
      <c r="A623" s="2">
        <v>45100</v>
      </c>
      <c r="B623" s="1">
        <f>VLOOKUP(A623,AAPL!A622:C1877,3)</f>
        <v>184.441</v>
      </c>
      <c r="C623" s="1">
        <f>VLOOKUP(A623,MSFT!A622:C1877,3)</f>
        <v>331.15800000000002</v>
      </c>
      <c r="D623" s="1">
        <f>VLOOKUP(A623,NVDA!A622:C1877,3)</f>
        <v>42.189799999999998</v>
      </c>
      <c r="E623" s="1">
        <f>VLOOKUP(A623,AMD!A622:C1877,3)</f>
        <v>110.01</v>
      </c>
      <c r="F623" s="1">
        <f>VLOOKUP(A623,AMZN!A622:C1877,3)</f>
        <v>129.33000000000001</v>
      </c>
      <c r="G623" s="1">
        <f>VLOOKUP(A623,TSLA!A622:C1877,3)</f>
        <v>256.60000000000002</v>
      </c>
      <c r="H623" s="1">
        <f>VLOOKUP(A623,GOOGL!A622:C1877,3)</f>
        <v>121.898</v>
      </c>
      <c r="I623" s="1">
        <f>VLOOKUP(A623,META!A622:C1877,3)</f>
        <v>288.73</v>
      </c>
      <c r="J623" s="1">
        <f>VLOOKUP(A623,Nasdaq!A622:C1877,3)</f>
        <v>13492.52</v>
      </c>
    </row>
    <row r="624" spans="1:10" x14ac:dyDescent="0.2">
      <c r="A624" s="2">
        <v>45103</v>
      </c>
      <c r="B624" s="1">
        <f>VLOOKUP(A624,AAPL!A623:C1878,3)</f>
        <v>183.04900000000001</v>
      </c>
      <c r="C624" s="1">
        <f>VLOOKUP(A624,MSFT!A623:C1878,3)</f>
        <v>324.81299999999999</v>
      </c>
      <c r="D624" s="1">
        <f>VLOOKUP(A624,NVDA!A623:C1878,3)</f>
        <v>40.613599999999998</v>
      </c>
      <c r="E624" s="1">
        <f>VLOOKUP(A624,AMD!A623:C1878,3)</f>
        <v>107.51</v>
      </c>
      <c r="F624" s="1">
        <f>VLOOKUP(A624,AMZN!A623:C1878,3)</f>
        <v>127.33</v>
      </c>
      <c r="G624" s="1">
        <f>VLOOKUP(A624,TSLA!A623:C1878,3)</f>
        <v>241.05</v>
      </c>
      <c r="H624" s="1">
        <f>VLOOKUP(A624,GOOGL!A623:C1878,3)</f>
        <v>117.91200000000001</v>
      </c>
      <c r="I624" s="1">
        <f>VLOOKUP(A624,META!A623:C1878,3)</f>
        <v>278.47000000000003</v>
      </c>
      <c r="J624" s="1">
        <f>VLOOKUP(A624,Nasdaq!A623:C1878,3)</f>
        <v>13335.78</v>
      </c>
    </row>
    <row r="625" spans="1:10" x14ac:dyDescent="0.2">
      <c r="A625" s="2">
        <v>45104</v>
      </c>
      <c r="B625" s="1">
        <f>VLOOKUP(A625,AAPL!A624:C1879,3)</f>
        <v>185.80500000000001</v>
      </c>
      <c r="C625" s="1">
        <f>VLOOKUP(A625,MSFT!A624:C1879,3)</f>
        <v>330.714</v>
      </c>
      <c r="D625" s="1">
        <f>VLOOKUP(A625,NVDA!A624:C1879,3)</f>
        <v>41.856900000000003</v>
      </c>
      <c r="E625" s="1">
        <f>VLOOKUP(A625,AMD!A624:C1879,3)</f>
        <v>110.39</v>
      </c>
      <c r="F625" s="1">
        <f>VLOOKUP(A625,AMZN!A624:C1879,3)</f>
        <v>129.18</v>
      </c>
      <c r="G625" s="1">
        <f>VLOOKUP(A625,TSLA!A624:C1879,3)</f>
        <v>250.21</v>
      </c>
      <c r="H625" s="1">
        <f>VLOOKUP(A625,GOOGL!A624:C1879,3)</f>
        <v>117.902</v>
      </c>
      <c r="I625" s="1">
        <f>VLOOKUP(A625,META!A624:C1879,3)</f>
        <v>287.05</v>
      </c>
      <c r="J625" s="1">
        <f>VLOOKUP(A625,Nasdaq!A624:C1879,3)</f>
        <v>13555.67</v>
      </c>
    </row>
    <row r="626" spans="1:10" x14ac:dyDescent="0.2">
      <c r="A626" s="2">
        <v>45105</v>
      </c>
      <c r="B626" s="1">
        <f>VLOOKUP(A626,AAPL!A625:C1880,3)</f>
        <v>186.98</v>
      </c>
      <c r="C626" s="1">
        <f>VLOOKUP(A626,MSFT!A625:C1880,3)</f>
        <v>331.97800000000001</v>
      </c>
      <c r="D626" s="1">
        <f>VLOOKUP(A626,NVDA!A625:C1880,3)</f>
        <v>41.098399999999998</v>
      </c>
      <c r="E626" s="1">
        <f>VLOOKUP(A626,AMD!A625:C1880,3)</f>
        <v>110.17</v>
      </c>
      <c r="F626" s="1">
        <f>VLOOKUP(A626,AMZN!A625:C1880,3)</f>
        <v>129.04</v>
      </c>
      <c r="G626" s="1">
        <f>VLOOKUP(A626,TSLA!A625:C1880,3)</f>
        <v>256.24</v>
      </c>
      <c r="H626" s="1">
        <f>VLOOKUP(A626,GOOGL!A625:C1880,3)</f>
        <v>119.746</v>
      </c>
      <c r="I626" s="1">
        <f>VLOOKUP(A626,META!A625:C1880,3)</f>
        <v>285.29000000000002</v>
      </c>
      <c r="J626" s="1">
        <f>VLOOKUP(A626,Nasdaq!A625:C1880,3)</f>
        <v>13591.75</v>
      </c>
    </row>
    <row r="627" spans="1:10" x14ac:dyDescent="0.2">
      <c r="A627" s="2">
        <v>45106</v>
      </c>
      <c r="B627" s="1">
        <f>VLOOKUP(A627,AAPL!A626:C1881,3)</f>
        <v>187.315</v>
      </c>
      <c r="C627" s="1">
        <f>VLOOKUP(A627,MSFT!A626:C1881,3)</f>
        <v>331.18799999999999</v>
      </c>
      <c r="D627" s="1">
        <f>VLOOKUP(A627,NVDA!A626:C1881,3)</f>
        <v>40.803400000000003</v>
      </c>
      <c r="E627" s="1">
        <f>VLOOKUP(A627,AMD!A626:C1881,3)</f>
        <v>111.24</v>
      </c>
      <c r="F627" s="1">
        <f>VLOOKUP(A627,AMZN!A626:C1881,3)</f>
        <v>127.9</v>
      </c>
      <c r="G627" s="1">
        <f>VLOOKUP(A627,TSLA!A626:C1881,3)</f>
        <v>257.5</v>
      </c>
      <c r="H627" s="1">
        <f>VLOOKUP(A627,GOOGL!A626:C1881,3)</f>
        <v>118.669</v>
      </c>
      <c r="I627" s="1">
        <f>VLOOKUP(A627,META!A626:C1881,3)</f>
        <v>281.52999999999997</v>
      </c>
      <c r="J627" s="1">
        <f>VLOOKUP(A627,Nasdaq!A626:C1881,3)</f>
        <v>13591.33</v>
      </c>
    </row>
    <row r="628" spans="1:10" x14ac:dyDescent="0.2">
      <c r="A628" s="2">
        <v>45107</v>
      </c>
      <c r="B628" s="1">
        <f>VLOOKUP(A628,AAPL!A627:C1882,3)</f>
        <v>191.642</v>
      </c>
      <c r="C628" s="1">
        <f>VLOOKUP(A628,MSFT!A627:C1882,3)</f>
        <v>336.61599999999999</v>
      </c>
      <c r="D628" s="1">
        <f>VLOOKUP(A628,NVDA!A627:C1882,3)</f>
        <v>42.282800000000002</v>
      </c>
      <c r="E628" s="1">
        <f>VLOOKUP(A628,AMD!A627:C1882,3)</f>
        <v>113.91</v>
      </c>
      <c r="F628" s="1">
        <f>VLOOKUP(A628,AMZN!A627:C1882,3)</f>
        <v>130.36000000000001</v>
      </c>
      <c r="G628" s="1">
        <f>VLOOKUP(A628,TSLA!A627:C1882,3)</f>
        <v>261.77</v>
      </c>
      <c r="H628" s="1">
        <f>VLOOKUP(A628,GOOGL!A627:C1882,3)</f>
        <v>119.268</v>
      </c>
      <c r="I628" s="1">
        <f>VLOOKUP(A628,META!A627:C1882,3)</f>
        <v>286.98</v>
      </c>
      <c r="J628" s="1">
        <f>VLOOKUP(A628,Nasdaq!A627:C1882,3)</f>
        <v>13787.92</v>
      </c>
    </row>
    <row r="629" spans="1:10" x14ac:dyDescent="0.2">
      <c r="A629" s="2">
        <v>45110</v>
      </c>
      <c r="B629" s="1">
        <f>VLOOKUP(A629,AAPL!A628:C1883,3)</f>
        <v>190.15100000000001</v>
      </c>
      <c r="C629" s="1">
        <f>VLOOKUP(A629,MSFT!A628:C1883,3)</f>
        <v>334.09500000000003</v>
      </c>
      <c r="D629" s="1">
        <f>VLOOKUP(A629,NVDA!A628:C1883,3)</f>
        <v>42.393799999999999</v>
      </c>
      <c r="E629" s="1">
        <f>VLOOKUP(A629,AMD!A628:C1883,3)</f>
        <v>115.82</v>
      </c>
      <c r="F629" s="1">
        <f>VLOOKUP(A629,AMZN!A628:C1883,3)</f>
        <v>130.22</v>
      </c>
      <c r="G629" s="1">
        <f>VLOOKUP(A629,TSLA!A628:C1883,3)</f>
        <v>279.82</v>
      </c>
      <c r="H629" s="1">
        <f>VLOOKUP(A629,GOOGL!A628:C1883,3)</f>
        <v>119.467</v>
      </c>
      <c r="I629" s="1">
        <f>VLOOKUP(A629,META!A628:C1883,3)</f>
        <v>286.02</v>
      </c>
      <c r="J629" s="1">
        <f>VLOOKUP(A629,Nasdaq!A628:C1883,3)</f>
        <v>13816.77</v>
      </c>
    </row>
    <row r="630" spans="1:10" x14ac:dyDescent="0.2">
      <c r="A630" s="2">
        <v>45112</v>
      </c>
      <c r="B630" s="1">
        <f>VLOOKUP(A630,AAPL!A629:C1884,3)</f>
        <v>189.036</v>
      </c>
      <c r="C630" s="1">
        <f>VLOOKUP(A630,MSFT!A629:C1884,3)</f>
        <v>334.25299999999999</v>
      </c>
      <c r="D630" s="1">
        <f>VLOOKUP(A630,NVDA!A629:C1884,3)</f>
        <v>42.297800000000002</v>
      </c>
      <c r="E630" s="1">
        <f>VLOOKUP(A630,AMD!A629:C1884,3)</f>
        <v>113.95</v>
      </c>
      <c r="F630" s="1">
        <f>VLOOKUP(A630,AMZN!A629:C1884,3)</f>
        <v>130.38</v>
      </c>
      <c r="G630" s="1">
        <f>VLOOKUP(A630,TSLA!A629:C1884,3)</f>
        <v>282.48</v>
      </c>
      <c r="H630" s="1">
        <f>VLOOKUP(A630,GOOGL!A629:C1884,3)</f>
        <v>121.31</v>
      </c>
      <c r="I630" s="1">
        <f>VLOOKUP(A630,META!A629:C1884,3)</f>
        <v>294.37</v>
      </c>
      <c r="J630" s="1">
        <f>VLOOKUP(A630,Nasdaq!A629:C1884,3)</f>
        <v>13791.65</v>
      </c>
    </row>
    <row r="631" spans="1:10" x14ac:dyDescent="0.2">
      <c r="A631" s="2">
        <v>45113</v>
      </c>
      <c r="B631" s="1">
        <f>VLOOKUP(A631,AAPL!A630:C1885,3)</f>
        <v>189.50899999999999</v>
      </c>
      <c r="C631" s="1">
        <f>VLOOKUP(A631,MSFT!A630:C1885,3)</f>
        <v>337.33699999999999</v>
      </c>
      <c r="D631" s="1">
        <f>VLOOKUP(A631,NVDA!A630:C1885,3)</f>
        <v>42.083799999999997</v>
      </c>
      <c r="E631" s="1">
        <f>VLOOKUP(A631,AMD!A630:C1885,3)</f>
        <v>113.48</v>
      </c>
      <c r="F631" s="1">
        <f>VLOOKUP(A631,AMZN!A630:C1885,3)</f>
        <v>128.36000000000001</v>
      </c>
      <c r="G631" s="1">
        <f>VLOOKUP(A631,TSLA!A630:C1885,3)</f>
        <v>276.54000000000002</v>
      </c>
      <c r="H631" s="1">
        <f>VLOOKUP(A631,GOOGL!A630:C1885,3)</f>
        <v>119.676</v>
      </c>
      <c r="I631" s="1">
        <f>VLOOKUP(A631,META!A630:C1885,3)</f>
        <v>291.99</v>
      </c>
      <c r="J631" s="1">
        <f>VLOOKUP(A631,Nasdaq!A630:C1885,3)</f>
        <v>13679.04</v>
      </c>
    </row>
    <row r="632" spans="1:10" x14ac:dyDescent="0.2">
      <c r="A632" s="2">
        <v>45114</v>
      </c>
      <c r="B632" s="1">
        <f>VLOOKUP(A632,AAPL!A631:C1886,3)</f>
        <v>188.393</v>
      </c>
      <c r="C632" s="1">
        <f>VLOOKUP(A632,MSFT!A631:C1886,3)</f>
        <v>333.33300000000003</v>
      </c>
      <c r="D632" s="1">
        <f>VLOOKUP(A632,NVDA!A631:C1886,3)</f>
        <v>42.483800000000002</v>
      </c>
      <c r="E632" s="1">
        <f>VLOOKUP(A632,AMD!A631:C1886,3)</f>
        <v>113.17</v>
      </c>
      <c r="F632" s="1">
        <f>VLOOKUP(A632,AMZN!A631:C1886,3)</f>
        <v>129.78</v>
      </c>
      <c r="G632" s="1">
        <f>VLOOKUP(A632,TSLA!A631:C1886,3)</f>
        <v>274.43</v>
      </c>
      <c r="H632" s="1">
        <f>VLOOKUP(A632,GOOGL!A631:C1886,3)</f>
        <v>119.04900000000001</v>
      </c>
      <c r="I632" s="1">
        <f>VLOOKUP(A632,META!A631:C1886,3)</f>
        <v>290.52999999999997</v>
      </c>
      <c r="J632" s="1">
        <f>VLOOKUP(A632,Nasdaq!A631:C1886,3)</f>
        <v>13660.72</v>
      </c>
    </row>
    <row r="633" spans="1:10" x14ac:dyDescent="0.2">
      <c r="A633" s="2">
        <v>45117</v>
      </c>
      <c r="B633" s="1">
        <f>VLOOKUP(A633,AAPL!A632:C1887,3)</f>
        <v>186.34700000000001</v>
      </c>
      <c r="C633" s="1">
        <f>VLOOKUP(A633,MSFT!A632:C1887,3)</f>
        <v>328.005</v>
      </c>
      <c r="D633" s="1">
        <f>VLOOKUP(A633,NVDA!A632:C1887,3)</f>
        <v>42.160800000000002</v>
      </c>
      <c r="E633" s="1">
        <f>VLOOKUP(A633,AMD!A632:C1887,3)</f>
        <v>113.58</v>
      </c>
      <c r="F633" s="1">
        <f>VLOOKUP(A633,AMZN!A632:C1887,3)</f>
        <v>127.13</v>
      </c>
      <c r="G633" s="1">
        <f>VLOOKUP(A633,TSLA!A632:C1887,3)</f>
        <v>269.61</v>
      </c>
      <c r="H633" s="1">
        <f>VLOOKUP(A633,GOOGL!A632:C1887,3)</f>
        <v>116.03</v>
      </c>
      <c r="I633" s="1">
        <f>VLOOKUP(A633,META!A632:C1887,3)</f>
        <v>294.10000000000002</v>
      </c>
      <c r="J633" s="1">
        <f>VLOOKUP(A633,Nasdaq!A632:C1887,3)</f>
        <v>13685.48</v>
      </c>
    </row>
    <row r="634" spans="1:10" x14ac:dyDescent="0.2">
      <c r="A634" s="2">
        <v>45118</v>
      </c>
      <c r="B634" s="1">
        <f>VLOOKUP(A634,AAPL!A633:C1888,3)</f>
        <v>185.82499999999999</v>
      </c>
      <c r="C634" s="1">
        <f>VLOOKUP(A634,MSFT!A633:C1888,3)</f>
        <v>328.63799999999998</v>
      </c>
      <c r="D634" s="1">
        <f>VLOOKUP(A634,NVDA!A633:C1888,3)</f>
        <v>42.385800000000003</v>
      </c>
      <c r="E634" s="1">
        <f>VLOOKUP(A634,AMD!A633:C1888,3)</f>
        <v>111.32</v>
      </c>
      <c r="F634" s="1">
        <f>VLOOKUP(A634,AMZN!A633:C1888,3)</f>
        <v>128.78</v>
      </c>
      <c r="G634" s="1">
        <f>VLOOKUP(A634,TSLA!A633:C1888,3)</f>
        <v>269.79000000000002</v>
      </c>
      <c r="H634" s="1">
        <f>VLOOKUP(A634,GOOGL!A633:C1888,3)</f>
        <v>116.717</v>
      </c>
      <c r="I634" s="1">
        <f>VLOOKUP(A634,META!A633:C1888,3)</f>
        <v>298.29000000000002</v>
      </c>
      <c r="J634" s="1">
        <f>VLOOKUP(A634,Nasdaq!A633:C1888,3)</f>
        <v>13760.7</v>
      </c>
    </row>
    <row r="635" spans="1:10" x14ac:dyDescent="0.2">
      <c r="A635" s="2">
        <v>45119</v>
      </c>
      <c r="B635" s="1">
        <f>VLOOKUP(A635,AAPL!A634:C1889,3)</f>
        <v>187.495</v>
      </c>
      <c r="C635" s="1">
        <f>VLOOKUP(A635,MSFT!A634:C1889,3)</f>
        <v>333.31400000000002</v>
      </c>
      <c r="D635" s="1">
        <f>VLOOKUP(A635,NVDA!A634:C1889,3)</f>
        <v>43.881999999999998</v>
      </c>
      <c r="E635" s="1">
        <f>VLOOKUP(A635,AMD!A634:C1889,3)</f>
        <v>114.58</v>
      </c>
      <c r="F635" s="1">
        <f>VLOOKUP(A635,AMZN!A634:C1889,3)</f>
        <v>130.80000000000001</v>
      </c>
      <c r="G635" s="1">
        <f>VLOOKUP(A635,TSLA!A634:C1889,3)</f>
        <v>271.99</v>
      </c>
      <c r="H635" s="1">
        <f>VLOOKUP(A635,GOOGL!A634:C1889,3)</f>
        <v>118.501</v>
      </c>
      <c r="I635" s="1">
        <f>VLOOKUP(A635,META!A634:C1889,3)</f>
        <v>309.33999999999997</v>
      </c>
      <c r="J635" s="1">
        <f>VLOOKUP(A635,Nasdaq!A634:C1889,3)</f>
        <v>13918.96</v>
      </c>
    </row>
    <row r="636" spans="1:10" x14ac:dyDescent="0.2">
      <c r="A636" s="2">
        <v>45120</v>
      </c>
      <c r="B636" s="1">
        <f>VLOOKUP(A636,AAPL!A635:C1890,3)</f>
        <v>188.256</v>
      </c>
      <c r="C636" s="1">
        <f>VLOOKUP(A636,MSFT!A635:C1890,3)</f>
        <v>338.71</v>
      </c>
      <c r="D636" s="1">
        <f>VLOOKUP(A636,NVDA!A635:C1890,3)</f>
        <v>45.956099999999999</v>
      </c>
      <c r="E636" s="1">
        <f>VLOOKUP(A636,AMD!A635:C1890,3)</f>
        <v>115.92</v>
      </c>
      <c r="F636" s="1">
        <f>VLOOKUP(A636,AMZN!A635:C1890,3)</f>
        <v>134.30000000000001</v>
      </c>
      <c r="G636" s="1">
        <f>VLOOKUP(A636,TSLA!A635:C1890,3)</f>
        <v>277.89999999999998</v>
      </c>
      <c r="H636" s="1">
        <f>VLOOKUP(A636,GOOGL!A635:C1890,3)</f>
        <v>124.09</v>
      </c>
      <c r="I636" s="1">
        <f>VLOOKUP(A636,META!A635:C1890,3)</f>
        <v>313.41000000000003</v>
      </c>
      <c r="J636" s="1">
        <f>VLOOKUP(A636,Nasdaq!A635:C1890,3)</f>
        <v>14138.57</v>
      </c>
    </row>
    <row r="637" spans="1:10" x14ac:dyDescent="0.2">
      <c r="A637" s="2">
        <v>45121</v>
      </c>
      <c r="B637" s="1">
        <f>VLOOKUP(A637,AAPL!A636:C1891,3)</f>
        <v>188.40299999999999</v>
      </c>
      <c r="C637" s="1">
        <f>VLOOKUP(A637,MSFT!A636:C1891,3)</f>
        <v>341.26100000000002</v>
      </c>
      <c r="D637" s="1">
        <f>VLOOKUP(A637,NVDA!A636:C1891,3)</f>
        <v>45.448500000000003</v>
      </c>
      <c r="E637" s="1">
        <f>VLOOKUP(A637,AMD!A636:C1891,3)</f>
        <v>115.94</v>
      </c>
      <c r="F637" s="1">
        <f>VLOOKUP(A637,AMZN!A636:C1891,3)</f>
        <v>134.68</v>
      </c>
      <c r="G637" s="1">
        <f>VLOOKUP(A637,TSLA!A636:C1891,3)</f>
        <v>281.38</v>
      </c>
      <c r="H637" s="1">
        <f>VLOOKUP(A637,GOOGL!A636:C1891,3)</f>
        <v>124.967</v>
      </c>
      <c r="I637" s="1">
        <f>VLOOKUP(A637,META!A636:C1891,3)</f>
        <v>308.87</v>
      </c>
      <c r="J637" s="1">
        <f>VLOOKUP(A637,Nasdaq!A636:C1891,3)</f>
        <v>14113.7</v>
      </c>
    </row>
    <row r="638" spans="1:10" x14ac:dyDescent="0.2">
      <c r="A638" s="2">
        <v>45124</v>
      </c>
      <c r="B638" s="1">
        <f>VLOOKUP(A638,AAPL!A637:C1892,3)</f>
        <v>191.66200000000001</v>
      </c>
      <c r="C638" s="1">
        <f>VLOOKUP(A638,MSFT!A637:C1892,3)</f>
        <v>341.745</v>
      </c>
      <c r="D638" s="1">
        <f>VLOOKUP(A638,NVDA!A637:C1892,3)</f>
        <v>46.439900000000002</v>
      </c>
      <c r="E638" s="1">
        <f>VLOOKUP(A638,AMD!A637:C1892,3)</f>
        <v>118.32</v>
      </c>
      <c r="F638" s="1">
        <f>VLOOKUP(A638,AMZN!A637:C1892,3)</f>
        <v>133.56</v>
      </c>
      <c r="G638" s="1">
        <f>VLOOKUP(A638,TSLA!A637:C1892,3)</f>
        <v>290.38</v>
      </c>
      <c r="H638" s="1">
        <f>VLOOKUP(A638,GOOGL!A637:C1892,3)</f>
        <v>124.2</v>
      </c>
      <c r="I638" s="1">
        <f>VLOOKUP(A638,META!A637:C1892,3)</f>
        <v>310.62</v>
      </c>
      <c r="J638" s="1">
        <f>VLOOKUP(A638,Nasdaq!A637:C1892,3)</f>
        <v>14244.95</v>
      </c>
    </row>
    <row r="639" spans="1:10" x14ac:dyDescent="0.2">
      <c r="A639" s="2">
        <v>45125</v>
      </c>
      <c r="B639" s="1">
        <f>VLOOKUP(A639,AAPL!A638:C1893,3)</f>
        <v>191.40600000000001</v>
      </c>
      <c r="C639" s="1">
        <f>VLOOKUP(A639,MSFT!A638:C1893,3)</f>
        <v>355.346</v>
      </c>
      <c r="D639" s="1">
        <f>VLOOKUP(A639,NVDA!A638:C1893,3)</f>
        <v>47.4724</v>
      </c>
      <c r="E639" s="1">
        <f>VLOOKUP(A639,AMD!A638:C1893,3)</f>
        <v>117.93</v>
      </c>
      <c r="F639" s="1">
        <f>VLOOKUP(A639,AMZN!A638:C1893,3)</f>
        <v>132.83000000000001</v>
      </c>
      <c r="G639" s="1">
        <f>VLOOKUP(A639,TSLA!A638:C1893,3)</f>
        <v>293.33999999999997</v>
      </c>
      <c r="H639" s="1">
        <f>VLOOKUP(A639,GOOGL!A638:C1893,3)</f>
        <v>123.313</v>
      </c>
      <c r="I639" s="1">
        <f>VLOOKUP(A639,META!A638:C1893,3)</f>
        <v>312.05</v>
      </c>
      <c r="J639" s="1">
        <f>VLOOKUP(A639,Nasdaq!A638:C1893,3)</f>
        <v>14353.64</v>
      </c>
    </row>
    <row r="640" spans="1:10" x14ac:dyDescent="0.2">
      <c r="A640" s="2">
        <v>45126</v>
      </c>
      <c r="B640" s="1">
        <f>VLOOKUP(A640,AAPL!A639:C1894,3)</f>
        <v>192.761</v>
      </c>
      <c r="C640" s="1">
        <f>VLOOKUP(A640,MSFT!A639:C1894,3)</f>
        <v>350.98700000000002</v>
      </c>
      <c r="D640" s="1">
        <f>VLOOKUP(A640,NVDA!A639:C1894,3)</f>
        <v>47.055700000000002</v>
      </c>
      <c r="E640" s="1">
        <f>VLOOKUP(A640,AMD!A639:C1894,3)</f>
        <v>116.43</v>
      </c>
      <c r="F640" s="1">
        <f>VLOOKUP(A640,AMZN!A639:C1894,3)</f>
        <v>135.36000000000001</v>
      </c>
      <c r="G640" s="1">
        <f>VLOOKUP(A640,TSLA!A639:C1894,3)</f>
        <v>291.26</v>
      </c>
      <c r="H640" s="1">
        <f>VLOOKUP(A640,GOOGL!A639:C1894,3)</f>
        <v>121.589</v>
      </c>
      <c r="I640" s="1">
        <f>VLOOKUP(A640,META!A639:C1894,3)</f>
        <v>316.01</v>
      </c>
      <c r="J640" s="1">
        <f>VLOOKUP(A640,Nasdaq!A639:C1894,3)</f>
        <v>14358.02</v>
      </c>
    </row>
    <row r="641" spans="1:10" x14ac:dyDescent="0.2">
      <c r="A641" s="2">
        <v>45127</v>
      </c>
      <c r="B641" s="1">
        <f>VLOOKUP(A641,AAPL!A640:C1895,3)</f>
        <v>190.81299999999999</v>
      </c>
      <c r="C641" s="1">
        <f>VLOOKUP(A641,MSFT!A640:C1895,3)</f>
        <v>342.87200000000001</v>
      </c>
      <c r="D641" s="1">
        <f>VLOOKUP(A641,NVDA!A640:C1895,3)</f>
        <v>45.499400000000001</v>
      </c>
      <c r="E641" s="1">
        <f>VLOOKUP(A641,AMD!A640:C1895,3)</f>
        <v>110.25</v>
      </c>
      <c r="F641" s="1">
        <f>VLOOKUP(A641,AMZN!A640:C1895,3)</f>
        <v>129.96</v>
      </c>
      <c r="G641" s="1">
        <f>VLOOKUP(A641,TSLA!A640:C1895,3)</f>
        <v>262.89999999999998</v>
      </c>
      <c r="H641" s="1">
        <f>VLOOKUP(A641,GOOGL!A640:C1895,3)</f>
        <v>118.76900000000001</v>
      </c>
      <c r="I641" s="1">
        <f>VLOOKUP(A641,META!A640:C1895,3)</f>
        <v>302.52</v>
      </c>
      <c r="J641" s="1">
        <f>VLOOKUP(A641,Nasdaq!A640:C1895,3)</f>
        <v>14063.31</v>
      </c>
    </row>
    <row r="642" spans="1:10" x14ac:dyDescent="0.2">
      <c r="A642" s="2">
        <v>45128</v>
      </c>
      <c r="B642" s="1">
        <f>VLOOKUP(A642,AAPL!A641:C1896,3)</f>
        <v>189.63800000000001</v>
      </c>
      <c r="C642" s="1">
        <f>VLOOKUP(A642,MSFT!A641:C1896,3)</f>
        <v>339.80799999999999</v>
      </c>
      <c r="D642" s="1">
        <f>VLOOKUP(A642,NVDA!A641:C1896,3)</f>
        <v>44.288800000000002</v>
      </c>
      <c r="E642" s="1">
        <f>VLOOKUP(A642,AMD!A641:C1896,3)</f>
        <v>110.95</v>
      </c>
      <c r="F642" s="1">
        <f>VLOOKUP(A642,AMZN!A641:C1896,3)</f>
        <v>130</v>
      </c>
      <c r="G642" s="1">
        <f>VLOOKUP(A642,TSLA!A641:C1896,3)</f>
        <v>260.02</v>
      </c>
      <c r="H642" s="1">
        <f>VLOOKUP(A642,GOOGL!A641:C1896,3)</f>
        <v>119.586</v>
      </c>
      <c r="I642" s="1">
        <f>VLOOKUP(A642,META!A641:C1896,3)</f>
        <v>294.26</v>
      </c>
      <c r="J642" s="1">
        <f>VLOOKUP(A642,Nasdaq!A641:C1896,3)</f>
        <v>14032.81</v>
      </c>
    </row>
    <row r="643" spans="1:10" x14ac:dyDescent="0.2">
      <c r="A643" s="2">
        <v>45131</v>
      </c>
      <c r="B643" s="1">
        <f>VLOOKUP(A643,AAPL!A642:C1897,3)</f>
        <v>190.43899999999999</v>
      </c>
      <c r="C643" s="1">
        <f>VLOOKUP(A643,MSFT!A642:C1897,3)</f>
        <v>341.13200000000001</v>
      </c>
      <c r="D643" s="1">
        <f>VLOOKUP(A643,NVDA!A642:C1897,3)</f>
        <v>44.591700000000003</v>
      </c>
      <c r="E643" s="1">
        <f>VLOOKUP(A643,AMD!A642:C1897,3)</f>
        <v>110.61</v>
      </c>
      <c r="F643" s="1">
        <f>VLOOKUP(A643,AMZN!A642:C1897,3)</f>
        <v>128.80000000000001</v>
      </c>
      <c r="G643" s="1">
        <f>VLOOKUP(A643,TSLA!A642:C1897,3)</f>
        <v>269.06</v>
      </c>
      <c r="H643" s="1">
        <f>VLOOKUP(A643,GOOGL!A642:C1897,3)</f>
        <v>121.09099999999999</v>
      </c>
      <c r="I643" s="1">
        <f>VLOOKUP(A643,META!A642:C1897,3)</f>
        <v>291.61</v>
      </c>
      <c r="J643" s="1">
        <f>VLOOKUP(A643,Nasdaq!A642:C1897,3)</f>
        <v>14058.87</v>
      </c>
    </row>
    <row r="644" spans="1:10" x14ac:dyDescent="0.2">
      <c r="A644" s="2">
        <v>45132</v>
      </c>
      <c r="B644" s="1">
        <f>VLOOKUP(A644,AAPL!A643:C1898,3)</f>
        <v>191.3</v>
      </c>
      <c r="C644" s="1">
        <f>VLOOKUP(A644,MSFT!A643:C1898,3)</f>
        <v>346.935</v>
      </c>
      <c r="D644" s="1">
        <f>VLOOKUP(A644,NVDA!A643:C1898,3)</f>
        <v>45.6584</v>
      </c>
      <c r="E644" s="1">
        <f>VLOOKUP(A644,AMD!A643:C1898,3)</f>
        <v>113</v>
      </c>
      <c r="F644" s="1">
        <f>VLOOKUP(A644,AMZN!A643:C1898,3)</f>
        <v>129.13</v>
      </c>
      <c r="G644" s="1">
        <f>VLOOKUP(A644,TSLA!A643:C1898,3)</f>
        <v>265.27999999999997</v>
      </c>
      <c r="H644" s="1">
        <f>VLOOKUP(A644,GOOGL!A643:C1898,3)</f>
        <v>121.768</v>
      </c>
      <c r="I644" s="1">
        <f>VLOOKUP(A644,META!A643:C1898,3)</f>
        <v>294.47000000000003</v>
      </c>
      <c r="J644" s="1">
        <f>VLOOKUP(A644,Nasdaq!A643:C1898,3)</f>
        <v>14144.56</v>
      </c>
    </row>
    <row r="645" spans="1:10" x14ac:dyDescent="0.2">
      <c r="A645" s="2">
        <v>45133</v>
      </c>
      <c r="B645" s="1">
        <f>VLOOKUP(A645,AAPL!A644:C1899,3)</f>
        <v>192.16800000000001</v>
      </c>
      <c r="C645" s="1">
        <f>VLOOKUP(A645,MSFT!A644:C1899,3)</f>
        <v>333.87599999999998</v>
      </c>
      <c r="D645" s="1">
        <f>VLOOKUP(A645,NVDA!A644:C1899,3)</f>
        <v>45.4315</v>
      </c>
      <c r="E645" s="1">
        <f>VLOOKUP(A645,AMD!A644:C1899,3)</f>
        <v>110.09</v>
      </c>
      <c r="F645" s="1">
        <f>VLOOKUP(A645,AMZN!A644:C1899,3)</f>
        <v>128.15</v>
      </c>
      <c r="G645" s="1">
        <f>VLOOKUP(A645,TSLA!A644:C1899,3)</f>
        <v>264.35000000000002</v>
      </c>
      <c r="H645" s="1">
        <f>VLOOKUP(A645,GOOGL!A644:C1899,3)</f>
        <v>128.803</v>
      </c>
      <c r="I645" s="1">
        <f>VLOOKUP(A645,META!A644:C1899,3)</f>
        <v>298.57</v>
      </c>
      <c r="J645" s="1">
        <f>VLOOKUP(A645,Nasdaq!A644:C1899,3)</f>
        <v>14127.28</v>
      </c>
    </row>
    <row r="646" spans="1:10" x14ac:dyDescent="0.2">
      <c r="A646" s="2">
        <v>45134</v>
      </c>
      <c r="B646" s="1">
        <f>VLOOKUP(A646,AAPL!A645:C1900,3)</f>
        <v>190.90100000000001</v>
      </c>
      <c r="C646" s="1">
        <f>VLOOKUP(A646,MSFT!A645:C1900,3)</f>
        <v>326.90899999999999</v>
      </c>
      <c r="D646" s="1">
        <f>VLOOKUP(A646,NVDA!A645:C1900,3)</f>
        <v>45.879100000000001</v>
      </c>
      <c r="E646" s="1">
        <f>VLOOKUP(A646,AMD!A645:C1900,3)</f>
        <v>111.1</v>
      </c>
      <c r="F646" s="1">
        <f>VLOOKUP(A646,AMZN!A645:C1900,3)</f>
        <v>128.25</v>
      </c>
      <c r="G646" s="1">
        <f>VLOOKUP(A646,TSLA!A645:C1900,3)</f>
        <v>255.71</v>
      </c>
      <c r="H646" s="1">
        <f>VLOOKUP(A646,GOOGL!A645:C1900,3)</f>
        <v>128.93299999999999</v>
      </c>
      <c r="I646" s="1">
        <f>VLOOKUP(A646,META!A645:C1900,3)</f>
        <v>311.70999999999998</v>
      </c>
      <c r="J646" s="1">
        <f>VLOOKUP(A646,Nasdaq!A645:C1900,3)</f>
        <v>14050.11</v>
      </c>
    </row>
    <row r="647" spans="1:10" x14ac:dyDescent="0.2">
      <c r="A647" s="2">
        <v>45135</v>
      </c>
      <c r="B647" s="1">
        <f>VLOOKUP(A647,AAPL!A646:C1901,3)</f>
        <v>193.482</v>
      </c>
      <c r="C647" s="1">
        <f>VLOOKUP(A647,MSFT!A646:C1901,3)</f>
        <v>334.47</v>
      </c>
      <c r="D647" s="1">
        <f>VLOOKUP(A647,NVDA!A646:C1901,3)</f>
        <v>46.7288</v>
      </c>
      <c r="E647" s="1">
        <f>VLOOKUP(A647,AMD!A646:C1901,3)</f>
        <v>112.96</v>
      </c>
      <c r="F647" s="1">
        <f>VLOOKUP(A647,AMZN!A646:C1901,3)</f>
        <v>132.21</v>
      </c>
      <c r="G647" s="1">
        <f>VLOOKUP(A647,TSLA!A646:C1901,3)</f>
        <v>266.44</v>
      </c>
      <c r="H647" s="1">
        <f>VLOOKUP(A647,GOOGL!A646:C1901,3)</f>
        <v>132.102</v>
      </c>
      <c r="I647" s="1">
        <f>VLOOKUP(A647,META!A646:C1901,3)</f>
        <v>325.48</v>
      </c>
      <c r="J647" s="1">
        <f>VLOOKUP(A647,Nasdaq!A646:C1901,3)</f>
        <v>14316.66</v>
      </c>
    </row>
    <row r="648" spans="1:10" x14ac:dyDescent="0.2">
      <c r="A648" s="2">
        <v>45138</v>
      </c>
      <c r="B648" s="1">
        <f>VLOOKUP(A648,AAPL!A647:C1902,3)</f>
        <v>194.09399999999999</v>
      </c>
      <c r="C648" s="1">
        <f>VLOOKUP(A648,MSFT!A647:C1902,3)</f>
        <v>332.048</v>
      </c>
      <c r="D648" s="1">
        <f>VLOOKUP(A648,NVDA!A647:C1902,3)</f>
        <v>46.707799999999999</v>
      </c>
      <c r="E648" s="1">
        <f>VLOOKUP(A648,AMD!A647:C1902,3)</f>
        <v>114.4</v>
      </c>
      <c r="F648" s="1">
        <f>VLOOKUP(A648,AMZN!A647:C1902,3)</f>
        <v>133.68</v>
      </c>
      <c r="G648" s="1">
        <f>VLOOKUP(A648,TSLA!A647:C1902,3)</f>
        <v>267.43</v>
      </c>
      <c r="H648" s="1">
        <f>VLOOKUP(A648,GOOGL!A647:C1902,3)</f>
        <v>132.24</v>
      </c>
      <c r="I648" s="1">
        <f>VLOOKUP(A648,META!A647:C1902,3)</f>
        <v>318.60000000000002</v>
      </c>
      <c r="J648" s="1">
        <f>VLOOKUP(A648,Nasdaq!A647:C1902,3)</f>
        <v>14346.02</v>
      </c>
    </row>
    <row r="649" spans="1:10" x14ac:dyDescent="0.2">
      <c r="A649" s="2">
        <v>45139</v>
      </c>
      <c r="B649" s="1">
        <f>VLOOKUP(A649,AAPL!A648:C1903,3)</f>
        <v>193.25800000000001</v>
      </c>
      <c r="C649" s="1">
        <f>VLOOKUP(A649,MSFT!A648:C1903,3)</f>
        <v>332.464</v>
      </c>
      <c r="D649" s="1">
        <f>VLOOKUP(A649,NVDA!A648:C1903,3)</f>
        <v>46.485900000000001</v>
      </c>
      <c r="E649" s="1">
        <f>VLOOKUP(A649,AMD!A648:C1903,3)</f>
        <v>117.6</v>
      </c>
      <c r="F649" s="1">
        <f>VLOOKUP(A649,AMZN!A648:C1903,3)</f>
        <v>131.69</v>
      </c>
      <c r="G649" s="1">
        <f>VLOOKUP(A649,TSLA!A648:C1903,3)</f>
        <v>261.07</v>
      </c>
      <c r="H649" s="1">
        <f>VLOOKUP(A649,GOOGL!A648:C1903,3)</f>
        <v>131.07499999999999</v>
      </c>
      <c r="I649" s="1">
        <f>VLOOKUP(A649,META!A648:C1903,3)</f>
        <v>322.70999999999998</v>
      </c>
      <c r="J649" s="1">
        <f>VLOOKUP(A649,Nasdaq!A648:C1903,3)</f>
        <v>14283.91</v>
      </c>
    </row>
    <row r="650" spans="1:10" x14ac:dyDescent="0.2">
      <c r="A650" s="2">
        <v>45140</v>
      </c>
      <c r="B650" s="1">
        <f>VLOOKUP(A650,AAPL!A649:C1904,3)</f>
        <v>190.27099999999999</v>
      </c>
      <c r="C650" s="1">
        <f>VLOOKUP(A650,MSFT!A649:C1904,3)</f>
        <v>323.72500000000002</v>
      </c>
      <c r="D650" s="1">
        <f>VLOOKUP(A650,NVDA!A649:C1904,3)</f>
        <v>44.249000000000002</v>
      </c>
      <c r="E650" s="1">
        <f>VLOOKUP(A650,AMD!A649:C1904,3)</f>
        <v>109.35</v>
      </c>
      <c r="F650" s="1">
        <f>VLOOKUP(A650,AMZN!A649:C1904,3)</f>
        <v>128.21</v>
      </c>
      <c r="G650" s="1">
        <f>VLOOKUP(A650,TSLA!A649:C1904,3)</f>
        <v>254.11</v>
      </c>
      <c r="H650" s="1">
        <f>VLOOKUP(A650,GOOGL!A649:C1904,3)</f>
        <v>127.916</v>
      </c>
      <c r="I650" s="1">
        <f>VLOOKUP(A650,META!A649:C1904,3)</f>
        <v>314.31</v>
      </c>
      <c r="J650" s="1">
        <f>VLOOKUP(A650,Nasdaq!A649:C1904,3)</f>
        <v>13973.45</v>
      </c>
    </row>
    <row r="651" spans="1:10" x14ac:dyDescent="0.2">
      <c r="A651" s="2">
        <v>45141</v>
      </c>
      <c r="B651" s="1">
        <f>VLOOKUP(A651,AAPL!A650:C1905,3)</f>
        <v>188.87700000000001</v>
      </c>
      <c r="C651" s="1">
        <f>VLOOKUP(A651,MSFT!A650:C1905,3)</f>
        <v>322.89600000000002</v>
      </c>
      <c r="D651" s="1">
        <f>VLOOKUP(A651,NVDA!A650:C1905,3)</f>
        <v>44.494700000000002</v>
      </c>
      <c r="E651" s="1">
        <f>VLOOKUP(A651,AMD!A650:C1905,3)</f>
        <v>113.15</v>
      </c>
      <c r="F651" s="1">
        <f>VLOOKUP(A651,AMZN!A650:C1905,3)</f>
        <v>128.91</v>
      </c>
      <c r="G651" s="1">
        <f>VLOOKUP(A651,TSLA!A650:C1905,3)</f>
        <v>259.32</v>
      </c>
      <c r="H651" s="1">
        <f>VLOOKUP(A651,GOOGL!A650:C1905,3)</f>
        <v>127.986</v>
      </c>
      <c r="I651" s="1">
        <f>VLOOKUP(A651,META!A650:C1905,3)</f>
        <v>313.19</v>
      </c>
      <c r="J651" s="1">
        <f>VLOOKUP(A651,Nasdaq!A650:C1905,3)</f>
        <v>13959.71</v>
      </c>
    </row>
    <row r="652" spans="1:10" x14ac:dyDescent="0.2">
      <c r="A652" s="2">
        <v>45142</v>
      </c>
      <c r="B652" s="1">
        <f>VLOOKUP(A652,AAPL!A651:C1906,3)</f>
        <v>179.809</v>
      </c>
      <c r="C652" s="1">
        <f>VLOOKUP(A652,MSFT!A651:C1906,3)</f>
        <v>324</v>
      </c>
      <c r="D652" s="1">
        <f>VLOOKUP(A652,NVDA!A651:C1906,3)</f>
        <v>44.659700000000001</v>
      </c>
      <c r="E652" s="1">
        <f>VLOOKUP(A652,AMD!A651:C1906,3)</f>
        <v>115.82</v>
      </c>
      <c r="F652" s="1">
        <f>VLOOKUP(A652,AMZN!A651:C1906,3)</f>
        <v>139.57</v>
      </c>
      <c r="G652" s="1">
        <f>VLOOKUP(A652,TSLA!A651:C1906,3)</f>
        <v>253.86</v>
      </c>
      <c r="H652" s="1">
        <f>VLOOKUP(A652,GOOGL!A651:C1906,3)</f>
        <v>127.64700000000001</v>
      </c>
      <c r="I652" s="1">
        <f>VLOOKUP(A652,META!A651:C1906,3)</f>
        <v>310.73</v>
      </c>
      <c r="J652" s="1">
        <f>VLOOKUP(A652,Nasdaq!A651:C1906,3)</f>
        <v>13909.24</v>
      </c>
    </row>
    <row r="653" spans="1:10" x14ac:dyDescent="0.2">
      <c r="A653" s="2">
        <v>45145</v>
      </c>
      <c r="B653" s="1">
        <f>VLOOKUP(A653,AAPL!A652:C1907,3)</f>
        <v>176.70599999999999</v>
      </c>
      <c r="C653" s="1">
        <f>VLOOKUP(A653,MSFT!A652:C1907,3)</f>
        <v>326.30599999999998</v>
      </c>
      <c r="D653" s="1">
        <f>VLOOKUP(A653,NVDA!A652:C1907,3)</f>
        <v>45.396000000000001</v>
      </c>
      <c r="E653" s="1">
        <f>VLOOKUP(A653,AMD!A652:C1907,3)</f>
        <v>116.81</v>
      </c>
      <c r="F653" s="1">
        <f>VLOOKUP(A653,AMZN!A652:C1907,3)</f>
        <v>142.22</v>
      </c>
      <c r="G653" s="1">
        <f>VLOOKUP(A653,TSLA!A652:C1907,3)</f>
        <v>251.45</v>
      </c>
      <c r="H653" s="1">
        <f>VLOOKUP(A653,GOOGL!A652:C1907,3)</f>
        <v>131.05500000000001</v>
      </c>
      <c r="I653" s="1">
        <f>VLOOKUP(A653,META!A652:C1907,3)</f>
        <v>316.56</v>
      </c>
      <c r="J653" s="1">
        <f>VLOOKUP(A653,Nasdaq!A652:C1907,3)</f>
        <v>13994.4</v>
      </c>
    </row>
    <row r="654" spans="1:10" x14ac:dyDescent="0.2">
      <c r="A654" s="2">
        <v>45146</v>
      </c>
      <c r="B654" s="1">
        <f>VLOOKUP(A654,AAPL!A653:C1908,3)</f>
        <v>177.64400000000001</v>
      </c>
      <c r="C654" s="1">
        <f>VLOOKUP(A654,MSFT!A653:C1908,3)</f>
        <v>322.29199999999997</v>
      </c>
      <c r="D654" s="1">
        <f>VLOOKUP(A654,NVDA!A653:C1908,3)</f>
        <v>44.643700000000003</v>
      </c>
      <c r="E654" s="1">
        <f>VLOOKUP(A654,AMD!A653:C1908,3)</f>
        <v>113.23</v>
      </c>
      <c r="F654" s="1">
        <f>VLOOKUP(A654,AMZN!A653:C1908,3)</f>
        <v>139.94</v>
      </c>
      <c r="G654" s="1">
        <f>VLOOKUP(A654,TSLA!A653:C1908,3)</f>
        <v>249.7</v>
      </c>
      <c r="H654" s="1">
        <f>VLOOKUP(A654,GOOGL!A653:C1908,3)</f>
        <v>130.92500000000001</v>
      </c>
      <c r="I654" s="1">
        <f>VLOOKUP(A654,META!A653:C1908,3)</f>
        <v>312.64</v>
      </c>
      <c r="J654" s="1">
        <f>VLOOKUP(A654,Nasdaq!A653:C1908,3)</f>
        <v>13884.32</v>
      </c>
    </row>
    <row r="655" spans="1:10" x14ac:dyDescent="0.2">
      <c r="A655" s="2">
        <v>45147</v>
      </c>
      <c r="B655" s="1">
        <f>VLOOKUP(A655,AAPL!A654:C1909,3)</f>
        <v>176.054</v>
      </c>
      <c r="C655" s="1">
        <f>VLOOKUP(A655,MSFT!A654:C1909,3)</f>
        <v>318.51600000000002</v>
      </c>
      <c r="D655" s="1">
        <f>VLOOKUP(A655,NVDA!A654:C1909,3)</f>
        <v>42.534799999999997</v>
      </c>
      <c r="E655" s="1">
        <f>VLOOKUP(A655,AMD!A654:C1909,3)</f>
        <v>110.47</v>
      </c>
      <c r="F655" s="1">
        <f>VLOOKUP(A655,AMZN!A654:C1909,3)</f>
        <v>137.85</v>
      </c>
      <c r="G655" s="1">
        <f>VLOOKUP(A655,TSLA!A654:C1909,3)</f>
        <v>242.19</v>
      </c>
      <c r="H655" s="1">
        <f>VLOOKUP(A655,GOOGL!A654:C1909,3)</f>
        <v>129.191</v>
      </c>
      <c r="I655" s="1">
        <f>VLOOKUP(A655,META!A654:C1909,3)</f>
        <v>305.20999999999998</v>
      </c>
      <c r="J655" s="1">
        <f>VLOOKUP(A655,Nasdaq!A654:C1909,3)</f>
        <v>13722.02</v>
      </c>
    </row>
    <row r="656" spans="1:10" x14ac:dyDescent="0.2">
      <c r="A656" s="2">
        <v>45148</v>
      </c>
      <c r="B656" s="1">
        <f>VLOOKUP(A656,AAPL!A655:C1910,3)</f>
        <v>175.83600000000001</v>
      </c>
      <c r="C656" s="1">
        <f>VLOOKUP(A656,MSFT!A655:C1910,3)</f>
        <v>319.20800000000003</v>
      </c>
      <c r="D656" s="1">
        <f>VLOOKUP(A656,NVDA!A655:C1910,3)</f>
        <v>42.3688</v>
      </c>
      <c r="E656" s="1">
        <f>VLOOKUP(A656,AMD!A655:C1910,3)</f>
        <v>110.23</v>
      </c>
      <c r="F656" s="1">
        <f>VLOOKUP(A656,AMZN!A655:C1910,3)</f>
        <v>138.56</v>
      </c>
      <c r="G656" s="1">
        <f>VLOOKUP(A656,TSLA!A655:C1910,3)</f>
        <v>245.34</v>
      </c>
      <c r="H656" s="1">
        <f>VLOOKUP(A656,GOOGL!A655:C1910,3)</f>
        <v>129.221</v>
      </c>
      <c r="I656" s="1">
        <f>VLOOKUP(A656,META!A655:C1910,3)</f>
        <v>305.74</v>
      </c>
      <c r="J656" s="1">
        <f>VLOOKUP(A656,Nasdaq!A655:C1910,3)</f>
        <v>13721.03</v>
      </c>
    </row>
    <row r="657" spans="1:10" x14ac:dyDescent="0.2">
      <c r="A657" s="2">
        <v>45149</v>
      </c>
      <c r="B657" s="1">
        <f>VLOOKUP(A657,AAPL!A656:C1911,3)</f>
        <v>175.89500000000001</v>
      </c>
      <c r="C657" s="1">
        <f>VLOOKUP(A657,MSFT!A656:C1911,3)</f>
        <v>317.31</v>
      </c>
      <c r="D657" s="1">
        <f>VLOOKUP(A657,NVDA!A656:C1911,3)</f>
        <v>40.836399999999998</v>
      </c>
      <c r="E657" s="1">
        <f>VLOOKUP(A657,AMD!A656:C1911,3)</f>
        <v>107.57</v>
      </c>
      <c r="F657" s="1">
        <f>VLOOKUP(A657,AMZN!A656:C1911,3)</f>
        <v>138.41</v>
      </c>
      <c r="G657" s="1">
        <f>VLOOKUP(A657,TSLA!A656:C1911,3)</f>
        <v>242.65</v>
      </c>
      <c r="H657" s="1">
        <f>VLOOKUP(A657,GOOGL!A656:C1911,3)</f>
        <v>129.09200000000001</v>
      </c>
      <c r="I657" s="1">
        <f>VLOOKUP(A657,META!A656:C1911,3)</f>
        <v>301.64</v>
      </c>
      <c r="J657" s="1">
        <f>VLOOKUP(A657,Nasdaq!A656:C1911,3)</f>
        <v>13644.85</v>
      </c>
    </row>
    <row r="658" spans="1:10" x14ac:dyDescent="0.2">
      <c r="A658" s="2">
        <v>45152</v>
      </c>
      <c r="B658" s="1">
        <f>VLOOKUP(A658,AAPL!A657:C1912,3)</f>
        <v>177.548</v>
      </c>
      <c r="C658" s="1">
        <f>VLOOKUP(A658,MSFT!A657:C1912,3)</f>
        <v>320.30500000000001</v>
      </c>
      <c r="D658" s="1">
        <f>VLOOKUP(A658,NVDA!A657:C1912,3)</f>
        <v>43.733199999999997</v>
      </c>
      <c r="E658" s="1">
        <f>VLOOKUP(A658,AMD!A657:C1912,3)</f>
        <v>111.98</v>
      </c>
      <c r="F658" s="1">
        <f>VLOOKUP(A658,AMZN!A657:C1912,3)</f>
        <v>140.57</v>
      </c>
      <c r="G658" s="1">
        <f>VLOOKUP(A658,TSLA!A657:C1912,3)</f>
        <v>239.76</v>
      </c>
      <c r="H658" s="1">
        <f>VLOOKUP(A658,GOOGL!A657:C1912,3)</f>
        <v>130.85499999999999</v>
      </c>
      <c r="I658" s="1">
        <f>VLOOKUP(A658,META!A657:C1912,3)</f>
        <v>306.19</v>
      </c>
      <c r="J658" s="1">
        <f>VLOOKUP(A658,Nasdaq!A657:C1912,3)</f>
        <v>13788.33</v>
      </c>
    </row>
    <row r="659" spans="1:10" x14ac:dyDescent="0.2">
      <c r="A659" s="2">
        <v>45153</v>
      </c>
      <c r="B659" s="1">
        <f>VLOOKUP(A659,AAPL!A658:C1913,3)</f>
        <v>175.559</v>
      </c>
      <c r="C659" s="1">
        <f>VLOOKUP(A659,MSFT!A658:C1913,3)</f>
        <v>318.149</v>
      </c>
      <c r="D659" s="1">
        <f>VLOOKUP(A659,NVDA!A658:C1913,3)</f>
        <v>43.92</v>
      </c>
      <c r="E659" s="1">
        <f>VLOOKUP(A659,AMD!A658:C1913,3)</f>
        <v>111.35</v>
      </c>
      <c r="F659" s="1">
        <f>VLOOKUP(A659,AMZN!A658:C1913,3)</f>
        <v>137.66999999999999</v>
      </c>
      <c r="G659" s="1">
        <f>VLOOKUP(A659,TSLA!A658:C1913,3)</f>
        <v>232.96</v>
      </c>
      <c r="H659" s="1">
        <f>VLOOKUP(A659,GOOGL!A658:C1913,3)</f>
        <v>129.31100000000001</v>
      </c>
      <c r="I659" s="1">
        <f>VLOOKUP(A659,META!A658:C1913,3)</f>
        <v>301.95</v>
      </c>
      <c r="J659" s="1">
        <f>VLOOKUP(A659,Nasdaq!A658:C1913,3)</f>
        <v>13631.05</v>
      </c>
    </row>
    <row r="660" spans="1:10" x14ac:dyDescent="0.2">
      <c r="A660" s="2">
        <v>45154</v>
      </c>
      <c r="B660" s="1">
        <f>VLOOKUP(A660,AAPL!A659:C1914,3)</f>
        <v>174.68799999999999</v>
      </c>
      <c r="C660" s="1">
        <f>VLOOKUP(A660,MSFT!A659:C1914,3)</f>
        <v>317.37799999999999</v>
      </c>
      <c r="D660" s="1">
        <f>VLOOKUP(A660,NVDA!A659:C1914,3)</f>
        <v>43.466299999999997</v>
      </c>
      <c r="E660" s="1">
        <f>VLOOKUP(A660,AMD!A659:C1914,3)</f>
        <v>107.19</v>
      </c>
      <c r="F660" s="1">
        <f>VLOOKUP(A660,AMZN!A659:C1914,3)</f>
        <v>135.07</v>
      </c>
      <c r="G660" s="1">
        <f>VLOOKUP(A660,TSLA!A659:C1914,3)</f>
        <v>225.6</v>
      </c>
      <c r="H660" s="1">
        <f>VLOOKUP(A660,GOOGL!A659:C1914,3)</f>
        <v>128.23500000000001</v>
      </c>
      <c r="I660" s="1">
        <f>VLOOKUP(A660,META!A659:C1914,3)</f>
        <v>294.29000000000002</v>
      </c>
      <c r="J660" s="1">
        <f>VLOOKUP(A660,Nasdaq!A659:C1914,3)</f>
        <v>13474.63</v>
      </c>
    </row>
    <row r="661" spans="1:10" x14ac:dyDescent="0.2">
      <c r="A661" s="2">
        <v>45155</v>
      </c>
      <c r="B661" s="1">
        <f>VLOOKUP(A661,AAPL!A660:C1915,3)</f>
        <v>172.14599999999999</v>
      </c>
      <c r="C661" s="1">
        <f>VLOOKUP(A661,MSFT!A660:C1915,3)</f>
        <v>313.89100000000002</v>
      </c>
      <c r="D661" s="1">
        <f>VLOOKUP(A661,NVDA!A660:C1915,3)</f>
        <v>43.323799999999999</v>
      </c>
      <c r="E661" s="1">
        <f>VLOOKUP(A661,AMD!A660:C1915,3)</f>
        <v>104.44</v>
      </c>
      <c r="F661" s="1">
        <f>VLOOKUP(A661,AMZN!A660:C1915,3)</f>
        <v>133.97999999999999</v>
      </c>
      <c r="G661" s="1">
        <f>VLOOKUP(A661,TSLA!A660:C1915,3)</f>
        <v>219.22</v>
      </c>
      <c r="H661" s="1">
        <f>VLOOKUP(A661,GOOGL!A660:C1915,3)</f>
        <v>129.45099999999999</v>
      </c>
      <c r="I661" s="1">
        <f>VLOOKUP(A661,META!A660:C1915,3)</f>
        <v>285.08999999999997</v>
      </c>
      <c r="J661" s="1">
        <f>VLOOKUP(A661,Nasdaq!A660:C1915,3)</f>
        <v>13316.93</v>
      </c>
    </row>
    <row r="662" spans="1:10" x14ac:dyDescent="0.2">
      <c r="A662" s="2">
        <v>45156</v>
      </c>
      <c r="B662" s="1">
        <f>VLOOKUP(A662,AAPL!A661:C1916,3)</f>
        <v>172.63</v>
      </c>
      <c r="C662" s="1">
        <f>VLOOKUP(A662,MSFT!A661:C1916,3)</f>
        <v>313.49400000000003</v>
      </c>
      <c r="D662" s="1">
        <f>VLOOKUP(A662,NVDA!A661:C1916,3)</f>
        <v>43.279299999999999</v>
      </c>
      <c r="E662" s="1">
        <f>VLOOKUP(A662,AMD!A661:C1916,3)</f>
        <v>105.45</v>
      </c>
      <c r="F662" s="1">
        <f>VLOOKUP(A662,AMZN!A661:C1916,3)</f>
        <v>133.22</v>
      </c>
      <c r="G662" s="1">
        <f>VLOOKUP(A662,TSLA!A661:C1916,3)</f>
        <v>215.49</v>
      </c>
      <c r="H662" s="1">
        <f>VLOOKUP(A662,GOOGL!A661:C1916,3)</f>
        <v>126.999</v>
      </c>
      <c r="I662" s="1">
        <f>VLOOKUP(A662,META!A661:C1916,3)</f>
        <v>283.25</v>
      </c>
      <c r="J662" s="1">
        <f>VLOOKUP(A662,Nasdaq!A661:C1916,3)</f>
        <v>13290.78</v>
      </c>
    </row>
    <row r="663" spans="1:10" x14ac:dyDescent="0.2">
      <c r="A663" s="2">
        <v>45159</v>
      </c>
      <c r="B663" s="1">
        <f>VLOOKUP(A663,AAPL!A662:C1917,3)</f>
        <v>173.965</v>
      </c>
      <c r="C663" s="1">
        <f>VLOOKUP(A663,MSFT!A662:C1917,3)</f>
        <v>318.84399999999999</v>
      </c>
      <c r="D663" s="1">
        <f>VLOOKUP(A663,NVDA!A662:C1917,3)</f>
        <v>46.945700000000002</v>
      </c>
      <c r="E663" s="1">
        <f>VLOOKUP(A663,AMD!A662:C1917,3)</f>
        <v>108.22</v>
      </c>
      <c r="F663" s="1">
        <f>VLOOKUP(A663,AMZN!A662:C1917,3)</f>
        <v>134.68</v>
      </c>
      <c r="G663" s="1">
        <f>VLOOKUP(A663,TSLA!A662:C1917,3)</f>
        <v>231.28</v>
      </c>
      <c r="H663" s="1">
        <f>VLOOKUP(A663,GOOGL!A662:C1917,3)</f>
        <v>127.90600000000001</v>
      </c>
      <c r="I663" s="1">
        <f>VLOOKUP(A663,META!A662:C1917,3)</f>
        <v>289.89999999999998</v>
      </c>
      <c r="J663" s="1">
        <f>VLOOKUP(A663,Nasdaq!A662:C1917,3)</f>
        <v>13497.59</v>
      </c>
    </row>
    <row r="664" spans="1:10" x14ac:dyDescent="0.2">
      <c r="A664" s="2">
        <v>45160</v>
      </c>
      <c r="B664" s="1">
        <f>VLOOKUP(A664,AAPL!A663:C1918,3)</f>
        <v>175.34200000000001</v>
      </c>
      <c r="C664" s="1">
        <f>VLOOKUP(A664,MSFT!A663:C1918,3)</f>
        <v>319.41899999999998</v>
      </c>
      <c r="D664" s="1">
        <f>VLOOKUP(A664,NVDA!A663:C1918,3)</f>
        <v>45.647399999999998</v>
      </c>
      <c r="E664" s="1">
        <f>VLOOKUP(A664,AMD!A663:C1918,3)</f>
        <v>105.66</v>
      </c>
      <c r="F664" s="1">
        <f>VLOOKUP(A664,AMZN!A663:C1918,3)</f>
        <v>134.25</v>
      </c>
      <c r="G664" s="1">
        <f>VLOOKUP(A664,TSLA!A663:C1918,3)</f>
        <v>233.19</v>
      </c>
      <c r="H664" s="1">
        <f>VLOOKUP(A664,GOOGL!A663:C1918,3)</f>
        <v>128.614</v>
      </c>
      <c r="I664" s="1">
        <f>VLOOKUP(A664,META!A663:C1918,3)</f>
        <v>287.60000000000002</v>
      </c>
      <c r="J664" s="1">
        <f>VLOOKUP(A664,Nasdaq!A663:C1918,3)</f>
        <v>13505.87</v>
      </c>
    </row>
    <row r="665" spans="1:10" x14ac:dyDescent="0.2">
      <c r="A665" s="2">
        <v>45161</v>
      </c>
      <c r="B665" s="1">
        <f>VLOOKUP(A665,AAPL!A664:C1919,3)</f>
        <v>179.18799999999999</v>
      </c>
      <c r="C665" s="1">
        <f>VLOOKUP(A665,MSFT!A664:C1919,3)</f>
        <v>323.91699999999997</v>
      </c>
      <c r="D665" s="1">
        <f>VLOOKUP(A665,NVDA!A664:C1919,3)</f>
        <v>47.094700000000003</v>
      </c>
      <c r="E665" s="1">
        <f>VLOOKUP(A665,AMD!A664:C1919,3)</f>
        <v>109.43</v>
      </c>
      <c r="F665" s="1">
        <f>VLOOKUP(A665,AMZN!A664:C1919,3)</f>
        <v>135.52000000000001</v>
      </c>
      <c r="G665" s="1">
        <f>VLOOKUP(A665,TSLA!A664:C1919,3)</f>
        <v>236.86</v>
      </c>
      <c r="H665" s="1">
        <f>VLOOKUP(A665,GOOGL!A664:C1919,3)</f>
        <v>131.892</v>
      </c>
      <c r="I665" s="1">
        <f>VLOOKUP(A665,META!A664:C1919,3)</f>
        <v>294.24</v>
      </c>
      <c r="J665" s="1">
        <f>VLOOKUP(A665,Nasdaq!A664:C1919,3)</f>
        <v>13721.03</v>
      </c>
    </row>
    <row r="666" spans="1:10" x14ac:dyDescent="0.2">
      <c r="A666" s="2">
        <v>45162</v>
      </c>
      <c r="B666" s="1">
        <f>VLOOKUP(A666,AAPL!A665:C1920,3)</f>
        <v>174.501</v>
      </c>
      <c r="C666" s="1">
        <f>VLOOKUP(A666,MSFT!A665:C1920,3)</f>
        <v>316.95299999999997</v>
      </c>
      <c r="D666" s="1">
        <f>VLOOKUP(A666,NVDA!A665:C1920,3)</f>
        <v>47.1417</v>
      </c>
      <c r="E666" s="1">
        <f>VLOOKUP(A666,AMD!A665:C1920,3)</f>
        <v>101.8</v>
      </c>
      <c r="F666" s="1">
        <f>VLOOKUP(A666,AMZN!A665:C1920,3)</f>
        <v>131.84</v>
      </c>
      <c r="G666" s="1">
        <f>VLOOKUP(A666,TSLA!A665:C1920,3)</f>
        <v>230.04</v>
      </c>
      <c r="H666" s="1">
        <f>VLOOKUP(A666,GOOGL!A665:C1920,3)</f>
        <v>129.31100000000001</v>
      </c>
      <c r="I666" s="1">
        <f>VLOOKUP(A666,META!A665:C1920,3)</f>
        <v>286.75</v>
      </c>
      <c r="J666" s="1">
        <f>VLOOKUP(A666,Nasdaq!A665:C1920,3)</f>
        <v>13463.97</v>
      </c>
    </row>
    <row r="667" spans="1:10" x14ac:dyDescent="0.2">
      <c r="A667" s="2">
        <v>45163</v>
      </c>
      <c r="B667" s="1">
        <f>VLOOKUP(A667,AAPL!A666:C1921,3)</f>
        <v>176.70699999999999</v>
      </c>
      <c r="C667" s="1">
        <f>VLOOKUP(A667,MSFT!A666:C1921,3)</f>
        <v>319.93400000000003</v>
      </c>
      <c r="D667" s="1">
        <f>VLOOKUP(A667,NVDA!A666:C1921,3)</f>
        <v>45.997100000000003</v>
      </c>
      <c r="E667" s="1">
        <f>VLOOKUP(A667,AMD!A666:C1921,3)</f>
        <v>102.25</v>
      </c>
      <c r="F667" s="1">
        <f>VLOOKUP(A667,AMZN!A666:C1921,3)</f>
        <v>133.26</v>
      </c>
      <c r="G667" s="1">
        <f>VLOOKUP(A667,TSLA!A666:C1921,3)</f>
        <v>238.59</v>
      </c>
      <c r="H667" s="1">
        <f>VLOOKUP(A667,GOOGL!A666:C1921,3)</f>
        <v>129.411</v>
      </c>
      <c r="I667" s="1">
        <f>VLOOKUP(A667,META!A666:C1921,3)</f>
        <v>285.5</v>
      </c>
      <c r="J667" s="1">
        <f>VLOOKUP(A667,Nasdaq!A666:C1921,3)</f>
        <v>13590.65</v>
      </c>
    </row>
    <row r="668" spans="1:10" x14ac:dyDescent="0.2">
      <c r="A668" s="2">
        <v>45166</v>
      </c>
      <c r="B668" s="1">
        <f>VLOOKUP(A668,AAPL!A667:C1922,3)</f>
        <v>178.26900000000001</v>
      </c>
      <c r="C668" s="1">
        <f>VLOOKUP(A668,MSFT!A667:C1922,3)</f>
        <v>320.64600000000002</v>
      </c>
      <c r="D668" s="1">
        <f>VLOOKUP(A668,NVDA!A667:C1922,3)</f>
        <v>46.813800000000001</v>
      </c>
      <c r="E668" s="1">
        <f>VLOOKUP(A668,AMD!A667:C1922,3)</f>
        <v>102.61</v>
      </c>
      <c r="F668" s="1">
        <f>VLOOKUP(A668,AMZN!A667:C1922,3)</f>
        <v>133.13999999999999</v>
      </c>
      <c r="G668" s="1">
        <f>VLOOKUP(A668,TSLA!A667:C1922,3)</f>
        <v>238.82</v>
      </c>
      <c r="H668" s="1">
        <f>VLOOKUP(A668,GOOGL!A667:C1922,3)</f>
        <v>130.53700000000001</v>
      </c>
      <c r="I668" s="1">
        <f>VLOOKUP(A668,META!A667:C1922,3)</f>
        <v>290.26</v>
      </c>
      <c r="J668" s="1">
        <f>VLOOKUP(A668,Nasdaq!A667:C1922,3)</f>
        <v>13705.13</v>
      </c>
    </row>
    <row r="669" spans="1:10" x14ac:dyDescent="0.2">
      <c r="A669" s="2">
        <v>45167</v>
      </c>
      <c r="B669" s="1">
        <f>VLOOKUP(A669,AAPL!A668:C1923,3)</f>
        <v>182.15799999999999</v>
      </c>
      <c r="C669" s="1">
        <f>VLOOKUP(A669,MSFT!A668:C1923,3)</f>
        <v>325.31200000000001</v>
      </c>
      <c r="D669" s="1">
        <f>VLOOKUP(A669,NVDA!A668:C1923,3)</f>
        <v>48.761800000000001</v>
      </c>
      <c r="E669" s="1">
        <f>VLOOKUP(A669,AMD!A668:C1923,3)</f>
        <v>105.92</v>
      </c>
      <c r="F669" s="1">
        <f>VLOOKUP(A669,AMZN!A668:C1923,3)</f>
        <v>134.91</v>
      </c>
      <c r="G669" s="1">
        <f>VLOOKUP(A669,TSLA!A668:C1923,3)</f>
        <v>257.18</v>
      </c>
      <c r="H669" s="1">
        <f>VLOOKUP(A669,GOOGL!A668:C1923,3)</f>
        <v>134.084</v>
      </c>
      <c r="I669" s="1">
        <f>VLOOKUP(A669,META!A668:C1923,3)</f>
        <v>297.99</v>
      </c>
      <c r="J669" s="1">
        <f>VLOOKUP(A669,Nasdaq!A668:C1923,3)</f>
        <v>13943.76</v>
      </c>
    </row>
    <row r="670" spans="1:10" x14ac:dyDescent="0.2">
      <c r="A670" s="2">
        <v>45168</v>
      </c>
      <c r="B670" s="1">
        <f>VLOOKUP(A670,AAPL!A669:C1924,3)</f>
        <v>185.649</v>
      </c>
      <c r="C670" s="1">
        <f>VLOOKUP(A670,MSFT!A669:C1924,3)</f>
        <v>325.68799999999999</v>
      </c>
      <c r="D670" s="1">
        <f>VLOOKUP(A670,NVDA!A669:C1924,3)</f>
        <v>49.241700000000002</v>
      </c>
      <c r="E670" s="1">
        <f>VLOOKUP(A670,AMD!A669:C1924,3)</f>
        <v>106.59</v>
      </c>
      <c r="F670" s="1">
        <f>VLOOKUP(A670,AMZN!A669:C1924,3)</f>
        <v>135.07</v>
      </c>
      <c r="G670" s="1">
        <f>VLOOKUP(A670,TSLA!A669:C1924,3)</f>
        <v>256.89999999999998</v>
      </c>
      <c r="H670" s="1">
        <f>VLOOKUP(A670,GOOGL!A669:C1924,3)</f>
        <v>135.38900000000001</v>
      </c>
      <c r="I670" s="1">
        <f>VLOOKUP(A670,META!A669:C1924,3)</f>
        <v>295.10000000000002</v>
      </c>
      <c r="J670" s="1">
        <f>VLOOKUP(A670,Nasdaq!A669:C1924,3)</f>
        <v>14019.31</v>
      </c>
    </row>
    <row r="671" spans="1:10" x14ac:dyDescent="0.2">
      <c r="A671" s="2">
        <v>45169</v>
      </c>
      <c r="B671" s="1">
        <f>VLOOKUP(A671,AAPL!A670:C1925,3)</f>
        <v>185.869</v>
      </c>
      <c r="C671" s="1">
        <f>VLOOKUP(A671,MSFT!A670:C1925,3)</f>
        <v>324.66800000000001</v>
      </c>
      <c r="D671" s="1">
        <f>VLOOKUP(A671,NVDA!A670:C1925,3)</f>
        <v>49.332599999999999</v>
      </c>
      <c r="E671" s="1">
        <f>VLOOKUP(A671,AMD!A670:C1925,3)</f>
        <v>105.72</v>
      </c>
      <c r="F671" s="1">
        <f>VLOOKUP(A671,AMZN!A670:C1925,3)</f>
        <v>138.01</v>
      </c>
      <c r="G671" s="1">
        <f>VLOOKUP(A671,TSLA!A670:C1925,3)</f>
        <v>258.08</v>
      </c>
      <c r="H671" s="1">
        <f>VLOOKUP(A671,GOOGL!A670:C1925,3)</f>
        <v>135.679</v>
      </c>
      <c r="I671" s="1">
        <f>VLOOKUP(A671,META!A670:C1925,3)</f>
        <v>295.89</v>
      </c>
      <c r="J671" s="1">
        <f>VLOOKUP(A671,Nasdaq!A670:C1925,3)</f>
        <v>14034.97</v>
      </c>
    </row>
    <row r="672" spans="1:10" x14ac:dyDescent="0.2">
      <c r="A672" s="2">
        <v>45170</v>
      </c>
      <c r="B672" s="1">
        <f>VLOOKUP(A672,AAPL!A671:C1926,3)</f>
        <v>187.441</v>
      </c>
      <c r="C672" s="1">
        <f>VLOOKUP(A672,MSFT!A671:C1926,3)</f>
        <v>325.56</v>
      </c>
      <c r="D672" s="1">
        <f>VLOOKUP(A672,NVDA!A671:C1926,3)</f>
        <v>48.487000000000002</v>
      </c>
      <c r="E672" s="1">
        <f>VLOOKUP(A672,AMD!A671:C1926,3)</f>
        <v>109.45</v>
      </c>
      <c r="F672" s="1">
        <f>VLOOKUP(A672,AMZN!A671:C1926,3)</f>
        <v>138.12</v>
      </c>
      <c r="G672" s="1">
        <f>VLOOKUP(A672,TSLA!A671:C1926,3)</f>
        <v>245.01</v>
      </c>
      <c r="H672" s="1">
        <f>VLOOKUP(A672,GOOGL!A671:C1926,3)</f>
        <v>135.16900000000001</v>
      </c>
      <c r="I672" s="1">
        <f>VLOOKUP(A672,META!A671:C1926,3)</f>
        <v>296.38</v>
      </c>
      <c r="J672" s="1">
        <f>VLOOKUP(A672,Nasdaq!A671:C1926,3)</f>
        <v>14031.81</v>
      </c>
    </row>
    <row r="673" spans="1:10" x14ac:dyDescent="0.2">
      <c r="A673" s="2">
        <v>45174</v>
      </c>
      <c r="B673" s="1">
        <f>VLOOKUP(A673,AAPL!A672:C1927,3)</f>
        <v>187.679</v>
      </c>
      <c r="C673" s="1">
        <f>VLOOKUP(A673,MSFT!A672:C1927,3)</f>
        <v>330.404</v>
      </c>
      <c r="D673" s="1">
        <f>VLOOKUP(A673,NVDA!A672:C1927,3)</f>
        <v>48.5259</v>
      </c>
      <c r="E673" s="1">
        <f>VLOOKUP(A673,AMD!A672:C1927,3)</f>
        <v>110.78</v>
      </c>
      <c r="F673" s="1">
        <f>VLOOKUP(A673,AMZN!A672:C1927,3)</f>
        <v>137.27000000000001</v>
      </c>
      <c r="G673" s="1">
        <f>VLOOKUP(A673,TSLA!A672:C1927,3)</f>
        <v>256.49</v>
      </c>
      <c r="H673" s="1">
        <f>VLOOKUP(A673,GOOGL!A672:C1927,3)</f>
        <v>135.279</v>
      </c>
      <c r="I673" s="1">
        <f>VLOOKUP(A673,META!A672:C1927,3)</f>
        <v>300.14999999999998</v>
      </c>
      <c r="J673" s="1">
        <f>VLOOKUP(A673,Nasdaq!A672:C1927,3)</f>
        <v>14020.95</v>
      </c>
    </row>
    <row r="674" spans="1:10" x14ac:dyDescent="0.2">
      <c r="A674" s="2">
        <v>45175</v>
      </c>
      <c r="B674" s="1">
        <f>VLOOKUP(A674,AAPL!A673:C1928,3)</f>
        <v>180.959</v>
      </c>
      <c r="C674" s="1">
        <f>VLOOKUP(A674,MSFT!A673:C1928,3)</f>
        <v>329.74</v>
      </c>
      <c r="D674" s="1">
        <f>VLOOKUP(A674,NVDA!A673:C1928,3)</f>
        <v>47.043599999999998</v>
      </c>
      <c r="E674" s="1">
        <f>VLOOKUP(A674,AMD!A673:C1928,3)</f>
        <v>109.28</v>
      </c>
      <c r="F674" s="1">
        <f>VLOOKUP(A674,AMZN!A673:C1928,3)</f>
        <v>135.36000000000001</v>
      </c>
      <c r="G674" s="1">
        <f>VLOOKUP(A674,TSLA!A673:C1928,3)</f>
        <v>251.92</v>
      </c>
      <c r="H674" s="1">
        <f>VLOOKUP(A674,GOOGL!A673:C1928,3)</f>
        <v>133.97399999999999</v>
      </c>
      <c r="I674" s="1">
        <f>VLOOKUP(A674,META!A673:C1928,3)</f>
        <v>299.17</v>
      </c>
      <c r="J674" s="1">
        <f>VLOOKUP(A674,Nasdaq!A673:C1928,3)</f>
        <v>13872.47</v>
      </c>
    </row>
    <row r="675" spans="1:10" x14ac:dyDescent="0.2">
      <c r="A675" s="2">
        <v>45176</v>
      </c>
      <c r="B675" s="1">
        <f>VLOOKUP(A675,AAPL!A674:C1929,3)</f>
        <v>175.667</v>
      </c>
      <c r="C675" s="1">
        <f>VLOOKUP(A675,MSFT!A674:C1929,3)</f>
        <v>326.798</v>
      </c>
      <c r="D675" s="1">
        <f>VLOOKUP(A675,NVDA!A674:C1929,3)</f>
        <v>46.223700000000001</v>
      </c>
      <c r="E675" s="1">
        <f>VLOOKUP(A675,AMD!A674:C1929,3)</f>
        <v>106.59</v>
      </c>
      <c r="F675" s="1">
        <f>VLOOKUP(A675,AMZN!A674:C1929,3)</f>
        <v>137.85</v>
      </c>
      <c r="G675" s="1">
        <f>VLOOKUP(A675,TSLA!A674:C1929,3)</f>
        <v>251.49</v>
      </c>
      <c r="H675" s="1">
        <f>VLOOKUP(A675,GOOGL!A674:C1929,3)</f>
        <v>134.77199999999999</v>
      </c>
      <c r="I675" s="1">
        <f>VLOOKUP(A675,META!A674:C1929,3)</f>
        <v>298.67</v>
      </c>
      <c r="J675" s="1">
        <f>VLOOKUP(A675,Nasdaq!A674:C1929,3)</f>
        <v>13748.83</v>
      </c>
    </row>
    <row r="676" spans="1:10" x14ac:dyDescent="0.2">
      <c r="A676" s="2">
        <v>45177</v>
      </c>
      <c r="B676" s="1">
        <f>VLOOKUP(A676,AAPL!A675:C1930,3)</f>
        <v>176.28100000000001</v>
      </c>
      <c r="C676" s="1">
        <f>VLOOKUP(A676,MSFT!A675:C1930,3)</f>
        <v>331.11599999999999</v>
      </c>
      <c r="D676" s="1">
        <f>VLOOKUP(A676,NVDA!A675:C1930,3)</f>
        <v>45.555199999999999</v>
      </c>
      <c r="E676" s="1">
        <f>VLOOKUP(A676,AMD!A675:C1930,3)</f>
        <v>106.09</v>
      </c>
      <c r="F676" s="1">
        <f>VLOOKUP(A676,AMZN!A675:C1930,3)</f>
        <v>138.22999999999999</v>
      </c>
      <c r="G676" s="1">
        <f>VLOOKUP(A676,TSLA!A675:C1930,3)</f>
        <v>248.5</v>
      </c>
      <c r="H676" s="1">
        <f>VLOOKUP(A676,GOOGL!A675:C1930,3)</f>
        <v>135.887</v>
      </c>
      <c r="I676" s="1">
        <f>VLOOKUP(A676,META!A675:C1930,3)</f>
        <v>297.89</v>
      </c>
      <c r="J676" s="1">
        <f>VLOOKUP(A676,Nasdaq!A675:C1930,3)</f>
        <v>13761.53</v>
      </c>
    </row>
    <row r="677" spans="1:10" x14ac:dyDescent="0.2">
      <c r="A677" s="2">
        <v>45180</v>
      </c>
      <c r="B677" s="1">
        <f>VLOOKUP(A677,AAPL!A676:C1931,3)</f>
        <v>177.44800000000001</v>
      </c>
      <c r="C677" s="1">
        <f>VLOOKUP(A677,MSFT!A676:C1931,3)</f>
        <v>334.75099999999998</v>
      </c>
      <c r="D677" s="1">
        <f>VLOOKUP(A677,NVDA!A676:C1931,3)</f>
        <v>45.161200000000001</v>
      </c>
      <c r="E677" s="1">
        <f>VLOOKUP(A677,AMD!A676:C1931,3)</f>
        <v>105.32</v>
      </c>
      <c r="F677" s="1">
        <f>VLOOKUP(A677,AMZN!A676:C1931,3)</f>
        <v>143.1</v>
      </c>
      <c r="G677" s="1">
        <f>VLOOKUP(A677,TSLA!A676:C1931,3)</f>
        <v>273.58</v>
      </c>
      <c r="H677" s="1">
        <f>VLOOKUP(A677,GOOGL!A676:C1931,3)</f>
        <v>136.42599999999999</v>
      </c>
      <c r="I677" s="1">
        <f>VLOOKUP(A677,META!A676:C1931,3)</f>
        <v>307.56</v>
      </c>
      <c r="J677" s="1">
        <f>VLOOKUP(A677,Nasdaq!A676:C1931,3)</f>
        <v>13917.89</v>
      </c>
    </row>
    <row r="678" spans="1:10" x14ac:dyDescent="0.2">
      <c r="A678" s="2">
        <v>45181</v>
      </c>
      <c r="B678" s="1">
        <f>VLOOKUP(A678,AAPL!A677:C1932,3)</f>
        <v>174.422</v>
      </c>
      <c r="C678" s="1">
        <f>VLOOKUP(A678,MSFT!A677:C1932,3)</f>
        <v>328.64</v>
      </c>
      <c r="D678" s="1">
        <f>VLOOKUP(A678,NVDA!A677:C1932,3)</f>
        <v>44.853400000000001</v>
      </c>
      <c r="E678" s="1">
        <f>VLOOKUP(A678,AMD!A677:C1932,3)</f>
        <v>105.31</v>
      </c>
      <c r="F678" s="1">
        <f>VLOOKUP(A678,AMZN!A677:C1932,3)</f>
        <v>141.22999999999999</v>
      </c>
      <c r="G678" s="1">
        <f>VLOOKUP(A678,TSLA!A677:C1932,3)</f>
        <v>267.48</v>
      </c>
      <c r="H678" s="1">
        <f>VLOOKUP(A678,GOOGL!A677:C1932,3)</f>
        <v>134.851</v>
      </c>
      <c r="I678" s="1">
        <f>VLOOKUP(A678,META!A677:C1932,3)</f>
        <v>301.66000000000003</v>
      </c>
      <c r="J678" s="1">
        <f>VLOOKUP(A678,Nasdaq!A677:C1932,3)</f>
        <v>13773.63</v>
      </c>
    </row>
    <row r="679" spans="1:10" x14ac:dyDescent="0.2">
      <c r="A679" s="2">
        <v>45182</v>
      </c>
      <c r="B679" s="1">
        <f>VLOOKUP(A679,AAPL!A678:C1933,3)</f>
        <v>172.35400000000001</v>
      </c>
      <c r="C679" s="1">
        <f>VLOOKUP(A679,MSFT!A678:C1933,3)</f>
        <v>332.89</v>
      </c>
      <c r="D679" s="1">
        <f>VLOOKUP(A679,NVDA!A678:C1933,3)</f>
        <v>45.468200000000003</v>
      </c>
      <c r="E679" s="1">
        <f>VLOOKUP(A679,AMD!A678:C1933,3)</f>
        <v>107.71</v>
      </c>
      <c r="F679" s="1">
        <f>VLOOKUP(A679,AMZN!A678:C1933,3)</f>
        <v>144.85</v>
      </c>
      <c r="G679" s="1">
        <f>VLOOKUP(A679,TSLA!A678:C1933,3)</f>
        <v>271.3</v>
      </c>
      <c r="H679" s="1">
        <f>VLOOKUP(A679,GOOGL!A678:C1933,3)</f>
        <v>136.21600000000001</v>
      </c>
      <c r="I679" s="1">
        <f>VLOOKUP(A679,META!A678:C1933,3)</f>
        <v>305.06</v>
      </c>
      <c r="J679" s="1">
        <f>VLOOKUP(A679,Nasdaq!A678:C1933,3)</f>
        <v>13813.58</v>
      </c>
    </row>
    <row r="680" spans="1:10" x14ac:dyDescent="0.2">
      <c r="A680" s="2">
        <v>45183</v>
      </c>
      <c r="B680" s="1">
        <f>VLOOKUP(A680,AAPL!A679:C1934,3)</f>
        <v>173.86699999999999</v>
      </c>
      <c r="C680" s="1">
        <f>VLOOKUP(A680,MSFT!A679:C1934,3)</f>
        <v>335.505</v>
      </c>
      <c r="D680" s="1">
        <f>VLOOKUP(A680,NVDA!A679:C1934,3)</f>
        <v>45.5642</v>
      </c>
      <c r="E680" s="1">
        <f>VLOOKUP(A680,AMD!A679:C1934,3)</f>
        <v>106.63</v>
      </c>
      <c r="F680" s="1">
        <f>VLOOKUP(A680,AMZN!A679:C1934,3)</f>
        <v>144.72</v>
      </c>
      <c r="G680" s="1">
        <f>VLOOKUP(A680,TSLA!A679:C1934,3)</f>
        <v>276.04000000000002</v>
      </c>
      <c r="H680" s="1">
        <f>VLOOKUP(A680,GOOGL!A679:C1934,3)</f>
        <v>137.601</v>
      </c>
      <c r="I680" s="1">
        <f>VLOOKUP(A680,META!A679:C1934,3)</f>
        <v>311.72000000000003</v>
      </c>
      <c r="J680" s="1">
        <f>VLOOKUP(A680,Nasdaq!A679:C1934,3)</f>
        <v>13926.05</v>
      </c>
    </row>
    <row r="681" spans="1:10" x14ac:dyDescent="0.2">
      <c r="A681" s="2">
        <v>45184</v>
      </c>
      <c r="B681" s="1">
        <f>VLOOKUP(A681,AAPL!A680:C1935,3)</f>
        <v>173.14400000000001</v>
      </c>
      <c r="C681" s="1">
        <f>VLOOKUP(A681,MSFT!A680:C1935,3)</f>
        <v>327.10500000000002</v>
      </c>
      <c r="D681" s="1">
        <f>VLOOKUP(A681,NVDA!A680:C1935,3)</f>
        <v>43.883600000000001</v>
      </c>
      <c r="E681" s="1">
        <f>VLOOKUP(A681,AMD!A680:C1935,3)</f>
        <v>101.49</v>
      </c>
      <c r="F681" s="1">
        <f>VLOOKUP(A681,AMZN!A680:C1935,3)</f>
        <v>140.38999999999999</v>
      </c>
      <c r="G681" s="1">
        <f>VLOOKUP(A681,TSLA!A680:C1935,3)</f>
        <v>274.39</v>
      </c>
      <c r="H681" s="1">
        <f>VLOOKUP(A681,GOOGL!A680:C1935,3)</f>
        <v>136.90299999999999</v>
      </c>
      <c r="I681" s="1">
        <f>VLOOKUP(A681,META!A680:C1935,3)</f>
        <v>300.31</v>
      </c>
      <c r="J681" s="1">
        <f>VLOOKUP(A681,Nasdaq!A680:C1935,3)</f>
        <v>13708.33</v>
      </c>
    </row>
    <row r="682" spans="1:10" x14ac:dyDescent="0.2">
      <c r="A682" s="2">
        <v>45187</v>
      </c>
      <c r="B682" s="1">
        <f>VLOOKUP(A682,AAPL!A681:C1936,3)</f>
        <v>176.07300000000001</v>
      </c>
      <c r="C682" s="1">
        <f>VLOOKUP(A682,MSFT!A681:C1936,3)</f>
        <v>325.95600000000002</v>
      </c>
      <c r="D682" s="1">
        <f>VLOOKUP(A682,NVDA!A681:C1936,3)</f>
        <v>43.949599999999997</v>
      </c>
      <c r="E682" s="1">
        <f>VLOOKUP(A682,AMD!A681:C1936,3)</f>
        <v>102.37</v>
      </c>
      <c r="F682" s="1">
        <f>VLOOKUP(A682,AMZN!A681:C1936,3)</f>
        <v>139.97999999999999</v>
      </c>
      <c r="G682" s="1">
        <f>VLOOKUP(A682,TSLA!A681:C1936,3)</f>
        <v>265.27999999999997</v>
      </c>
      <c r="H682" s="1">
        <f>VLOOKUP(A682,GOOGL!A681:C1936,3)</f>
        <v>137.71100000000001</v>
      </c>
      <c r="I682" s="1">
        <f>VLOOKUP(A682,META!A681:C1936,3)</f>
        <v>302.55</v>
      </c>
      <c r="J682" s="1">
        <f>VLOOKUP(A682,Nasdaq!A681:C1936,3)</f>
        <v>13710.24</v>
      </c>
    </row>
    <row r="683" spans="1:10" x14ac:dyDescent="0.2">
      <c r="A683" s="2">
        <v>45188</v>
      </c>
      <c r="B683" s="1">
        <f>VLOOKUP(A683,AAPL!A682:C1937,3)</f>
        <v>177.161</v>
      </c>
      <c r="C683" s="1">
        <f>VLOOKUP(A683,MSFT!A682:C1937,3)</f>
        <v>325.55</v>
      </c>
      <c r="D683" s="1">
        <f>VLOOKUP(A683,NVDA!A682:C1937,3)</f>
        <v>43.503900000000002</v>
      </c>
      <c r="E683" s="1">
        <f>VLOOKUP(A683,AMD!A682:C1937,3)</f>
        <v>101.61</v>
      </c>
      <c r="F683" s="1">
        <f>VLOOKUP(A683,AMZN!A682:C1937,3)</f>
        <v>137.63</v>
      </c>
      <c r="G683" s="1">
        <f>VLOOKUP(A683,TSLA!A682:C1937,3)</f>
        <v>266.5</v>
      </c>
      <c r="H683" s="1">
        <f>VLOOKUP(A683,GOOGL!A682:C1937,3)</f>
        <v>137.541</v>
      </c>
      <c r="I683" s="1">
        <f>VLOOKUP(A683,META!A682:C1937,3)</f>
        <v>305.07</v>
      </c>
      <c r="J683" s="1">
        <f>VLOOKUP(A683,Nasdaq!A682:C1937,3)</f>
        <v>13678.19</v>
      </c>
    </row>
    <row r="684" spans="1:10" x14ac:dyDescent="0.2">
      <c r="A684" s="2">
        <v>45189</v>
      </c>
      <c r="B684" s="1">
        <f>VLOOKUP(A684,AAPL!A683:C1938,3)</f>
        <v>173.62</v>
      </c>
      <c r="C684" s="1">
        <f>VLOOKUP(A684,MSFT!A683:C1938,3)</f>
        <v>317.74400000000003</v>
      </c>
      <c r="D684" s="1">
        <f>VLOOKUP(A684,NVDA!A683:C1938,3)</f>
        <v>42.223300000000002</v>
      </c>
      <c r="E684" s="1">
        <f>VLOOKUP(A684,AMD!A683:C1938,3)</f>
        <v>100.34</v>
      </c>
      <c r="F684" s="1">
        <f>VLOOKUP(A684,AMZN!A683:C1938,3)</f>
        <v>135.29</v>
      </c>
      <c r="G684" s="1">
        <f>VLOOKUP(A684,TSLA!A683:C1938,3)</f>
        <v>262.58999999999997</v>
      </c>
      <c r="H684" s="1">
        <f>VLOOKUP(A684,GOOGL!A683:C1938,3)</f>
        <v>133.25700000000001</v>
      </c>
      <c r="I684" s="1">
        <f>VLOOKUP(A684,META!A683:C1938,3)</f>
        <v>299.67</v>
      </c>
      <c r="J684" s="1">
        <f>VLOOKUP(A684,Nasdaq!A683:C1938,3)</f>
        <v>13469.13</v>
      </c>
    </row>
    <row r="685" spans="1:10" x14ac:dyDescent="0.2">
      <c r="A685" s="2">
        <v>45190</v>
      </c>
      <c r="B685" s="1">
        <f>VLOOKUP(A685,AAPL!A684:C1939,3)</f>
        <v>172.077</v>
      </c>
      <c r="C685" s="1">
        <f>VLOOKUP(A685,MSFT!A684:C1939,3)</f>
        <v>316.51499999999999</v>
      </c>
      <c r="D685" s="1">
        <f>VLOOKUP(A685,NVDA!A684:C1939,3)</f>
        <v>41.001800000000003</v>
      </c>
      <c r="E685" s="1">
        <f>VLOOKUP(A685,AMD!A684:C1939,3)</f>
        <v>96.11</v>
      </c>
      <c r="F685" s="1">
        <f>VLOOKUP(A685,AMZN!A684:C1939,3)</f>
        <v>129.33000000000001</v>
      </c>
      <c r="G685" s="1">
        <f>VLOOKUP(A685,TSLA!A684:C1939,3)</f>
        <v>255.7</v>
      </c>
      <c r="H685" s="1">
        <f>VLOOKUP(A685,GOOGL!A684:C1939,3)</f>
        <v>129.96799999999999</v>
      </c>
      <c r="I685" s="1">
        <f>VLOOKUP(A685,META!A684:C1939,3)</f>
        <v>295.73</v>
      </c>
      <c r="J685" s="1">
        <f>VLOOKUP(A685,Nasdaq!A684:C1939,3)</f>
        <v>13223.99</v>
      </c>
    </row>
    <row r="686" spans="1:10" x14ac:dyDescent="0.2">
      <c r="A686" s="2">
        <v>45191</v>
      </c>
      <c r="B686" s="1">
        <f>VLOOKUP(A686,AAPL!A685:C1940,3)</f>
        <v>172.928</v>
      </c>
      <c r="C686" s="1">
        <f>VLOOKUP(A686,MSFT!A685:C1940,3)</f>
        <v>314.01900000000001</v>
      </c>
      <c r="D686" s="1">
        <f>VLOOKUP(A686,NVDA!A685:C1940,3)</f>
        <v>41.5944</v>
      </c>
      <c r="E686" s="1">
        <f>VLOOKUP(A686,AMD!A685:C1940,3)</f>
        <v>96.2</v>
      </c>
      <c r="F686" s="1">
        <f>VLOOKUP(A686,AMZN!A685:C1940,3)</f>
        <v>129.12</v>
      </c>
      <c r="G686" s="1">
        <f>VLOOKUP(A686,TSLA!A685:C1940,3)</f>
        <v>244.88</v>
      </c>
      <c r="H686" s="1">
        <f>VLOOKUP(A686,GOOGL!A685:C1940,3)</f>
        <v>129.78</v>
      </c>
      <c r="I686" s="1">
        <f>VLOOKUP(A686,META!A685:C1940,3)</f>
        <v>299.08</v>
      </c>
      <c r="J686" s="1">
        <f>VLOOKUP(A686,Nasdaq!A685:C1940,3)</f>
        <v>13211.81</v>
      </c>
    </row>
    <row r="687" spans="1:10" x14ac:dyDescent="0.2">
      <c r="A687" s="2">
        <v>45194</v>
      </c>
      <c r="B687" s="1">
        <f>VLOOKUP(A687,AAPL!A686:C1941,3)</f>
        <v>174.202</v>
      </c>
      <c r="C687" s="1">
        <f>VLOOKUP(A687,MSFT!A686:C1941,3)</f>
        <v>314.54399999999998</v>
      </c>
      <c r="D687" s="1">
        <f>VLOOKUP(A687,NVDA!A686:C1941,3)</f>
        <v>42.206299999999999</v>
      </c>
      <c r="E687" s="1">
        <f>VLOOKUP(A687,AMD!A686:C1941,3)</f>
        <v>97.38</v>
      </c>
      <c r="F687" s="1">
        <f>VLOOKUP(A687,AMZN!A686:C1941,3)</f>
        <v>131.27000000000001</v>
      </c>
      <c r="G687" s="1">
        <f>VLOOKUP(A687,TSLA!A686:C1941,3)</f>
        <v>246.99</v>
      </c>
      <c r="H687" s="1">
        <f>VLOOKUP(A687,GOOGL!A686:C1941,3)</f>
        <v>130.636</v>
      </c>
      <c r="I687" s="1">
        <f>VLOOKUP(A687,META!A686:C1941,3)</f>
        <v>300.83</v>
      </c>
      <c r="J687" s="1">
        <f>VLOOKUP(A687,Nasdaq!A686:C1941,3)</f>
        <v>13271.32</v>
      </c>
    </row>
    <row r="688" spans="1:10" x14ac:dyDescent="0.2">
      <c r="A688" s="2">
        <v>45195</v>
      </c>
      <c r="B688" s="1">
        <f>VLOOKUP(A688,AAPL!A687:C1942,3)</f>
        <v>170.12700000000001</v>
      </c>
      <c r="C688" s="1">
        <f>VLOOKUP(A688,MSFT!A687:C1942,3)</f>
        <v>309.19600000000003</v>
      </c>
      <c r="D688" s="1">
        <f>VLOOKUP(A688,NVDA!A687:C1942,3)</f>
        <v>41.895400000000002</v>
      </c>
      <c r="E688" s="1">
        <f>VLOOKUP(A688,AMD!A687:C1942,3)</f>
        <v>95.96</v>
      </c>
      <c r="F688" s="1">
        <f>VLOOKUP(A688,AMZN!A687:C1942,3)</f>
        <v>125.98</v>
      </c>
      <c r="G688" s="1">
        <f>VLOOKUP(A688,TSLA!A687:C1942,3)</f>
        <v>244.12</v>
      </c>
      <c r="H688" s="1">
        <f>VLOOKUP(A688,GOOGL!A687:C1942,3)</f>
        <v>128.101</v>
      </c>
      <c r="I688" s="1">
        <f>VLOOKUP(A688,META!A687:C1942,3)</f>
        <v>298.95999999999998</v>
      </c>
      <c r="J688" s="1">
        <f>VLOOKUP(A688,Nasdaq!A687:C1942,3)</f>
        <v>13063.61</v>
      </c>
    </row>
    <row r="689" spans="1:10" x14ac:dyDescent="0.2">
      <c r="A689" s="2">
        <v>45196</v>
      </c>
      <c r="B689" s="1">
        <f>VLOOKUP(A689,AAPL!A688:C1943,3)</f>
        <v>168.614</v>
      </c>
      <c r="C689" s="1">
        <f>VLOOKUP(A689,MSFT!A688:C1943,3)</f>
        <v>309.839</v>
      </c>
      <c r="D689" s="1">
        <f>VLOOKUP(A689,NVDA!A688:C1943,3)</f>
        <v>42.452300000000001</v>
      </c>
      <c r="E689" s="1">
        <f>VLOOKUP(A689,AMD!A688:C1943,3)</f>
        <v>98.07</v>
      </c>
      <c r="F689" s="1">
        <f>VLOOKUP(A689,AMZN!A688:C1943,3)</f>
        <v>125.98</v>
      </c>
      <c r="G689" s="1">
        <f>VLOOKUP(A689,TSLA!A688:C1943,3)</f>
        <v>240.5</v>
      </c>
      <c r="H689" s="1">
        <f>VLOOKUP(A689,GOOGL!A688:C1943,3)</f>
        <v>130.06800000000001</v>
      </c>
      <c r="I689" s="1">
        <f>VLOOKUP(A689,META!A688:C1943,3)</f>
        <v>297.74</v>
      </c>
      <c r="J689" s="1">
        <f>VLOOKUP(A689,Nasdaq!A688:C1943,3)</f>
        <v>13092.85</v>
      </c>
    </row>
    <row r="690" spans="1:10" x14ac:dyDescent="0.2">
      <c r="A690" s="2">
        <v>45197</v>
      </c>
      <c r="B690" s="1">
        <f>VLOOKUP(A690,AAPL!A689:C1944,3)</f>
        <v>168.869</v>
      </c>
      <c r="C690" s="1">
        <f>VLOOKUP(A690,MSFT!A689:C1944,3)</f>
        <v>310.68099999999998</v>
      </c>
      <c r="D690" s="1">
        <f>VLOOKUP(A690,NVDA!A689:C1944,3)</f>
        <v>43.073</v>
      </c>
      <c r="E690" s="1">
        <f>VLOOKUP(A690,AMD!A689:C1944,3)</f>
        <v>102.76</v>
      </c>
      <c r="F690" s="1">
        <f>VLOOKUP(A690,AMZN!A689:C1944,3)</f>
        <v>125.98</v>
      </c>
      <c r="G690" s="1">
        <f>VLOOKUP(A690,TSLA!A689:C1944,3)</f>
        <v>246.38</v>
      </c>
      <c r="H690" s="1">
        <f>VLOOKUP(A690,GOOGL!A689:C1944,3)</f>
        <v>131.83199999999999</v>
      </c>
      <c r="I690" s="1">
        <f>VLOOKUP(A690,META!A689:C1944,3)</f>
        <v>303.95999999999998</v>
      </c>
      <c r="J690" s="1">
        <f>VLOOKUP(A690,Nasdaq!A689:C1944,3)</f>
        <v>13201.28</v>
      </c>
    </row>
    <row r="691" spans="1:10" x14ac:dyDescent="0.2">
      <c r="A691" s="2">
        <v>45198</v>
      </c>
      <c r="B691" s="1">
        <f>VLOOKUP(A691,AAPL!A690:C1945,3)</f>
        <v>169.386</v>
      </c>
      <c r="C691" s="1">
        <f>VLOOKUP(A691,MSFT!A690:C1945,3)</f>
        <v>312.77100000000002</v>
      </c>
      <c r="D691" s="1">
        <f>VLOOKUP(A691,NVDA!A690:C1945,3)</f>
        <v>43.482900000000001</v>
      </c>
      <c r="E691" s="1">
        <f>VLOOKUP(A691,AMD!A690:C1945,3)</f>
        <v>102.82</v>
      </c>
      <c r="F691" s="1">
        <f>VLOOKUP(A691,AMZN!A690:C1945,3)</f>
        <v>127.12</v>
      </c>
      <c r="G691" s="1">
        <f>VLOOKUP(A691,TSLA!A690:C1945,3)</f>
        <v>250.22</v>
      </c>
      <c r="H691" s="1">
        <f>VLOOKUP(A691,GOOGL!A690:C1945,3)</f>
        <v>130.38800000000001</v>
      </c>
      <c r="I691" s="1">
        <f>VLOOKUP(A691,META!A690:C1945,3)</f>
        <v>300.20999999999998</v>
      </c>
      <c r="J691" s="1">
        <f>VLOOKUP(A691,Nasdaq!A690:C1945,3)</f>
        <v>13219.32</v>
      </c>
    </row>
    <row r="692" spans="1:10" x14ac:dyDescent="0.2">
      <c r="A692" s="2">
        <v>45201</v>
      </c>
      <c r="B692" s="1">
        <f>VLOOKUP(A692,AAPL!A691:C1946,3)</f>
        <v>171.89699999999999</v>
      </c>
      <c r="C692" s="1">
        <f>VLOOKUP(A692,MSFT!A691:C1946,3)</f>
        <v>318.76400000000001</v>
      </c>
      <c r="D692" s="1">
        <f>VLOOKUP(A692,NVDA!A691:C1946,3)</f>
        <v>44.7654</v>
      </c>
      <c r="E692" s="1">
        <f>VLOOKUP(A692,AMD!A691:C1946,3)</f>
        <v>103.27</v>
      </c>
      <c r="F692" s="1">
        <f>VLOOKUP(A692,AMZN!A691:C1946,3)</f>
        <v>129.46</v>
      </c>
      <c r="G692" s="1">
        <f>VLOOKUP(A692,TSLA!A691:C1946,3)</f>
        <v>251.6</v>
      </c>
      <c r="H692" s="1">
        <f>VLOOKUP(A692,GOOGL!A691:C1946,3)</f>
        <v>133.685</v>
      </c>
      <c r="I692" s="1">
        <f>VLOOKUP(A692,META!A691:C1946,3)</f>
        <v>306.82</v>
      </c>
      <c r="J692" s="1">
        <f>VLOOKUP(A692,Nasdaq!A691:C1946,3)</f>
        <v>13307.77</v>
      </c>
    </row>
    <row r="693" spans="1:10" x14ac:dyDescent="0.2">
      <c r="A693" s="2">
        <v>45202</v>
      </c>
      <c r="B693" s="1">
        <f>VLOOKUP(A693,AAPL!A692:C1947,3)</f>
        <v>170.56200000000001</v>
      </c>
      <c r="C693" s="1">
        <f>VLOOKUP(A693,MSFT!A692:C1947,3)</f>
        <v>310.43400000000003</v>
      </c>
      <c r="D693" s="1">
        <f>VLOOKUP(A693,NVDA!A692:C1947,3)</f>
        <v>43.500900000000001</v>
      </c>
      <c r="E693" s="1">
        <f>VLOOKUP(A693,AMD!A692:C1947,3)</f>
        <v>100.08</v>
      </c>
      <c r="F693" s="1">
        <f>VLOOKUP(A693,AMZN!A692:C1947,3)</f>
        <v>124.72</v>
      </c>
      <c r="G693" s="1">
        <f>VLOOKUP(A693,TSLA!A692:C1947,3)</f>
        <v>246.53</v>
      </c>
      <c r="H693" s="1">
        <f>VLOOKUP(A693,GOOGL!A692:C1947,3)</f>
        <v>131.952</v>
      </c>
      <c r="I693" s="1">
        <f>VLOOKUP(A693,META!A692:C1947,3)</f>
        <v>300.94</v>
      </c>
      <c r="J693" s="1">
        <f>VLOOKUP(A693,Nasdaq!A692:C1947,3)</f>
        <v>13059.47</v>
      </c>
    </row>
    <row r="694" spans="1:10" x14ac:dyDescent="0.2">
      <c r="A694" s="2">
        <v>45203</v>
      </c>
      <c r="B694" s="1">
        <f>VLOOKUP(A694,AAPL!A693:C1948,3)</f>
        <v>171.80799999999999</v>
      </c>
      <c r="C694" s="1">
        <f>VLOOKUP(A694,MSFT!A693:C1948,3)</f>
        <v>315.94600000000003</v>
      </c>
      <c r="D694" s="1">
        <f>VLOOKUP(A694,NVDA!A693:C1948,3)</f>
        <v>44.0246</v>
      </c>
      <c r="E694" s="1">
        <f>VLOOKUP(A694,AMD!A693:C1948,3)</f>
        <v>104.07</v>
      </c>
      <c r="F694" s="1">
        <f>VLOOKUP(A694,AMZN!A693:C1948,3)</f>
        <v>127</v>
      </c>
      <c r="G694" s="1">
        <f>VLOOKUP(A694,TSLA!A693:C1948,3)</f>
        <v>261.16000000000003</v>
      </c>
      <c r="H694" s="1">
        <f>VLOOKUP(A694,GOOGL!A693:C1948,3)</f>
        <v>134.75200000000001</v>
      </c>
      <c r="I694" s="1">
        <f>VLOOKUP(A694,META!A693:C1948,3)</f>
        <v>305.58</v>
      </c>
      <c r="J694" s="1">
        <f>VLOOKUP(A694,Nasdaq!A693:C1948,3)</f>
        <v>13236.01</v>
      </c>
    </row>
    <row r="695" spans="1:10" x14ac:dyDescent="0.2">
      <c r="A695" s="2">
        <v>45204</v>
      </c>
      <c r="B695" s="1">
        <f>VLOOKUP(A695,AAPL!A694:C1949,3)</f>
        <v>173.04599999999999</v>
      </c>
      <c r="C695" s="1">
        <f>VLOOKUP(A695,MSFT!A694:C1949,3)</f>
        <v>316.34800000000001</v>
      </c>
      <c r="D695" s="1">
        <f>VLOOKUP(A695,NVDA!A694:C1949,3)</f>
        <v>44.671399999999998</v>
      </c>
      <c r="E695" s="1">
        <f>VLOOKUP(A695,AMD!A694:C1949,3)</f>
        <v>102.91</v>
      </c>
      <c r="F695" s="1">
        <f>VLOOKUP(A695,AMZN!A694:C1949,3)</f>
        <v>125.96</v>
      </c>
      <c r="G695" s="1">
        <f>VLOOKUP(A695,TSLA!A694:C1949,3)</f>
        <v>260.05</v>
      </c>
      <c r="H695" s="1">
        <f>VLOOKUP(A695,GOOGL!A694:C1949,3)</f>
        <v>134.58199999999999</v>
      </c>
      <c r="I695" s="1">
        <f>VLOOKUP(A695,META!A694:C1949,3)</f>
        <v>304.79000000000002</v>
      </c>
      <c r="J695" s="1">
        <f>VLOOKUP(A695,Nasdaq!A694:C1949,3)</f>
        <v>13219.83</v>
      </c>
    </row>
    <row r="696" spans="1:10" x14ac:dyDescent="0.2">
      <c r="A696" s="2">
        <v>45205</v>
      </c>
      <c r="B696" s="1">
        <f>VLOOKUP(A696,AAPL!A695:C1950,3)</f>
        <v>175.59800000000001</v>
      </c>
      <c r="C696" s="1">
        <f>VLOOKUP(A696,MSFT!A695:C1950,3)</f>
        <v>324.173</v>
      </c>
      <c r="D696" s="1">
        <f>VLOOKUP(A696,NVDA!A695:C1950,3)</f>
        <v>45.744999999999997</v>
      </c>
      <c r="E696" s="1">
        <f>VLOOKUP(A696,AMD!A695:C1950,3)</f>
        <v>107.24</v>
      </c>
      <c r="F696" s="1">
        <f>VLOOKUP(A696,AMZN!A695:C1950,3)</f>
        <v>127.96</v>
      </c>
      <c r="G696" s="1">
        <f>VLOOKUP(A696,TSLA!A695:C1950,3)</f>
        <v>260.52999999999997</v>
      </c>
      <c r="H696" s="1">
        <f>VLOOKUP(A696,GOOGL!A695:C1950,3)</f>
        <v>137.083</v>
      </c>
      <c r="I696" s="1">
        <f>VLOOKUP(A696,META!A695:C1950,3)</f>
        <v>315.43</v>
      </c>
      <c r="J696" s="1">
        <f>VLOOKUP(A696,Nasdaq!A695:C1950,3)</f>
        <v>13431.34</v>
      </c>
    </row>
    <row r="697" spans="1:10" x14ac:dyDescent="0.2">
      <c r="A697" s="2">
        <v>45208</v>
      </c>
      <c r="B697" s="1">
        <f>VLOOKUP(A697,AAPL!A696:C1951,3)</f>
        <v>177.08099999999999</v>
      </c>
      <c r="C697" s="1">
        <f>VLOOKUP(A697,MSFT!A696:C1951,3)</f>
        <v>326.70800000000003</v>
      </c>
      <c r="D697" s="1">
        <f>VLOOKUP(A697,NVDA!A696:C1951,3)</f>
        <v>45.2562</v>
      </c>
      <c r="E697" s="1">
        <f>VLOOKUP(A697,AMD!A696:C1951,3)</f>
        <v>106.97</v>
      </c>
      <c r="F697" s="1">
        <f>VLOOKUP(A697,AMZN!A696:C1951,3)</f>
        <v>128.26</v>
      </c>
      <c r="G697" s="1">
        <f>VLOOKUP(A697,TSLA!A696:C1951,3)</f>
        <v>259.67</v>
      </c>
      <c r="H697" s="1">
        <f>VLOOKUP(A697,GOOGL!A696:C1951,3)</f>
        <v>137.91999999999999</v>
      </c>
      <c r="I697" s="1">
        <f>VLOOKUP(A697,META!A696:C1951,3)</f>
        <v>318.36</v>
      </c>
      <c r="J697" s="1">
        <f>VLOOKUP(A697,Nasdaq!A696:C1951,3)</f>
        <v>13484.24</v>
      </c>
    </row>
    <row r="698" spans="1:10" x14ac:dyDescent="0.2">
      <c r="A698" s="2">
        <v>45209</v>
      </c>
      <c r="B698" s="1">
        <f>VLOOKUP(A698,AAPL!A697:C1952,3)</f>
        <v>176.489</v>
      </c>
      <c r="C698" s="1">
        <f>VLOOKUP(A698,MSFT!A697:C1952,3)</f>
        <v>325.29300000000001</v>
      </c>
      <c r="D698" s="1">
        <f>VLOOKUP(A698,NVDA!A697:C1952,3)</f>
        <v>45.780999999999999</v>
      </c>
      <c r="E698" s="1">
        <f>VLOOKUP(A698,AMD!A697:C1952,3)</f>
        <v>109.01</v>
      </c>
      <c r="F698" s="1">
        <f>VLOOKUP(A698,AMZN!A697:C1952,3)</f>
        <v>129.47999999999999</v>
      </c>
      <c r="G698" s="1">
        <f>VLOOKUP(A698,TSLA!A697:C1952,3)</f>
        <v>263.62</v>
      </c>
      <c r="H698" s="1">
        <f>VLOOKUP(A698,GOOGL!A697:C1952,3)</f>
        <v>137.56100000000001</v>
      </c>
      <c r="I698" s="1">
        <f>VLOOKUP(A698,META!A697:C1952,3)</f>
        <v>321.83999999999997</v>
      </c>
      <c r="J698" s="1">
        <f>VLOOKUP(A698,Nasdaq!A697:C1952,3)</f>
        <v>13562.84</v>
      </c>
    </row>
    <row r="699" spans="1:10" x14ac:dyDescent="0.2">
      <c r="A699" s="2">
        <v>45210</v>
      </c>
      <c r="B699" s="1">
        <f>VLOOKUP(A699,AAPL!A698:C1953,3)</f>
        <v>177.88300000000001</v>
      </c>
      <c r="C699" s="1">
        <f>VLOOKUP(A699,MSFT!A698:C1953,3)</f>
        <v>329.28500000000003</v>
      </c>
      <c r="D699" s="1">
        <f>VLOOKUP(A699,NVDA!A698:C1953,3)</f>
        <v>46.788699999999999</v>
      </c>
      <c r="E699" s="1">
        <f>VLOOKUP(A699,AMD!A698:C1953,3)</f>
        <v>108.31</v>
      </c>
      <c r="F699" s="1">
        <f>VLOOKUP(A699,AMZN!A698:C1953,3)</f>
        <v>131.83000000000001</v>
      </c>
      <c r="G699" s="1">
        <f>VLOOKUP(A699,TSLA!A698:C1953,3)</f>
        <v>262.99</v>
      </c>
      <c r="H699" s="1">
        <f>VLOOKUP(A699,GOOGL!A698:C1953,3)</f>
        <v>140.04300000000001</v>
      </c>
      <c r="I699" s="1">
        <f>VLOOKUP(A699,META!A698:C1953,3)</f>
        <v>327.82</v>
      </c>
      <c r="J699" s="1">
        <f>VLOOKUP(A699,Nasdaq!A698:C1953,3)</f>
        <v>13659.68</v>
      </c>
    </row>
    <row r="700" spans="1:10" x14ac:dyDescent="0.2">
      <c r="A700" s="2">
        <v>45211</v>
      </c>
      <c r="B700" s="1">
        <f>VLOOKUP(A700,AAPL!A699:C1954,3)</f>
        <v>178.78399999999999</v>
      </c>
      <c r="C700" s="1">
        <f>VLOOKUP(A700,MSFT!A699:C1954,3)</f>
        <v>328.036</v>
      </c>
      <c r="D700" s="1">
        <f>VLOOKUP(A700,NVDA!A699:C1954,3)</f>
        <v>46.927599999999998</v>
      </c>
      <c r="E700" s="1">
        <f>VLOOKUP(A700,AMD!A699:C1954,3)</f>
        <v>108.79</v>
      </c>
      <c r="F700" s="1">
        <f>VLOOKUP(A700,AMZN!A699:C1954,3)</f>
        <v>132.33000000000001</v>
      </c>
      <c r="G700" s="1">
        <f>VLOOKUP(A700,TSLA!A699:C1954,3)</f>
        <v>258.87</v>
      </c>
      <c r="H700" s="1">
        <f>VLOOKUP(A700,GOOGL!A699:C1954,3)</f>
        <v>138.46799999999999</v>
      </c>
      <c r="I700" s="1">
        <f>VLOOKUP(A700,META!A699:C1954,3)</f>
        <v>324.16000000000003</v>
      </c>
      <c r="J700" s="1">
        <f>VLOOKUP(A700,Nasdaq!A699:C1954,3)</f>
        <v>13574.22</v>
      </c>
    </row>
    <row r="701" spans="1:10" x14ac:dyDescent="0.2">
      <c r="A701" s="2">
        <v>45212</v>
      </c>
      <c r="B701" s="1">
        <f>VLOOKUP(A701,AAPL!A700:C1955,3)</f>
        <v>176.94200000000001</v>
      </c>
      <c r="C701" s="1">
        <f>VLOOKUP(A701,MSFT!A700:C1955,3)</f>
        <v>324.63799999999998</v>
      </c>
      <c r="D701" s="1">
        <f>VLOOKUP(A701,NVDA!A700:C1955,3)</f>
        <v>45.444200000000002</v>
      </c>
      <c r="E701" s="1">
        <f>VLOOKUP(A701,AMD!A700:C1955,3)</f>
        <v>105.09</v>
      </c>
      <c r="F701" s="1">
        <f>VLOOKUP(A701,AMZN!A700:C1955,3)</f>
        <v>129.79</v>
      </c>
      <c r="G701" s="1">
        <f>VLOOKUP(A701,TSLA!A700:C1955,3)</f>
        <v>251.12</v>
      </c>
      <c r="H701" s="1">
        <f>VLOOKUP(A701,GOOGL!A700:C1955,3)</f>
        <v>136.864</v>
      </c>
      <c r="I701" s="1">
        <f>VLOOKUP(A701,META!A700:C1955,3)</f>
        <v>314.69</v>
      </c>
      <c r="J701" s="1">
        <f>VLOOKUP(A701,Nasdaq!A700:C1955,3)</f>
        <v>13407.23</v>
      </c>
    </row>
    <row r="702" spans="1:10" x14ac:dyDescent="0.2">
      <c r="A702" s="2">
        <v>45215</v>
      </c>
      <c r="B702" s="1">
        <f>VLOOKUP(A702,AAPL!A701:C1956,3)</f>
        <v>176.81700000000001</v>
      </c>
      <c r="C702" s="1">
        <f>VLOOKUP(A702,MSFT!A701:C1956,3)</f>
        <v>329.50099999999998</v>
      </c>
      <c r="D702" s="1">
        <f>VLOOKUP(A702,NVDA!A701:C1956,3)</f>
        <v>46.077800000000003</v>
      </c>
      <c r="E702" s="1">
        <f>VLOOKUP(A702,AMD!A701:C1956,3)</f>
        <v>106.46</v>
      </c>
      <c r="F702" s="1">
        <f>VLOOKUP(A702,AMZN!A701:C1956,3)</f>
        <v>132.55000000000001</v>
      </c>
      <c r="G702" s="1">
        <f>VLOOKUP(A702,TSLA!A701:C1956,3)</f>
        <v>253.92</v>
      </c>
      <c r="H702" s="1">
        <f>VLOOKUP(A702,GOOGL!A701:C1956,3)</f>
        <v>138.59299999999999</v>
      </c>
      <c r="I702" s="1">
        <f>VLOOKUP(A702,META!A701:C1956,3)</f>
        <v>321.14999999999998</v>
      </c>
      <c r="J702" s="1">
        <f>VLOOKUP(A702,Nasdaq!A701:C1956,3)</f>
        <v>13567.98</v>
      </c>
    </row>
    <row r="703" spans="1:10" x14ac:dyDescent="0.2">
      <c r="A703" s="2">
        <v>45216</v>
      </c>
      <c r="B703" s="1">
        <f>VLOOKUP(A703,AAPL!A702:C1957,3)</f>
        <v>175.26300000000001</v>
      </c>
      <c r="C703" s="1">
        <f>VLOOKUP(A703,MSFT!A702:C1957,3)</f>
        <v>328.92700000000002</v>
      </c>
      <c r="D703" s="1">
        <f>VLOOKUP(A703,NVDA!A702:C1957,3)</f>
        <v>43.921599999999998</v>
      </c>
      <c r="E703" s="1">
        <f>VLOOKUP(A703,AMD!A702:C1957,3)</f>
        <v>105.14</v>
      </c>
      <c r="F703" s="1">
        <f>VLOOKUP(A703,AMZN!A702:C1957,3)</f>
        <v>131.47</v>
      </c>
      <c r="G703" s="1">
        <f>VLOOKUP(A703,TSLA!A702:C1957,3)</f>
        <v>254.85</v>
      </c>
      <c r="H703" s="1">
        <f>VLOOKUP(A703,GOOGL!A702:C1957,3)</f>
        <v>139.215</v>
      </c>
      <c r="I703" s="1">
        <f>VLOOKUP(A703,META!A702:C1957,3)</f>
        <v>324</v>
      </c>
      <c r="J703" s="1">
        <f>VLOOKUP(A703,Nasdaq!A702:C1957,3)</f>
        <v>13533.75</v>
      </c>
    </row>
    <row r="704" spans="1:10" x14ac:dyDescent="0.2">
      <c r="A704" s="2">
        <v>45217</v>
      </c>
      <c r="B704" s="1">
        <f>VLOOKUP(A704,AAPL!A703:C1958,3)</f>
        <v>173.965</v>
      </c>
      <c r="C704" s="1">
        <f>VLOOKUP(A704,MSFT!A703:C1958,3)</f>
        <v>326.995</v>
      </c>
      <c r="D704" s="1">
        <f>VLOOKUP(A704,NVDA!A703:C1958,3)</f>
        <v>42.180300000000003</v>
      </c>
      <c r="E704" s="1">
        <f>VLOOKUP(A704,AMD!A703:C1958,3)</f>
        <v>102.17</v>
      </c>
      <c r="F704" s="1">
        <f>VLOOKUP(A704,AMZN!A703:C1958,3)</f>
        <v>128.13</v>
      </c>
      <c r="G704" s="1">
        <f>VLOOKUP(A704,TSLA!A703:C1958,3)</f>
        <v>242.68</v>
      </c>
      <c r="H704" s="1">
        <f>VLOOKUP(A704,GOOGL!A703:C1958,3)</f>
        <v>137.46100000000001</v>
      </c>
      <c r="I704" s="1">
        <f>VLOOKUP(A704,META!A703:C1958,3)</f>
        <v>316.97000000000003</v>
      </c>
      <c r="J704" s="1">
        <f>VLOOKUP(A704,Nasdaq!A703:C1958,3)</f>
        <v>13314.3</v>
      </c>
    </row>
    <row r="705" spans="1:10" x14ac:dyDescent="0.2">
      <c r="A705" s="2">
        <v>45218</v>
      </c>
      <c r="B705" s="1">
        <f>VLOOKUP(A705,AAPL!A704:C1959,3)</f>
        <v>173.59</v>
      </c>
      <c r="C705" s="1">
        <f>VLOOKUP(A705,MSFT!A704:C1959,3)</f>
        <v>328.19499999999999</v>
      </c>
      <c r="D705" s="1">
        <f>VLOOKUP(A705,NVDA!A704:C1959,3)</f>
        <v>42.085299999999997</v>
      </c>
      <c r="E705" s="1">
        <f>VLOOKUP(A705,AMD!A704:C1959,3)</f>
        <v>102.4</v>
      </c>
      <c r="F705" s="1">
        <f>VLOOKUP(A705,AMZN!A704:C1959,3)</f>
        <v>128.4</v>
      </c>
      <c r="G705" s="1">
        <f>VLOOKUP(A705,TSLA!A704:C1959,3)</f>
        <v>220.11</v>
      </c>
      <c r="H705" s="1">
        <f>VLOOKUP(A705,GOOGL!A704:C1959,3)</f>
        <v>137.25299999999999</v>
      </c>
      <c r="I705" s="1">
        <f>VLOOKUP(A705,META!A704:C1959,3)</f>
        <v>312.81</v>
      </c>
      <c r="J705" s="1">
        <f>VLOOKUP(A705,Nasdaq!A704:C1959,3)</f>
        <v>13186.17</v>
      </c>
    </row>
    <row r="706" spans="1:10" x14ac:dyDescent="0.2">
      <c r="A706" s="2">
        <v>45219</v>
      </c>
      <c r="B706" s="1">
        <f>VLOOKUP(A706,AAPL!A705:C1960,3)</f>
        <v>171.03700000000001</v>
      </c>
      <c r="C706" s="1">
        <f>VLOOKUP(A706,MSFT!A705:C1960,3)</f>
        <v>323.58800000000002</v>
      </c>
      <c r="D706" s="1">
        <f>VLOOKUP(A706,NVDA!A705:C1960,3)</f>
        <v>41.371699999999997</v>
      </c>
      <c r="E706" s="1">
        <f>VLOOKUP(A706,AMD!A705:C1960,3)</f>
        <v>101.81</v>
      </c>
      <c r="F706" s="1">
        <f>VLOOKUP(A706,AMZN!A705:C1960,3)</f>
        <v>125.17</v>
      </c>
      <c r="G706" s="1">
        <f>VLOOKUP(A706,TSLA!A705:C1960,3)</f>
        <v>211.99</v>
      </c>
      <c r="H706" s="1">
        <f>VLOOKUP(A706,GOOGL!A705:C1960,3)</f>
        <v>135.11099999999999</v>
      </c>
      <c r="I706" s="1">
        <f>VLOOKUP(A706,META!A705:C1960,3)</f>
        <v>308.64999999999998</v>
      </c>
      <c r="J706" s="1">
        <f>VLOOKUP(A706,Nasdaq!A705:C1960,3)</f>
        <v>12983.81</v>
      </c>
    </row>
    <row r="707" spans="1:10" x14ac:dyDescent="0.2">
      <c r="A707" s="2">
        <v>45222</v>
      </c>
      <c r="B707" s="1">
        <f>VLOOKUP(A707,AAPL!A706:C1961,3)</f>
        <v>171.15600000000001</v>
      </c>
      <c r="C707" s="1">
        <f>VLOOKUP(A707,MSFT!A706:C1961,3)</f>
        <v>326.21300000000002</v>
      </c>
      <c r="D707" s="1">
        <f>VLOOKUP(A707,NVDA!A706:C1961,3)</f>
        <v>42.959000000000003</v>
      </c>
      <c r="E707" s="1">
        <f>VLOOKUP(A707,AMD!A706:C1961,3)</f>
        <v>100.01</v>
      </c>
      <c r="F707" s="1">
        <f>VLOOKUP(A707,AMZN!A706:C1961,3)</f>
        <v>126.56</v>
      </c>
      <c r="G707" s="1">
        <f>VLOOKUP(A707,TSLA!A706:C1961,3)</f>
        <v>212.08</v>
      </c>
      <c r="H707" s="1">
        <f>VLOOKUP(A707,GOOGL!A706:C1961,3)</f>
        <v>136.00700000000001</v>
      </c>
      <c r="I707" s="1">
        <f>VLOOKUP(A707,META!A706:C1961,3)</f>
        <v>314.01</v>
      </c>
      <c r="J707" s="1">
        <f>VLOOKUP(A707,Nasdaq!A706:C1961,3)</f>
        <v>13018.33</v>
      </c>
    </row>
    <row r="708" spans="1:10" x14ac:dyDescent="0.2">
      <c r="A708" s="2">
        <v>45223</v>
      </c>
      <c r="B708" s="1">
        <f>VLOOKUP(A708,AAPL!A707:C1962,3)</f>
        <v>171.59200000000001</v>
      </c>
      <c r="C708" s="1">
        <f>VLOOKUP(A708,MSFT!A707:C1962,3)</f>
        <v>327.41199999999998</v>
      </c>
      <c r="D708" s="1">
        <f>VLOOKUP(A708,NVDA!A707:C1962,3)</f>
        <v>43.646900000000002</v>
      </c>
      <c r="E708" s="1">
        <f>VLOOKUP(A708,AMD!A707:C1962,3)</f>
        <v>101.67</v>
      </c>
      <c r="F708" s="1">
        <f>VLOOKUP(A708,AMZN!A707:C1962,3)</f>
        <v>128.56</v>
      </c>
      <c r="G708" s="1">
        <f>VLOOKUP(A708,TSLA!A707:C1962,3)</f>
        <v>216.52</v>
      </c>
      <c r="H708" s="1">
        <f>VLOOKUP(A708,GOOGL!A707:C1962,3)</f>
        <v>138.30799999999999</v>
      </c>
      <c r="I708" s="1">
        <f>VLOOKUP(A708,META!A707:C1962,3)</f>
        <v>312.55</v>
      </c>
      <c r="J708" s="1">
        <f>VLOOKUP(A708,Nasdaq!A707:C1962,3)</f>
        <v>13139.88</v>
      </c>
    </row>
    <row r="709" spans="1:10" x14ac:dyDescent="0.2">
      <c r="A709" s="2">
        <v>45224</v>
      </c>
      <c r="B709" s="1">
        <f>VLOOKUP(A709,AAPL!A708:C1963,3)</f>
        <v>169.27699999999999</v>
      </c>
      <c r="C709" s="1">
        <f>VLOOKUP(A709,MSFT!A708:C1963,3)</f>
        <v>337.45699999999999</v>
      </c>
      <c r="D709" s="1">
        <f>VLOOKUP(A709,NVDA!A708:C1963,3)</f>
        <v>41.763399999999997</v>
      </c>
      <c r="E709" s="1">
        <f>VLOOKUP(A709,AMD!A708:C1963,3)</f>
        <v>96.055000000000007</v>
      </c>
      <c r="F709" s="1">
        <f>VLOOKUP(A709,AMZN!A708:C1963,3)</f>
        <v>121.39</v>
      </c>
      <c r="G709" s="1">
        <f>VLOOKUP(A709,TSLA!A708:C1963,3)</f>
        <v>212.42</v>
      </c>
      <c r="H709" s="1">
        <f>VLOOKUP(A709,GOOGL!A708:C1963,3)</f>
        <v>125.157</v>
      </c>
      <c r="I709" s="1">
        <f>VLOOKUP(A709,META!A708:C1963,3)</f>
        <v>299.52999999999997</v>
      </c>
      <c r="J709" s="1">
        <f>VLOOKUP(A709,Nasdaq!A708:C1963,3)</f>
        <v>12821.22</v>
      </c>
    </row>
    <row r="710" spans="1:10" x14ac:dyDescent="0.2">
      <c r="A710" s="2">
        <v>45225</v>
      </c>
      <c r="B710" s="1">
        <f>VLOOKUP(A710,AAPL!A709:C1964,3)</f>
        <v>165.11199999999999</v>
      </c>
      <c r="C710" s="1">
        <f>VLOOKUP(A710,MSFT!A709:C1964,3)</f>
        <v>324.79700000000003</v>
      </c>
      <c r="D710" s="1">
        <f>VLOOKUP(A710,NVDA!A709:C1964,3)</f>
        <v>40.311100000000003</v>
      </c>
      <c r="E710" s="1">
        <f>VLOOKUP(A710,AMD!A709:C1964,3)</f>
        <v>93.67</v>
      </c>
      <c r="F710" s="1">
        <f>VLOOKUP(A710,AMZN!A709:C1964,3)</f>
        <v>119.57</v>
      </c>
      <c r="G710" s="1">
        <f>VLOOKUP(A710,TSLA!A709:C1964,3)</f>
        <v>205.76</v>
      </c>
      <c r="H710" s="1">
        <f>VLOOKUP(A710,GOOGL!A709:C1964,3)</f>
        <v>121.83799999999999</v>
      </c>
      <c r="I710" s="1">
        <f>VLOOKUP(A710,META!A709:C1964,3)</f>
        <v>288.35000000000002</v>
      </c>
      <c r="J710" s="1">
        <f>VLOOKUP(A710,Nasdaq!A709:C1964,3)</f>
        <v>12595.61</v>
      </c>
    </row>
    <row r="711" spans="1:10" x14ac:dyDescent="0.2">
      <c r="A711" s="2">
        <v>45226</v>
      </c>
      <c r="B711" s="1">
        <f>VLOOKUP(A711,AAPL!A710:C1965,3)</f>
        <v>166.42699999999999</v>
      </c>
      <c r="C711" s="1">
        <f>VLOOKUP(A711,MSFT!A710:C1965,3)</f>
        <v>326.69799999999998</v>
      </c>
      <c r="D711" s="1">
        <f>VLOOKUP(A711,NVDA!A710:C1965,3)</f>
        <v>40.484900000000003</v>
      </c>
      <c r="E711" s="1">
        <f>VLOOKUP(A711,AMD!A710:C1965,3)</f>
        <v>96.43</v>
      </c>
      <c r="F711" s="1">
        <f>VLOOKUP(A711,AMZN!A710:C1965,3)</f>
        <v>127.74</v>
      </c>
      <c r="G711" s="1">
        <f>VLOOKUP(A711,TSLA!A710:C1965,3)</f>
        <v>207.3</v>
      </c>
      <c r="H711" s="1">
        <f>VLOOKUP(A711,GOOGL!A710:C1965,3)</f>
        <v>121.72799999999999</v>
      </c>
      <c r="I711" s="1">
        <f>VLOOKUP(A711,META!A710:C1965,3)</f>
        <v>296.73</v>
      </c>
      <c r="J711" s="1">
        <f>VLOOKUP(A711,Nasdaq!A710:C1965,3)</f>
        <v>12643.01</v>
      </c>
    </row>
    <row r="712" spans="1:10" x14ac:dyDescent="0.2">
      <c r="A712" s="2">
        <v>45229</v>
      </c>
      <c r="B712" s="1">
        <f>VLOOKUP(A712,AAPL!A711:C1966,3)</f>
        <v>168.476</v>
      </c>
      <c r="C712" s="1">
        <f>VLOOKUP(A712,MSFT!A711:C1966,3)</f>
        <v>334.12900000000002</v>
      </c>
      <c r="D712" s="1">
        <f>VLOOKUP(A712,NVDA!A711:C1966,3)</f>
        <v>41.145800000000001</v>
      </c>
      <c r="E712" s="1">
        <f>VLOOKUP(A712,AMD!A711:C1966,3)</f>
        <v>96.18</v>
      </c>
      <c r="F712" s="1">
        <f>VLOOKUP(A712,AMZN!A711:C1966,3)</f>
        <v>132.71</v>
      </c>
      <c r="G712" s="1">
        <f>VLOOKUP(A712,TSLA!A711:C1966,3)</f>
        <v>197.36</v>
      </c>
      <c r="H712" s="1">
        <f>VLOOKUP(A712,GOOGL!A711:C1966,3)</f>
        <v>124.01</v>
      </c>
      <c r="I712" s="1">
        <f>VLOOKUP(A712,META!A711:C1966,3)</f>
        <v>302.66000000000003</v>
      </c>
      <c r="J712" s="1">
        <f>VLOOKUP(A712,Nasdaq!A711:C1966,3)</f>
        <v>12789.48</v>
      </c>
    </row>
    <row r="713" spans="1:10" x14ac:dyDescent="0.2">
      <c r="A713" s="2">
        <v>45230</v>
      </c>
      <c r="B713" s="1">
        <f>VLOOKUP(A713,AAPL!A712:C1967,3)</f>
        <v>168.94900000000001</v>
      </c>
      <c r="C713" s="1">
        <f>VLOOKUP(A713,MSFT!A712:C1967,3)</f>
        <v>334.92099999999999</v>
      </c>
      <c r="D713" s="1">
        <f>VLOOKUP(A713,NVDA!A712:C1967,3)</f>
        <v>40.764899999999997</v>
      </c>
      <c r="E713" s="1">
        <f>VLOOKUP(A713,AMD!A712:C1967,3)</f>
        <v>98.5</v>
      </c>
      <c r="F713" s="1">
        <f>VLOOKUP(A713,AMZN!A712:C1967,3)</f>
        <v>133.09</v>
      </c>
      <c r="G713" s="1">
        <f>VLOOKUP(A713,TSLA!A712:C1967,3)</f>
        <v>200.84</v>
      </c>
      <c r="H713" s="1">
        <f>VLOOKUP(A713,GOOGL!A712:C1967,3)</f>
        <v>123.63200000000001</v>
      </c>
      <c r="I713" s="1">
        <f>VLOOKUP(A713,META!A712:C1967,3)</f>
        <v>301.27</v>
      </c>
      <c r="J713" s="1">
        <f>VLOOKUP(A713,Nasdaq!A712:C1967,3)</f>
        <v>12851.24</v>
      </c>
    </row>
    <row r="714" spans="1:10" x14ac:dyDescent="0.2">
      <c r="A714" s="2">
        <v>45231</v>
      </c>
      <c r="B714" s="1">
        <f>VLOOKUP(A714,AAPL!A713:C1968,3)</f>
        <v>172.11600000000001</v>
      </c>
      <c r="C714" s="1">
        <f>VLOOKUP(A714,MSFT!A713:C1968,3)</f>
        <v>342.80599999999998</v>
      </c>
      <c r="D714" s="1">
        <f>VLOOKUP(A714,NVDA!A713:C1968,3)</f>
        <v>42.3093</v>
      </c>
      <c r="E714" s="1">
        <f>VLOOKUP(A714,AMD!A713:C1968,3)</f>
        <v>108.04</v>
      </c>
      <c r="F714" s="1">
        <f>VLOOKUP(A714,AMZN!A713:C1968,3)</f>
        <v>137</v>
      </c>
      <c r="G714" s="1">
        <f>VLOOKUP(A714,TSLA!A713:C1968,3)</f>
        <v>205.66</v>
      </c>
      <c r="H714" s="1">
        <f>VLOOKUP(A714,GOOGL!A713:C1968,3)</f>
        <v>125.994</v>
      </c>
      <c r="I714" s="1">
        <f>VLOOKUP(A714,META!A713:C1968,3)</f>
        <v>311.85000000000002</v>
      </c>
      <c r="J714" s="1">
        <f>VLOOKUP(A714,Nasdaq!A713:C1968,3)</f>
        <v>13061.47</v>
      </c>
    </row>
    <row r="715" spans="1:10" x14ac:dyDescent="0.2">
      <c r="A715" s="2">
        <v>45232</v>
      </c>
      <c r="B715" s="1">
        <f>VLOOKUP(A715,AAPL!A714:C1969,3)</f>
        <v>175.67699999999999</v>
      </c>
      <c r="C715" s="1">
        <f>VLOOKUP(A715,MSFT!A714:C1969,3)</f>
        <v>345.03300000000002</v>
      </c>
      <c r="D715" s="1">
        <f>VLOOKUP(A715,NVDA!A714:C1969,3)</f>
        <v>43.489899999999999</v>
      </c>
      <c r="E715" s="1">
        <f>VLOOKUP(A715,AMD!A714:C1969,3)</f>
        <v>107.83</v>
      </c>
      <c r="F715" s="1">
        <f>VLOOKUP(A715,AMZN!A714:C1969,3)</f>
        <v>138.07</v>
      </c>
      <c r="G715" s="1">
        <f>VLOOKUP(A715,TSLA!A714:C1969,3)</f>
        <v>218.51</v>
      </c>
      <c r="H715" s="1">
        <f>VLOOKUP(A715,GOOGL!A714:C1969,3)</f>
        <v>127.029</v>
      </c>
      <c r="I715" s="1">
        <f>VLOOKUP(A715,META!A714:C1969,3)</f>
        <v>310.87</v>
      </c>
      <c r="J715" s="1">
        <f>VLOOKUP(A715,Nasdaq!A714:C1969,3)</f>
        <v>13294.19</v>
      </c>
    </row>
    <row r="716" spans="1:10" x14ac:dyDescent="0.2">
      <c r="A716" s="2">
        <v>45233</v>
      </c>
      <c r="B716" s="1">
        <f>VLOOKUP(A716,AAPL!A715:C1970,3)</f>
        <v>174.767</v>
      </c>
      <c r="C716" s="1">
        <f>VLOOKUP(A716,MSFT!A715:C1970,3)</f>
        <v>349.471</v>
      </c>
      <c r="D716" s="1">
        <f>VLOOKUP(A716,NVDA!A715:C1970,3)</f>
        <v>44.988300000000002</v>
      </c>
      <c r="E716" s="1">
        <f>VLOOKUP(A716,AMD!A715:C1970,3)</f>
        <v>112.25</v>
      </c>
      <c r="F716" s="1">
        <f>VLOOKUP(A716,AMZN!A715:C1970,3)</f>
        <v>138.6</v>
      </c>
      <c r="G716" s="1">
        <f>VLOOKUP(A716,TSLA!A715:C1970,3)</f>
        <v>219.96</v>
      </c>
      <c r="H716" s="1">
        <f>VLOOKUP(A716,GOOGL!A715:C1970,3)</f>
        <v>128.63399999999999</v>
      </c>
      <c r="I716" s="1">
        <f>VLOOKUP(A716,META!A715:C1970,3)</f>
        <v>314.60000000000002</v>
      </c>
      <c r="J716" s="1">
        <f>VLOOKUP(A716,Nasdaq!A715:C1970,3)</f>
        <v>13478.28</v>
      </c>
    </row>
    <row r="717" spans="1:10" x14ac:dyDescent="0.2">
      <c r="A717" s="2">
        <v>45236</v>
      </c>
      <c r="B717" s="1">
        <f>VLOOKUP(A717,AAPL!A716:C1971,3)</f>
        <v>177.32</v>
      </c>
      <c r="C717" s="1">
        <f>VLOOKUP(A717,MSFT!A716:C1971,3)</f>
        <v>353.16699999999997</v>
      </c>
      <c r="D717" s="1">
        <f>VLOOKUP(A717,NVDA!A716:C1971,3)</f>
        <v>45.734000000000002</v>
      </c>
      <c r="E717" s="1">
        <f>VLOOKUP(A717,AMD!A716:C1971,3)</f>
        <v>111.75</v>
      </c>
      <c r="F717" s="1">
        <f>VLOOKUP(A717,AMZN!A716:C1971,3)</f>
        <v>139.74</v>
      </c>
      <c r="G717" s="1">
        <f>VLOOKUP(A717,TSLA!A716:C1971,3)</f>
        <v>219.27</v>
      </c>
      <c r="H717" s="1">
        <f>VLOOKUP(A717,GOOGL!A716:C1971,3)</f>
        <v>129.78</v>
      </c>
      <c r="I717" s="1">
        <f>VLOOKUP(A717,META!A716:C1971,3)</f>
        <v>315.8</v>
      </c>
      <c r="J717" s="1">
        <f>VLOOKUP(A717,Nasdaq!A716:C1971,3)</f>
        <v>13518.78</v>
      </c>
    </row>
    <row r="718" spans="1:10" x14ac:dyDescent="0.2">
      <c r="A718" s="2">
        <v>45237</v>
      </c>
      <c r="B718" s="1">
        <f>VLOOKUP(A718,AAPL!A717:C1972,3)</f>
        <v>179.88399999999999</v>
      </c>
      <c r="C718" s="1">
        <f>VLOOKUP(A718,MSFT!A717:C1972,3)</f>
        <v>357.12900000000002</v>
      </c>
      <c r="D718" s="1">
        <f>VLOOKUP(A718,NVDA!A717:C1972,3)</f>
        <v>45.937899999999999</v>
      </c>
      <c r="E718" s="1">
        <f>VLOOKUP(A718,AMD!A717:C1972,3)</f>
        <v>113.45</v>
      </c>
      <c r="F718" s="1">
        <f>VLOOKUP(A718,AMZN!A717:C1972,3)</f>
        <v>142.71</v>
      </c>
      <c r="G718" s="1">
        <f>VLOOKUP(A718,TSLA!A717:C1972,3)</f>
        <v>222.18</v>
      </c>
      <c r="H718" s="1">
        <f>VLOOKUP(A718,GOOGL!A717:C1972,3)</f>
        <v>130.49700000000001</v>
      </c>
      <c r="I718" s="1">
        <f>VLOOKUP(A718,META!A717:C1972,3)</f>
        <v>318.82</v>
      </c>
      <c r="J718" s="1">
        <f>VLOOKUP(A718,Nasdaq!A717:C1972,3)</f>
        <v>13639.86</v>
      </c>
    </row>
    <row r="719" spans="1:10" x14ac:dyDescent="0.2">
      <c r="A719" s="2">
        <v>45238</v>
      </c>
      <c r="B719" s="1">
        <f>VLOOKUP(A719,AAPL!A718:C1973,3)</f>
        <v>180.93899999999999</v>
      </c>
      <c r="C719" s="1">
        <f>VLOOKUP(A719,MSFT!A718:C1973,3)</f>
        <v>359.774</v>
      </c>
      <c r="D719" s="1">
        <f>VLOOKUP(A719,NVDA!A718:C1973,3)</f>
        <v>46.556699999999999</v>
      </c>
      <c r="E719" s="1">
        <f>VLOOKUP(A719,AMD!A718:C1973,3)</f>
        <v>113.59</v>
      </c>
      <c r="F719" s="1">
        <f>VLOOKUP(A719,AMZN!A718:C1973,3)</f>
        <v>142.08000000000001</v>
      </c>
      <c r="G719" s="1">
        <f>VLOOKUP(A719,TSLA!A718:C1973,3)</f>
        <v>222.11</v>
      </c>
      <c r="H719" s="1">
        <f>VLOOKUP(A719,GOOGL!A718:C1973,3)</f>
        <v>131.363</v>
      </c>
      <c r="I719" s="1">
        <f>VLOOKUP(A719,META!A718:C1973,3)</f>
        <v>319.77999999999997</v>
      </c>
      <c r="J719" s="1">
        <f>VLOOKUP(A719,Nasdaq!A718:C1973,3)</f>
        <v>13650.41</v>
      </c>
    </row>
    <row r="720" spans="1:10" x14ac:dyDescent="0.2">
      <c r="A720" s="2">
        <v>45239</v>
      </c>
      <c r="B720" s="1">
        <f>VLOOKUP(A720,AAPL!A719:C1974,3)</f>
        <v>180.46700000000001</v>
      </c>
      <c r="C720" s="1">
        <f>VLOOKUP(A720,MSFT!A719:C1974,3)</f>
        <v>357.28800000000001</v>
      </c>
      <c r="D720" s="1">
        <f>VLOOKUP(A720,NVDA!A719:C1974,3)</f>
        <v>46.932600000000001</v>
      </c>
      <c r="E720" s="1">
        <f>VLOOKUP(A720,AMD!A719:C1974,3)</f>
        <v>113.49</v>
      </c>
      <c r="F720" s="1">
        <f>VLOOKUP(A720,AMZN!A719:C1974,3)</f>
        <v>140.6</v>
      </c>
      <c r="G720" s="1">
        <f>VLOOKUP(A720,TSLA!A719:C1974,3)</f>
        <v>209.98</v>
      </c>
      <c r="H720" s="1">
        <f>VLOOKUP(A720,GOOGL!A719:C1974,3)</f>
        <v>129.77000000000001</v>
      </c>
      <c r="I720" s="1">
        <f>VLOOKUP(A720,META!A719:C1974,3)</f>
        <v>320.55</v>
      </c>
      <c r="J720" s="1">
        <f>VLOOKUP(A720,Nasdaq!A719:C1974,3)</f>
        <v>13521.45</v>
      </c>
    </row>
    <row r="721" spans="1:10" x14ac:dyDescent="0.2">
      <c r="A721" s="2">
        <v>45240</v>
      </c>
      <c r="B721" s="1">
        <f>VLOOKUP(A721,AAPL!A720:C1975,3)</f>
        <v>184.655</v>
      </c>
      <c r="C721" s="1">
        <f>VLOOKUP(A721,MSFT!A720:C1975,3)</f>
        <v>366.18299999999999</v>
      </c>
      <c r="D721" s="1">
        <f>VLOOKUP(A721,NVDA!A720:C1975,3)</f>
        <v>48.317100000000003</v>
      </c>
      <c r="E721" s="1">
        <f>VLOOKUP(A721,AMD!A720:C1975,3)</f>
        <v>118.59</v>
      </c>
      <c r="F721" s="1">
        <f>VLOOKUP(A721,AMZN!A720:C1975,3)</f>
        <v>143.56</v>
      </c>
      <c r="G721" s="1">
        <f>VLOOKUP(A721,TSLA!A720:C1975,3)</f>
        <v>214.65</v>
      </c>
      <c r="H721" s="1">
        <f>VLOOKUP(A721,GOOGL!A720:C1975,3)</f>
        <v>132.11099999999999</v>
      </c>
      <c r="I721" s="1">
        <f>VLOOKUP(A721,META!A720:C1975,3)</f>
        <v>328.77</v>
      </c>
      <c r="J721" s="1">
        <f>VLOOKUP(A721,Nasdaq!A720:C1975,3)</f>
        <v>13798.11</v>
      </c>
    </row>
    <row r="722" spans="1:10" x14ac:dyDescent="0.2">
      <c r="A722" s="2">
        <v>45243</v>
      </c>
      <c r="B722" s="1">
        <f>VLOOKUP(A722,AAPL!A721:C1976,3)</f>
        <v>183.071</v>
      </c>
      <c r="C722" s="1">
        <f>VLOOKUP(A722,MSFT!A721:C1976,3)</f>
        <v>363.221</v>
      </c>
      <c r="D722" s="1">
        <f>VLOOKUP(A722,NVDA!A721:C1976,3)</f>
        <v>48.601900000000001</v>
      </c>
      <c r="E722" s="1">
        <f>VLOOKUP(A722,AMD!A721:C1976,3)</f>
        <v>116.79</v>
      </c>
      <c r="F722" s="1">
        <f>VLOOKUP(A722,AMZN!A721:C1976,3)</f>
        <v>142.59</v>
      </c>
      <c r="G722" s="1">
        <f>VLOOKUP(A722,TSLA!A721:C1976,3)</f>
        <v>223.71</v>
      </c>
      <c r="H722" s="1">
        <f>VLOOKUP(A722,GOOGL!A721:C1976,3)</f>
        <v>131.613</v>
      </c>
      <c r="I722" s="1">
        <f>VLOOKUP(A722,META!A721:C1976,3)</f>
        <v>329.19</v>
      </c>
      <c r="J722" s="1">
        <f>VLOOKUP(A722,Nasdaq!A721:C1976,3)</f>
        <v>13767.74</v>
      </c>
    </row>
    <row r="723" spans="1:10" x14ac:dyDescent="0.2">
      <c r="A723" s="2">
        <v>45244</v>
      </c>
      <c r="B723" s="1">
        <f>VLOOKUP(A723,AAPL!A722:C1977,3)</f>
        <v>185.68600000000001</v>
      </c>
      <c r="C723" s="1">
        <f>VLOOKUP(A723,MSFT!A722:C1977,3)</f>
        <v>366.77800000000002</v>
      </c>
      <c r="D723" s="1">
        <f>VLOOKUP(A723,NVDA!A722:C1977,3)</f>
        <v>49.637599999999999</v>
      </c>
      <c r="E723" s="1">
        <f>VLOOKUP(A723,AMD!A722:C1977,3)</f>
        <v>119.88</v>
      </c>
      <c r="F723" s="1">
        <f>VLOOKUP(A723,AMZN!A722:C1977,3)</f>
        <v>145.80000000000001</v>
      </c>
      <c r="G723" s="1">
        <f>VLOOKUP(A723,TSLA!A722:C1977,3)</f>
        <v>237.41</v>
      </c>
      <c r="H723" s="1">
        <f>VLOOKUP(A723,GOOGL!A722:C1977,3)</f>
        <v>133.137</v>
      </c>
      <c r="I723" s="1">
        <f>VLOOKUP(A723,META!A722:C1977,3)</f>
        <v>336.31</v>
      </c>
      <c r="J723" s="1">
        <f>VLOOKUP(A723,Nasdaq!A722:C1977,3)</f>
        <v>14094.38</v>
      </c>
    </row>
    <row r="724" spans="1:10" x14ac:dyDescent="0.2">
      <c r="A724" s="2">
        <v>45245</v>
      </c>
      <c r="B724" s="1">
        <f>VLOOKUP(A724,AAPL!A723:C1978,3)</f>
        <v>186.25</v>
      </c>
      <c r="C724" s="1">
        <f>VLOOKUP(A724,MSFT!A723:C1978,3)</f>
        <v>366.92700000000002</v>
      </c>
      <c r="D724" s="1">
        <f>VLOOKUP(A724,NVDA!A723:C1978,3)</f>
        <v>48.869799999999998</v>
      </c>
      <c r="E724" s="1">
        <f>VLOOKUP(A724,AMD!A723:C1978,3)</f>
        <v>118</v>
      </c>
      <c r="F724" s="1">
        <f>VLOOKUP(A724,AMZN!A723:C1978,3)</f>
        <v>143.19999999999999</v>
      </c>
      <c r="G724" s="1">
        <f>VLOOKUP(A724,TSLA!A723:C1978,3)</f>
        <v>242.84</v>
      </c>
      <c r="H724" s="1">
        <f>VLOOKUP(A724,GOOGL!A723:C1978,3)</f>
        <v>134.13399999999999</v>
      </c>
      <c r="I724" s="1">
        <f>VLOOKUP(A724,META!A723:C1978,3)</f>
        <v>332.71</v>
      </c>
      <c r="J724" s="1">
        <f>VLOOKUP(A724,Nasdaq!A723:C1978,3)</f>
        <v>14103.84</v>
      </c>
    </row>
    <row r="725" spans="1:10" x14ac:dyDescent="0.2">
      <c r="A725" s="2">
        <v>45246</v>
      </c>
      <c r="B725" s="1">
        <f>VLOOKUP(A725,AAPL!A724:C1979,3)</f>
        <v>187.935</v>
      </c>
      <c r="C725" s="1">
        <f>VLOOKUP(A725,MSFT!A724:C1979,3)</f>
        <v>373.37900000000002</v>
      </c>
      <c r="D725" s="1">
        <f>VLOOKUP(A725,NVDA!A724:C1979,3)</f>
        <v>49.4617</v>
      </c>
      <c r="E725" s="1">
        <f>VLOOKUP(A725,AMD!A724:C1979,3)</f>
        <v>119.83</v>
      </c>
      <c r="F725" s="1">
        <f>VLOOKUP(A725,AMZN!A724:C1979,3)</f>
        <v>142.83000000000001</v>
      </c>
      <c r="G725" s="1">
        <f>VLOOKUP(A725,TSLA!A724:C1979,3)</f>
        <v>233.59</v>
      </c>
      <c r="H725" s="1">
        <f>VLOOKUP(A725,GOOGL!A724:C1979,3)</f>
        <v>136.43600000000001</v>
      </c>
      <c r="I725" s="1">
        <f>VLOOKUP(A725,META!A724:C1979,3)</f>
        <v>334.19</v>
      </c>
      <c r="J725" s="1">
        <f>VLOOKUP(A725,Nasdaq!A724:C1979,3)</f>
        <v>14113.67</v>
      </c>
    </row>
    <row r="726" spans="1:10" x14ac:dyDescent="0.2">
      <c r="A726" s="2">
        <v>45247</v>
      </c>
      <c r="B726" s="1">
        <f>VLOOKUP(A726,AAPL!A725:C1980,3)</f>
        <v>187.91499999999999</v>
      </c>
      <c r="C726" s="1">
        <f>VLOOKUP(A726,MSFT!A725:C1980,3)</f>
        <v>367.10399999999998</v>
      </c>
      <c r="D726" s="1">
        <f>VLOOKUP(A726,NVDA!A725:C1980,3)</f>
        <v>49.279800000000002</v>
      </c>
      <c r="E726" s="1">
        <f>VLOOKUP(A726,AMD!A725:C1980,3)</f>
        <v>120.62</v>
      </c>
      <c r="F726" s="1">
        <f>VLOOKUP(A726,AMZN!A725:C1980,3)</f>
        <v>145.18</v>
      </c>
      <c r="G726" s="1">
        <f>VLOOKUP(A726,TSLA!A725:C1980,3)</f>
        <v>234.3</v>
      </c>
      <c r="H726" s="1">
        <f>VLOOKUP(A726,GOOGL!A725:C1980,3)</f>
        <v>134.821</v>
      </c>
      <c r="I726" s="1">
        <f>VLOOKUP(A726,META!A725:C1980,3)</f>
        <v>335.04</v>
      </c>
      <c r="J726" s="1">
        <f>VLOOKUP(A726,Nasdaq!A725:C1980,3)</f>
        <v>14125.48</v>
      </c>
    </row>
    <row r="727" spans="1:10" x14ac:dyDescent="0.2">
      <c r="A727" s="2">
        <v>45250</v>
      </c>
      <c r="B727" s="1">
        <f>VLOOKUP(A727,AAPL!A726:C1981,3)</f>
        <v>189.65899999999999</v>
      </c>
      <c r="C727" s="1">
        <f>VLOOKUP(A727,MSFT!A726:C1981,3)</f>
        <v>374.63799999999998</v>
      </c>
      <c r="D727" s="1">
        <f>VLOOKUP(A727,NVDA!A726:C1981,3)</f>
        <v>50.390300000000003</v>
      </c>
      <c r="E727" s="1">
        <f>VLOOKUP(A727,AMD!A726:C1981,3)</f>
        <v>121.53</v>
      </c>
      <c r="F727" s="1">
        <f>VLOOKUP(A727,AMZN!A726:C1981,3)</f>
        <v>146.13</v>
      </c>
      <c r="G727" s="1">
        <f>VLOOKUP(A727,TSLA!A726:C1981,3)</f>
        <v>235.6</v>
      </c>
      <c r="H727" s="1">
        <f>VLOOKUP(A727,GOOGL!A726:C1981,3)</f>
        <v>135.75800000000001</v>
      </c>
      <c r="I727" s="1">
        <f>VLOOKUP(A727,META!A726:C1981,3)</f>
        <v>339.97</v>
      </c>
      <c r="J727" s="1">
        <f>VLOOKUP(A727,Nasdaq!A726:C1981,3)</f>
        <v>14284.53</v>
      </c>
    </row>
    <row r="728" spans="1:10" x14ac:dyDescent="0.2">
      <c r="A728" s="2">
        <v>45251</v>
      </c>
      <c r="B728" s="1">
        <f>VLOOKUP(A728,AAPL!A727:C1982,3)</f>
        <v>188.85599999999999</v>
      </c>
      <c r="C728" s="1">
        <f>VLOOKUP(A728,MSFT!A727:C1982,3)</f>
        <v>370.30099999999999</v>
      </c>
      <c r="D728" s="1">
        <f>VLOOKUP(A728,NVDA!A727:C1982,3)</f>
        <v>49.9255</v>
      </c>
      <c r="E728" s="1">
        <f>VLOOKUP(A728,AMD!A727:C1982,3)</f>
        <v>119.16</v>
      </c>
      <c r="F728" s="1">
        <f>VLOOKUP(A728,AMZN!A727:C1982,3)</f>
        <v>143.9</v>
      </c>
      <c r="G728" s="1">
        <f>VLOOKUP(A728,TSLA!A727:C1982,3)</f>
        <v>241.2</v>
      </c>
      <c r="H728" s="1">
        <f>VLOOKUP(A728,GOOGL!A727:C1982,3)</f>
        <v>136.476</v>
      </c>
      <c r="I728" s="1">
        <f>VLOOKUP(A728,META!A727:C1982,3)</f>
        <v>336.98</v>
      </c>
      <c r="J728" s="1">
        <f>VLOOKUP(A728,Nasdaq!A727:C1982,3)</f>
        <v>14199.98</v>
      </c>
    </row>
    <row r="729" spans="1:10" x14ac:dyDescent="0.2">
      <c r="A729" s="2">
        <v>45252</v>
      </c>
      <c r="B729" s="1">
        <f>VLOOKUP(A729,AAPL!A728:C1983,3)</f>
        <v>189.52</v>
      </c>
      <c r="C729" s="1">
        <f>VLOOKUP(A729,MSFT!A728:C1983,3)</f>
        <v>375.04599999999999</v>
      </c>
      <c r="D729" s="1">
        <f>VLOOKUP(A729,NVDA!A728:C1983,3)</f>
        <v>48.697800000000001</v>
      </c>
      <c r="E729" s="1">
        <f>VLOOKUP(A729,AMD!A728:C1983,3)</f>
        <v>122.51</v>
      </c>
      <c r="F729" s="1">
        <f>VLOOKUP(A729,AMZN!A728:C1983,3)</f>
        <v>146.71</v>
      </c>
      <c r="G729" s="1">
        <f>VLOOKUP(A729,TSLA!A728:C1983,3)</f>
        <v>234.21</v>
      </c>
      <c r="H729" s="1">
        <f>VLOOKUP(A729,GOOGL!A728:C1983,3)</f>
        <v>137.99</v>
      </c>
      <c r="I729" s="1">
        <f>VLOOKUP(A729,META!A728:C1983,3)</f>
        <v>341.49</v>
      </c>
      <c r="J729" s="1">
        <f>VLOOKUP(A729,Nasdaq!A728:C1983,3)</f>
        <v>14265.86</v>
      </c>
    </row>
    <row r="730" spans="1:10" x14ac:dyDescent="0.2">
      <c r="A730" s="2">
        <v>45254</v>
      </c>
      <c r="B730" s="1">
        <f>VLOOKUP(A730,AAPL!A729:C1984,3)</f>
        <v>188.19300000000001</v>
      </c>
      <c r="C730" s="1">
        <f>VLOOKUP(A730,MSFT!A729:C1984,3)</f>
        <v>374.62799999999999</v>
      </c>
      <c r="D730" s="1">
        <f>VLOOKUP(A730,NVDA!A729:C1984,3)</f>
        <v>47.758299999999998</v>
      </c>
      <c r="E730" s="1">
        <f>VLOOKUP(A730,AMD!A729:C1984,3)</f>
        <v>122.31</v>
      </c>
      <c r="F730" s="1">
        <f>VLOOKUP(A730,AMZN!A729:C1984,3)</f>
        <v>146.74</v>
      </c>
      <c r="G730" s="1">
        <f>VLOOKUP(A730,TSLA!A729:C1984,3)</f>
        <v>235.45</v>
      </c>
      <c r="H730" s="1">
        <f>VLOOKUP(A730,GOOGL!A729:C1984,3)</f>
        <v>136.196</v>
      </c>
      <c r="I730" s="1">
        <f>VLOOKUP(A730,META!A729:C1984,3)</f>
        <v>338.23</v>
      </c>
      <c r="J730" s="1">
        <f>VLOOKUP(A730,Nasdaq!A729:C1984,3)</f>
        <v>14250.85</v>
      </c>
    </row>
    <row r="731" spans="1:10" x14ac:dyDescent="0.2">
      <c r="A731" s="2">
        <v>45257</v>
      </c>
      <c r="B731" s="1">
        <f>VLOOKUP(A731,AAPL!A730:C1985,3)</f>
        <v>188.01400000000001</v>
      </c>
      <c r="C731" s="1">
        <f>VLOOKUP(A731,MSFT!A730:C1985,3)</f>
        <v>375.8</v>
      </c>
      <c r="D731" s="1">
        <f>VLOOKUP(A731,NVDA!A730:C1985,3)</f>
        <v>48.2241</v>
      </c>
      <c r="E731" s="1">
        <f>VLOOKUP(A731,AMD!A730:C1985,3)</f>
        <v>122.65</v>
      </c>
      <c r="F731" s="1">
        <f>VLOOKUP(A731,AMZN!A730:C1985,3)</f>
        <v>147.72999999999999</v>
      </c>
      <c r="G731" s="1">
        <f>VLOOKUP(A731,TSLA!A730:C1985,3)</f>
        <v>236.08</v>
      </c>
      <c r="H731" s="1">
        <f>VLOOKUP(A731,GOOGL!A730:C1985,3)</f>
        <v>135.917</v>
      </c>
      <c r="I731" s="1">
        <f>VLOOKUP(A731,META!A730:C1985,3)</f>
        <v>334.7</v>
      </c>
      <c r="J731" s="1">
        <f>VLOOKUP(A731,Nasdaq!A730:C1985,3)</f>
        <v>14241.02</v>
      </c>
    </row>
    <row r="732" spans="1:10" x14ac:dyDescent="0.2">
      <c r="A732" s="2">
        <v>45258</v>
      </c>
      <c r="B732" s="1">
        <f>VLOOKUP(A732,AAPL!A731:C1986,3)</f>
        <v>188.61799999999999</v>
      </c>
      <c r="C732" s="1">
        <f>VLOOKUP(A732,MSFT!A731:C1986,3)</f>
        <v>379.86</v>
      </c>
      <c r="D732" s="1">
        <f>VLOOKUP(A732,NVDA!A731:C1986,3)</f>
        <v>47.8033</v>
      </c>
      <c r="E732" s="1">
        <f>VLOOKUP(A732,AMD!A731:C1986,3)</f>
        <v>122.01</v>
      </c>
      <c r="F732" s="1">
        <f>VLOOKUP(A732,AMZN!A731:C1986,3)</f>
        <v>147.03</v>
      </c>
      <c r="G732" s="1">
        <f>VLOOKUP(A732,TSLA!A731:C1986,3)</f>
        <v>246.72</v>
      </c>
      <c r="H732" s="1">
        <f>VLOOKUP(A732,GOOGL!A731:C1986,3)</f>
        <v>136.70400000000001</v>
      </c>
      <c r="I732" s="1">
        <f>VLOOKUP(A732,META!A731:C1986,3)</f>
        <v>338.99</v>
      </c>
      <c r="J732" s="1">
        <f>VLOOKUP(A732,Nasdaq!A731:C1986,3)</f>
        <v>14281.76</v>
      </c>
    </row>
    <row r="733" spans="1:10" x14ac:dyDescent="0.2">
      <c r="A733" s="2">
        <v>45259</v>
      </c>
      <c r="B733" s="1">
        <f>VLOOKUP(A733,AAPL!A732:C1987,3)</f>
        <v>187.59899999999999</v>
      </c>
      <c r="C733" s="1">
        <f>VLOOKUP(A733,MSFT!A732:C1987,3)</f>
        <v>376.03800000000001</v>
      </c>
      <c r="D733" s="1">
        <f>VLOOKUP(A733,NVDA!A732:C1987,3)</f>
        <v>48.122100000000003</v>
      </c>
      <c r="E733" s="1">
        <f>VLOOKUP(A733,AMD!A732:C1987,3)</f>
        <v>123.85</v>
      </c>
      <c r="F733" s="1">
        <f>VLOOKUP(A733,AMZN!A732:C1987,3)</f>
        <v>146.32</v>
      </c>
      <c r="G733" s="1">
        <f>VLOOKUP(A733,TSLA!A732:C1987,3)</f>
        <v>244.14</v>
      </c>
      <c r="H733" s="1">
        <f>VLOOKUP(A733,GOOGL!A732:C1987,3)</f>
        <v>134.50200000000001</v>
      </c>
      <c r="I733" s="1">
        <f>VLOOKUP(A733,META!A732:C1987,3)</f>
        <v>332.2</v>
      </c>
      <c r="J733" s="1">
        <f>VLOOKUP(A733,Nasdaq!A732:C1987,3)</f>
        <v>14258.49</v>
      </c>
    </row>
    <row r="734" spans="1:10" x14ac:dyDescent="0.2">
      <c r="A734" s="2">
        <v>45260</v>
      </c>
      <c r="B734" s="1">
        <f>VLOOKUP(A734,AAPL!A733:C1988,3)</f>
        <v>188.173</v>
      </c>
      <c r="C734" s="1">
        <f>VLOOKUP(A734,MSFT!A733:C1988,3)</f>
        <v>376.09800000000001</v>
      </c>
      <c r="D734" s="1">
        <f>VLOOKUP(A734,NVDA!A733:C1988,3)</f>
        <v>46.752699999999997</v>
      </c>
      <c r="E734" s="1">
        <f>VLOOKUP(A734,AMD!A733:C1988,3)</f>
        <v>121.16</v>
      </c>
      <c r="F734" s="1">
        <f>VLOOKUP(A734,AMZN!A733:C1988,3)</f>
        <v>146.09</v>
      </c>
      <c r="G734" s="1">
        <f>VLOOKUP(A734,TSLA!A733:C1988,3)</f>
        <v>240.08</v>
      </c>
      <c r="H734" s="1">
        <f>VLOOKUP(A734,GOOGL!A733:C1988,3)</f>
        <v>132.05199999999999</v>
      </c>
      <c r="I734" s="1">
        <f>VLOOKUP(A734,META!A733:C1988,3)</f>
        <v>327.14999999999998</v>
      </c>
      <c r="J734" s="1">
        <f>VLOOKUP(A734,Nasdaq!A733:C1988,3)</f>
        <v>14226.22</v>
      </c>
    </row>
    <row r="735" spans="1:10" x14ac:dyDescent="0.2">
      <c r="A735" s="2">
        <v>45261</v>
      </c>
      <c r="B735" s="1">
        <f>VLOOKUP(A735,AAPL!A734:C1989,3)</f>
        <v>189.45</v>
      </c>
      <c r="C735" s="1">
        <f>VLOOKUP(A735,MSFT!A734:C1989,3)</f>
        <v>371.73099999999999</v>
      </c>
      <c r="D735" s="1">
        <f>VLOOKUP(A735,NVDA!A734:C1989,3)</f>
        <v>46.747700000000002</v>
      </c>
      <c r="E735" s="1">
        <f>VLOOKUP(A735,AMD!A734:C1989,3)</f>
        <v>121.39</v>
      </c>
      <c r="F735" s="1">
        <f>VLOOKUP(A735,AMZN!A734:C1989,3)</f>
        <v>147.03</v>
      </c>
      <c r="G735" s="1">
        <f>VLOOKUP(A735,TSLA!A734:C1989,3)</f>
        <v>238.83</v>
      </c>
      <c r="H735" s="1">
        <f>VLOOKUP(A735,GOOGL!A734:C1989,3)</f>
        <v>131.38300000000001</v>
      </c>
      <c r="I735" s="1">
        <f>VLOOKUP(A735,META!A734:C1989,3)</f>
        <v>324.82</v>
      </c>
      <c r="J735" s="1">
        <f>VLOOKUP(A735,Nasdaq!A734:C1989,3)</f>
        <v>14305.03</v>
      </c>
    </row>
    <row r="736" spans="1:10" x14ac:dyDescent="0.2">
      <c r="A736" s="2">
        <v>45264</v>
      </c>
      <c r="B736" s="1">
        <f>VLOOKUP(A736,AAPL!A735:C1990,3)</f>
        <v>187.65899999999999</v>
      </c>
      <c r="C736" s="1">
        <f>VLOOKUP(A736,MSFT!A735:C1990,3)</f>
        <v>366.40100000000001</v>
      </c>
      <c r="D736" s="1">
        <f>VLOOKUP(A736,NVDA!A735:C1990,3)</f>
        <v>45.493200000000002</v>
      </c>
      <c r="E736" s="1">
        <f>VLOOKUP(A736,AMD!A735:C1990,3)</f>
        <v>118.57</v>
      </c>
      <c r="F736" s="1">
        <f>VLOOKUP(A736,AMZN!A735:C1990,3)</f>
        <v>144.84</v>
      </c>
      <c r="G736" s="1">
        <f>VLOOKUP(A736,TSLA!A735:C1990,3)</f>
        <v>235.58</v>
      </c>
      <c r="H736" s="1">
        <f>VLOOKUP(A736,GOOGL!A735:C1990,3)</f>
        <v>128.803</v>
      </c>
      <c r="I736" s="1">
        <f>VLOOKUP(A736,META!A735:C1990,3)</f>
        <v>320.02</v>
      </c>
      <c r="J736" s="1">
        <f>VLOOKUP(A736,Nasdaq!A735:C1990,3)</f>
        <v>14185.49</v>
      </c>
    </row>
    <row r="737" spans="1:10" x14ac:dyDescent="0.2">
      <c r="A737" s="2">
        <v>45265</v>
      </c>
      <c r="B737" s="1">
        <f>VLOOKUP(A737,AAPL!A736:C1991,3)</f>
        <v>191.61</v>
      </c>
      <c r="C737" s="1">
        <f>VLOOKUP(A737,MSFT!A736:C1991,3)</f>
        <v>369.755</v>
      </c>
      <c r="D737" s="1">
        <f>VLOOKUP(A737,NVDA!A736:C1991,3)</f>
        <v>46.552799999999998</v>
      </c>
      <c r="E737" s="1">
        <f>VLOOKUP(A737,AMD!A736:C1991,3)</f>
        <v>118.38</v>
      </c>
      <c r="F737" s="1">
        <f>VLOOKUP(A737,AMZN!A736:C1991,3)</f>
        <v>146.88</v>
      </c>
      <c r="G737" s="1">
        <f>VLOOKUP(A737,TSLA!A736:C1991,3)</f>
        <v>238.72</v>
      </c>
      <c r="H737" s="1">
        <f>VLOOKUP(A737,GOOGL!A736:C1991,3)</f>
        <v>130.517</v>
      </c>
      <c r="I737" s="1">
        <f>VLOOKUP(A737,META!A736:C1991,3)</f>
        <v>318.29000000000002</v>
      </c>
      <c r="J737" s="1">
        <f>VLOOKUP(A737,Nasdaq!A736:C1991,3)</f>
        <v>14229.91</v>
      </c>
    </row>
    <row r="738" spans="1:10" x14ac:dyDescent="0.2">
      <c r="A738" s="2">
        <v>45266</v>
      </c>
      <c r="B738" s="1">
        <f>VLOOKUP(A738,AAPL!A737:C1992,3)</f>
        <v>190.52099999999999</v>
      </c>
      <c r="C738" s="1">
        <f>VLOOKUP(A738,MSFT!A737:C1992,3)</f>
        <v>366.06200000000001</v>
      </c>
      <c r="D738" s="1">
        <f>VLOOKUP(A738,NVDA!A737:C1992,3)</f>
        <v>45.490200000000002</v>
      </c>
      <c r="E738" s="1">
        <f>VLOOKUP(A738,AMD!A737:C1992,3)</f>
        <v>116.82</v>
      </c>
      <c r="F738" s="1">
        <f>VLOOKUP(A738,AMZN!A737:C1992,3)</f>
        <v>144.52000000000001</v>
      </c>
      <c r="G738" s="1">
        <f>VLOOKUP(A738,TSLA!A737:C1992,3)</f>
        <v>239.37</v>
      </c>
      <c r="H738" s="1">
        <f>VLOOKUP(A738,GOOGL!A737:C1992,3)</f>
        <v>129.55099999999999</v>
      </c>
      <c r="I738" s="1">
        <f>VLOOKUP(A738,META!A737:C1992,3)</f>
        <v>317.45</v>
      </c>
      <c r="J738" s="1">
        <f>VLOOKUP(A738,Nasdaq!A737:C1992,3)</f>
        <v>14146.71</v>
      </c>
    </row>
    <row r="739" spans="1:10" x14ac:dyDescent="0.2">
      <c r="A739" s="2">
        <v>45267</v>
      </c>
      <c r="B739" s="1">
        <f>VLOOKUP(A739,AAPL!A738:C1993,3)</f>
        <v>192.45099999999999</v>
      </c>
      <c r="C739" s="1">
        <f>VLOOKUP(A739,MSFT!A738:C1993,3)</f>
        <v>368.19600000000003</v>
      </c>
      <c r="D739" s="1">
        <f>VLOOKUP(A739,NVDA!A738:C1993,3)</f>
        <v>46.582799999999999</v>
      </c>
      <c r="E739" s="1">
        <f>VLOOKUP(A739,AMD!A738:C1993,3)</f>
        <v>128.37</v>
      </c>
      <c r="F739" s="1">
        <f>VLOOKUP(A739,AMZN!A738:C1993,3)</f>
        <v>146.88</v>
      </c>
      <c r="G739" s="1">
        <f>VLOOKUP(A739,TSLA!A738:C1993,3)</f>
        <v>242.64</v>
      </c>
      <c r="H739" s="1">
        <f>VLOOKUP(A739,GOOGL!A738:C1993,3)</f>
        <v>136.43600000000001</v>
      </c>
      <c r="I739" s="1">
        <f>VLOOKUP(A739,META!A738:C1993,3)</f>
        <v>326.58999999999997</v>
      </c>
      <c r="J739" s="1">
        <f>VLOOKUP(A739,Nasdaq!A738:C1993,3)</f>
        <v>14339.99</v>
      </c>
    </row>
    <row r="740" spans="1:10" x14ac:dyDescent="0.2">
      <c r="A740" s="2">
        <v>45268</v>
      </c>
      <c r="B740" s="1">
        <f>VLOOKUP(A740,AAPL!A739:C1994,3)</f>
        <v>193.87899999999999</v>
      </c>
      <c r="C740" s="1">
        <f>VLOOKUP(A740,MSFT!A739:C1994,3)</f>
        <v>371.45100000000002</v>
      </c>
      <c r="D740" s="1">
        <f>VLOOKUP(A740,NVDA!A739:C1994,3)</f>
        <v>47.4925</v>
      </c>
      <c r="E740" s="1">
        <f>VLOOKUP(A740,AMD!A739:C1994,3)</f>
        <v>128.91999999999999</v>
      </c>
      <c r="F740" s="1">
        <f>VLOOKUP(A740,AMZN!A739:C1994,3)</f>
        <v>147.41999999999999</v>
      </c>
      <c r="G740" s="1">
        <f>VLOOKUP(A740,TSLA!A739:C1994,3)</f>
        <v>243.84</v>
      </c>
      <c r="H740" s="1">
        <f>VLOOKUP(A740,GOOGL!A739:C1994,3)</f>
        <v>134.50200000000001</v>
      </c>
      <c r="I740" s="1">
        <f>VLOOKUP(A740,META!A739:C1994,3)</f>
        <v>332.75</v>
      </c>
      <c r="J740" s="1">
        <f>VLOOKUP(A740,Nasdaq!A739:C1994,3)</f>
        <v>14403.97</v>
      </c>
    </row>
    <row r="741" spans="1:10" x14ac:dyDescent="0.2">
      <c r="A741" s="2">
        <v>45271</v>
      </c>
      <c r="B741" s="1">
        <f>VLOOKUP(A741,AAPL!A740:C1995,3)</f>
        <v>191.37299999999999</v>
      </c>
      <c r="C741" s="1">
        <f>VLOOKUP(A741,MSFT!A740:C1995,3)</f>
        <v>368.54399999999998</v>
      </c>
      <c r="D741" s="1">
        <f>VLOOKUP(A741,NVDA!A740:C1995,3)</f>
        <v>46.613799999999998</v>
      </c>
      <c r="E741" s="1">
        <f>VLOOKUP(A741,AMD!A740:C1995,3)</f>
        <v>134.41</v>
      </c>
      <c r="F741" s="1">
        <f>VLOOKUP(A741,AMZN!A740:C1995,3)</f>
        <v>145.88999999999999</v>
      </c>
      <c r="G741" s="1">
        <f>VLOOKUP(A741,TSLA!A740:C1995,3)</f>
        <v>239.74</v>
      </c>
      <c r="H741" s="1">
        <f>VLOOKUP(A741,GOOGL!A740:C1995,3)</f>
        <v>132.809</v>
      </c>
      <c r="I741" s="1">
        <f>VLOOKUP(A741,META!A740:C1995,3)</f>
        <v>325.27999999999997</v>
      </c>
      <c r="J741" s="1">
        <f>VLOOKUP(A741,Nasdaq!A740:C1995,3)</f>
        <v>14432.49</v>
      </c>
    </row>
    <row r="742" spans="1:10" x14ac:dyDescent="0.2">
      <c r="A742" s="2">
        <v>45272</v>
      </c>
      <c r="B742" s="1">
        <f>VLOOKUP(A742,AAPL!A741:C1996,3)</f>
        <v>192.88900000000001</v>
      </c>
      <c r="C742" s="1">
        <f>VLOOKUP(A742,MSFT!A741:C1996,3)</f>
        <v>371.601</v>
      </c>
      <c r="D742" s="1">
        <f>VLOOKUP(A742,NVDA!A741:C1996,3)</f>
        <v>47.643500000000003</v>
      </c>
      <c r="E742" s="1">
        <f>VLOOKUP(A742,AMD!A741:C1996,3)</f>
        <v>137.61000000000001</v>
      </c>
      <c r="F742" s="1">
        <f>VLOOKUP(A742,AMZN!A741:C1996,3)</f>
        <v>147.47999999999999</v>
      </c>
      <c r="G742" s="1">
        <f>VLOOKUP(A742,TSLA!A741:C1996,3)</f>
        <v>237.01</v>
      </c>
      <c r="H742" s="1">
        <f>VLOOKUP(A742,GOOGL!A741:C1996,3)</f>
        <v>132.042</v>
      </c>
      <c r="I742" s="1">
        <f>VLOOKUP(A742,META!A741:C1996,3)</f>
        <v>334.22</v>
      </c>
      <c r="J742" s="1">
        <f>VLOOKUP(A742,Nasdaq!A741:C1996,3)</f>
        <v>14533.4</v>
      </c>
    </row>
    <row r="743" spans="1:10" x14ac:dyDescent="0.2">
      <c r="A743" s="2">
        <v>45273</v>
      </c>
      <c r="B743" s="1">
        <f>VLOOKUP(A743,AAPL!A742:C1997,3)</f>
        <v>196.108</v>
      </c>
      <c r="C743" s="1">
        <f>VLOOKUP(A743,MSFT!A742:C1997,3)</f>
        <v>371.59100000000001</v>
      </c>
      <c r="D743" s="1">
        <f>VLOOKUP(A743,NVDA!A742:C1997,3)</f>
        <v>48.074399999999997</v>
      </c>
      <c r="E743" s="1">
        <f>VLOOKUP(A743,AMD!A742:C1997,3)</f>
        <v>138.19</v>
      </c>
      <c r="F743" s="1">
        <f>VLOOKUP(A743,AMZN!A742:C1997,3)</f>
        <v>148.84</v>
      </c>
      <c r="G743" s="1">
        <f>VLOOKUP(A743,TSLA!A742:C1997,3)</f>
        <v>239.29</v>
      </c>
      <c r="H743" s="1">
        <f>VLOOKUP(A743,GOOGL!A742:C1997,3)</f>
        <v>132.09200000000001</v>
      </c>
      <c r="I743" s="1">
        <f>VLOOKUP(A743,META!A742:C1997,3)</f>
        <v>334.74</v>
      </c>
      <c r="J743" s="1">
        <f>VLOOKUP(A743,Nasdaq!A742:C1997,3)</f>
        <v>14733.96</v>
      </c>
    </row>
    <row r="744" spans="1:10" x14ac:dyDescent="0.2">
      <c r="A744" s="2">
        <v>45274</v>
      </c>
      <c r="B744" s="1">
        <f>VLOOKUP(A744,AAPL!A743:C1998,3)</f>
        <v>196.25700000000001</v>
      </c>
      <c r="C744" s="1">
        <f>VLOOKUP(A744,MSFT!A743:C1998,3)</f>
        <v>363.214</v>
      </c>
      <c r="D744" s="1">
        <f>VLOOKUP(A744,NVDA!A743:C1998,3)</f>
        <v>48.336300000000001</v>
      </c>
      <c r="E744" s="1">
        <f>VLOOKUP(A744,AMD!A743:C1998,3)</f>
        <v>138</v>
      </c>
      <c r="F744" s="1">
        <f>VLOOKUP(A744,AMZN!A743:C1998,3)</f>
        <v>147.41999999999999</v>
      </c>
      <c r="G744" s="1">
        <f>VLOOKUP(A744,TSLA!A743:C1998,3)</f>
        <v>251.05</v>
      </c>
      <c r="H744" s="1">
        <f>VLOOKUP(A744,GOOGL!A743:C1998,3)</f>
        <v>131.46299999999999</v>
      </c>
      <c r="I744" s="1">
        <f>VLOOKUP(A744,META!A743:C1998,3)</f>
        <v>333.17</v>
      </c>
      <c r="J744" s="1">
        <f>VLOOKUP(A744,Nasdaq!A743:C1998,3)</f>
        <v>14761.56</v>
      </c>
    </row>
    <row r="745" spans="1:10" x14ac:dyDescent="0.2">
      <c r="A745" s="2">
        <v>45275</v>
      </c>
      <c r="B745" s="1">
        <f>VLOOKUP(A745,AAPL!A744:C1999,3)</f>
        <v>195.72200000000001</v>
      </c>
      <c r="C745" s="1">
        <f>VLOOKUP(A745,MSFT!A744:C1999,3)</f>
        <v>367.97800000000001</v>
      </c>
      <c r="D745" s="1">
        <f>VLOOKUP(A745,NVDA!A744:C1999,3)</f>
        <v>48.876100000000001</v>
      </c>
      <c r="E745" s="1">
        <f>VLOOKUP(A745,AMD!A744:C1999,3)</f>
        <v>139.15</v>
      </c>
      <c r="F745" s="1">
        <f>VLOOKUP(A745,AMZN!A744:C1999,3)</f>
        <v>149.97</v>
      </c>
      <c r="G745" s="1">
        <f>VLOOKUP(A745,TSLA!A744:C1999,3)</f>
        <v>253.5</v>
      </c>
      <c r="H745" s="1">
        <f>VLOOKUP(A745,GOOGL!A744:C1999,3)</f>
        <v>132.12100000000001</v>
      </c>
      <c r="I745" s="1">
        <f>VLOOKUP(A745,META!A744:C1999,3)</f>
        <v>334.92</v>
      </c>
      <c r="J745" s="1">
        <f>VLOOKUP(A745,Nasdaq!A744:C1999,3)</f>
        <v>14813.92</v>
      </c>
    </row>
    <row r="746" spans="1:10" x14ac:dyDescent="0.2">
      <c r="A746" s="2">
        <v>45278</v>
      </c>
      <c r="B746" s="1">
        <f>VLOOKUP(A746,AAPL!A745:C2000,3)</f>
        <v>194.05799999999999</v>
      </c>
      <c r="C746" s="1">
        <f>VLOOKUP(A746,MSFT!A745:C2000,3)</f>
        <v>369.88400000000001</v>
      </c>
      <c r="D746" s="1">
        <f>VLOOKUP(A746,NVDA!A745:C2000,3)</f>
        <v>50.062800000000003</v>
      </c>
      <c r="E746" s="1">
        <f>VLOOKUP(A746,AMD!A745:C2000,3)</f>
        <v>138.9</v>
      </c>
      <c r="F746" s="1">
        <f>VLOOKUP(A746,AMZN!A745:C2000,3)</f>
        <v>154.07</v>
      </c>
      <c r="G746" s="1">
        <f>VLOOKUP(A746,TSLA!A745:C2000,3)</f>
        <v>252.08</v>
      </c>
      <c r="H746" s="1">
        <f>VLOOKUP(A746,GOOGL!A745:C2000,3)</f>
        <v>135.309</v>
      </c>
      <c r="I746" s="1">
        <f>VLOOKUP(A746,META!A745:C2000,3)</f>
        <v>344.62</v>
      </c>
      <c r="J746" s="1">
        <f>VLOOKUP(A746,Nasdaq!A745:C2000,3)</f>
        <v>14905.19</v>
      </c>
    </row>
    <row r="747" spans="1:10" x14ac:dyDescent="0.2">
      <c r="A747" s="2">
        <v>45279</v>
      </c>
      <c r="B747" s="1">
        <f>VLOOKUP(A747,AAPL!A746:C2001,3)</f>
        <v>195.09800000000001</v>
      </c>
      <c r="C747" s="1">
        <f>VLOOKUP(A747,MSFT!A746:C2001,3)</f>
        <v>370.48899999999998</v>
      </c>
      <c r="D747" s="1">
        <f>VLOOKUP(A747,NVDA!A746:C2001,3)</f>
        <v>49.59</v>
      </c>
      <c r="E747" s="1">
        <f>VLOOKUP(A747,AMD!A746:C2001,3)</f>
        <v>140.15</v>
      </c>
      <c r="F747" s="1">
        <f>VLOOKUP(A747,AMZN!A746:C2001,3)</f>
        <v>153.79</v>
      </c>
      <c r="G747" s="1">
        <f>VLOOKUP(A747,TSLA!A746:C2001,3)</f>
        <v>257.22000000000003</v>
      </c>
      <c r="H747" s="1">
        <f>VLOOKUP(A747,GOOGL!A746:C2001,3)</f>
        <v>136.15600000000001</v>
      </c>
      <c r="I747" s="1">
        <f>VLOOKUP(A747,META!A746:C2001,3)</f>
        <v>350.36</v>
      </c>
      <c r="J747" s="1">
        <f>VLOOKUP(A747,Nasdaq!A746:C2001,3)</f>
        <v>15003.22</v>
      </c>
    </row>
    <row r="748" spans="1:10" x14ac:dyDescent="0.2">
      <c r="A748" s="2">
        <v>45280</v>
      </c>
      <c r="B748" s="1">
        <f>VLOOKUP(A748,AAPL!A747:C2002,3)</f>
        <v>193.00700000000001</v>
      </c>
      <c r="C748" s="1">
        <f>VLOOKUP(A748,MSFT!A747:C2002,3)</f>
        <v>367.87</v>
      </c>
      <c r="D748" s="1">
        <f>VLOOKUP(A748,NVDA!A747:C2002,3)</f>
        <v>48.097299999999997</v>
      </c>
      <c r="E748" s="1">
        <f>VLOOKUP(A748,AMD!A747:C2002,3)</f>
        <v>135.47</v>
      </c>
      <c r="F748" s="1">
        <f>VLOOKUP(A748,AMZN!A747:C2002,3)</f>
        <v>152.12</v>
      </c>
      <c r="G748" s="1">
        <f>VLOOKUP(A748,TSLA!A747:C2002,3)</f>
        <v>247.14</v>
      </c>
      <c r="H748" s="1">
        <f>VLOOKUP(A748,GOOGL!A747:C2002,3)</f>
        <v>137.84</v>
      </c>
      <c r="I748" s="1">
        <f>VLOOKUP(A748,META!A747:C2002,3)</f>
        <v>349.28</v>
      </c>
      <c r="J748" s="1">
        <f>VLOOKUP(A748,Nasdaq!A747:C2002,3)</f>
        <v>14777.94</v>
      </c>
    </row>
    <row r="749" spans="1:10" x14ac:dyDescent="0.2">
      <c r="A749" s="2">
        <v>45281</v>
      </c>
      <c r="B749" s="1">
        <f>VLOOKUP(A749,AAPL!A748:C2003,3)</f>
        <v>192.86</v>
      </c>
      <c r="C749" s="1">
        <f>VLOOKUP(A749,MSFT!A748:C2003,3)</f>
        <v>370.76799999999997</v>
      </c>
      <c r="D749" s="1">
        <f>VLOOKUP(A749,NVDA!A748:C2003,3)</f>
        <v>48.976100000000002</v>
      </c>
      <c r="E749" s="1">
        <f>VLOOKUP(A749,AMD!A748:C2003,3)</f>
        <v>139.91</v>
      </c>
      <c r="F749" s="1">
        <f>VLOOKUP(A749,AMZN!A748:C2003,3)</f>
        <v>153.84</v>
      </c>
      <c r="G749" s="1">
        <f>VLOOKUP(A749,TSLA!A748:C2003,3)</f>
        <v>254.5</v>
      </c>
      <c r="H749" s="1">
        <f>VLOOKUP(A749,GOOGL!A748:C2003,3)</f>
        <v>139.91300000000001</v>
      </c>
      <c r="I749" s="1">
        <f>VLOOKUP(A749,META!A748:C2003,3)</f>
        <v>354.09</v>
      </c>
      <c r="J749" s="1">
        <f>VLOOKUP(A749,Nasdaq!A748:C2003,3)</f>
        <v>14963.87</v>
      </c>
    </row>
    <row r="750" spans="1:10" x14ac:dyDescent="0.2">
      <c r="A750" s="2">
        <v>45282</v>
      </c>
      <c r="B750" s="1">
        <f>VLOOKUP(A750,AAPL!A749:C2004,3)</f>
        <v>191.78800000000001</v>
      </c>
      <c r="C750" s="1">
        <f>VLOOKUP(A750,MSFT!A749:C2004,3)</f>
        <v>371.80099999999999</v>
      </c>
      <c r="D750" s="1">
        <f>VLOOKUP(A750,NVDA!A749:C2004,3)</f>
        <v>48.816099999999999</v>
      </c>
      <c r="E750" s="1">
        <f>VLOOKUP(A750,AMD!A749:C2004,3)</f>
        <v>139.6</v>
      </c>
      <c r="F750" s="1">
        <f>VLOOKUP(A750,AMZN!A749:C2004,3)</f>
        <v>153.41999999999999</v>
      </c>
      <c r="G750" s="1">
        <f>VLOOKUP(A750,TSLA!A749:C2004,3)</f>
        <v>252.54</v>
      </c>
      <c r="H750" s="1">
        <f>VLOOKUP(A750,GOOGL!A749:C2004,3)</f>
        <v>140.97900000000001</v>
      </c>
      <c r="I750" s="1">
        <f>VLOOKUP(A750,META!A749:C2004,3)</f>
        <v>353.39</v>
      </c>
      <c r="J750" s="1">
        <f>VLOOKUP(A750,Nasdaq!A749:C2004,3)</f>
        <v>14992.97</v>
      </c>
    </row>
    <row r="751" spans="1:10" x14ac:dyDescent="0.2">
      <c r="A751" s="2">
        <v>45286</v>
      </c>
      <c r="B751" s="1">
        <f>VLOOKUP(A751,AAPL!A750:C2005,3)</f>
        <v>191.245</v>
      </c>
      <c r="C751" s="1">
        <f>VLOOKUP(A751,MSFT!A750:C2005,3)</f>
        <v>371.87900000000002</v>
      </c>
      <c r="D751" s="1">
        <f>VLOOKUP(A751,NVDA!A750:C2005,3)</f>
        <v>49.265099999999997</v>
      </c>
      <c r="E751" s="1">
        <f>VLOOKUP(A751,AMD!A750:C2005,3)</f>
        <v>143.41</v>
      </c>
      <c r="F751" s="1">
        <f>VLOOKUP(A751,AMZN!A750:C2005,3)</f>
        <v>153.41</v>
      </c>
      <c r="G751" s="1">
        <f>VLOOKUP(A751,TSLA!A750:C2005,3)</f>
        <v>256.61</v>
      </c>
      <c r="H751" s="1">
        <f>VLOOKUP(A751,GOOGL!A750:C2005,3)</f>
        <v>141.00899999999999</v>
      </c>
      <c r="I751" s="1">
        <f>VLOOKUP(A751,META!A750:C2005,3)</f>
        <v>354.83</v>
      </c>
      <c r="J751" s="1">
        <f>VLOOKUP(A751,Nasdaq!A750:C2005,3)</f>
        <v>15074.57</v>
      </c>
    </row>
    <row r="752" spans="1:10" x14ac:dyDescent="0.2">
      <c r="A752" s="2">
        <v>45287</v>
      </c>
      <c r="B752" s="1">
        <f>VLOOKUP(A752,AAPL!A751:C2006,3)</f>
        <v>191.345</v>
      </c>
      <c r="C752" s="1">
        <f>VLOOKUP(A752,MSFT!A751:C2006,3)</f>
        <v>371.29399999999998</v>
      </c>
      <c r="D752" s="1">
        <f>VLOOKUP(A752,NVDA!A751:C2006,3)</f>
        <v>49.402999999999999</v>
      </c>
      <c r="E752" s="1">
        <f>VLOOKUP(A752,AMD!A751:C2006,3)</f>
        <v>146.07</v>
      </c>
      <c r="F752" s="1">
        <f>VLOOKUP(A752,AMZN!A751:C2006,3)</f>
        <v>153.34</v>
      </c>
      <c r="G752" s="1">
        <f>VLOOKUP(A752,TSLA!A751:C2006,3)</f>
        <v>261.44</v>
      </c>
      <c r="H752" s="1">
        <f>VLOOKUP(A752,GOOGL!A751:C2006,3)</f>
        <v>139.863</v>
      </c>
      <c r="I752" s="1">
        <f>VLOOKUP(A752,META!A751:C2006,3)</f>
        <v>357.83</v>
      </c>
      <c r="J752" s="1">
        <f>VLOOKUP(A752,Nasdaq!A751:C2006,3)</f>
        <v>15099.18</v>
      </c>
    </row>
    <row r="753" spans="1:10" x14ac:dyDescent="0.2">
      <c r="A753" s="2">
        <v>45288</v>
      </c>
      <c r="B753" s="1">
        <f>VLOOKUP(A753,AAPL!A752:C2007,3)</f>
        <v>191.768</v>
      </c>
      <c r="C753" s="1">
        <f>VLOOKUP(A753,MSFT!A752:C2007,3)</f>
        <v>372.49400000000003</v>
      </c>
      <c r="D753" s="1">
        <f>VLOOKUP(A753,NVDA!A752:C2007,3)</f>
        <v>49.508000000000003</v>
      </c>
      <c r="E753" s="1">
        <f>VLOOKUP(A753,AMD!A752:C2007,3)</f>
        <v>148.76</v>
      </c>
      <c r="F753" s="1">
        <f>VLOOKUP(A753,AMZN!A752:C2007,3)</f>
        <v>153.38</v>
      </c>
      <c r="G753" s="1">
        <f>VLOOKUP(A753,TSLA!A752:C2007,3)</f>
        <v>253.18</v>
      </c>
      <c r="H753" s="1">
        <f>VLOOKUP(A753,GOOGL!A752:C2007,3)</f>
        <v>139.72300000000001</v>
      </c>
      <c r="I753" s="1">
        <f>VLOOKUP(A753,META!A752:C2007,3)</f>
        <v>358.32</v>
      </c>
      <c r="J753" s="1">
        <f>VLOOKUP(A753,Nasdaq!A752:C2007,3)</f>
        <v>15095.14</v>
      </c>
    </row>
    <row r="754" spans="1:10" x14ac:dyDescent="0.2">
      <c r="A754" s="2">
        <v>45289</v>
      </c>
      <c r="B754" s="1">
        <f>VLOOKUP(A754,AAPL!A753:C2008,3)</f>
        <v>190.72900000000001</v>
      </c>
      <c r="C754" s="1">
        <f>VLOOKUP(A754,MSFT!A753:C2008,3)</f>
        <v>373.24900000000002</v>
      </c>
      <c r="D754" s="1">
        <f>VLOOKUP(A754,NVDA!A753:C2008,3)</f>
        <v>49.508000000000003</v>
      </c>
      <c r="E754" s="1">
        <f>VLOOKUP(A754,AMD!A753:C2008,3)</f>
        <v>147.41</v>
      </c>
      <c r="F754" s="1">
        <f>VLOOKUP(A754,AMZN!A753:C2008,3)</f>
        <v>151.94</v>
      </c>
      <c r="G754" s="1">
        <f>VLOOKUP(A754,TSLA!A753:C2008,3)</f>
        <v>248.48</v>
      </c>
      <c r="H754" s="1">
        <f>VLOOKUP(A754,GOOGL!A753:C2008,3)</f>
        <v>139.185</v>
      </c>
      <c r="I754" s="1">
        <f>VLOOKUP(A754,META!A753:C2008,3)</f>
        <v>353.96</v>
      </c>
      <c r="J754" s="1">
        <f>VLOOKUP(A754,Nasdaq!A753:C2008,3)</f>
        <v>15011.35</v>
      </c>
    </row>
    <row r="755" spans="1:10" x14ac:dyDescent="0.2">
      <c r="A755" s="2">
        <v>45293</v>
      </c>
      <c r="B755" s="1">
        <f>VLOOKUP(A755,AAPL!A754:C2009,3)</f>
        <v>183.90299999999999</v>
      </c>
      <c r="C755" s="1">
        <f>VLOOKUP(A755,MSFT!A754:C2009,3)</f>
        <v>368.11599999999999</v>
      </c>
      <c r="D755" s="1">
        <f>VLOOKUP(A755,NVDA!A754:C2009,3)</f>
        <v>48.154299999999999</v>
      </c>
      <c r="E755" s="1">
        <f>VLOOKUP(A755,AMD!A754:C2009,3)</f>
        <v>138.58000000000001</v>
      </c>
      <c r="F755" s="1">
        <f>VLOOKUP(A755,AMZN!A754:C2009,3)</f>
        <v>149.93</v>
      </c>
      <c r="G755" s="1">
        <f>VLOOKUP(A755,TSLA!A754:C2009,3)</f>
        <v>248.42</v>
      </c>
      <c r="H755" s="1">
        <f>VLOOKUP(A755,GOOGL!A754:C2009,3)</f>
        <v>137.67099999999999</v>
      </c>
      <c r="I755" s="1">
        <f>VLOOKUP(A755,META!A754:C2009,3)</f>
        <v>346.29</v>
      </c>
      <c r="J755" s="1">
        <f>VLOOKUP(A755,Nasdaq!A754:C2009,3)</f>
        <v>14765.94</v>
      </c>
    </row>
    <row r="756" spans="1:10" x14ac:dyDescent="0.2">
      <c r="A756" s="2">
        <v>45294</v>
      </c>
      <c r="B756" s="1">
        <f>VLOOKUP(A756,AAPL!A755:C2010,3)</f>
        <v>182.52699999999999</v>
      </c>
      <c r="C756" s="1">
        <f>VLOOKUP(A756,MSFT!A755:C2010,3)</f>
        <v>367.85</v>
      </c>
      <c r="D756" s="1">
        <f>VLOOKUP(A756,NVDA!A755:C2010,3)</f>
        <v>47.555500000000002</v>
      </c>
      <c r="E756" s="1">
        <f>VLOOKUP(A756,AMD!A755:C2010,3)</f>
        <v>135.32</v>
      </c>
      <c r="F756" s="1">
        <f>VLOOKUP(A756,AMZN!A755:C2010,3)</f>
        <v>148.47</v>
      </c>
      <c r="G756" s="1">
        <f>VLOOKUP(A756,TSLA!A755:C2010,3)</f>
        <v>238.45</v>
      </c>
      <c r="H756" s="1">
        <f>VLOOKUP(A756,GOOGL!A755:C2010,3)</f>
        <v>138.41800000000001</v>
      </c>
      <c r="I756" s="1">
        <f>VLOOKUP(A756,META!A755:C2010,3)</f>
        <v>344.47</v>
      </c>
      <c r="J756" s="1">
        <f>VLOOKUP(A756,Nasdaq!A755:C2010,3)</f>
        <v>14592.21</v>
      </c>
    </row>
    <row r="757" spans="1:10" x14ac:dyDescent="0.2">
      <c r="A757" s="2">
        <v>45295</v>
      </c>
      <c r="B757" s="1">
        <f>VLOOKUP(A757,AAPL!A756:C2011,3)</f>
        <v>180.20699999999999</v>
      </c>
      <c r="C757" s="1">
        <f>VLOOKUP(A757,MSFT!A756:C2011,3)</f>
        <v>365.209</v>
      </c>
      <c r="D757" s="1">
        <f>VLOOKUP(A757,NVDA!A756:C2011,3)</f>
        <v>47.984400000000001</v>
      </c>
      <c r="E757" s="1">
        <f>VLOOKUP(A757,AMD!A756:C2011,3)</f>
        <v>136.01</v>
      </c>
      <c r="F757" s="1">
        <f>VLOOKUP(A757,AMZN!A756:C2011,3)</f>
        <v>144.57</v>
      </c>
      <c r="G757" s="1">
        <f>VLOOKUP(A757,TSLA!A756:C2011,3)</f>
        <v>237.93</v>
      </c>
      <c r="H757" s="1">
        <f>VLOOKUP(A757,GOOGL!A756:C2011,3)</f>
        <v>135.89699999999999</v>
      </c>
      <c r="I757" s="1">
        <f>VLOOKUP(A757,META!A756:C2011,3)</f>
        <v>347.12</v>
      </c>
      <c r="J757" s="1">
        <f>VLOOKUP(A757,Nasdaq!A756:C2011,3)</f>
        <v>14510.3</v>
      </c>
    </row>
    <row r="758" spans="1:10" x14ac:dyDescent="0.2">
      <c r="A758" s="2">
        <v>45296</v>
      </c>
      <c r="B758" s="1">
        <f>VLOOKUP(A758,AAPL!A757:C2012,3)</f>
        <v>179.48500000000001</v>
      </c>
      <c r="C758" s="1">
        <f>VLOOKUP(A758,MSFT!A757:C2012,3)</f>
        <v>365.02</v>
      </c>
      <c r="D758" s="1">
        <f>VLOOKUP(A758,NVDA!A757:C2012,3)</f>
        <v>49.083100000000002</v>
      </c>
      <c r="E758" s="1">
        <f>VLOOKUP(A758,AMD!A757:C2012,3)</f>
        <v>138.58000000000001</v>
      </c>
      <c r="F758" s="1">
        <f>VLOOKUP(A758,AMZN!A757:C2012,3)</f>
        <v>145.24</v>
      </c>
      <c r="G758" s="1">
        <f>VLOOKUP(A758,TSLA!A757:C2012,3)</f>
        <v>237.49</v>
      </c>
      <c r="H758" s="1">
        <f>VLOOKUP(A758,GOOGL!A757:C2012,3)</f>
        <v>135.239</v>
      </c>
      <c r="I758" s="1">
        <f>VLOOKUP(A758,META!A757:C2012,3)</f>
        <v>351.95</v>
      </c>
      <c r="J758" s="1">
        <f>VLOOKUP(A758,Nasdaq!A757:C2012,3)</f>
        <v>14524.07</v>
      </c>
    </row>
    <row r="759" spans="1:10" x14ac:dyDescent="0.2">
      <c r="A759" s="2">
        <v>45299</v>
      </c>
      <c r="B759" s="1">
        <f>VLOOKUP(A759,AAPL!A758:C2013,3)</f>
        <v>183.82400000000001</v>
      </c>
      <c r="C759" s="1">
        <f>VLOOKUP(A759,MSFT!A758:C2013,3)</f>
        <v>371.90899999999999</v>
      </c>
      <c r="D759" s="1">
        <f>VLOOKUP(A759,NVDA!A758:C2013,3)</f>
        <v>52.238100000000003</v>
      </c>
      <c r="E759" s="1">
        <f>VLOOKUP(A759,AMD!A758:C2013,3)</f>
        <v>146.18</v>
      </c>
      <c r="F759" s="1">
        <f>VLOOKUP(A759,AMZN!A758:C2013,3)</f>
        <v>149.1</v>
      </c>
      <c r="G759" s="1">
        <f>VLOOKUP(A759,TSLA!A758:C2013,3)</f>
        <v>240.45</v>
      </c>
      <c r="H759" s="1">
        <f>VLOOKUP(A759,GOOGL!A758:C2013,3)</f>
        <v>138.33799999999999</v>
      </c>
      <c r="I759" s="1">
        <f>VLOOKUP(A759,META!A758:C2013,3)</f>
        <v>358.66</v>
      </c>
      <c r="J759" s="1">
        <f>VLOOKUP(A759,Nasdaq!A758:C2013,3)</f>
        <v>14843.77</v>
      </c>
    </row>
    <row r="760" spans="1:10" x14ac:dyDescent="0.2">
      <c r="A760" s="2">
        <v>45300</v>
      </c>
      <c r="B760" s="1">
        <f>VLOOKUP(A760,AAPL!A759:C2014,3)</f>
        <v>183.40899999999999</v>
      </c>
      <c r="C760" s="1">
        <f>VLOOKUP(A760,MSFT!A759:C2014,3)</f>
        <v>373</v>
      </c>
      <c r="D760" s="1">
        <f>VLOOKUP(A760,NVDA!A759:C2014,3)</f>
        <v>53.124899999999997</v>
      </c>
      <c r="E760" s="1">
        <f>VLOOKUP(A760,AMD!A759:C2014,3)</f>
        <v>149.26</v>
      </c>
      <c r="F760" s="1">
        <f>VLOOKUP(A760,AMZN!A759:C2014,3)</f>
        <v>151.37</v>
      </c>
      <c r="G760" s="1">
        <f>VLOOKUP(A760,TSLA!A759:C2014,3)</f>
        <v>234.96</v>
      </c>
      <c r="H760" s="1">
        <f>VLOOKUP(A760,GOOGL!A759:C2014,3)</f>
        <v>140.44</v>
      </c>
      <c r="I760" s="1">
        <f>VLOOKUP(A760,META!A759:C2014,3)</f>
        <v>357.43</v>
      </c>
      <c r="J760" s="1">
        <f>VLOOKUP(A760,Nasdaq!A759:C2014,3)</f>
        <v>14857.71</v>
      </c>
    </row>
    <row r="761" spans="1:10" x14ac:dyDescent="0.2">
      <c r="A761" s="2">
        <v>45301</v>
      </c>
      <c r="B761" s="1">
        <f>VLOOKUP(A761,AAPL!A760:C2015,3)</f>
        <v>184.44800000000001</v>
      </c>
      <c r="C761" s="1">
        <f>VLOOKUP(A761,MSFT!A760:C2015,3)</f>
        <v>379.92899999999997</v>
      </c>
      <c r="D761" s="1">
        <f>VLOOKUP(A761,NVDA!A760:C2015,3)</f>
        <v>54.334600000000002</v>
      </c>
      <c r="E761" s="1">
        <f>VLOOKUP(A761,AMD!A760:C2015,3)</f>
        <v>148.54</v>
      </c>
      <c r="F761" s="1">
        <f>VLOOKUP(A761,AMZN!A760:C2015,3)</f>
        <v>153.72999999999999</v>
      </c>
      <c r="G761" s="1">
        <f>VLOOKUP(A761,TSLA!A760:C2015,3)</f>
        <v>233.94</v>
      </c>
      <c r="H761" s="1">
        <f>VLOOKUP(A761,GOOGL!A760:C2015,3)</f>
        <v>141.767</v>
      </c>
      <c r="I761" s="1">
        <f>VLOOKUP(A761,META!A760:C2015,3)</f>
        <v>370.47</v>
      </c>
      <c r="J761" s="1">
        <f>VLOOKUP(A761,Nasdaq!A760:C2015,3)</f>
        <v>14969.65</v>
      </c>
    </row>
    <row r="762" spans="1:10" x14ac:dyDescent="0.2">
      <c r="A762" s="2">
        <v>45302</v>
      </c>
      <c r="B762" s="1">
        <f>VLOOKUP(A762,AAPL!A761:C2016,3)</f>
        <v>183.85300000000001</v>
      </c>
      <c r="C762" s="1">
        <f>VLOOKUP(A762,MSFT!A761:C2016,3)</f>
        <v>381.77600000000001</v>
      </c>
      <c r="D762" s="1">
        <f>VLOOKUP(A762,NVDA!A761:C2016,3)</f>
        <v>54.806399999999996</v>
      </c>
      <c r="E762" s="1">
        <f>VLOOKUP(A762,AMD!A761:C2016,3)</f>
        <v>148.02000000000001</v>
      </c>
      <c r="F762" s="1">
        <f>VLOOKUP(A762,AMZN!A761:C2016,3)</f>
        <v>155.18</v>
      </c>
      <c r="G762" s="1">
        <f>VLOOKUP(A762,TSLA!A761:C2016,3)</f>
        <v>227.22</v>
      </c>
      <c r="H762" s="1">
        <f>VLOOKUP(A762,GOOGL!A761:C2016,3)</f>
        <v>141.56700000000001</v>
      </c>
      <c r="I762" s="1">
        <f>VLOOKUP(A762,META!A761:C2016,3)</f>
        <v>369.67</v>
      </c>
      <c r="J762" s="1">
        <f>VLOOKUP(A762,Nasdaq!A761:C2016,3)</f>
        <v>14970.18</v>
      </c>
    </row>
    <row r="763" spans="1:10" x14ac:dyDescent="0.2">
      <c r="A763" s="2">
        <v>45303</v>
      </c>
      <c r="B763" s="1">
        <f>VLOOKUP(A763,AAPL!A762:C2017,3)</f>
        <v>184.18</v>
      </c>
      <c r="C763" s="1">
        <f>VLOOKUP(A763,MSFT!A762:C2017,3)</f>
        <v>385.58699999999999</v>
      </c>
      <c r="D763" s="1">
        <f>VLOOKUP(A763,NVDA!A762:C2017,3)</f>
        <v>54.694400000000002</v>
      </c>
      <c r="E763" s="1">
        <f>VLOOKUP(A763,AMD!A762:C2017,3)</f>
        <v>146.56</v>
      </c>
      <c r="F763" s="1">
        <f>VLOOKUP(A763,AMZN!A762:C2017,3)</f>
        <v>154.62</v>
      </c>
      <c r="G763" s="1">
        <f>VLOOKUP(A763,TSLA!A762:C2017,3)</f>
        <v>218.89</v>
      </c>
      <c r="H763" s="1">
        <f>VLOOKUP(A763,GOOGL!A762:C2017,3)</f>
        <v>142.13399999999999</v>
      </c>
      <c r="I763" s="1">
        <f>VLOOKUP(A763,META!A762:C2017,3)</f>
        <v>374.49</v>
      </c>
      <c r="J763" s="1">
        <f>VLOOKUP(A763,Nasdaq!A762:C2017,3)</f>
        <v>14972.76</v>
      </c>
    </row>
    <row r="764" spans="1:10" x14ac:dyDescent="0.2">
      <c r="A764" s="2">
        <v>45307</v>
      </c>
      <c r="B764" s="1">
        <f>VLOOKUP(A764,AAPL!A763:C2018,3)</f>
        <v>181.91200000000001</v>
      </c>
      <c r="C764" s="1">
        <f>VLOOKUP(A764,MSFT!A763:C2018,3)</f>
        <v>387.37400000000002</v>
      </c>
      <c r="D764" s="1">
        <f>VLOOKUP(A764,NVDA!A763:C2018,3)</f>
        <v>56.366100000000003</v>
      </c>
      <c r="E764" s="1">
        <f>VLOOKUP(A764,AMD!A763:C2018,3)</f>
        <v>158.74</v>
      </c>
      <c r="F764" s="1">
        <f>VLOOKUP(A764,AMZN!A763:C2018,3)</f>
        <v>153.16</v>
      </c>
      <c r="G764" s="1">
        <f>VLOOKUP(A764,TSLA!A763:C2018,3)</f>
        <v>219.91</v>
      </c>
      <c r="H764" s="1">
        <f>VLOOKUP(A764,GOOGL!A763:C2018,3)</f>
        <v>141.97499999999999</v>
      </c>
      <c r="I764" s="1">
        <f>VLOOKUP(A764,META!A763:C2018,3)</f>
        <v>367.46</v>
      </c>
      <c r="J764" s="1">
        <f>VLOOKUP(A764,Nasdaq!A763:C2018,3)</f>
        <v>14944.35</v>
      </c>
    </row>
    <row r="765" spans="1:10" x14ac:dyDescent="0.2">
      <c r="A765" s="2">
        <v>45308</v>
      </c>
      <c r="B765" s="1">
        <f>VLOOKUP(A765,AAPL!A764:C2019,3)</f>
        <v>180.97</v>
      </c>
      <c r="C765" s="1">
        <f>VLOOKUP(A765,MSFT!A764:C2019,3)</f>
        <v>386.57900000000001</v>
      </c>
      <c r="D765" s="1">
        <f>VLOOKUP(A765,NVDA!A764:C2019,3)</f>
        <v>56.037100000000002</v>
      </c>
      <c r="E765" s="1">
        <f>VLOOKUP(A765,AMD!A764:C2019,3)</f>
        <v>160.16999999999999</v>
      </c>
      <c r="F765" s="1">
        <f>VLOOKUP(A765,AMZN!A764:C2019,3)</f>
        <v>151.71</v>
      </c>
      <c r="G765" s="1">
        <f>VLOOKUP(A765,TSLA!A764:C2019,3)</f>
        <v>215.55</v>
      </c>
      <c r="H765" s="1">
        <f>VLOOKUP(A765,GOOGL!A764:C2019,3)</f>
        <v>140.959</v>
      </c>
      <c r="I765" s="1">
        <f>VLOOKUP(A765,META!A764:C2019,3)</f>
        <v>368.37</v>
      </c>
      <c r="J765" s="1">
        <f>VLOOKUP(A765,Nasdaq!A764:C2019,3)</f>
        <v>14855.62</v>
      </c>
    </row>
    <row r="766" spans="1:10" x14ac:dyDescent="0.2">
      <c r="A766" s="2">
        <v>45309</v>
      </c>
      <c r="B766" s="1">
        <f>VLOOKUP(A766,AAPL!A765:C2020,3)</f>
        <v>186.86500000000001</v>
      </c>
      <c r="C766" s="1">
        <f>VLOOKUP(A766,MSFT!A765:C2020,3)</f>
        <v>390.94600000000003</v>
      </c>
      <c r="D766" s="1">
        <f>VLOOKUP(A766,NVDA!A765:C2020,3)</f>
        <v>57.090800000000002</v>
      </c>
      <c r="E766" s="1">
        <f>VLOOKUP(A766,AMD!A765:C2020,3)</f>
        <v>162.66999999999999</v>
      </c>
      <c r="F766" s="1">
        <f>VLOOKUP(A766,AMZN!A765:C2020,3)</f>
        <v>153.5</v>
      </c>
      <c r="G766" s="1">
        <f>VLOOKUP(A766,TSLA!A765:C2020,3)</f>
        <v>211.88</v>
      </c>
      <c r="H766" s="1">
        <f>VLOOKUP(A766,GOOGL!A765:C2020,3)</f>
        <v>142.96199999999999</v>
      </c>
      <c r="I766" s="1">
        <f>VLOOKUP(A766,META!A765:C2020,3)</f>
        <v>376.13</v>
      </c>
      <c r="J766" s="1">
        <f>VLOOKUP(A766,Nasdaq!A765:C2020,3)</f>
        <v>15055.65</v>
      </c>
    </row>
    <row r="767" spans="1:10" x14ac:dyDescent="0.2">
      <c r="A767" s="2">
        <v>45310</v>
      </c>
      <c r="B767" s="1">
        <f>VLOOKUP(A767,AAPL!A766:C2021,3)</f>
        <v>189.768</v>
      </c>
      <c r="C767" s="1">
        <f>VLOOKUP(A767,MSFT!A766:C2021,3)</f>
        <v>395.71100000000001</v>
      </c>
      <c r="D767" s="1">
        <f>VLOOKUP(A767,NVDA!A766:C2021,3)</f>
        <v>59.4741</v>
      </c>
      <c r="E767" s="1">
        <f>VLOOKUP(A767,AMD!A766:C2021,3)</f>
        <v>174.23</v>
      </c>
      <c r="F767" s="1">
        <f>VLOOKUP(A767,AMZN!A766:C2021,3)</f>
        <v>155.34</v>
      </c>
      <c r="G767" s="1">
        <f>VLOOKUP(A767,TSLA!A766:C2021,3)</f>
        <v>212.19</v>
      </c>
      <c r="H767" s="1">
        <f>VLOOKUP(A767,GOOGL!A766:C2021,3)</f>
        <v>145.851</v>
      </c>
      <c r="I767" s="1">
        <f>VLOOKUP(A767,META!A766:C2021,3)</f>
        <v>383.45</v>
      </c>
      <c r="J767" s="1">
        <f>VLOOKUP(A767,Nasdaq!A766:C2021,3)</f>
        <v>15310.97</v>
      </c>
    </row>
    <row r="768" spans="1:10" x14ac:dyDescent="0.2">
      <c r="A768" s="2">
        <v>45313</v>
      </c>
      <c r="B768" s="1">
        <f>VLOOKUP(A768,AAPL!A767:C2022,3)</f>
        <v>192.077</v>
      </c>
      <c r="C768" s="1">
        <f>VLOOKUP(A768,MSFT!A767:C2022,3)</f>
        <v>393.56599999999997</v>
      </c>
      <c r="D768" s="1">
        <f>VLOOKUP(A768,NVDA!A767:C2022,3)</f>
        <v>59.637099999999997</v>
      </c>
      <c r="E768" s="1">
        <f>VLOOKUP(A768,AMD!A767:C2022,3)</f>
        <v>168.18</v>
      </c>
      <c r="F768" s="1">
        <f>VLOOKUP(A768,AMZN!A767:C2022,3)</f>
        <v>154.78</v>
      </c>
      <c r="G768" s="1">
        <f>VLOOKUP(A768,TSLA!A767:C2022,3)</f>
        <v>208.8</v>
      </c>
      <c r="H768" s="1">
        <f>VLOOKUP(A768,GOOGL!A767:C2022,3)</f>
        <v>145.46299999999999</v>
      </c>
      <c r="I768" s="1">
        <f>VLOOKUP(A768,META!A767:C2022,3)</f>
        <v>381.78</v>
      </c>
      <c r="J768" s="1">
        <f>VLOOKUP(A768,Nasdaq!A767:C2022,3)</f>
        <v>15360.29</v>
      </c>
    </row>
    <row r="769" spans="1:10" x14ac:dyDescent="0.2">
      <c r="A769" s="2">
        <v>45314</v>
      </c>
      <c r="B769" s="1">
        <f>VLOOKUP(A769,AAPL!A768:C2023,3)</f>
        <v>193.35400000000001</v>
      </c>
      <c r="C769" s="1">
        <f>VLOOKUP(A769,MSFT!A768:C2023,3)</f>
        <v>395.93900000000002</v>
      </c>
      <c r="D769" s="1">
        <f>VLOOKUP(A769,NVDA!A768:C2023,3)</f>
        <v>59.856099999999998</v>
      </c>
      <c r="E769" s="1">
        <f>VLOOKUP(A769,AMD!A768:C2023,3)</f>
        <v>168.42</v>
      </c>
      <c r="F769" s="1">
        <f>VLOOKUP(A769,AMZN!A768:C2023,3)</f>
        <v>156.02000000000001</v>
      </c>
      <c r="G769" s="1">
        <f>VLOOKUP(A769,TSLA!A768:C2023,3)</f>
        <v>209.14</v>
      </c>
      <c r="H769" s="1">
        <f>VLOOKUP(A769,GOOGL!A768:C2023,3)</f>
        <v>146.50800000000001</v>
      </c>
      <c r="I769" s="1">
        <f>VLOOKUP(A769,META!A768:C2023,3)</f>
        <v>385.2</v>
      </c>
      <c r="J769" s="1">
        <f>VLOOKUP(A769,Nasdaq!A768:C2023,3)</f>
        <v>15425.94</v>
      </c>
    </row>
    <row r="770" spans="1:10" x14ac:dyDescent="0.2">
      <c r="A770" s="2">
        <v>45315</v>
      </c>
      <c r="B770" s="1">
        <f>VLOOKUP(A770,AAPL!A769:C2024,3)</f>
        <v>192.68</v>
      </c>
      <c r="C770" s="1">
        <f>VLOOKUP(A770,MSFT!A769:C2024,3)</f>
        <v>399.572</v>
      </c>
      <c r="D770" s="1">
        <f>VLOOKUP(A770,NVDA!A769:C2024,3)</f>
        <v>61.344700000000003</v>
      </c>
      <c r="E770" s="1">
        <f>VLOOKUP(A770,AMD!A769:C2024,3)</f>
        <v>178.29</v>
      </c>
      <c r="F770" s="1">
        <f>VLOOKUP(A770,AMZN!A769:C2024,3)</f>
        <v>156.87</v>
      </c>
      <c r="G770" s="1">
        <f>VLOOKUP(A770,TSLA!A769:C2024,3)</f>
        <v>207.83</v>
      </c>
      <c r="H770" s="1">
        <f>VLOOKUP(A770,GOOGL!A769:C2024,3)</f>
        <v>148.16300000000001</v>
      </c>
      <c r="I770" s="1">
        <f>VLOOKUP(A770,META!A769:C2024,3)</f>
        <v>390.7</v>
      </c>
      <c r="J770" s="1">
        <f>VLOOKUP(A770,Nasdaq!A769:C2024,3)</f>
        <v>15481.92</v>
      </c>
    </row>
    <row r="771" spans="1:10" x14ac:dyDescent="0.2">
      <c r="A771" s="2">
        <v>45316</v>
      </c>
      <c r="B771" s="1">
        <f>VLOOKUP(A771,AAPL!A770:C2025,3)</f>
        <v>192.35300000000001</v>
      </c>
      <c r="C771" s="1">
        <f>VLOOKUP(A771,MSFT!A770:C2025,3)</f>
        <v>401.86500000000001</v>
      </c>
      <c r="D771" s="1">
        <f>VLOOKUP(A771,NVDA!A770:C2025,3)</f>
        <v>61.599499999999999</v>
      </c>
      <c r="E771" s="1">
        <f>VLOOKUP(A771,AMD!A770:C2025,3)</f>
        <v>180.33</v>
      </c>
      <c r="F771" s="1">
        <f>VLOOKUP(A771,AMZN!A770:C2025,3)</f>
        <v>157.75</v>
      </c>
      <c r="G771" s="1">
        <f>VLOOKUP(A771,TSLA!A770:C2025,3)</f>
        <v>182.63</v>
      </c>
      <c r="H771" s="1">
        <f>VLOOKUP(A771,GOOGL!A770:C2025,3)</f>
        <v>151.322</v>
      </c>
      <c r="I771" s="1">
        <f>VLOOKUP(A771,META!A770:C2025,3)</f>
        <v>393.18</v>
      </c>
      <c r="J771" s="1">
        <f>VLOOKUP(A771,Nasdaq!A770:C2025,3)</f>
        <v>15510.5</v>
      </c>
    </row>
    <row r="772" spans="1:10" x14ac:dyDescent="0.2">
      <c r="A772" s="2">
        <v>45317</v>
      </c>
      <c r="B772" s="1">
        <f>VLOOKUP(A772,AAPL!A771:C2026,3)</f>
        <v>190.62</v>
      </c>
      <c r="C772" s="1">
        <f>VLOOKUP(A772,MSFT!A771:C2026,3)</f>
        <v>400.93099999999998</v>
      </c>
      <c r="D772" s="1">
        <f>VLOOKUP(A772,NVDA!A771:C2026,3)</f>
        <v>61.0137</v>
      </c>
      <c r="E772" s="1">
        <f>VLOOKUP(A772,AMD!A771:C2026,3)</f>
        <v>177.25</v>
      </c>
      <c r="F772" s="1">
        <f>VLOOKUP(A772,AMZN!A771:C2026,3)</f>
        <v>159.12</v>
      </c>
      <c r="G772" s="1">
        <f>VLOOKUP(A772,TSLA!A771:C2026,3)</f>
        <v>183.25</v>
      </c>
      <c r="H772" s="1">
        <f>VLOOKUP(A772,GOOGL!A771:C2026,3)</f>
        <v>151.636</v>
      </c>
      <c r="I772" s="1">
        <f>VLOOKUP(A772,META!A771:C2026,3)</f>
        <v>394.14</v>
      </c>
      <c r="J772" s="1">
        <f>VLOOKUP(A772,Nasdaq!A771:C2026,3)</f>
        <v>15455.36</v>
      </c>
    </row>
    <row r="773" spans="1:10" x14ac:dyDescent="0.2">
      <c r="A773" s="2">
        <v>45320</v>
      </c>
      <c r="B773" s="1">
        <f>VLOOKUP(A773,AAPL!A772:C2027,3)</f>
        <v>189.93600000000001</v>
      </c>
      <c r="C773" s="1">
        <f>VLOOKUP(A773,MSFT!A772:C2027,3)</f>
        <v>406.68</v>
      </c>
      <c r="D773" s="1">
        <f>VLOOKUP(A773,NVDA!A772:C2027,3)</f>
        <v>62.447400000000002</v>
      </c>
      <c r="E773" s="1">
        <f>VLOOKUP(A773,AMD!A772:C2027,3)</f>
        <v>177.83</v>
      </c>
      <c r="F773" s="1">
        <f>VLOOKUP(A773,AMZN!A772:C2027,3)</f>
        <v>161.26</v>
      </c>
      <c r="G773" s="1">
        <f>VLOOKUP(A773,TSLA!A772:C2027,3)</f>
        <v>190.93</v>
      </c>
      <c r="H773" s="1">
        <f>VLOOKUP(A773,GOOGL!A772:C2027,3)</f>
        <v>152.95599999999999</v>
      </c>
      <c r="I773" s="1">
        <f>VLOOKUP(A773,META!A772:C2027,3)</f>
        <v>401.02</v>
      </c>
      <c r="J773" s="1">
        <f>VLOOKUP(A773,Nasdaq!A772:C2027,3)</f>
        <v>15628.04</v>
      </c>
    </row>
    <row r="774" spans="1:10" x14ac:dyDescent="0.2">
      <c r="A774" s="2">
        <v>45321</v>
      </c>
      <c r="B774" s="1">
        <f>VLOOKUP(A774,AAPL!A773:C2028,3)</f>
        <v>186.279</v>
      </c>
      <c r="C774" s="1">
        <f>VLOOKUP(A774,MSFT!A773:C2028,3)</f>
        <v>405.55799999999999</v>
      </c>
      <c r="D774" s="1">
        <f>VLOOKUP(A774,NVDA!A773:C2028,3)</f>
        <v>62.7562</v>
      </c>
      <c r="E774" s="1">
        <f>VLOOKUP(A774,AMD!A773:C2028,3)</f>
        <v>172.06</v>
      </c>
      <c r="F774" s="1">
        <f>VLOOKUP(A774,AMZN!A773:C2028,3)</f>
        <v>159</v>
      </c>
      <c r="G774" s="1">
        <f>VLOOKUP(A774,TSLA!A773:C2028,3)</f>
        <v>191.59</v>
      </c>
      <c r="H774" s="1">
        <f>VLOOKUP(A774,GOOGL!A773:C2028,3)</f>
        <v>150.91300000000001</v>
      </c>
      <c r="I774" s="1">
        <f>VLOOKUP(A774,META!A773:C2028,3)</f>
        <v>400.06</v>
      </c>
      <c r="J774" s="1">
        <f>VLOOKUP(A774,Nasdaq!A773:C2028,3)</f>
        <v>15509.9</v>
      </c>
    </row>
    <row r="775" spans="1:10" x14ac:dyDescent="0.2">
      <c r="A775" s="2">
        <v>45322</v>
      </c>
      <c r="B775" s="1">
        <f>VLOOKUP(A775,AAPL!A774:C2029,3)</f>
        <v>182.67400000000001</v>
      </c>
      <c r="C775" s="1">
        <f>VLOOKUP(A775,MSFT!A774:C2029,3)</f>
        <v>394.62799999999999</v>
      </c>
      <c r="D775" s="1">
        <f>VLOOKUP(A775,NVDA!A774:C2029,3)</f>
        <v>61.509500000000003</v>
      </c>
      <c r="E775" s="1">
        <f>VLOOKUP(A775,AMD!A774:C2029,3)</f>
        <v>167.69</v>
      </c>
      <c r="F775" s="1">
        <f>VLOOKUP(A775,AMZN!A774:C2029,3)</f>
        <v>155.19999999999999</v>
      </c>
      <c r="G775" s="1">
        <f>VLOOKUP(A775,TSLA!A774:C2029,3)</f>
        <v>187.29</v>
      </c>
      <c r="H775" s="1">
        <f>VLOOKUP(A775,GOOGL!A774:C2029,3)</f>
        <v>139.59399999999999</v>
      </c>
      <c r="I775" s="1">
        <f>VLOOKUP(A775,META!A774:C2029,3)</f>
        <v>390.14</v>
      </c>
      <c r="J775" s="1">
        <f>VLOOKUP(A775,Nasdaq!A774:C2029,3)</f>
        <v>15164.01</v>
      </c>
    </row>
    <row r="776" spans="1:10" x14ac:dyDescent="0.2">
      <c r="A776" s="2">
        <v>45323</v>
      </c>
      <c r="B776" s="1">
        <f>VLOOKUP(A776,AAPL!A775:C2030,3)</f>
        <v>185.113</v>
      </c>
      <c r="C776" s="1">
        <f>VLOOKUP(A776,MSFT!A775:C2030,3)</f>
        <v>400.78300000000002</v>
      </c>
      <c r="D776" s="1">
        <f>VLOOKUP(A776,NVDA!A775:C2030,3)</f>
        <v>63.009099999999997</v>
      </c>
      <c r="E776" s="1">
        <f>VLOOKUP(A776,AMD!A775:C2030,3)</f>
        <v>170.48</v>
      </c>
      <c r="F776" s="1">
        <f>VLOOKUP(A776,AMZN!A775:C2030,3)</f>
        <v>159.28</v>
      </c>
      <c r="G776" s="1">
        <f>VLOOKUP(A776,TSLA!A775:C2030,3)</f>
        <v>188.86</v>
      </c>
      <c r="H776" s="1">
        <f>VLOOKUP(A776,GOOGL!A775:C2030,3)</f>
        <v>140.65</v>
      </c>
      <c r="I776" s="1">
        <f>VLOOKUP(A776,META!A775:C2030,3)</f>
        <v>394.78</v>
      </c>
      <c r="J776" s="1">
        <f>VLOOKUP(A776,Nasdaq!A775:C2030,3)</f>
        <v>15361.64</v>
      </c>
    </row>
    <row r="777" spans="1:10" x14ac:dyDescent="0.2">
      <c r="A777" s="2">
        <v>45324</v>
      </c>
      <c r="B777" s="1">
        <f>VLOOKUP(A777,AAPL!A776:C2031,3)</f>
        <v>184.113</v>
      </c>
      <c r="C777" s="1">
        <f>VLOOKUP(A777,MSFT!A776:C2031,3)</f>
        <v>408.16800000000001</v>
      </c>
      <c r="D777" s="1">
        <f>VLOOKUP(A777,NVDA!A776:C2031,3)</f>
        <v>66.141199999999998</v>
      </c>
      <c r="E777" s="1">
        <f>VLOOKUP(A777,AMD!A776:C2031,3)</f>
        <v>177.66</v>
      </c>
      <c r="F777" s="1">
        <f>VLOOKUP(A777,AMZN!A776:C2031,3)</f>
        <v>171.81</v>
      </c>
      <c r="G777" s="1">
        <f>VLOOKUP(A777,TSLA!A776:C2031,3)</f>
        <v>187.91</v>
      </c>
      <c r="H777" s="1">
        <f>VLOOKUP(A777,GOOGL!A776:C2031,3)</f>
        <v>141.86600000000001</v>
      </c>
      <c r="I777" s="1">
        <f>VLOOKUP(A777,META!A776:C2031,3)</f>
        <v>474.99</v>
      </c>
      <c r="J777" s="1">
        <f>VLOOKUP(A777,Nasdaq!A776:C2031,3)</f>
        <v>15628.95</v>
      </c>
    </row>
    <row r="778" spans="1:10" x14ac:dyDescent="0.2">
      <c r="A778" s="2">
        <v>45327</v>
      </c>
      <c r="B778" s="1">
        <f>VLOOKUP(A778,AAPL!A777:C2032,3)</f>
        <v>185.92599999999999</v>
      </c>
      <c r="C778" s="1">
        <f>VLOOKUP(A778,MSFT!A777:C2032,3)</f>
        <v>402.63900000000001</v>
      </c>
      <c r="D778" s="1">
        <f>VLOOKUP(A778,NVDA!A777:C2032,3)</f>
        <v>69.312299999999993</v>
      </c>
      <c r="E778" s="1">
        <f>VLOOKUP(A778,AMD!A777:C2032,3)</f>
        <v>174.23</v>
      </c>
      <c r="F778" s="1">
        <f>VLOOKUP(A778,AMZN!A777:C2032,3)</f>
        <v>170.31</v>
      </c>
      <c r="G778" s="1">
        <f>VLOOKUP(A778,TSLA!A777:C2032,3)</f>
        <v>181.06</v>
      </c>
      <c r="H778" s="1">
        <f>VLOOKUP(A778,GOOGL!A777:C2032,3)</f>
        <v>143.161</v>
      </c>
      <c r="I778" s="1">
        <f>VLOOKUP(A778,META!A777:C2032,3)</f>
        <v>459.41</v>
      </c>
      <c r="J778" s="1">
        <f>VLOOKUP(A778,Nasdaq!A777:C2032,3)</f>
        <v>15597.68</v>
      </c>
    </row>
    <row r="779" spans="1:10" x14ac:dyDescent="0.2">
      <c r="A779" s="2">
        <v>45328</v>
      </c>
      <c r="B779" s="1">
        <f>VLOOKUP(A779,AAPL!A778:C2033,3)</f>
        <v>187.53</v>
      </c>
      <c r="C779" s="1">
        <f>VLOOKUP(A779,MSFT!A778:C2033,3)</f>
        <v>402.48</v>
      </c>
      <c r="D779" s="1">
        <f>VLOOKUP(A779,NVDA!A778:C2033,3)</f>
        <v>68.203699999999998</v>
      </c>
      <c r="E779" s="1">
        <f>VLOOKUP(A779,AMD!A778:C2033,3)</f>
        <v>167.88</v>
      </c>
      <c r="F779" s="1">
        <f>VLOOKUP(A779,AMZN!A778:C2033,3)</f>
        <v>169.15</v>
      </c>
      <c r="G779" s="1">
        <f>VLOOKUP(A779,TSLA!A778:C2033,3)</f>
        <v>185.1</v>
      </c>
      <c r="H779" s="1">
        <f>VLOOKUP(A779,GOOGL!A778:C2033,3)</f>
        <v>143.57900000000001</v>
      </c>
      <c r="I779" s="1">
        <f>VLOOKUP(A779,META!A778:C2033,3)</f>
        <v>454.72</v>
      </c>
      <c r="J779" s="1">
        <f>VLOOKUP(A779,Nasdaq!A778:C2033,3)</f>
        <v>15609</v>
      </c>
    </row>
    <row r="780" spans="1:10" x14ac:dyDescent="0.2">
      <c r="A780" s="2">
        <v>45329</v>
      </c>
      <c r="B780" s="1">
        <f>VLOOKUP(A780,AAPL!A779:C2034,3)</f>
        <v>187.63900000000001</v>
      </c>
      <c r="C780" s="1">
        <f>VLOOKUP(A780,MSFT!A779:C2034,3)</f>
        <v>410.97699999999998</v>
      </c>
      <c r="D780" s="1">
        <f>VLOOKUP(A780,NVDA!A779:C2034,3)</f>
        <v>70.079099999999997</v>
      </c>
      <c r="E780" s="1">
        <f>VLOOKUP(A780,AMD!A779:C2034,3)</f>
        <v>170.94</v>
      </c>
      <c r="F780" s="1">
        <f>VLOOKUP(A780,AMZN!A779:C2034,3)</f>
        <v>170.53</v>
      </c>
      <c r="G780" s="1">
        <f>VLOOKUP(A780,TSLA!A779:C2034,3)</f>
        <v>187.58</v>
      </c>
      <c r="H780" s="1">
        <f>VLOOKUP(A780,GOOGL!A779:C2034,3)</f>
        <v>145.01400000000001</v>
      </c>
      <c r="I780" s="1">
        <f>VLOOKUP(A780,META!A779:C2034,3)</f>
        <v>469.59</v>
      </c>
      <c r="J780" s="1">
        <f>VLOOKUP(A780,Nasdaq!A779:C2034,3)</f>
        <v>15756.64</v>
      </c>
    </row>
    <row r="781" spans="1:10" x14ac:dyDescent="0.2">
      <c r="A781" s="2">
        <v>45330</v>
      </c>
      <c r="B781" s="1">
        <f>VLOOKUP(A781,AAPL!A780:C2035,3)</f>
        <v>186.55799999999999</v>
      </c>
      <c r="C781" s="1">
        <f>VLOOKUP(A781,MSFT!A780:C2035,3)</f>
        <v>411.03699999999998</v>
      </c>
      <c r="D781" s="1">
        <f>VLOOKUP(A781,NVDA!A780:C2035,3)</f>
        <v>69.621200000000002</v>
      </c>
      <c r="E781" s="1">
        <f>VLOOKUP(A781,AMD!A780:C2035,3)</f>
        <v>169.35</v>
      </c>
      <c r="F781" s="1">
        <f>VLOOKUP(A781,AMZN!A780:C2035,3)</f>
        <v>169.84</v>
      </c>
      <c r="G781" s="1">
        <f>VLOOKUP(A781,TSLA!A780:C2035,3)</f>
        <v>189.56</v>
      </c>
      <c r="H781" s="1">
        <f>VLOOKUP(A781,GOOGL!A780:C2035,3)</f>
        <v>145.38300000000001</v>
      </c>
      <c r="I781" s="1">
        <f>VLOOKUP(A781,META!A780:C2035,3)</f>
        <v>470</v>
      </c>
      <c r="J781" s="1">
        <f>VLOOKUP(A781,Nasdaq!A780:C2035,3)</f>
        <v>15793.71</v>
      </c>
    </row>
    <row r="782" spans="1:10" x14ac:dyDescent="0.2">
      <c r="A782" s="2">
        <v>45331</v>
      </c>
      <c r="B782" s="1">
        <f>VLOOKUP(A782,AAPL!A781:C2036,3)</f>
        <v>187.321</v>
      </c>
      <c r="C782" s="1">
        <f>VLOOKUP(A782,MSFT!A781:C2036,3)</f>
        <v>417.428</v>
      </c>
      <c r="D782" s="1">
        <f>VLOOKUP(A782,NVDA!A781:C2036,3)</f>
        <v>72.112499999999997</v>
      </c>
      <c r="E782" s="1">
        <f>VLOOKUP(A782,AMD!A781:C2036,3)</f>
        <v>172.48</v>
      </c>
      <c r="F782" s="1">
        <f>VLOOKUP(A782,AMZN!A781:C2036,3)</f>
        <v>174.45</v>
      </c>
      <c r="G782" s="1">
        <f>VLOOKUP(A782,TSLA!A781:C2036,3)</f>
        <v>193.57</v>
      </c>
      <c r="H782" s="1">
        <f>VLOOKUP(A782,GOOGL!A781:C2036,3)</f>
        <v>148.46199999999999</v>
      </c>
      <c r="I782" s="1">
        <f>VLOOKUP(A782,META!A781:C2036,3)</f>
        <v>468.11</v>
      </c>
      <c r="J782" s="1">
        <f>VLOOKUP(A782,Nasdaq!A781:C2036,3)</f>
        <v>15990.66</v>
      </c>
    </row>
    <row r="783" spans="1:10" x14ac:dyDescent="0.2">
      <c r="A783" s="2">
        <v>45334</v>
      </c>
      <c r="B783" s="1">
        <f>VLOOKUP(A783,AAPL!A782:C2037,3)</f>
        <v>185.636</v>
      </c>
      <c r="C783" s="1">
        <f>VLOOKUP(A783,MSFT!A782:C2037,3)</f>
        <v>412.178</v>
      </c>
      <c r="D783" s="1">
        <f>VLOOKUP(A783,NVDA!A782:C2037,3)</f>
        <v>72.227500000000006</v>
      </c>
      <c r="E783" s="1">
        <f>VLOOKUP(A783,AMD!A782:C2037,3)</f>
        <v>171.91</v>
      </c>
      <c r="F783" s="1">
        <f>VLOOKUP(A783,AMZN!A782:C2037,3)</f>
        <v>172.34</v>
      </c>
      <c r="G783" s="1">
        <f>VLOOKUP(A783,TSLA!A782:C2037,3)</f>
        <v>188.13</v>
      </c>
      <c r="H783" s="1">
        <f>VLOOKUP(A783,GOOGL!A782:C2037,3)</f>
        <v>146.99799999999999</v>
      </c>
      <c r="I783" s="1">
        <f>VLOOKUP(A783,META!A782:C2037,3)</f>
        <v>468.9</v>
      </c>
      <c r="J783" s="1">
        <f>VLOOKUP(A783,Nasdaq!A782:C2037,3)</f>
        <v>15942.55</v>
      </c>
    </row>
    <row r="784" spans="1:10" x14ac:dyDescent="0.2">
      <c r="A784" s="2">
        <v>45335</v>
      </c>
      <c r="B784" s="1">
        <f>VLOOKUP(A784,AAPL!A783:C2038,3)</f>
        <v>183.542</v>
      </c>
      <c r="C784" s="1">
        <f>VLOOKUP(A784,MSFT!A783:C2038,3)</f>
        <v>403.30500000000001</v>
      </c>
      <c r="D784" s="1">
        <f>VLOOKUP(A784,NVDA!A783:C2038,3)</f>
        <v>72.107500000000002</v>
      </c>
      <c r="E784" s="1">
        <f>VLOOKUP(A784,AMD!A783:C2038,3)</f>
        <v>171.54</v>
      </c>
      <c r="F784" s="1">
        <f>VLOOKUP(A784,AMZN!A783:C2038,3)</f>
        <v>168.64</v>
      </c>
      <c r="G784" s="1">
        <f>VLOOKUP(A784,TSLA!A783:C2038,3)</f>
        <v>184.02</v>
      </c>
      <c r="H784" s="1">
        <f>VLOOKUP(A784,GOOGL!A783:C2038,3)</f>
        <v>144.61600000000001</v>
      </c>
      <c r="I784" s="1">
        <f>VLOOKUP(A784,META!A783:C2038,3)</f>
        <v>460.12</v>
      </c>
      <c r="J784" s="1">
        <f>VLOOKUP(A784,Nasdaq!A783:C2038,3)</f>
        <v>15655.6</v>
      </c>
    </row>
    <row r="785" spans="1:10" x14ac:dyDescent="0.2">
      <c r="A785" s="2">
        <v>45336</v>
      </c>
      <c r="B785" s="1">
        <f>VLOOKUP(A785,AAPL!A784:C2039,3)</f>
        <v>182.65899999999999</v>
      </c>
      <c r="C785" s="1">
        <f>VLOOKUP(A785,MSFT!A784:C2039,3)</f>
        <v>407.20299999999997</v>
      </c>
      <c r="D785" s="1">
        <f>VLOOKUP(A785,NVDA!A784:C2039,3)</f>
        <v>73.879000000000005</v>
      </c>
      <c r="E785" s="1">
        <f>VLOOKUP(A785,AMD!A784:C2039,3)</f>
        <v>178.7</v>
      </c>
      <c r="F785" s="1">
        <f>VLOOKUP(A785,AMZN!A784:C2039,3)</f>
        <v>170.98</v>
      </c>
      <c r="G785" s="1">
        <f>VLOOKUP(A785,TSLA!A784:C2039,3)</f>
        <v>188.71</v>
      </c>
      <c r="H785" s="1">
        <f>VLOOKUP(A785,GOOGL!A784:C2039,3)</f>
        <v>145.41300000000001</v>
      </c>
      <c r="I785" s="1">
        <f>VLOOKUP(A785,META!A784:C2039,3)</f>
        <v>473.28</v>
      </c>
      <c r="J785" s="1">
        <f>VLOOKUP(A785,Nasdaq!A784:C2039,3)</f>
        <v>15859.15</v>
      </c>
    </row>
    <row r="786" spans="1:10" x14ac:dyDescent="0.2">
      <c r="A786" s="2">
        <v>45337</v>
      </c>
      <c r="B786" s="1">
        <f>VLOOKUP(A786,AAPL!A785:C2040,3)</f>
        <v>182.37200000000001</v>
      </c>
      <c r="C786" s="1">
        <f>VLOOKUP(A786,MSFT!A785:C2040,3)</f>
        <v>404.28899999999999</v>
      </c>
      <c r="D786" s="1">
        <f>VLOOKUP(A786,NVDA!A785:C2040,3)</f>
        <v>72.6374</v>
      </c>
      <c r="E786" s="1">
        <f>VLOOKUP(A786,AMD!A785:C2040,3)</f>
        <v>176.76</v>
      </c>
      <c r="F786" s="1">
        <f>VLOOKUP(A786,AMZN!A785:C2040,3)</f>
        <v>169.8</v>
      </c>
      <c r="G786" s="1">
        <f>VLOOKUP(A786,TSLA!A785:C2040,3)</f>
        <v>200.45</v>
      </c>
      <c r="H786" s="1">
        <f>VLOOKUP(A786,GOOGL!A785:C2040,3)</f>
        <v>142.25399999999999</v>
      </c>
      <c r="I786" s="1">
        <f>VLOOKUP(A786,META!A785:C2040,3)</f>
        <v>484.03</v>
      </c>
      <c r="J786" s="1">
        <f>VLOOKUP(A786,Nasdaq!A785:C2040,3)</f>
        <v>15906.17</v>
      </c>
    </row>
    <row r="787" spans="1:10" x14ac:dyDescent="0.2">
      <c r="A787" s="2">
        <v>45338</v>
      </c>
      <c r="B787" s="1">
        <f>VLOOKUP(A787,AAPL!A786:C2041,3)</f>
        <v>180.83500000000001</v>
      </c>
      <c r="C787" s="1">
        <f>VLOOKUP(A787,MSFT!A786:C2041,3)</f>
        <v>401.803</v>
      </c>
      <c r="D787" s="1">
        <f>VLOOKUP(A787,NVDA!A786:C2041,3)</f>
        <v>72.592399999999998</v>
      </c>
      <c r="E787" s="1">
        <f>VLOOKUP(A787,AMD!A786:C2041,3)</f>
        <v>173.87</v>
      </c>
      <c r="F787" s="1">
        <f>VLOOKUP(A787,AMZN!A786:C2041,3)</f>
        <v>169.51</v>
      </c>
      <c r="G787" s="1">
        <f>VLOOKUP(A787,TSLA!A786:C2041,3)</f>
        <v>199.95</v>
      </c>
      <c r="H787" s="1">
        <f>VLOOKUP(A787,GOOGL!A786:C2041,3)</f>
        <v>140.01300000000001</v>
      </c>
      <c r="I787" s="1">
        <f>VLOOKUP(A787,META!A786:C2041,3)</f>
        <v>473.32</v>
      </c>
      <c r="J787" s="1">
        <f>VLOOKUP(A787,Nasdaq!A786:C2041,3)</f>
        <v>15775.65</v>
      </c>
    </row>
    <row r="788" spans="1:10" x14ac:dyDescent="0.2">
      <c r="A788" s="2">
        <v>45342</v>
      </c>
      <c r="B788" s="1">
        <f>VLOOKUP(A788,AAPL!A787:C2042,3)</f>
        <v>180.089</v>
      </c>
      <c r="C788" s="1">
        <f>VLOOKUP(A788,MSFT!A787:C2042,3)</f>
        <v>400.54</v>
      </c>
      <c r="D788" s="1">
        <f>VLOOKUP(A788,NVDA!A787:C2042,3)</f>
        <v>69.432299999999998</v>
      </c>
      <c r="E788" s="1">
        <f>VLOOKUP(A788,AMD!A787:C2042,3)</f>
        <v>165.69</v>
      </c>
      <c r="F788" s="1">
        <f>VLOOKUP(A788,AMZN!A787:C2042,3)</f>
        <v>167.08</v>
      </c>
      <c r="G788" s="1">
        <f>VLOOKUP(A788,TSLA!A787:C2042,3)</f>
        <v>193.76</v>
      </c>
      <c r="H788" s="1">
        <f>VLOOKUP(A788,GOOGL!A787:C2042,3)</f>
        <v>140.61000000000001</v>
      </c>
      <c r="I788" s="1">
        <f>VLOOKUP(A788,META!A787:C2042,3)</f>
        <v>471.75</v>
      </c>
      <c r="J788" s="1">
        <f>VLOOKUP(A788,Nasdaq!A787:C2042,3)</f>
        <v>15630.78</v>
      </c>
    </row>
    <row r="789" spans="1:10" x14ac:dyDescent="0.2">
      <c r="A789" s="2">
        <v>45343</v>
      </c>
      <c r="B789" s="1">
        <f>VLOOKUP(A789,AAPL!A788:C2043,3)</f>
        <v>180.845</v>
      </c>
      <c r="C789" s="1">
        <f>VLOOKUP(A789,MSFT!A788:C2043,3)</f>
        <v>399.93299999999999</v>
      </c>
      <c r="D789" s="1">
        <f>VLOOKUP(A789,NVDA!A788:C2043,3)</f>
        <v>67.4529</v>
      </c>
      <c r="E789" s="1">
        <f>VLOOKUP(A789,AMD!A788:C2043,3)</f>
        <v>164.29</v>
      </c>
      <c r="F789" s="1">
        <f>VLOOKUP(A789,AMZN!A788:C2043,3)</f>
        <v>168.59</v>
      </c>
      <c r="G789" s="1">
        <f>VLOOKUP(A789,TSLA!A788:C2043,3)</f>
        <v>194.77</v>
      </c>
      <c r="H789" s="1">
        <f>VLOOKUP(A789,GOOGL!A788:C2043,3)</f>
        <v>142.035</v>
      </c>
      <c r="I789" s="1">
        <f>VLOOKUP(A789,META!A788:C2043,3)</f>
        <v>468.03</v>
      </c>
      <c r="J789" s="1">
        <f>VLOOKUP(A789,Nasdaq!A788:C2043,3)</f>
        <v>15580.87</v>
      </c>
    </row>
    <row r="790" spans="1:10" x14ac:dyDescent="0.2">
      <c r="A790" s="2">
        <v>45344</v>
      </c>
      <c r="B790" s="1">
        <f>VLOOKUP(A790,AAPL!A789:C2044,3)</f>
        <v>182.87799999999999</v>
      </c>
      <c r="C790" s="1">
        <f>VLOOKUP(A790,MSFT!A789:C2044,3)</f>
        <v>409.351</v>
      </c>
      <c r="D790" s="1">
        <f>VLOOKUP(A790,NVDA!A789:C2044,3)</f>
        <v>78.515799999999999</v>
      </c>
      <c r="E790" s="1">
        <f>VLOOKUP(A790,AMD!A789:C2044,3)</f>
        <v>181.86</v>
      </c>
      <c r="F790" s="1">
        <f>VLOOKUP(A790,AMZN!A789:C2044,3)</f>
        <v>174.58</v>
      </c>
      <c r="G790" s="1">
        <f>VLOOKUP(A790,TSLA!A789:C2044,3)</f>
        <v>197.41</v>
      </c>
      <c r="H790" s="1">
        <f>VLOOKUP(A790,GOOGL!A789:C2044,3)</f>
        <v>143.56899999999999</v>
      </c>
      <c r="I790" s="1">
        <f>VLOOKUP(A790,META!A789:C2044,3)</f>
        <v>486.13</v>
      </c>
      <c r="J790" s="1">
        <f>VLOOKUP(A790,Nasdaq!A789:C2044,3)</f>
        <v>16041.62</v>
      </c>
    </row>
    <row r="791" spans="1:10" x14ac:dyDescent="0.2">
      <c r="A791" s="2">
        <v>45345</v>
      </c>
      <c r="B791" s="1">
        <f>VLOOKUP(A791,AAPL!A790:C2045,3)</f>
        <v>181.042</v>
      </c>
      <c r="C791" s="1">
        <f>VLOOKUP(A791,MSFT!A790:C2045,3)</f>
        <v>408.04700000000003</v>
      </c>
      <c r="D791" s="1">
        <f>VLOOKUP(A791,NVDA!A790:C2045,3)</f>
        <v>78.794700000000006</v>
      </c>
      <c r="E791" s="1">
        <f>VLOOKUP(A791,AMD!A790:C2045,3)</f>
        <v>176.52</v>
      </c>
      <c r="F791" s="1">
        <f>VLOOKUP(A791,AMZN!A790:C2045,3)</f>
        <v>174.99</v>
      </c>
      <c r="G791" s="1">
        <f>VLOOKUP(A791,TSLA!A790:C2045,3)</f>
        <v>191.97</v>
      </c>
      <c r="H791" s="1">
        <f>VLOOKUP(A791,GOOGL!A790:C2045,3)</f>
        <v>143.44</v>
      </c>
      <c r="I791" s="1">
        <f>VLOOKUP(A791,META!A790:C2045,3)</f>
        <v>484.03</v>
      </c>
      <c r="J791" s="1">
        <f>VLOOKUP(A791,Nasdaq!A790:C2045,3)</f>
        <v>15996.82</v>
      </c>
    </row>
    <row r="792" spans="1:10" x14ac:dyDescent="0.2">
      <c r="A792" s="2">
        <v>45348</v>
      </c>
      <c r="B792" s="1">
        <f>VLOOKUP(A792,AAPL!A791:C2046,3)</f>
        <v>179.69499999999999</v>
      </c>
      <c r="C792" s="1">
        <f>VLOOKUP(A792,MSFT!A791:C2046,3)</f>
        <v>405.26299999999998</v>
      </c>
      <c r="D792" s="1">
        <f>VLOOKUP(A792,NVDA!A791:C2046,3)</f>
        <v>79.069599999999994</v>
      </c>
      <c r="E792" s="1">
        <f>VLOOKUP(A792,AMD!A791:C2046,3)</f>
        <v>176.01</v>
      </c>
      <c r="F792" s="1">
        <f>VLOOKUP(A792,AMZN!A791:C2046,3)</f>
        <v>174.73</v>
      </c>
      <c r="G792" s="1">
        <f>VLOOKUP(A792,TSLA!A791:C2046,3)</f>
        <v>199.4</v>
      </c>
      <c r="H792" s="1">
        <f>VLOOKUP(A792,GOOGL!A791:C2046,3)</f>
        <v>137.07300000000001</v>
      </c>
      <c r="I792" s="1">
        <f>VLOOKUP(A792,META!A791:C2046,3)</f>
        <v>481.74</v>
      </c>
      <c r="J792" s="1">
        <f>VLOOKUP(A792,Nasdaq!A791:C2046,3)</f>
        <v>15976.25</v>
      </c>
    </row>
    <row r="793" spans="1:10" x14ac:dyDescent="0.2">
      <c r="A793" s="2">
        <v>45349</v>
      </c>
      <c r="B793" s="1">
        <f>VLOOKUP(A793,AAPL!A792:C2047,3)</f>
        <v>181.15199999999999</v>
      </c>
      <c r="C793" s="1">
        <f>VLOOKUP(A793,MSFT!A792:C2047,3)</f>
        <v>405.20299999999997</v>
      </c>
      <c r="D793" s="1">
        <f>VLOOKUP(A793,NVDA!A792:C2047,3)</f>
        <v>78.678700000000006</v>
      </c>
      <c r="E793" s="1">
        <f>VLOOKUP(A793,AMD!A792:C2047,3)</f>
        <v>178</v>
      </c>
      <c r="F793" s="1">
        <f>VLOOKUP(A793,AMZN!A792:C2047,3)</f>
        <v>173.54</v>
      </c>
      <c r="G793" s="1">
        <f>VLOOKUP(A793,TSLA!A792:C2047,3)</f>
        <v>199.73</v>
      </c>
      <c r="H793" s="1">
        <f>VLOOKUP(A793,GOOGL!A792:C2047,3)</f>
        <v>138.37799999999999</v>
      </c>
      <c r="I793" s="1">
        <f>VLOOKUP(A793,META!A792:C2047,3)</f>
        <v>487.05</v>
      </c>
      <c r="J793" s="1">
        <f>VLOOKUP(A793,Nasdaq!A792:C2047,3)</f>
        <v>16035.3</v>
      </c>
    </row>
    <row r="794" spans="1:10" x14ac:dyDescent="0.2">
      <c r="A794" s="2">
        <v>45350</v>
      </c>
      <c r="B794" s="1">
        <f>VLOOKUP(A794,AAPL!A793:C2048,3)</f>
        <v>179.953</v>
      </c>
      <c r="C794" s="1">
        <f>VLOOKUP(A794,MSFT!A793:C2048,3)</f>
        <v>405.44200000000001</v>
      </c>
      <c r="D794" s="1">
        <f>VLOOKUP(A794,NVDA!A793:C2048,3)</f>
        <v>77.641099999999994</v>
      </c>
      <c r="E794" s="1">
        <f>VLOOKUP(A794,AMD!A793:C2048,3)</f>
        <v>176.54</v>
      </c>
      <c r="F794" s="1">
        <f>VLOOKUP(A794,AMZN!A793:C2048,3)</f>
        <v>173.16</v>
      </c>
      <c r="G794" s="1">
        <f>VLOOKUP(A794,TSLA!A793:C2048,3)</f>
        <v>202.04</v>
      </c>
      <c r="H794" s="1">
        <f>VLOOKUP(A794,GOOGL!A793:C2048,3)</f>
        <v>135.887</v>
      </c>
      <c r="I794" s="1">
        <f>VLOOKUP(A794,META!A793:C2048,3)</f>
        <v>484.02</v>
      </c>
      <c r="J794" s="1">
        <f>VLOOKUP(A794,Nasdaq!A793:C2048,3)</f>
        <v>15947.74</v>
      </c>
    </row>
    <row r="795" spans="1:10" x14ac:dyDescent="0.2">
      <c r="A795" s="2">
        <v>45351</v>
      </c>
      <c r="B795" s="1">
        <f>VLOOKUP(A795,AAPL!A794:C2049,3)</f>
        <v>179.286</v>
      </c>
      <c r="C795" s="1">
        <f>VLOOKUP(A795,MSFT!A794:C2049,3)</f>
        <v>411.32900000000001</v>
      </c>
      <c r="D795" s="1">
        <f>VLOOKUP(A795,NVDA!A794:C2049,3)</f>
        <v>79.089600000000004</v>
      </c>
      <c r="E795" s="1">
        <f>VLOOKUP(A795,AMD!A794:C2049,3)</f>
        <v>192.53</v>
      </c>
      <c r="F795" s="1">
        <f>VLOOKUP(A795,AMZN!A794:C2049,3)</f>
        <v>176.76</v>
      </c>
      <c r="G795" s="1">
        <f>VLOOKUP(A795,TSLA!A794:C2049,3)</f>
        <v>201.88</v>
      </c>
      <c r="H795" s="1">
        <f>VLOOKUP(A795,GOOGL!A794:C2049,3)</f>
        <v>137.96</v>
      </c>
      <c r="I795" s="1">
        <f>VLOOKUP(A795,META!A794:C2049,3)</f>
        <v>490.13</v>
      </c>
      <c r="J795" s="1">
        <f>VLOOKUP(A795,Nasdaq!A794:C2049,3)</f>
        <v>16091.92</v>
      </c>
    </row>
    <row r="796" spans="1:10" x14ac:dyDescent="0.2">
      <c r="A796" s="2">
        <v>45352</v>
      </c>
      <c r="B796" s="1">
        <f>VLOOKUP(A796,AAPL!A795:C2050,3)</f>
        <v>178.20699999999999</v>
      </c>
      <c r="C796" s="1">
        <f>VLOOKUP(A796,MSFT!A795:C2050,3)</f>
        <v>413.17899999999997</v>
      </c>
      <c r="D796" s="1">
        <f>VLOOKUP(A796,NVDA!A795:C2050,3)</f>
        <v>82.255600000000001</v>
      </c>
      <c r="E796" s="1">
        <f>VLOOKUP(A796,AMD!A795:C2050,3)</f>
        <v>202.64</v>
      </c>
      <c r="F796" s="1">
        <f>VLOOKUP(A796,AMZN!A795:C2050,3)</f>
        <v>178.22</v>
      </c>
      <c r="G796" s="1">
        <f>VLOOKUP(A796,TSLA!A795:C2050,3)</f>
        <v>202.64</v>
      </c>
      <c r="H796" s="1">
        <f>VLOOKUP(A796,GOOGL!A795:C2050,3)</f>
        <v>136.64400000000001</v>
      </c>
      <c r="I796" s="1">
        <f>VLOOKUP(A796,META!A795:C2050,3)</f>
        <v>502.3</v>
      </c>
      <c r="J796" s="1">
        <f>VLOOKUP(A796,Nasdaq!A795:C2050,3)</f>
        <v>16274.94</v>
      </c>
    </row>
    <row r="797" spans="1:10" x14ac:dyDescent="0.2">
      <c r="A797" s="2">
        <v>45355</v>
      </c>
      <c r="B797" s="1">
        <f>VLOOKUP(A797,AAPL!A796:C2051,3)</f>
        <v>173.684</v>
      </c>
      <c r="C797" s="1">
        <f>VLOOKUP(A797,MSFT!A796:C2051,3)</f>
        <v>412.60199999999998</v>
      </c>
      <c r="D797" s="1">
        <f>VLOOKUP(A797,NVDA!A796:C2051,3)</f>
        <v>85.212800000000001</v>
      </c>
      <c r="E797" s="1">
        <f>VLOOKUP(A797,AMD!A796:C2051,3)</f>
        <v>205.36</v>
      </c>
      <c r="F797" s="1">
        <f>VLOOKUP(A797,AMZN!A796:C2051,3)</f>
        <v>177.58</v>
      </c>
      <c r="G797" s="1">
        <f>VLOOKUP(A797,TSLA!A796:C2051,3)</f>
        <v>188.14</v>
      </c>
      <c r="H797" s="1">
        <f>VLOOKUP(A797,GOOGL!A796:C2051,3)</f>
        <v>132.86799999999999</v>
      </c>
      <c r="I797" s="1">
        <f>VLOOKUP(A797,META!A796:C2051,3)</f>
        <v>498.19</v>
      </c>
      <c r="J797" s="1">
        <f>VLOOKUP(A797,Nasdaq!A796:C2051,3)</f>
        <v>16207.51</v>
      </c>
    </row>
    <row r="798" spans="1:10" x14ac:dyDescent="0.2">
      <c r="A798" s="2">
        <v>45356</v>
      </c>
      <c r="B798" s="1">
        <f>VLOOKUP(A798,AAPL!A797:C2052,3)</f>
        <v>168.744</v>
      </c>
      <c r="C798" s="1">
        <f>VLOOKUP(A798,MSFT!A797:C2052,3)</f>
        <v>400.40100000000001</v>
      </c>
      <c r="D798" s="1">
        <f>VLOOKUP(A798,NVDA!A797:C2052,3)</f>
        <v>85.943600000000004</v>
      </c>
      <c r="E798" s="1">
        <f>VLOOKUP(A798,AMD!A797:C2052,3)</f>
        <v>205.13</v>
      </c>
      <c r="F798" s="1">
        <f>VLOOKUP(A798,AMZN!A797:C2052,3)</f>
        <v>174.12</v>
      </c>
      <c r="G798" s="1">
        <f>VLOOKUP(A798,TSLA!A797:C2052,3)</f>
        <v>180.74</v>
      </c>
      <c r="H798" s="1">
        <f>VLOOKUP(A798,GOOGL!A797:C2052,3)</f>
        <v>132.191</v>
      </c>
      <c r="I798" s="1">
        <f>VLOOKUP(A798,META!A797:C2052,3)</f>
        <v>490.22</v>
      </c>
      <c r="J798" s="1">
        <f>VLOOKUP(A798,Nasdaq!A797:C2052,3)</f>
        <v>15939.59</v>
      </c>
    </row>
    <row r="799" spans="1:10" x14ac:dyDescent="0.2">
      <c r="A799" s="2">
        <v>45357</v>
      </c>
      <c r="B799" s="1">
        <f>VLOOKUP(A799,AAPL!A798:C2053,3)</f>
        <v>167.75200000000001</v>
      </c>
      <c r="C799" s="1">
        <f>VLOOKUP(A799,MSFT!A798:C2053,3)</f>
        <v>399.84399999999999</v>
      </c>
      <c r="D799" s="1">
        <f>VLOOKUP(A799,NVDA!A798:C2053,3)</f>
        <v>88.679000000000002</v>
      </c>
      <c r="E799" s="1">
        <f>VLOOKUP(A799,AMD!A798:C2053,3)</f>
        <v>210.63</v>
      </c>
      <c r="F799" s="1">
        <f>VLOOKUP(A799,AMZN!A798:C2053,3)</f>
        <v>173.51</v>
      </c>
      <c r="G799" s="1">
        <f>VLOOKUP(A799,TSLA!A798:C2053,3)</f>
        <v>176.54</v>
      </c>
      <c r="H799" s="1">
        <f>VLOOKUP(A799,GOOGL!A798:C2053,3)</f>
        <v>130.92500000000001</v>
      </c>
      <c r="I799" s="1">
        <f>VLOOKUP(A799,META!A798:C2053,3)</f>
        <v>496.09</v>
      </c>
      <c r="J799" s="1">
        <f>VLOOKUP(A799,Nasdaq!A798:C2053,3)</f>
        <v>16031.54</v>
      </c>
    </row>
    <row r="800" spans="1:10" x14ac:dyDescent="0.2">
      <c r="A800" s="2">
        <v>45358</v>
      </c>
      <c r="B800" s="1">
        <f>VLOOKUP(A800,AAPL!A799:C2054,3)</f>
        <v>167.63300000000001</v>
      </c>
      <c r="C800" s="1">
        <f>VLOOKUP(A800,MSFT!A799:C2054,3)</f>
        <v>406.85399999999998</v>
      </c>
      <c r="D800" s="1">
        <f>VLOOKUP(A800,NVDA!A799:C2054,3)</f>
        <v>92.647099999999995</v>
      </c>
      <c r="E800" s="1">
        <f>VLOOKUP(A800,AMD!A799:C2054,3)</f>
        <v>211.38</v>
      </c>
      <c r="F800" s="1">
        <f>VLOOKUP(A800,AMZN!A799:C2054,3)</f>
        <v>176.82</v>
      </c>
      <c r="G800" s="1">
        <f>VLOOKUP(A800,TSLA!A799:C2054,3)</f>
        <v>178.65</v>
      </c>
      <c r="H800" s="1">
        <f>VLOOKUP(A800,GOOGL!A799:C2054,3)</f>
        <v>133.89500000000001</v>
      </c>
      <c r="I800" s="1">
        <f>VLOOKUP(A800,META!A799:C2054,3)</f>
        <v>512.19000000000005</v>
      </c>
      <c r="J800" s="1">
        <f>VLOOKUP(A800,Nasdaq!A799:C2054,3)</f>
        <v>16273.38</v>
      </c>
    </row>
    <row r="801" spans="1:10" x14ac:dyDescent="0.2">
      <c r="A801" s="2">
        <v>45359</v>
      </c>
      <c r="B801" s="1">
        <f>VLOOKUP(A801,AAPL!A800:C2055,3)</f>
        <v>169.34899999999999</v>
      </c>
      <c r="C801" s="1">
        <f>VLOOKUP(A801,MSFT!A800:C2055,3)</f>
        <v>403.95</v>
      </c>
      <c r="D801" s="1">
        <f>VLOOKUP(A801,NVDA!A800:C2055,3)</f>
        <v>87.507300000000001</v>
      </c>
      <c r="E801" s="1">
        <f>VLOOKUP(A801,AMD!A800:C2055,3)</f>
        <v>207.39</v>
      </c>
      <c r="F801" s="1">
        <f>VLOOKUP(A801,AMZN!A800:C2055,3)</f>
        <v>175.35</v>
      </c>
      <c r="G801" s="1">
        <f>VLOOKUP(A801,TSLA!A800:C2055,3)</f>
        <v>175.34</v>
      </c>
      <c r="H801" s="1">
        <f>VLOOKUP(A801,GOOGL!A800:C2055,3)</f>
        <v>134.92099999999999</v>
      </c>
      <c r="I801" s="1">
        <f>VLOOKUP(A801,META!A800:C2055,3)</f>
        <v>505.95</v>
      </c>
      <c r="J801" s="1">
        <f>VLOOKUP(A801,Nasdaq!A800:C2055,3)</f>
        <v>16085.11</v>
      </c>
    </row>
    <row r="802" spans="1:10" x14ac:dyDescent="0.2">
      <c r="A802" s="2">
        <v>45362</v>
      </c>
      <c r="B802" s="1">
        <f>VLOOKUP(A802,AAPL!A801:C2056,3)</f>
        <v>171.35300000000001</v>
      </c>
      <c r="C802" s="1">
        <f>VLOOKUP(A802,MSFT!A801:C2056,3)</f>
        <v>402.26100000000002</v>
      </c>
      <c r="D802" s="1">
        <f>VLOOKUP(A802,NVDA!A801:C2056,3)</f>
        <v>85.753799999999998</v>
      </c>
      <c r="E802" s="1">
        <f>VLOOKUP(A802,AMD!A801:C2056,3)</f>
        <v>198.39</v>
      </c>
      <c r="F802" s="1">
        <f>VLOOKUP(A802,AMZN!A801:C2056,3)</f>
        <v>171.96</v>
      </c>
      <c r="G802" s="1">
        <f>VLOOKUP(A802,TSLA!A801:C2056,3)</f>
        <v>177.77</v>
      </c>
      <c r="H802" s="1">
        <f>VLOOKUP(A802,GOOGL!A801:C2056,3)</f>
        <v>137.173</v>
      </c>
      <c r="I802" s="1">
        <f>VLOOKUP(A802,META!A801:C2056,3)</f>
        <v>483.59</v>
      </c>
      <c r="J802" s="1">
        <f>VLOOKUP(A802,Nasdaq!A801:C2056,3)</f>
        <v>16019.27</v>
      </c>
    </row>
    <row r="803" spans="1:10" x14ac:dyDescent="0.2">
      <c r="A803" s="2">
        <v>45363</v>
      </c>
      <c r="B803" s="1">
        <f>VLOOKUP(A803,AAPL!A802:C2057,3)</f>
        <v>171.827</v>
      </c>
      <c r="C803" s="1">
        <f>VLOOKUP(A803,MSFT!A802:C2057,3)</f>
        <v>412.959</v>
      </c>
      <c r="D803" s="1">
        <f>VLOOKUP(A803,NVDA!A802:C2057,3)</f>
        <v>91.891300000000001</v>
      </c>
      <c r="E803" s="1">
        <f>VLOOKUP(A803,AMD!A802:C2057,3)</f>
        <v>202.76</v>
      </c>
      <c r="F803" s="1">
        <f>VLOOKUP(A803,AMZN!A802:C2057,3)</f>
        <v>175.39</v>
      </c>
      <c r="G803" s="1">
        <f>VLOOKUP(A803,TSLA!A802:C2057,3)</f>
        <v>177.54</v>
      </c>
      <c r="H803" s="1">
        <f>VLOOKUP(A803,GOOGL!A802:C2057,3)</f>
        <v>138</v>
      </c>
      <c r="I803" s="1">
        <f>VLOOKUP(A803,META!A802:C2057,3)</f>
        <v>499.75</v>
      </c>
      <c r="J803" s="1">
        <f>VLOOKUP(A803,Nasdaq!A802:C2057,3)</f>
        <v>16265.64</v>
      </c>
    </row>
    <row r="804" spans="1:10" x14ac:dyDescent="0.2">
      <c r="A804" s="2">
        <v>45364</v>
      </c>
      <c r="B804" s="1">
        <f>VLOOKUP(A804,AAPL!A803:C2058,3)</f>
        <v>169.744</v>
      </c>
      <c r="C804" s="1">
        <f>VLOOKUP(A804,MSFT!A803:C2058,3)</f>
        <v>412.78199999999998</v>
      </c>
      <c r="D804" s="1">
        <f>VLOOKUP(A804,NVDA!A803:C2058,3)</f>
        <v>90.866399999999999</v>
      </c>
      <c r="E804" s="1">
        <f>VLOOKUP(A804,AMD!A803:C2058,3)</f>
        <v>194.79</v>
      </c>
      <c r="F804" s="1">
        <f>VLOOKUP(A804,AMZN!A803:C2058,3)</f>
        <v>176.55500000000001</v>
      </c>
      <c r="G804" s="1">
        <f>VLOOKUP(A804,TSLA!A803:C2058,3)</f>
        <v>169.48</v>
      </c>
      <c r="H804" s="1">
        <f>VLOOKUP(A804,GOOGL!A803:C2058,3)</f>
        <v>139.285</v>
      </c>
      <c r="I804" s="1">
        <f>VLOOKUP(A804,META!A803:C2058,3)</f>
        <v>495.57</v>
      </c>
      <c r="J804" s="1">
        <f>VLOOKUP(A804,Nasdaq!A803:C2058,3)</f>
        <v>16177.77</v>
      </c>
    </row>
    <row r="805" spans="1:10" x14ac:dyDescent="0.2">
      <c r="A805" s="2">
        <v>45365</v>
      </c>
      <c r="B805" s="1">
        <f>VLOOKUP(A805,AAPL!A804:C2059,3)</f>
        <v>171.6</v>
      </c>
      <c r="C805" s="1">
        <f>VLOOKUP(A805,MSFT!A804:C2059,3)</f>
        <v>422.84399999999999</v>
      </c>
      <c r="D805" s="1">
        <f>VLOOKUP(A805,NVDA!A804:C2059,3)</f>
        <v>87.923199999999994</v>
      </c>
      <c r="E805" s="1">
        <f>VLOOKUP(A805,AMD!A804:C2059,3)</f>
        <v>187.06</v>
      </c>
      <c r="F805" s="1">
        <f>VLOOKUP(A805,AMZN!A804:C2059,3)</f>
        <v>178.75</v>
      </c>
      <c r="G805" s="1">
        <f>VLOOKUP(A805,TSLA!A804:C2059,3)</f>
        <v>162.5</v>
      </c>
      <c r="H805" s="1">
        <f>VLOOKUP(A805,GOOGL!A804:C2059,3)</f>
        <v>142.584</v>
      </c>
      <c r="I805" s="1">
        <f>VLOOKUP(A805,META!A804:C2059,3)</f>
        <v>491.83</v>
      </c>
      <c r="J805" s="1">
        <f>VLOOKUP(A805,Nasdaq!A804:C2059,3)</f>
        <v>16128.53</v>
      </c>
    </row>
    <row r="806" spans="1:10" x14ac:dyDescent="0.2">
      <c r="A806" s="2">
        <v>45366</v>
      </c>
      <c r="B806" s="1">
        <f>VLOOKUP(A806,AAPL!A805:C2060,3)</f>
        <v>171.22300000000001</v>
      </c>
      <c r="C806" s="1">
        <f>VLOOKUP(A806,MSFT!A805:C2060,3)</f>
        <v>414.09300000000002</v>
      </c>
      <c r="D806" s="1">
        <f>VLOOKUP(A806,NVDA!A805:C2060,3)</f>
        <v>87.815700000000007</v>
      </c>
      <c r="E806" s="1">
        <f>VLOOKUP(A806,AMD!A805:C2060,3)</f>
        <v>191.06</v>
      </c>
      <c r="F806" s="1">
        <f>VLOOKUP(A806,AMZN!A805:C2060,3)</f>
        <v>174.42</v>
      </c>
      <c r="G806" s="1">
        <f>VLOOKUP(A806,TSLA!A805:C2060,3)</f>
        <v>163.57</v>
      </c>
      <c r="H806" s="1">
        <f>VLOOKUP(A806,GOOGL!A805:C2060,3)</f>
        <v>140.66999999999999</v>
      </c>
      <c r="I806" s="1">
        <f>VLOOKUP(A806,META!A805:C2060,3)</f>
        <v>484.1</v>
      </c>
      <c r="J806" s="1">
        <f>VLOOKUP(A806,Nasdaq!A805:C2060,3)</f>
        <v>15973.17</v>
      </c>
    </row>
    <row r="807" spans="1:10" x14ac:dyDescent="0.2">
      <c r="A807" s="2">
        <v>45369</v>
      </c>
      <c r="B807" s="1">
        <f>VLOOKUP(A807,AAPL!A806:C2061,3)</f>
        <v>172.315</v>
      </c>
      <c r="C807" s="1">
        <f>VLOOKUP(A807,MSFT!A806:C2061,3)</f>
        <v>414.98899999999998</v>
      </c>
      <c r="D807" s="1">
        <f>VLOOKUP(A807,NVDA!A806:C2061,3)</f>
        <v>88.433999999999997</v>
      </c>
      <c r="E807" s="1">
        <f>VLOOKUP(A807,AMD!A806:C2061,3)</f>
        <v>190.65</v>
      </c>
      <c r="F807" s="1">
        <f>VLOOKUP(A807,AMZN!A806:C2061,3)</f>
        <v>174.48</v>
      </c>
      <c r="G807" s="1">
        <f>VLOOKUP(A807,TSLA!A806:C2061,3)</f>
        <v>173.8</v>
      </c>
      <c r="H807" s="1">
        <f>VLOOKUP(A807,GOOGL!A806:C2061,3)</f>
        <v>147.14699999999999</v>
      </c>
      <c r="I807" s="1">
        <f>VLOOKUP(A807,META!A806:C2061,3)</f>
        <v>496.98</v>
      </c>
      <c r="J807" s="1">
        <f>VLOOKUP(A807,Nasdaq!A806:C2061,3)</f>
        <v>16103.45</v>
      </c>
    </row>
    <row r="808" spans="1:10" x14ac:dyDescent="0.2">
      <c r="A808" s="2">
        <v>45370</v>
      </c>
      <c r="B808" s="1">
        <f>VLOOKUP(A808,AAPL!A807:C2062,3)</f>
        <v>174.655</v>
      </c>
      <c r="C808" s="1">
        <f>VLOOKUP(A808,MSFT!A807:C2062,3)</f>
        <v>419.05500000000001</v>
      </c>
      <c r="D808" s="1">
        <f>VLOOKUP(A808,NVDA!A807:C2062,3)</f>
        <v>89.376900000000006</v>
      </c>
      <c r="E808" s="1">
        <f>VLOOKUP(A808,AMD!A807:C2062,3)</f>
        <v>181.42</v>
      </c>
      <c r="F808" s="1">
        <f>VLOOKUP(A808,AMZN!A807:C2062,3)</f>
        <v>175.9</v>
      </c>
      <c r="G808" s="1">
        <f>VLOOKUP(A808,TSLA!A807:C2062,3)</f>
        <v>171.32</v>
      </c>
      <c r="H808" s="1">
        <f>VLOOKUP(A808,GOOGL!A807:C2062,3)</f>
        <v>146.49799999999999</v>
      </c>
      <c r="I808" s="1">
        <f>VLOOKUP(A808,META!A807:C2062,3)</f>
        <v>496.24</v>
      </c>
      <c r="J808" s="1">
        <f>VLOOKUP(A808,Nasdaq!A807:C2062,3)</f>
        <v>16166.79</v>
      </c>
    </row>
    <row r="809" spans="1:10" x14ac:dyDescent="0.2">
      <c r="A809" s="2">
        <v>45371</v>
      </c>
      <c r="B809" s="1">
        <f>VLOOKUP(A809,AAPL!A808:C2063,3)</f>
        <v>177.22399999999999</v>
      </c>
      <c r="C809" s="1">
        <f>VLOOKUP(A809,MSFT!A808:C2063,3)</f>
        <v>422.85399999999998</v>
      </c>
      <c r="D809" s="1">
        <f>VLOOKUP(A809,NVDA!A808:C2063,3)</f>
        <v>90.350700000000003</v>
      </c>
      <c r="E809" s="1">
        <f>VLOOKUP(A809,AMD!A808:C2063,3)</f>
        <v>179.73</v>
      </c>
      <c r="F809" s="1">
        <f>VLOOKUP(A809,AMZN!A808:C2063,3)</f>
        <v>178.15</v>
      </c>
      <c r="G809" s="1">
        <f>VLOOKUP(A809,TSLA!A808:C2063,3)</f>
        <v>175.66</v>
      </c>
      <c r="H809" s="1">
        <f>VLOOKUP(A809,GOOGL!A808:C2063,3)</f>
        <v>148.202</v>
      </c>
      <c r="I809" s="1">
        <f>VLOOKUP(A809,META!A808:C2063,3)</f>
        <v>505.52</v>
      </c>
      <c r="J809" s="1">
        <f>VLOOKUP(A809,Nasdaq!A808:C2063,3)</f>
        <v>16369.41</v>
      </c>
    </row>
    <row r="810" spans="1:10" x14ac:dyDescent="0.2">
      <c r="A810" s="2">
        <v>45372</v>
      </c>
      <c r="B810" s="1">
        <f>VLOOKUP(A810,AAPL!A809:C2064,3)</f>
        <v>169.983</v>
      </c>
      <c r="C810" s="1">
        <f>VLOOKUP(A810,MSFT!A809:C2064,3)</f>
        <v>426.971</v>
      </c>
      <c r="D810" s="1">
        <f>VLOOKUP(A810,NVDA!A809:C2064,3)</f>
        <v>91.413399999999996</v>
      </c>
      <c r="E810" s="1">
        <f>VLOOKUP(A810,AMD!A809:C2064,3)</f>
        <v>178.68</v>
      </c>
      <c r="F810" s="1">
        <f>VLOOKUP(A810,AMZN!A809:C2064,3)</f>
        <v>178.15</v>
      </c>
      <c r="G810" s="1">
        <f>VLOOKUP(A810,TSLA!A809:C2064,3)</f>
        <v>172.82</v>
      </c>
      <c r="H810" s="1">
        <f>VLOOKUP(A810,GOOGL!A809:C2064,3)</f>
        <v>147.06700000000001</v>
      </c>
      <c r="I810" s="1">
        <f>VLOOKUP(A810,META!A809:C2064,3)</f>
        <v>507.76</v>
      </c>
      <c r="J810" s="1">
        <f>VLOOKUP(A810,Nasdaq!A809:C2064,3)</f>
        <v>16401.84</v>
      </c>
    </row>
    <row r="811" spans="1:10" x14ac:dyDescent="0.2">
      <c r="A811" s="2">
        <v>45373</v>
      </c>
      <c r="B811" s="1">
        <f>VLOOKUP(A811,AAPL!A810:C2065,3)</f>
        <v>170.88499999999999</v>
      </c>
      <c r="C811" s="1">
        <f>VLOOKUP(A811,MSFT!A810:C2065,3)</f>
        <v>426.34500000000003</v>
      </c>
      <c r="D811" s="1">
        <f>VLOOKUP(A811,NVDA!A810:C2065,3)</f>
        <v>94.2667</v>
      </c>
      <c r="E811" s="1">
        <f>VLOOKUP(A811,AMD!A810:C2065,3)</f>
        <v>179.65</v>
      </c>
      <c r="F811" s="1">
        <f>VLOOKUP(A811,AMZN!A810:C2065,3)</f>
        <v>178.87</v>
      </c>
      <c r="G811" s="1">
        <f>VLOOKUP(A811,TSLA!A810:C2065,3)</f>
        <v>170.83</v>
      </c>
      <c r="H811" s="1">
        <f>VLOOKUP(A811,GOOGL!A810:C2065,3)</f>
        <v>150.22499999999999</v>
      </c>
      <c r="I811" s="1">
        <f>VLOOKUP(A811,META!A810:C2065,3)</f>
        <v>509.58</v>
      </c>
      <c r="J811" s="1">
        <f>VLOOKUP(A811,Nasdaq!A810:C2065,3)</f>
        <v>16428.82</v>
      </c>
    </row>
    <row r="812" spans="1:10" x14ac:dyDescent="0.2">
      <c r="A812" s="2">
        <v>45376</v>
      </c>
      <c r="B812" s="1">
        <f>VLOOKUP(A812,AAPL!A811:C2066,3)</f>
        <v>169.46799999999999</v>
      </c>
      <c r="C812" s="1">
        <f>VLOOKUP(A812,MSFT!A811:C2066,3)</f>
        <v>420.49799999999999</v>
      </c>
      <c r="D812" s="1">
        <f>VLOOKUP(A812,NVDA!A811:C2066,3)</f>
        <v>94.979600000000005</v>
      </c>
      <c r="E812" s="1">
        <f>VLOOKUP(A812,AMD!A811:C2066,3)</f>
        <v>178.63</v>
      </c>
      <c r="F812" s="1">
        <f>VLOOKUP(A812,AMZN!A811:C2066,3)</f>
        <v>179.71</v>
      </c>
      <c r="G812" s="1">
        <f>VLOOKUP(A812,TSLA!A811:C2066,3)</f>
        <v>172.63</v>
      </c>
      <c r="H812" s="1">
        <f>VLOOKUP(A812,GOOGL!A811:C2066,3)</f>
        <v>149.52799999999999</v>
      </c>
      <c r="I812" s="1">
        <f>VLOOKUP(A812,META!A811:C2066,3)</f>
        <v>503.02</v>
      </c>
      <c r="J812" s="1">
        <f>VLOOKUP(A812,Nasdaq!A811:C2066,3)</f>
        <v>16384.47</v>
      </c>
    </row>
    <row r="813" spans="1:10" x14ac:dyDescent="0.2">
      <c r="A813" s="2">
        <v>45377</v>
      </c>
      <c r="B813" s="1">
        <f>VLOOKUP(A813,AAPL!A812:C2067,3)</f>
        <v>168.33699999999999</v>
      </c>
      <c r="C813" s="1">
        <f>VLOOKUP(A813,MSFT!A812:C2067,3)</f>
        <v>419.29500000000002</v>
      </c>
      <c r="D813" s="1">
        <f>VLOOKUP(A813,NVDA!A812:C2067,3)</f>
        <v>92.539100000000005</v>
      </c>
      <c r="E813" s="1">
        <f>VLOOKUP(A813,AMD!A812:C2067,3)</f>
        <v>177.87</v>
      </c>
      <c r="F813" s="1">
        <f>VLOOKUP(A813,AMZN!A812:C2067,3)</f>
        <v>178.3</v>
      </c>
      <c r="G813" s="1">
        <f>VLOOKUP(A813,TSLA!A812:C2067,3)</f>
        <v>177.67</v>
      </c>
      <c r="H813" s="1">
        <f>VLOOKUP(A813,GOOGL!A812:C2067,3)</f>
        <v>150.126</v>
      </c>
      <c r="I813" s="1">
        <f>VLOOKUP(A813,META!A812:C2067,3)</f>
        <v>495.89</v>
      </c>
      <c r="J813" s="1">
        <f>VLOOKUP(A813,Nasdaq!A812:C2067,3)</f>
        <v>16315.7</v>
      </c>
    </row>
    <row r="814" spans="1:10" x14ac:dyDescent="0.2">
      <c r="A814" s="2">
        <v>45378</v>
      </c>
      <c r="B814" s="1">
        <f>VLOOKUP(A814,AAPL!A813:C2068,3)</f>
        <v>171.90700000000001</v>
      </c>
      <c r="C814" s="1">
        <f>VLOOKUP(A814,MSFT!A813:C2068,3)</f>
        <v>419.07499999999999</v>
      </c>
      <c r="D814" s="1">
        <f>VLOOKUP(A814,NVDA!A813:C2068,3)</f>
        <v>90.228700000000003</v>
      </c>
      <c r="E814" s="1">
        <f>VLOOKUP(A814,AMD!A813:C2068,3)</f>
        <v>179.59</v>
      </c>
      <c r="F814" s="1">
        <f>VLOOKUP(A814,AMZN!A813:C2068,3)</f>
        <v>179.83</v>
      </c>
      <c r="G814" s="1">
        <f>VLOOKUP(A814,TSLA!A813:C2068,3)</f>
        <v>179.83</v>
      </c>
      <c r="H814" s="1">
        <f>VLOOKUP(A814,GOOGL!A813:C2068,3)</f>
        <v>150.32499999999999</v>
      </c>
      <c r="I814" s="1">
        <f>VLOOKUP(A814,META!A813:C2068,3)</f>
        <v>493.86</v>
      </c>
      <c r="J814" s="1">
        <f>VLOOKUP(A814,Nasdaq!A813:C2068,3)</f>
        <v>16399.52</v>
      </c>
    </row>
    <row r="815" spans="1:10" x14ac:dyDescent="0.2">
      <c r="A815" s="2">
        <v>45379</v>
      </c>
      <c r="B815" s="1">
        <f>VLOOKUP(A815,AAPL!A814:C2069,3)</f>
        <v>170.09200000000001</v>
      </c>
      <c r="C815" s="1">
        <f>VLOOKUP(A815,MSFT!A814:C2069,3)</f>
        <v>418.37</v>
      </c>
      <c r="D815" s="1">
        <f>VLOOKUP(A815,NVDA!A814:C2069,3)</f>
        <v>90.334699999999998</v>
      </c>
      <c r="E815" s="1">
        <f>VLOOKUP(A815,AMD!A814:C2069,3)</f>
        <v>180.49</v>
      </c>
      <c r="F815" s="1">
        <f>VLOOKUP(A815,AMZN!A814:C2069,3)</f>
        <v>180.38</v>
      </c>
      <c r="G815" s="1">
        <f>VLOOKUP(A815,TSLA!A814:C2069,3)</f>
        <v>175.79</v>
      </c>
      <c r="H815" s="1">
        <f>VLOOKUP(A815,GOOGL!A814:C2069,3)</f>
        <v>150.38499999999999</v>
      </c>
      <c r="I815" s="1">
        <f>VLOOKUP(A815,META!A814:C2069,3)</f>
        <v>485.58</v>
      </c>
      <c r="J815" s="1">
        <f>VLOOKUP(A815,Nasdaq!A814:C2069,3)</f>
        <v>16379.46</v>
      </c>
    </row>
    <row r="816" spans="1:10" x14ac:dyDescent="0.2">
      <c r="A816" s="2">
        <v>45383</v>
      </c>
      <c r="B816" s="1">
        <f>VLOOKUP(A816,AAPL!A815:C2070,3)</f>
        <v>168.655</v>
      </c>
      <c r="C816" s="1">
        <f>VLOOKUP(A816,MSFT!A815:C2070,3)</f>
        <v>422.19900000000001</v>
      </c>
      <c r="D816" s="1">
        <f>VLOOKUP(A816,NVDA!A815:C2070,3)</f>
        <v>90.341700000000003</v>
      </c>
      <c r="E816" s="1">
        <f>VLOOKUP(A816,AMD!A815:C2070,3)</f>
        <v>183.34</v>
      </c>
      <c r="F816" s="1">
        <f>VLOOKUP(A816,AMZN!A815:C2070,3)</f>
        <v>180.97</v>
      </c>
      <c r="G816" s="1">
        <f>VLOOKUP(A816,TSLA!A815:C2070,3)</f>
        <v>175.22</v>
      </c>
      <c r="H816" s="1">
        <f>VLOOKUP(A816,GOOGL!A815:C2070,3)</f>
        <v>154.928</v>
      </c>
      <c r="I816" s="1">
        <f>VLOOKUP(A816,META!A815:C2070,3)</f>
        <v>491.35</v>
      </c>
      <c r="J816" s="1">
        <f>VLOOKUP(A816,Nasdaq!A815:C2070,3)</f>
        <v>16396.830000000002</v>
      </c>
    </row>
    <row r="817" spans="1:10" x14ac:dyDescent="0.2">
      <c r="A817" s="2">
        <v>45384</v>
      </c>
      <c r="B817" s="1">
        <f>VLOOKUP(A817,AAPL!A816:C2071,3)</f>
        <v>167.47399999999999</v>
      </c>
      <c r="C817" s="1">
        <f>VLOOKUP(A817,MSFT!A816:C2071,3)</f>
        <v>419.08499999999998</v>
      </c>
      <c r="D817" s="1">
        <f>VLOOKUP(A817,NVDA!A816:C2071,3)</f>
        <v>89.430800000000005</v>
      </c>
      <c r="E817" s="1">
        <f>VLOOKUP(A817,AMD!A816:C2071,3)</f>
        <v>178.7</v>
      </c>
      <c r="F817" s="1">
        <f>VLOOKUP(A817,AMZN!A816:C2071,3)</f>
        <v>180.69</v>
      </c>
      <c r="G817" s="1">
        <f>VLOOKUP(A817,TSLA!A816:C2071,3)</f>
        <v>166.63</v>
      </c>
      <c r="H817" s="1">
        <f>VLOOKUP(A817,GOOGL!A816:C2071,3)</f>
        <v>154.00200000000001</v>
      </c>
      <c r="I817" s="1">
        <f>VLOOKUP(A817,META!A816:C2071,3)</f>
        <v>497.37</v>
      </c>
      <c r="J817" s="1">
        <f>VLOOKUP(A817,Nasdaq!A816:C2071,3)</f>
        <v>16240.45</v>
      </c>
    </row>
    <row r="818" spans="1:10" x14ac:dyDescent="0.2">
      <c r="A818" s="2">
        <v>45385</v>
      </c>
      <c r="B818" s="1">
        <f>VLOOKUP(A818,AAPL!A817:C2072,3)</f>
        <v>168.27699999999999</v>
      </c>
      <c r="C818" s="1">
        <f>VLOOKUP(A818,MSFT!A817:C2072,3)</f>
        <v>418.101</v>
      </c>
      <c r="D818" s="1">
        <f>VLOOKUP(A818,NVDA!A817:C2072,3)</f>
        <v>88.942999999999998</v>
      </c>
      <c r="E818" s="1">
        <f>VLOOKUP(A818,AMD!A817:C2072,3)</f>
        <v>180.77</v>
      </c>
      <c r="F818" s="1">
        <f>VLOOKUP(A818,AMZN!A817:C2072,3)</f>
        <v>182.41</v>
      </c>
      <c r="G818" s="1">
        <f>VLOOKUP(A818,TSLA!A817:C2072,3)</f>
        <v>168.38</v>
      </c>
      <c r="H818" s="1">
        <f>VLOOKUP(A818,GOOGL!A817:C2072,3)</f>
        <v>154.36000000000001</v>
      </c>
      <c r="I818" s="1">
        <f>VLOOKUP(A818,META!A817:C2072,3)</f>
        <v>506.74</v>
      </c>
      <c r="J818" s="1">
        <f>VLOOKUP(A818,Nasdaq!A817:C2072,3)</f>
        <v>16277.46</v>
      </c>
    </row>
    <row r="819" spans="1:10" x14ac:dyDescent="0.2">
      <c r="A819" s="2">
        <v>45386</v>
      </c>
      <c r="B819" s="1">
        <f>VLOOKUP(A819,AAPL!A818:C2073,3)</f>
        <v>167.45400000000001</v>
      </c>
      <c r="C819" s="1">
        <f>VLOOKUP(A819,MSFT!A818:C2073,3)</f>
        <v>415.54599999999999</v>
      </c>
      <c r="D819" s="1">
        <f>VLOOKUP(A819,NVDA!A818:C2073,3)</f>
        <v>85.884699999999995</v>
      </c>
      <c r="E819" s="1">
        <f>VLOOKUP(A819,AMD!A818:C2073,3)</f>
        <v>165.83</v>
      </c>
      <c r="F819" s="1">
        <f>VLOOKUP(A819,AMZN!A818:C2073,3)</f>
        <v>180</v>
      </c>
      <c r="G819" s="1">
        <f>VLOOKUP(A819,TSLA!A818:C2073,3)</f>
        <v>171.11</v>
      </c>
      <c r="H819" s="1">
        <f>VLOOKUP(A819,GOOGL!A818:C2073,3)</f>
        <v>149.98599999999999</v>
      </c>
      <c r="I819" s="1">
        <f>VLOOKUP(A819,META!A818:C2073,3)</f>
        <v>510.92</v>
      </c>
      <c r="J819" s="1">
        <f>VLOOKUP(A819,Nasdaq!A818:C2073,3)</f>
        <v>16049.08</v>
      </c>
    </row>
    <row r="820" spans="1:10" x14ac:dyDescent="0.2">
      <c r="A820" s="2">
        <v>45387</v>
      </c>
      <c r="B820" s="1">
        <f>VLOOKUP(A820,AAPL!A819:C2074,3)</f>
        <v>168.20699999999999</v>
      </c>
      <c r="C820" s="1">
        <f>VLOOKUP(A820,MSFT!A819:C2074,3)</f>
        <v>423.14299999999997</v>
      </c>
      <c r="D820" s="1">
        <f>VLOOKUP(A820,NVDA!A819:C2074,3)</f>
        <v>87.987200000000001</v>
      </c>
      <c r="E820" s="1">
        <f>VLOOKUP(A820,AMD!A819:C2074,3)</f>
        <v>170.42</v>
      </c>
      <c r="F820" s="1">
        <f>VLOOKUP(A820,AMZN!A819:C2074,3)</f>
        <v>185.07</v>
      </c>
      <c r="G820" s="1">
        <f>VLOOKUP(A820,TSLA!A819:C2074,3)</f>
        <v>164.9</v>
      </c>
      <c r="H820" s="1">
        <f>VLOOKUP(A820,GOOGL!A819:C2074,3)</f>
        <v>151.94900000000001</v>
      </c>
      <c r="I820" s="1">
        <f>VLOOKUP(A820,META!A819:C2074,3)</f>
        <v>527.34</v>
      </c>
      <c r="J820" s="1">
        <f>VLOOKUP(A820,Nasdaq!A819:C2074,3)</f>
        <v>16248.52</v>
      </c>
    </row>
    <row r="821" spans="1:10" x14ac:dyDescent="0.2">
      <c r="A821" s="2">
        <v>45390</v>
      </c>
      <c r="B821" s="1">
        <f>VLOOKUP(A821,AAPL!A820:C2075,3)</f>
        <v>167.08699999999999</v>
      </c>
      <c r="C821" s="1">
        <f>VLOOKUP(A821,MSFT!A820:C2075,3)</f>
        <v>422.28699999999998</v>
      </c>
      <c r="D821" s="1">
        <f>VLOOKUP(A821,NVDA!A820:C2075,3)</f>
        <v>87.112300000000005</v>
      </c>
      <c r="E821" s="1">
        <f>VLOOKUP(A821,AMD!A820:C2075,3)</f>
        <v>169.9</v>
      </c>
      <c r="F821" s="1">
        <f>VLOOKUP(A821,AMZN!A820:C2075,3)</f>
        <v>185.32</v>
      </c>
      <c r="G821" s="1">
        <f>VLOOKUP(A821,TSLA!A820:C2075,3)</f>
        <v>172.98</v>
      </c>
      <c r="H821" s="1">
        <f>VLOOKUP(A821,GOOGL!A820:C2075,3)</f>
        <v>154.29</v>
      </c>
      <c r="I821" s="1">
        <f>VLOOKUP(A821,META!A820:C2075,3)</f>
        <v>519.25</v>
      </c>
      <c r="J821" s="1">
        <f>VLOOKUP(A821,Nasdaq!A820:C2075,3)</f>
        <v>16253.96</v>
      </c>
    </row>
    <row r="822" spans="1:10" x14ac:dyDescent="0.2">
      <c r="A822" s="2">
        <v>45391</v>
      </c>
      <c r="B822" s="1">
        <f>VLOOKUP(A822,AAPL!A821:C2076,3)</f>
        <v>168.297</v>
      </c>
      <c r="C822" s="1">
        <f>VLOOKUP(A822,MSFT!A821:C2076,3)</f>
        <v>423.89800000000002</v>
      </c>
      <c r="D822" s="1">
        <f>VLOOKUP(A822,NVDA!A821:C2076,3)</f>
        <v>85.333799999999997</v>
      </c>
      <c r="E822" s="1">
        <f>VLOOKUP(A822,AMD!A821:C2076,3)</f>
        <v>170.78</v>
      </c>
      <c r="F822" s="1">
        <f>VLOOKUP(A822,AMZN!A821:C2076,3)</f>
        <v>185.67</v>
      </c>
      <c r="G822" s="1">
        <f>VLOOKUP(A822,TSLA!A821:C2076,3)</f>
        <v>176.88</v>
      </c>
      <c r="H822" s="1">
        <f>VLOOKUP(A822,GOOGL!A821:C2076,3)</f>
        <v>156.03399999999999</v>
      </c>
      <c r="I822" s="1">
        <f>VLOOKUP(A822,META!A821:C2076,3)</f>
        <v>516.9</v>
      </c>
      <c r="J822" s="1">
        <f>VLOOKUP(A822,Nasdaq!A821:C2076,3)</f>
        <v>16306.64</v>
      </c>
    </row>
    <row r="823" spans="1:10" x14ac:dyDescent="0.2">
      <c r="A823" s="2">
        <v>45392</v>
      </c>
      <c r="B823" s="1">
        <f>VLOOKUP(A823,AAPL!A822:C2077,3)</f>
        <v>166.422</v>
      </c>
      <c r="C823" s="1">
        <f>VLOOKUP(A823,MSFT!A822:C2077,3)</f>
        <v>420.89600000000002</v>
      </c>
      <c r="D823" s="1">
        <f>VLOOKUP(A823,NVDA!A822:C2077,3)</f>
        <v>87.018500000000003</v>
      </c>
      <c r="E823" s="1">
        <f>VLOOKUP(A823,AMD!A822:C2077,3)</f>
        <v>167.14</v>
      </c>
      <c r="F823" s="1">
        <f>VLOOKUP(A823,AMZN!A822:C2077,3)</f>
        <v>185.95</v>
      </c>
      <c r="G823" s="1">
        <f>VLOOKUP(A823,TSLA!A822:C2077,3)</f>
        <v>171.76</v>
      </c>
      <c r="H823" s="1">
        <f>VLOOKUP(A823,GOOGL!A822:C2077,3)</f>
        <v>155.57599999999999</v>
      </c>
      <c r="I823" s="1">
        <f>VLOOKUP(A823,META!A822:C2077,3)</f>
        <v>519.83000000000004</v>
      </c>
      <c r="J823" s="1">
        <f>VLOOKUP(A823,Nasdaq!A822:C2077,3)</f>
        <v>16170.36</v>
      </c>
    </row>
    <row r="824" spans="1:10" x14ac:dyDescent="0.2">
      <c r="A824" s="2">
        <v>45393</v>
      </c>
      <c r="B824" s="1">
        <f>VLOOKUP(A824,AAPL!A823:C2078,3)</f>
        <v>173.624</v>
      </c>
      <c r="C824" s="1">
        <f>VLOOKUP(A824,MSFT!A823:C2078,3)</f>
        <v>425.53899999999999</v>
      </c>
      <c r="D824" s="1">
        <f>VLOOKUP(A824,NVDA!A823:C2078,3)</f>
        <v>90.5946</v>
      </c>
      <c r="E824" s="1">
        <f>VLOOKUP(A824,AMD!A823:C2078,3)</f>
        <v>170.5</v>
      </c>
      <c r="F824" s="1">
        <f>VLOOKUP(A824,AMZN!A823:C2078,3)</f>
        <v>189.05</v>
      </c>
      <c r="G824" s="1">
        <f>VLOOKUP(A824,TSLA!A823:C2078,3)</f>
        <v>174.6</v>
      </c>
      <c r="H824" s="1">
        <f>VLOOKUP(A824,GOOGL!A823:C2078,3)</f>
        <v>158.834</v>
      </c>
      <c r="I824" s="1">
        <f>VLOOKUP(A824,META!A823:C2078,3)</f>
        <v>523.16</v>
      </c>
      <c r="J824" s="1">
        <f>VLOOKUP(A824,Nasdaq!A823:C2078,3)</f>
        <v>16442.2</v>
      </c>
    </row>
    <row r="825" spans="1:10" x14ac:dyDescent="0.2">
      <c r="A825" s="2">
        <v>45394</v>
      </c>
      <c r="B825" s="1">
        <f>VLOOKUP(A825,AAPL!A824:C2079,3)</f>
        <v>175.12100000000001</v>
      </c>
      <c r="C825" s="1">
        <f>VLOOKUP(A825,MSFT!A824:C2079,3)</f>
        <v>419.54199999999997</v>
      </c>
      <c r="D825" s="1">
        <f>VLOOKUP(A825,NVDA!A824:C2079,3)</f>
        <v>88.165199999999999</v>
      </c>
      <c r="E825" s="1">
        <f>VLOOKUP(A825,AMD!A824:C2079,3)</f>
        <v>163.28</v>
      </c>
      <c r="F825" s="1">
        <f>VLOOKUP(A825,AMZN!A824:C2079,3)</f>
        <v>186.13</v>
      </c>
      <c r="G825" s="1">
        <f>VLOOKUP(A825,TSLA!A824:C2079,3)</f>
        <v>171.05</v>
      </c>
      <c r="H825" s="1">
        <f>VLOOKUP(A825,GOOGL!A824:C2079,3)</f>
        <v>157.16</v>
      </c>
      <c r="I825" s="1">
        <f>VLOOKUP(A825,META!A824:C2079,3)</f>
        <v>511.9</v>
      </c>
      <c r="J825" s="1">
        <f>VLOOKUP(A825,Nasdaq!A824:C2079,3)</f>
        <v>16175.09</v>
      </c>
    </row>
    <row r="826" spans="1:10" x14ac:dyDescent="0.2">
      <c r="A826" s="2">
        <v>45397</v>
      </c>
      <c r="B826" s="1">
        <f>VLOOKUP(A826,AAPL!A825:C2080,3)</f>
        <v>171.29300000000001</v>
      </c>
      <c r="C826" s="1">
        <f>VLOOKUP(A826,MSFT!A825:C2080,3)</f>
        <v>411.32900000000001</v>
      </c>
      <c r="D826" s="1">
        <f>VLOOKUP(A826,NVDA!A825:C2080,3)</f>
        <v>85.980599999999995</v>
      </c>
      <c r="E826" s="1">
        <f>VLOOKUP(A826,AMD!A825:C2080,3)</f>
        <v>160.32</v>
      </c>
      <c r="F826" s="1">
        <f>VLOOKUP(A826,AMZN!A825:C2080,3)</f>
        <v>183.62</v>
      </c>
      <c r="G826" s="1">
        <f>VLOOKUP(A826,TSLA!A825:C2080,3)</f>
        <v>161.47999999999999</v>
      </c>
      <c r="H826" s="1">
        <f>VLOOKUP(A826,GOOGL!A825:C2080,3)</f>
        <v>154.30000000000001</v>
      </c>
      <c r="I826" s="1">
        <f>VLOOKUP(A826,META!A825:C2080,3)</f>
        <v>500.23</v>
      </c>
      <c r="J826" s="1">
        <f>VLOOKUP(A826,Nasdaq!A825:C2080,3)</f>
        <v>15885.02</v>
      </c>
    </row>
    <row r="827" spans="1:10" x14ac:dyDescent="0.2">
      <c r="A827" s="2">
        <v>45398</v>
      </c>
      <c r="B827" s="1">
        <f>VLOOKUP(A827,AAPL!A826:C2081,3)</f>
        <v>168.00899999999999</v>
      </c>
      <c r="C827" s="1">
        <f>VLOOKUP(A827,MSFT!A826:C2081,3)</f>
        <v>412.26400000000001</v>
      </c>
      <c r="D827" s="1">
        <f>VLOOKUP(A827,NVDA!A826:C2081,3)</f>
        <v>87.394300000000001</v>
      </c>
      <c r="E827" s="1">
        <f>VLOOKUP(A827,AMD!A826:C2081,3)</f>
        <v>163.46</v>
      </c>
      <c r="F827" s="1">
        <f>VLOOKUP(A827,AMZN!A826:C2081,3)</f>
        <v>183.32</v>
      </c>
      <c r="G827" s="1">
        <f>VLOOKUP(A827,TSLA!A826:C2081,3)</f>
        <v>157.11000000000001</v>
      </c>
      <c r="H827" s="1">
        <f>VLOOKUP(A827,GOOGL!A826:C2081,3)</f>
        <v>153.84299999999999</v>
      </c>
      <c r="I827" s="1">
        <f>VLOOKUP(A827,META!A826:C2081,3)</f>
        <v>499.76</v>
      </c>
      <c r="J827" s="1">
        <f>VLOOKUP(A827,Nasdaq!A826:C2081,3)</f>
        <v>15865.25</v>
      </c>
    </row>
    <row r="828" spans="1:10" x14ac:dyDescent="0.2">
      <c r="A828" s="2">
        <v>45399</v>
      </c>
      <c r="B828" s="1">
        <f>VLOOKUP(A828,AAPL!A827:C2082,3)</f>
        <v>166.64</v>
      </c>
      <c r="C828" s="1">
        <f>VLOOKUP(A828,MSFT!A827:C2082,3)</f>
        <v>409.53800000000001</v>
      </c>
      <c r="D828" s="1">
        <f>VLOOKUP(A828,NVDA!A827:C2082,3)</f>
        <v>84.015100000000004</v>
      </c>
      <c r="E828" s="1">
        <f>VLOOKUP(A828,AMD!A827:C2082,3)</f>
        <v>154.02000000000001</v>
      </c>
      <c r="F828" s="1">
        <f>VLOOKUP(A828,AMZN!A827:C2082,3)</f>
        <v>181.28</v>
      </c>
      <c r="G828" s="1">
        <f>VLOOKUP(A828,TSLA!A827:C2082,3)</f>
        <v>155.44999999999999</v>
      </c>
      <c r="H828" s="1">
        <f>VLOOKUP(A828,GOOGL!A827:C2082,3)</f>
        <v>154.90799999999999</v>
      </c>
      <c r="I828" s="1">
        <f>VLOOKUP(A828,META!A827:C2082,3)</f>
        <v>494.17</v>
      </c>
      <c r="J828" s="1">
        <f>VLOOKUP(A828,Nasdaq!A827:C2082,3)</f>
        <v>15683.37</v>
      </c>
    </row>
    <row r="829" spans="1:10" x14ac:dyDescent="0.2">
      <c r="A829" s="2">
        <v>45400</v>
      </c>
      <c r="B829" s="1">
        <f>VLOOKUP(A829,AAPL!A828:C2083,3)</f>
        <v>165.68799999999999</v>
      </c>
      <c r="C829" s="1">
        <f>VLOOKUP(A829,MSFT!A828:C2083,3)</f>
        <v>402.01100000000002</v>
      </c>
      <c r="D829" s="1">
        <f>VLOOKUP(A829,NVDA!A828:C2083,3)</f>
        <v>84.650999999999996</v>
      </c>
      <c r="E829" s="1">
        <f>VLOOKUP(A829,AMD!A828:C2083,3)</f>
        <v>155.08000000000001</v>
      </c>
      <c r="F829" s="1">
        <f>VLOOKUP(A829,AMZN!A828:C2083,3)</f>
        <v>179.22</v>
      </c>
      <c r="G829" s="1">
        <f>VLOOKUP(A829,TSLA!A828:C2083,3)</f>
        <v>149.93</v>
      </c>
      <c r="H829" s="1">
        <f>VLOOKUP(A829,GOOGL!A828:C2083,3)</f>
        <v>155.446</v>
      </c>
      <c r="I829" s="1">
        <f>VLOOKUP(A829,META!A828:C2083,3)</f>
        <v>501.8</v>
      </c>
      <c r="J829" s="1">
        <f>VLOOKUP(A829,Nasdaq!A828:C2083,3)</f>
        <v>15601.5</v>
      </c>
    </row>
    <row r="830" spans="1:10" x14ac:dyDescent="0.2">
      <c r="A830" s="2">
        <v>45401</v>
      </c>
      <c r="B830" s="1">
        <f>VLOOKUP(A830,AAPL!A829:C2084,3)</f>
        <v>163.596</v>
      </c>
      <c r="C830" s="1">
        <f>VLOOKUP(A830,MSFT!A829:C2084,3)</f>
        <v>396.89</v>
      </c>
      <c r="D830" s="1">
        <f>VLOOKUP(A830,NVDA!A829:C2084,3)</f>
        <v>76.182000000000002</v>
      </c>
      <c r="E830" s="1">
        <f>VLOOKUP(A830,AMD!A829:C2084,3)</f>
        <v>146.63999999999999</v>
      </c>
      <c r="F830" s="1">
        <f>VLOOKUP(A830,AMZN!A829:C2084,3)</f>
        <v>174.62</v>
      </c>
      <c r="G830" s="1">
        <f>VLOOKUP(A830,TSLA!A829:C2084,3)</f>
        <v>147.01009999999999</v>
      </c>
      <c r="H830" s="1">
        <f>VLOOKUP(A830,GOOGL!A829:C2084,3)</f>
        <v>153.553</v>
      </c>
      <c r="I830" s="1">
        <f>VLOOKUP(A830,META!A829:C2084,3)</f>
        <v>481.06</v>
      </c>
      <c r="J830" s="1">
        <f>VLOOKUP(A830,Nasdaq!A829:C2084,3)</f>
        <v>15282.01</v>
      </c>
    </row>
    <row r="831" spans="1:10" x14ac:dyDescent="0.2">
      <c r="A831" s="2">
        <v>45404</v>
      </c>
      <c r="B831" s="1">
        <f>VLOOKUP(A831,AAPL!A830:C2085,3)</f>
        <v>164.499</v>
      </c>
      <c r="C831" s="1">
        <f>VLOOKUP(A831,MSFT!A830:C2085,3)</f>
        <v>398.72</v>
      </c>
      <c r="D831" s="1">
        <f>VLOOKUP(A831,NVDA!A830:C2085,3)</f>
        <v>79.499200000000002</v>
      </c>
      <c r="E831" s="1">
        <f>VLOOKUP(A831,AMD!A830:C2085,3)</f>
        <v>148.63999999999999</v>
      </c>
      <c r="F831" s="1">
        <f>VLOOKUP(A831,AMZN!A830:C2085,3)</f>
        <v>177.23</v>
      </c>
      <c r="G831" s="1">
        <f>VLOOKUP(A831,TSLA!A830:C2085,3)</f>
        <v>142.05000000000001</v>
      </c>
      <c r="H831" s="1">
        <f>VLOOKUP(A831,GOOGL!A830:C2085,3)</f>
        <v>155.71600000000001</v>
      </c>
      <c r="I831" s="1">
        <f>VLOOKUP(A831,META!A830:C2085,3)</f>
        <v>481.73</v>
      </c>
      <c r="J831" s="1">
        <f>VLOOKUP(A831,Nasdaq!A830:C2085,3)</f>
        <v>15451.31</v>
      </c>
    </row>
    <row r="832" spans="1:10" x14ac:dyDescent="0.2">
      <c r="A832" s="2">
        <v>45405</v>
      </c>
      <c r="B832" s="1">
        <f>VLOOKUP(A832,AAPL!A831:C2086,3)</f>
        <v>165.54900000000001</v>
      </c>
      <c r="C832" s="1">
        <f>VLOOKUP(A832,MSFT!A831:C2086,3)</f>
        <v>405.29300000000001</v>
      </c>
      <c r="D832" s="1">
        <f>VLOOKUP(A832,NVDA!A831:C2086,3)</f>
        <v>82.403499999999994</v>
      </c>
      <c r="E832" s="1">
        <f>VLOOKUP(A832,AMD!A831:C2086,3)</f>
        <v>152.27000000000001</v>
      </c>
      <c r="F832" s="1">
        <f>VLOOKUP(A832,AMZN!A831:C2086,3)</f>
        <v>179.54</v>
      </c>
      <c r="G832" s="1">
        <f>VLOOKUP(A832,TSLA!A831:C2086,3)</f>
        <v>144.68</v>
      </c>
      <c r="H832" s="1">
        <f>VLOOKUP(A832,GOOGL!A831:C2086,3)</f>
        <v>157.68899999999999</v>
      </c>
      <c r="I832" s="1">
        <f>VLOOKUP(A832,META!A831:C2086,3)</f>
        <v>496.1</v>
      </c>
      <c r="J832" s="1">
        <f>VLOOKUP(A832,Nasdaq!A831:C2086,3)</f>
        <v>15696.64</v>
      </c>
    </row>
    <row r="833" spans="1:10" x14ac:dyDescent="0.2">
      <c r="A833" s="2">
        <v>45406</v>
      </c>
      <c r="B833" s="1">
        <f>VLOOKUP(A833,AAPL!A832:C2087,3)</f>
        <v>167.65299999999999</v>
      </c>
      <c r="C833" s="1">
        <f>VLOOKUP(A833,MSFT!A832:C2087,3)</f>
        <v>406.77499999999998</v>
      </c>
      <c r="D833" s="1">
        <f>VLOOKUP(A833,NVDA!A832:C2087,3)</f>
        <v>79.658199999999994</v>
      </c>
      <c r="E833" s="1">
        <f>VLOOKUP(A833,AMD!A832:C2087,3)</f>
        <v>151.74</v>
      </c>
      <c r="F833" s="1">
        <f>VLOOKUP(A833,AMZN!A832:C2087,3)</f>
        <v>176.59</v>
      </c>
      <c r="G833" s="1">
        <f>VLOOKUP(A833,TSLA!A832:C2087,3)</f>
        <v>162.13</v>
      </c>
      <c r="H833" s="1">
        <f>VLOOKUP(A833,GOOGL!A832:C2087,3)</f>
        <v>158.55500000000001</v>
      </c>
      <c r="I833" s="1">
        <f>VLOOKUP(A833,META!A832:C2087,3)</f>
        <v>493.5</v>
      </c>
      <c r="J833" s="1">
        <f>VLOOKUP(A833,Nasdaq!A832:C2087,3)</f>
        <v>15712.75</v>
      </c>
    </row>
    <row r="834" spans="1:10" x14ac:dyDescent="0.2">
      <c r="A834" s="2">
        <v>45407</v>
      </c>
      <c r="B834" s="1">
        <f>VLOOKUP(A834,AAPL!A833:C2088,3)</f>
        <v>168.517</v>
      </c>
      <c r="C834" s="1">
        <f>VLOOKUP(A834,MSFT!A833:C2088,3)</f>
        <v>396.81099999999998</v>
      </c>
      <c r="D834" s="1">
        <f>VLOOKUP(A834,NVDA!A833:C2088,3)</f>
        <v>82.612399999999994</v>
      </c>
      <c r="E834" s="1">
        <f>VLOOKUP(A834,AMD!A833:C2088,3)</f>
        <v>153.76</v>
      </c>
      <c r="F834" s="1">
        <f>VLOOKUP(A834,AMZN!A833:C2088,3)</f>
        <v>173.67</v>
      </c>
      <c r="G834" s="1">
        <f>VLOOKUP(A834,TSLA!A833:C2088,3)</f>
        <v>170.18</v>
      </c>
      <c r="H834" s="1">
        <f>VLOOKUP(A834,GOOGL!A833:C2088,3)</f>
        <v>155.43700000000001</v>
      </c>
      <c r="I834" s="1">
        <f>VLOOKUP(A834,META!A833:C2088,3)</f>
        <v>441.38</v>
      </c>
      <c r="J834" s="1">
        <f>VLOOKUP(A834,Nasdaq!A833:C2088,3)</f>
        <v>15611.76</v>
      </c>
    </row>
    <row r="835" spans="1:10" x14ac:dyDescent="0.2">
      <c r="A835" s="2">
        <v>45408</v>
      </c>
      <c r="B835" s="1">
        <f>VLOOKUP(A835,AAPL!A834:C2089,3)</f>
        <v>167.93</v>
      </c>
      <c r="C835" s="1">
        <f>VLOOKUP(A835,MSFT!A834:C2089,3)</f>
        <v>404.04899999999998</v>
      </c>
      <c r="D835" s="1">
        <f>VLOOKUP(A835,NVDA!A834:C2089,3)</f>
        <v>87.714299999999994</v>
      </c>
      <c r="E835" s="1">
        <f>VLOOKUP(A835,AMD!A834:C2089,3)</f>
        <v>157.4</v>
      </c>
      <c r="F835" s="1">
        <f>VLOOKUP(A835,AMZN!A834:C2089,3)</f>
        <v>179.62</v>
      </c>
      <c r="G835" s="1">
        <f>VLOOKUP(A835,TSLA!A834:C2089,3)</f>
        <v>168.29</v>
      </c>
      <c r="H835" s="1">
        <f>VLOOKUP(A835,GOOGL!A834:C2089,3)</f>
        <v>171.32900000000001</v>
      </c>
      <c r="I835" s="1">
        <f>VLOOKUP(A835,META!A834:C2089,3)</f>
        <v>443.29</v>
      </c>
      <c r="J835" s="1">
        <f>VLOOKUP(A835,Nasdaq!A834:C2089,3)</f>
        <v>15927.9</v>
      </c>
    </row>
    <row r="836" spans="1:10" x14ac:dyDescent="0.2">
      <c r="A836" s="2">
        <v>45411</v>
      </c>
      <c r="B836" s="1">
        <f>VLOOKUP(A836,AAPL!A835:C2090,3)</f>
        <v>172.096</v>
      </c>
      <c r="C836" s="1">
        <f>VLOOKUP(A836,MSFT!A835:C2090,3)</f>
        <v>400.00299999999999</v>
      </c>
      <c r="D836" s="1">
        <f>VLOOKUP(A836,NVDA!A835:C2090,3)</f>
        <v>87.7363</v>
      </c>
      <c r="E836" s="1">
        <f>VLOOKUP(A836,AMD!A835:C2090,3)</f>
        <v>160.19999999999999</v>
      </c>
      <c r="F836" s="1">
        <f>VLOOKUP(A836,AMZN!A835:C2090,3)</f>
        <v>180.96</v>
      </c>
      <c r="G836" s="1">
        <f>VLOOKUP(A836,TSLA!A835:C2090,3)</f>
        <v>194.05</v>
      </c>
      <c r="H836" s="1">
        <f>VLOOKUP(A836,GOOGL!A835:C2090,3)</f>
        <v>165.55</v>
      </c>
      <c r="I836" s="1">
        <f>VLOOKUP(A836,META!A835:C2090,3)</f>
        <v>432.62</v>
      </c>
      <c r="J836" s="1">
        <f>VLOOKUP(A836,Nasdaq!A835:C2090,3)</f>
        <v>15983.08</v>
      </c>
    </row>
    <row r="837" spans="1:10" x14ac:dyDescent="0.2">
      <c r="A837" s="2">
        <v>45412</v>
      </c>
      <c r="B837" s="1">
        <f>VLOOKUP(A837,AAPL!A836:C2091,3)</f>
        <v>168.95099999999999</v>
      </c>
      <c r="C837" s="1">
        <f>VLOOKUP(A837,MSFT!A836:C2091,3)</f>
        <v>387.15499999999997</v>
      </c>
      <c r="D837" s="1">
        <f>VLOOKUP(A837,NVDA!A836:C2091,3)</f>
        <v>86.381500000000003</v>
      </c>
      <c r="E837" s="1">
        <f>VLOOKUP(A837,AMD!A836:C2091,3)</f>
        <v>158.38</v>
      </c>
      <c r="F837" s="1">
        <f>VLOOKUP(A837,AMZN!A836:C2091,3)</f>
        <v>175</v>
      </c>
      <c r="G837" s="1">
        <f>VLOOKUP(A837,TSLA!A836:C2091,3)</f>
        <v>183.28</v>
      </c>
      <c r="H837" s="1">
        <f>VLOOKUP(A837,GOOGL!A836:C2091,3)</f>
        <v>162.19200000000001</v>
      </c>
      <c r="I837" s="1">
        <f>VLOOKUP(A837,META!A836:C2091,3)</f>
        <v>430.17</v>
      </c>
      <c r="J837" s="1">
        <f>VLOOKUP(A837,Nasdaq!A836:C2091,3)</f>
        <v>15657.82</v>
      </c>
    </row>
    <row r="838" spans="1:10" x14ac:dyDescent="0.2">
      <c r="A838" s="2">
        <v>45413</v>
      </c>
      <c r="B838" s="1">
        <f>VLOOKUP(A838,AAPL!A837:C2092,3)</f>
        <v>167.93</v>
      </c>
      <c r="C838" s="1">
        <f>VLOOKUP(A838,MSFT!A837:C2092,3)</f>
        <v>392.73399999999998</v>
      </c>
      <c r="D838" s="1">
        <f>VLOOKUP(A838,NVDA!A837:C2092,3)</f>
        <v>83.0214</v>
      </c>
      <c r="E838" s="1">
        <f>VLOOKUP(A838,AMD!A837:C2092,3)</f>
        <v>144.27000000000001</v>
      </c>
      <c r="F838" s="1">
        <f>VLOOKUP(A838,AMZN!A837:C2092,3)</f>
        <v>179</v>
      </c>
      <c r="G838" s="1">
        <f>VLOOKUP(A838,TSLA!A837:C2092,3)</f>
        <v>179.99</v>
      </c>
      <c r="H838" s="1">
        <f>VLOOKUP(A838,GOOGL!A837:C2092,3)</f>
        <v>163.268</v>
      </c>
      <c r="I838" s="1">
        <f>VLOOKUP(A838,META!A837:C2092,3)</f>
        <v>439.19</v>
      </c>
      <c r="J838" s="1">
        <f>VLOOKUP(A838,Nasdaq!A837:C2092,3)</f>
        <v>15605.48</v>
      </c>
    </row>
    <row r="839" spans="1:10" x14ac:dyDescent="0.2">
      <c r="A839" s="2">
        <v>45414</v>
      </c>
      <c r="B839" s="1">
        <f>VLOOKUP(A839,AAPL!A838:C2093,3)</f>
        <v>171.63</v>
      </c>
      <c r="C839" s="1">
        <f>VLOOKUP(A839,MSFT!A838:C2093,3)</f>
        <v>395.61799999999999</v>
      </c>
      <c r="D839" s="1">
        <f>VLOOKUP(A839,NVDA!A838:C2093,3)</f>
        <v>85.796800000000005</v>
      </c>
      <c r="E839" s="1">
        <f>VLOOKUP(A839,AMD!A838:C2093,3)</f>
        <v>146.16</v>
      </c>
      <c r="F839" s="1">
        <f>VLOOKUP(A839,AMZN!A838:C2093,3)</f>
        <v>184.72</v>
      </c>
      <c r="G839" s="1">
        <f>VLOOKUP(A839,TSLA!A838:C2093,3)</f>
        <v>180.01</v>
      </c>
      <c r="H839" s="1">
        <f>VLOOKUP(A839,GOOGL!A838:C2093,3)</f>
        <v>166.018</v>
      </c>
      <c r="I839" s="1">
        <f>VLOOKUP(A839,META!A838:C2093,3)</f>
        <v>441.68</v>
      </c>
      <c r="J839" s="1">
        <f>VLOOKUP(A839,Nasdaq!A838:C2093,3)</f>
        <v>15840.96</v>
      </c>
    </row>
    <row r="840" spans="1:10" x14ac:dyDescent="0.2">
      <c r="A840" s="2">
        <v>45415</v>
      </c>
      <c r="B840" s="1">
        <f>VLOOKUP(A840,AAPL!A839:C2094,3)</f>
        <v>181.89599999999999</v>
      </c>
      <c r="C840" s="1">
        <f>VLOOKUP(A840,MSFT!A839:C2094,3)</f>
        <v>404.38900000000001</v>
      </c>
      <c r="D840" s="1">
        <f>VLOOKUP(A840,NVDA!A839:C2094,3)</f>
        <v>88.768000000000001</v>
      </c>
      <c r="E840" s="1">
        <f>VLOOKUP(A840,AMD!A839:C2094,3)</f>
        <v>150.6</v>
      </c>
      <c r="F840" s="1">
        <f>VLOOKUP(A840,AMZN!A839:C2094,3)</f>
        <v>186.21</v>
      </c>
      <c r="G840" s="1">
        <f>VLOOKUP(A840,TSLA!A839:C2094,3)</f>
        <v>181.19</v>
      </c>
      <c r="H840" s="1">
        <f>VLOOKUP(A840,GOOGL!A839:C2094,3)</f>
        <v>166.636</v>
      </c>
      <c r="I840" s="1">
        <f>VLOOKUP(A840,META!A839:C2094,3)</f>
        <v>451.96</v>
      </c>
      <c r="J840" s="1">
        <f>VLOOKUP(A840,Nasdaq!A839:C2094,3)</f>
        <v>16156.33</v>
      </c>
    </row>
    <row r="841" spans="1:10" x14ac:dyDescent="0.2">
      <c r="A841" s="2">
        <v>45418</v>
      </c>
      <c r="B841" s="1">
        <f>VLOOKUP(A841,AAPL!A840:C2095,3)</f>
        <v>180.239</v>
      </c>
      <c r="C841" s="1">
        <f>VLOOKUP(A841,MSFT!A840:C2095,3)</f>
        <v>411.22899999999998</v>
      </c>
      <c r="D841" s="1">
        <f>VLOOKUP(A841,NVDA!A840:C2095,3)</f>
        <v>92.118200000000002</v>
      </c>
      <c r="E841" s="1">
        <f>VLOOKUP(A841,AMD!A840:C2095,3)</f>
        <v>155.78</v>
      </c>
      <c r="F841" s="1">
        <f>VLOOKUP(A841,AMZN!A840:C2095,3)</f>
        <v>188.7</v>
      </c>
      <c r="G841" s="1">
        <f>VLOOKUP(A841,TSLA!A840:C2095,3)</f>
        <v>184.76</v>
      </c>
      <c r="H841" s="1">
        <f>VLOOKUP(A841,GOOGL!A840:C2095,3)</f>
        <v>167.49199999999999</v>
      </c>
      <c r="I841" s="1">
        <f>VLOOKUP(A841,META!A840:C2095,3)</f>
        <v>465.68</v>
      </c>
      <c r="J841" s="1">
        <f>VLOOKUP(A841,Nasdaq!A840:C2095,3)</f>
        <v>16349.25</v>
      </c>
    </row>
    <row r="842" spans="1:10" x14ac:dyDescent="0.2">
      <c r="A842" s="2">
        <v>45419</v>
      </c>
      <c r="B842" s="1">
        <f>VLOOKUP(A842,AAPL!A841:C2096,3)</f>
        <v>180.923</v>
      </c>
      <c r="C842" s="1">
        <f>VLOOKUP(A842,MSFT!A841:C2096,3)</f>
        <v>407.053</v>
      </c>
      <c r="D842" s="1">
        <f>VLOOKUP(A842,NVDA!A841:C2096,3)</f>
        <v>90.532700000000006</v>
      </c>
      <c r="E842" s="1">
        <f>VLOOKUP(A842,AMD!A841:C2096,3)</f>
        <v>154.43</v>
      </c>
      <c r="F842" s="1">
        <f>VLOOKUP(A842,AMZN!A841:C2096,3)</f>
        <v>188.76</v>
      </c>
      <c r="G842" s="1">
        <f>VLOOKUP(A842,TSLA!A841:C2096,3)</f>
        <v>177.81</v>
      </c>
      <c r="H842" s="1">
        <f>VLOOKUP(A842,GOOGL!A841:C2096,3)</f>
        <v>170.631</v>
      </c>
      <c r="I842" s="1">
        <f>VLOOKUP(A842,META!A841:C2096,3)</f>
        <v>468.24</v>
      </c>
      <c r="J842" s="1">
        <f>VLOOKUP(A842,Nasdaq!A841:C2096,3)</f>
        <v>16332.56</v>
      </c>
    </row>
    <row r="843" spans="1:10" x14ac:dyDescent="0.2">
      <c r="A843" s="2">
        <v>45420</v>
      </c>
      <c r="B843" s="1">
        <f>VLOOKUP(A843,AAPL!A842:C2097,3)</f>
        <v>181.261</v>
      </c>
      <c r="C843" s="1">
        <f>VLOOKUP(A843,MSFT!A842:C2097,3)</f>
        <v>408.24700000000001</v>
      </c>
      <c r="D843" s="1">
        <f>VLOOKUP(A843,NVDA!A842:C2097,3)</f>
        <v>90.390699999999995</v>
      </c>
      <c r="E843" s="1">
        <f>VLOOKUP(A843,AMD!A842:C2097,3)</f>
        <v>153.62</v>
      </c>
      <c r="F843" s="1">
        <f>VLOOKUP(A843,AMZN!A842:C2097,3)</f>
        <v>188</v>
      </c>
      <c r="G843" s="1">
        <f>VLOOKUP(A843,TSLA!A842:C2097,3)</f>
        <v>174.72</v>
      </c>
      <c r="H843" s="1">
        <f>VLOOKUP(A843,GOOGL!A842:C2097,3)</f>
        <v>168.76900000000001</v>
      </c>
      <c r="I843" s="1">
        <f>VLOOKUP(A843,META!A842:C2097,3)</f>
        <v>472.6</v>
      </c>
      <c r="J843" s="1">
        <f>VLOOKUP(A843,Nasdaq!A842:C2097,3)</f>
        <v>16302.76</v>
      </c>
    </row>
    <row r="844" spans="1:10" x14ac:dyDescent="0.2">
      <c r="A844" s="2">
        <v>45421</v>
      </c>
      <c r="B844" s="1">
        <f>VLOOKUP(A844,AAPL!A843:C2098,3)</f>
        <v>183.077</v>
      </c>
      <c r="C844" s="1">
        <f>VLOOKUP(A844,MSFT!A843:C2098,3)</f>
        <v>410.017</v>
      </c>
      <c r="D844" s="1">
        <f>VLOOKUP(A844,NVDA!A843:C2098,3)</f>
        <v>88.725999999999999</v>
      </c>
      <c r="E844" s="1">
        <f>VLOOKUP(A844,AMD!A843:C2098,3)</f>
        <v>152.38999999999999</v>
      </c>
      <c r="F844" s="1">
        <f>VLOOKUP(A844,AMZN!A843:C2098,3)</f>
        <v>189.5</v>
      </c>
      <c r="G844" s="1">
        <f>VLOOKUP(A844,TSLA!A843:C2098,3)</f>
        <v>171.97</v>
      </c>
      <c r="H844" s="1">
        <f>VLOOKUP(A844,GOOGL!A843:C2098,3)</f>
        <v>169.346</v>
      </c>
      <c r="I844" s="1">
        <f>VLOOKUP(A844,META!A843:C2098,3)</f>
        <v>475.42</v>
      </c>
      <c r="J844" s="1">
        <f>VLOOKUP(A844,Nasdaq!A843:C2098,3)</f>
        <v>16346.26</v>
      </c>
    </row>
    <row r="845" spans="1:10" x14ac:dyDescent="0.2">
      <c r="A845" s="2">
        <v>45422</v>
      </c>
      <c r="B845" s="1">
        <f>VLOOKUP(A845,AAPL!A844:C2099,3)</f>
        <v>181.81399999999999</v>
      </c>
      <c r="C845" s="1">
        <f>VLOOKUP(A845,MSFT!A844:C2099,3)</f>
        <v>412.42200000000003</v>
      </c>
      <c r="D845" s="1">
        <f>VLOOKUP(A845,NVDA!A844:C2099,3)</f>
        <v>89.856700000000004</v>
      </c>
      <c r="E845" s="1">
        <f>VLOOKUP(A845,AMD!A844:C2099,3)</f>
        <v>151.91999999999999</v>
      </c>
      <c r="F845" s="1">
        <f>VLOOKUP(A845,AMZN!A844:C2099,3)</f>
        <v>187.48</v>
      </c>
      <c r="G845" s="1">
        <f>VLOOKUP(A845,TSLA!A844:C2099,3)</f>
        <v>168.47</v>
      </c>
      <c r="H845" s="1">
        <f>VLOOKUP(A845,GOOGL!A844:C2099,3)</f>
        <v>168.041</v>
      </c>
      <c r="I845" s="1">
        <f>VLOOKUP(A845,META!A844:C2099,3)</f>
        <v>476.2</v>
      </c>
      <c r="J845" s="1">
        <f>VLOOKUP(A845,Nasdaq!A844:C2099,3)</f>
        <v>16340.87</v>
      </c>
    </row>
    <row r="846" spans="1:10" x14ac:dyDescent="0.2">
      <c r="A846" s="2">
        <v>45425</v>
      </c>
      <c r="B846" s="1">
        <f>VLOOKUP(A846,AAPL!A845:C2100,3)</f>
        <v>185.02500000000001</v>
      </c>
      <c r="C846" s="1">
        <f>VLOOKUP(A846,MSFT!A845:C2100,3)</f>
        <v>411.40899999999999</v>
      </c>
      <c r="D846" s="1">
        <f>VLOOKUP(A846,NVDA!A845:C2100,3)</f>
        <v>90.377700000000004</v>
      </c>
      <c r="E846" s="1">
        <f>VLOOKUP(A846,AMD!A845:C2100,3)</f>
        <v>150.56</v>
      </c>
      <c r="F846" s="1">
        <f>VLOOKUP(A846,AMZN!A845:C2100,3)</f>
        <v>186.57</v>
      </c>
      <c r="G846" s="1">
        <f>VLOOKUP(A846,TSLA!A845:C2100,3)</f>
        <v>171.89</v>
      </c>
      <c r="H846" s="1">
        <f>VLOOKUP(A846,GOOGL!A845:C2100,3)</f>
        <v>168.529</v>
      </c>
      <c r="I846" s="1">
        <f>VLOOKUP(A846,META!A845:C2100,3)</f>
        <v>468.01</v>
      </c>
      <c r="J846" s="1">
        <f>VLOOKUP(A846,Nasdaq!A845:C2100,3)</f>
        <v>16388.240000000002</v>
      </c>
    </row>
    <row r="847" spans="1:10" x14ac:dyDescent="0.2">
      <c r="A847" s="2">
        <v>45426</v>
      </c>
      <c r="B847" s="1">
        <f>VLOOKUP(A847,AAPL!A846:C2101,3)</f>
        <v>186.166</v>
      </c>
      <c r="C847" s="1">
        <f>VLOOKUP(A847,MSFT!A846:C2101,3)</f>
        <v>414.233</v>
      </c>
      <c r="D847" s="1">
        <f>VLOOKUP(A847,NVDA!A846:C2101,3)</f>
        <v>91.334400000000002</v>
      </c>
      <c r="E847" s="1">
        <f>VLOOKUP(A847,AMD!A846:C2101,3)</f>
        <v>153.16</v>
      </c>
      <c r="F847" s="1">
        <f>VLOOKUP(A847,AMZN!A846:C2101,3)</f>
        <v>187.07</v>
      </c>
      <c r="G847" s="1">
        <f>VLOOKUP(A847,TSLA!A846:C2101,3)</f>
        <v>177.55</v>
      </c>
      <c r="H847" s="1">
        <f>VLOOKUP(A847,GOOGL!A846:C2101,3)</f>
        <v>169.72499999999999</v>
      </c>
      <c r="I847" s="1">
        <f>VLOOKUP(A847,META!A846:C2101,3)</f>
        <v>471.85</v>
      </c>
      <c r="J847" s="1">
        <f>VLOOKUP(A847,Nasdaq!A846:C2101,3)</f>
        <v>16511.18</v>
      </c>
    </row>
    <row r="848" spans="1:10" x14ac:dyDescent="0.2">
      <c r="A848" s="2">
        <v>45427</v>
      </c>
      <c r="B848" s="1">
        <f>VLOOKUP(A848,AAPL!A847:C2102,3)</f>
        <v>188.44</v>
      </c>
      <c r="C848" s="1">
        <f>VLOOKUP(A848,MSFT!A847:C2102,3)</f>
        <v>421.47500000000002</v>
      </c>
      <c r="D848" s="1">
        <f>VLOOKUP(A848,NVDA!A847:C2102,3)</f>
        <v>94.607600000000005</v>
      </c>
      <c r="E848" s="1">
        <f>VLOOKUP(A848,AMD!A847:C2102,3)</f>
        <v>159.66999999999999</v>
      </c>
      <c r="F848" s="1">
        <f>VLOOKUP(A848,AMZN!A847:C2102,3)</f>
        <v>185.99</v>
      </c>
      <c r="G848" s="1">
        <f>VLOOKUP(A848,TSLA!A847:C2102,3)</f>
        <v>173.99</v>
      </c>
      <c r="H848" s="1">
        <f>VLOOKUP(A848,GOOGL!A847:C2102,3)</f>
        <v>171.887</v>
      </c>
      <c r="I848" s="1">
        <f>VLOOKUP(A848,META!A847:C2102,3)</f>
        <v>481.54</v>
      </c>
      <c r="J848" s="1">
        <f>VLOOKUP(A848,Nasdaq!A847:C2102,3)</f>
        <v>16742.39</v>
      </c>
    </row>
    <row r="849" spans="1:10" x14ac:dyDescent="0.2">
      <c r="A849" s="2">
        <v>45428</v>
      </c>
      <c r="B849" s="1">
        <f>VLOOKUP(A849,AAPL!A848:C2103,3)</f>
        <v>188.56</v>
      </c>
      <c r="C849" s="1">
        <f>VLOOKUP(A849,MSFT!A848:C2103,3)</f>
        <v>419.39400000000001</v>
      </c>
      <c r="D849" s="1">
        <f>VLOOKUP(A849,NVDA!A848:C2103,3)</f>
        <v>94.336699999999993</v>
      </c>
      <c r="E849" s="1">
        <f>VLOOKUP(A849,AMD!A848:C2103,3)</f>
        <v>162.62</v>
      </c>
      <c r="F849" s="1">
        <f>VLOOKUP(A849,AMZN!A848:C2103,3)</f>
        <v>183.63</v>
      </c>
      <c r="G849" s="1">
        <f>VLOOKUP(A849,TSLA!A848:C2103,3)</f>
        <v>174.84</v>
      </c>
      <c r="H849" s="1">
        <f>VLOOKUP(A849,GOOGL!A848:C2103,3)</f>
        <v>173.55</v>
      </c>
      <c r="I849" s="1">
        <f>VLOOKUP(A849,META!A848:C2103,3)</f>
        <v>473.23</v>
      </c>
      <c r="J849" s="1">
        <f>VLOOKUP(A849,Nasdaq!A848:C2103,3)</f>
        <v>16698.32</v>
      </c>
    </row>
    <row r="850" spans="1:10" x14ac:dyDescent="0.2">
      <c r="A850" s="2">
        <v>45429</v>
      </c>
      <c r="B850" s="1">
        <f>VLOOKUP(A850,AAPL!A849:C2104,3)</f>
        <v>188.589</v>
      </c>
      <c r="C850" s="1">
        <f>VLOOKUP(A850,MSFT!A849:C2104,3)</f>
        <v>418.61599999999999</v>
      </c>
      <c r="D850" s="1">
        <f>VLOOKUP(A850,NVDA!A849:C2104,3)</f>
        <v>92.457099999999997</v>
      </c>
      <c r="E850" s="1">
        <f>VLOOKUP(A850,AMD!A849:C2104,3)</f>
        <v>164.47</v>
      </c>
      <c r="F850" s="1">
        <f>VLOOKUP(A850,AMZN!A849:C2104,3)</f>
        <v>184.7</v>
      </c>
      <c r="G850" s="1">
        <f>VLOOKUP(A850,TSLA!A849:C2104,3)</f>
        <v>177.46</v>
      </c>
      <c r="H850" s="1">
        <f>VLOOKUP(A850,GOOGL!A849:C2104,3)</f>
        <v>175.42400000000001</v>
      </c>
      <c r="I850" s="1">
        <f>VLOOKUP(A850,META!A849:C2104,3)</f>
        <v>471.91</v>
      </c>
      <c r="J850" s="1">
        <f>VLOOKUP(A850,Nasdaq!A849:C2104,3)</f>
        <v>16685.97</v>
      </c>
    </row>
    <row r="851" spans="1:10" x14ac:dyDescent="0.2">
      <c r="A851" s="2">
        <v>45432</v>
      </c>
      <c r="B851" s="1">
        <f>VLOOKUP(A851,AAPL!A850:C2105,3)</f>
        <v>189.751</v>
      </c>
      <c r="C851" s="1">
        <f>VLOOKUP(A851,MSFT!A850:C2105,3)</f>
        <v>423.72699999999998</v>
      </c>
      <c r="D851" s="1">
        <f>VLOOKUP(A851,NVDA!A850:C2105,3)</f>
        <v>94.757599999999996</v>
      </c>
      <c r="E851" s="1">
        <f>VLOOKUP(A851,AMD!A850:C2105,3)</f>
        <v>166.33</v>
      </c>
      <c r="F851" s="1">
        <f>VLOOKUP(A851,AMZN!A850:C2105,3)</f>
        <v>183.54</v>
      </c>
      <c r="G851" s="1">
        <f>VLOOKUP(A851,TSLA!A850:C2105,3)</f>
        <v>174.95</v>
      </c>
      <c r="H851" s="1">
        <f>VLOOKUP(A851,GOOGL!A850:C2105,3)</f>
        <v>176.28100000000001</v>
      </c>
      <c r="I851" s="1">
        <f>VLOOKUP(A851,META!A850:C2105,3)</f>
        <v>468.84</v>
      </c>
      <c r="J851" s="1">
        <f>VLOOKUP(A851,Nasdaq!A850:C2105,3)</f>
        <v>16794.88</v>
      </c>
    </row>
    <row r="852" spans="1:10" x14ac:dyDescent="0.2">
      <c r="A852" s="2">
        <v>45433</v>
      </c>
      <c r="B852" s="1">
        <f>VLOOKUP(A852,AAPL!A851:C2106,3)</f>
        <v>191.053</v>
      </c>
      <c r="C852" s="1">
        <f>VLOOKUP(A852,MSFT!A851:C2106,3)</f>
        <v>427.41199999999998</v>
      </c>
      <c r="D852" s="1">
        <f>VLOOKUP(A852,NVDA!A851:C2106,3)</f>
        <v>95.363399999999999</v>
      </c>
      <c r="E852" s="1">
        <f>VLOOKUP(A852,AMD!A851:C2106,3)</f>
        <v>164.66</v>
      </c>
      <c r="F852" s="1">
        <f>VLOOKUP(A852,AMZN!A851:C2106,3)</f>
        <v>183.15</v>
      </c>
      <c r="G852" s="1">
        <f>VLOOKUP(A852,TSLA!A851:C2106,3)</f>
        <v>186.6</v>
      </c>
      <c r="H852" s="1">
        <f>VLOOKUP(A852,GOOGL!A851:C2106,3)</f>
        <v>177.208</v>
      </c>
      <c r="I852" s="1">
        <f>VLOOKUP(A852,META!A851:C2106,3)</f>
        <v>464.63</v>
      </c>
      <c r="J852" s="1">
        <f>VLOOKUP(A852,Nasdaq!A851:C2106,3)</f>
        <v>16832.63</v>
      </c>
    </row>
    <row r="853" spans="1:10" x14ac:dyDescent="0.2">
      <c r="A853" s="2">
        <v>45434</v>
      </c>
      <c r="B853" s="1">
        <f>VLOOKUP(A853,AAPL!A852:C2107,3)</f>
        <v>189.61199999999999</v>
      </c>
      <c r="C853" s="1">
        <f>VLOOKUP(A853,MSFT!A852:C2107,3)</f>
        <v>428.887</v>
      </c>
      <c r="D853" s="1">
        <f>VLOOKUP(A853,NVDA!A852:C2107,3)</f>
        <v>94.927599999999998</v>
      </c>
      <c r="E853" s="1">
        <f>VLOOKUP(A853,AMD!A852:C2107,3)</f>
        <v>165.52</v>
      </c>
      <c r="F853" s="1">
        <f>VLOOKUP(A853,AMZN!A852:C2107,3)</f>
        <v>183.13</v>
      </c>
      <c r="G853" s="1">
        <f>VLOOKUP(A853,TSLA!A852:C2107,3)</f>
        <v>180.11</v>
      </c>
      <c r="H853" s="1">
        <f>VLOOKUP(A853,GOOGL!A852:C2107,3)</f>
        <v>175.744</v>
      </c>
      <c r="I853" s="1">
        <f>VLOOKUP(A853,META!A852:C2107,3)</f>
        <v>467.78</v>
      </c>
      <c r="J853" s="1">
        <f>VLOOKUP(A853,Nasdaq!A852:C2107,3)</f>
        <v>16801.54</v>
      </c>
    </row>
    <row r="854" spans="1:10" x14ac:dyDescent="0.2">
      <c r="A854" s="2">
        <v>45435</v>
      </c>
      <c r="B854" s="1">
        <f>VLOOKUP(A854,AAPL!A853:C2108,3)</f>
        <v>185.619</v>
      </c>
      <c r="C854" s="1">
        <f>VLOOKUP(A854,MSFT!A853:C2108,3)</f>
        <v>425.38099999999997</v>
      </c>
      <c r="D854" s="1">
        <f>VLOOKUP(A854,NVDA!A853:C2108,3)</f>
        <v>103.774</v>
      </c>
      <c r="E854" s="1">
        <f>VLOOKUP(A854,AMD!A853:C2108,3)</f>
        <v>160.43</v>
      </c>
      <c r="F854" s="1">
        <f>VLOOKUP(A854,AMZN!A853:C2108,3)</f>
        <v>181.05</v>
      </c>
      <c r="G854" s="1">
        <f>VLOOKUP(A854,TSLA!A853:C2108,3)</f>
        <v>173.74</v>
      </c>
      <c r="H854" s="1">
        <f>VLOOKUP(A854,GOOGL!A853:C2108,3)</f>
        <v>172.923</v>
      </c>
      <c r="I854" s="1">
        <f>VLOOKUP(A854,META!A853:C2108,3)</f>
        <v>465.78</v>
      </c>
      <c r="J854" s="1">
        <f>VLOOKUP(A854,Nasdaq!A853:C2108,3)</f>
        <v>16736.03</v>
      </c>
    </row>
    <row r="855" spans="1:10" x14ac:dyDescent="0.2">
      <c r="A855" s="2">
        <v>45436</v>
      </c>
      <c r="B855" s="1">
        <f>VLOOKUP(A855,AAPL!A854:C2109,3)</f>
        <v>188.69800000000001</v>
      </c>
      <c r="C855" s="1">
        <f>VLOOKUP(A855,MSFT!A854:C2109,3)</f>
        <v>428.52800000000002</v>
      </c>
      <c r="D855" s="1">
        <f>VLOOKUP(A855,NVDA!A854:C2109,3)</f>
        <v>106.444</v>
      </c>
      <c r="E855" s="1">
        <f>VLOOKUP(A855,AMD!A854:C2109,3)</f>
        <v>166.36</v>
      </c>
      <c r="F855" s="1">
        <f>VLOOKUP(A855,AMZN!A854:C2109,3)</f>
        <v>180.75</v>
      </c>
      <c r="G855" s="1">
        <f>VLOOKUP(A855,TSLA!A854:C2109,3)</f>
        <v>179.24</v>
      </c>
      <c r="H855" s="1">
        <f>VLOOKUP(A855,GOOGL!A854:C2109,3)</f>
        <v>174.357</v>
      </c>
      <c r="I855" s="1">
        <f>VLOOKUP(A855,META!A854:C2109,3)</f>
        <v>478.22</v>
      </c>
      <c r="J855" s="1">
        <f>VLOOKUP(A855,Nasdaq!A854:C2109,3)</f>
        <v>16920.79</v>
      </c>
    </row>
    <row r="856" spans="1:10" x14ac:dyDescent="0.2">
      <c r="A856" s="2">
        <v>45440</v>
      </c>
      <c r="B856" s="1">
        <f>VLOOKUP(A856,AAPL!A855:C2110,3)</f>
        <v>188.708</v>
      </c>
      <c r="C856" s="1">
        <f>VLOOKUP(A856,MSFT!A855:C2110,3)</f>
        <v>428.68799999999999</v>
      </c>
      <c r="D856" s="1">
        <f>VLOOKUP(A856,NVDA!A855:C2110,3)</f>
        <v>113.874</v>
      </c>
      <c r="E856" s="1">
        <f>VLOOKUP(A856,AMD!A855:C2110,3)</f>
        <v>171.61</v>
      </c>
      <c r="F856" s="1">
        <f>VLOOKUP(A856,AMZN!A855:C2110,3)</f>
        <v>182.15</v>
      </c>
      <c r="G856" s="1">
        <f>VLOOKUP(A856,TSLA!A855:C2110,3)</f>
        <v>176.75</v>
      </c>
      <c r="H856" s="1">
        <f>VLOOKUP(A856,GOOGL!A855:C2110,3)</f>
        <v>175.76400000000001</v>
      </c>
      <c r="I856" s="1">
        <f>VLOOKUP(A856,META!A855:C2110,3)</f>
        <v>479.92</v>
      </c>
      <c r="J856" s="1">
        <f>VLOOKUP(A856,Nasdaq!A855:C2110,3)</f>
        <v>17019.88</v>
      </c>
    </row>
    <row r="857" spans="1:10" x14ac:dyDescent="0.2">
      <c r="A857" s="2">
        <v>45441</v>
      </c>
      <c r="B857" s="1">
        <f>VLOOKUP(A857,AAPL!A856:C2111,3)</f>
        <v>189.006</v>
      </c>
      <c r="C857" s="1">
        <f>VLOOKUP(A857,MSFT!A856:C2111,3)</f>
        <v>427.54199999999997</v>
      </c>
      <c r="D857" s="1">
        <f>VLOOKUP(A857,NVDA!A856:C2111,3)</f>
        <v>114.798</v>
      </c>
      <c r="E857" s="1">
        <f>VLOOKUP(A857,AMD!A856:C2111,3)</f>
        <v>165.14</v>
      </c>
      <c r="F857" s="1">
        <f>VLOOKUP(A857,AMZN!A856:C2111,3)</f>
        <v>182.02</v>
      </c>
      <c r="G857" s="1">
        <f>VLOOKUP(A857,TSLA!A856:C2111,3)</f>
        <v>176.19</v>
      </c>
      <c r="H857" s="1">
        <f>VLOOKUP(A857,GOOGL!A856:C2111,3)</f>
        <v>175.26400000000001</v>
      </c>
      <c r="I857" s="1">
        <f>VLOOKUP(A857,META!A856:C2111,3)</f>
        <v>474.36</v>
      </c>
      <c r="J857" s="1">
        <f>VLOOKUP(A857,Nasdaq!A856:C2111,3)</f>
        <v>16920.580000000002</v>
      </c>
    </row>
    <row r="858" spans="1:10" x14ac:dyDescent="0.2">
      <c r="A858" s="2">
        <v>45442</v>
      </c>
      <c r="B858" s="1">
        <f>VLOOKUP(A858,AAPL!A857:C2112,3)</f>
        <v>189.999</v>
      </c>
      <c r="C858" s="1">
        <f>VLOOKUP(A858,MSFT!A857:C2112,3)</f>
        <v>413.09699999999998</v>
      </c>
      <c r="D858" s="1">
        <f>VLOOKUP(A858,NVDA!A857:C2112,3)</f>
        <v>110.474</v>
      </c>
      <c r="E858" s="1">
        <f>VLOOKUP(A858,AMD!A857:C2112,3)</f>
        <v>166.75</v>
      </c>
      <c r="F858" s="1">
        <f>VLOOKUP(A858,AMZN!A857:C2112,3)</f>
        <v>179.32</v>
      </c>
      <c r="G858" s="1">
        <f>VLOOKUP(A858,TSLA!A857:C2112,3)</f>
        <v>178.79</v>
      </c>
      <c r="H858" s="1">
        <f>VLOOKUP(A858,GOOGL!A857:C2112,3)</f>
        <v>171.488</v>
      </c>
      <c r="I858" s="1">
        <f>VLOOKUP(A858,META!A857:C2112,3)</f>
        <v>467.05</v>
      </c>
      <c r="J858" s="1">
        <f>VLOOKUP(A858,Nasdaq!A857:C2112,3)</f>
        <v>16737.080000000002</v>
      </c>
    </row>
    <row r="859" spans="1:10" x14ac:dyDescent="0.2">
      <c r="A859" s="2">
        <v>45443</v>
      </c>
      <c r="B859" s="1">
        <f>VLOOKUP(A859,AAPL!A858:C2113,3)</f>
        <v>190.953</v>
      </c>
      <c r="C859" s="1">
        <f>VLOOKUP(A859,MSFT!A858:C2113,3)</f>
        <v>413.55500000000001</v>
      </c>
      <c r="D859" s="1">
        <f>VLOOKUP(A859,NVDA!A858:C2113,3)</f>
        <v>109.607</v>
      </c>
      <c r="E859" s="1">
        <f>VLOOKUP(A859,AMD!A858:C2113,3)</f>
        <v>166.9</v>
      </c>
      <c r="F859" s="1">
        <f>VLOOKUP(A859,AMZN!A858:C2113,3)</f>
        <v>176.44</v>
      </c>
      <c r="G859" s="1">
        <f>VLOOKUP(A859,TSLA!A858:C2113,3)</f>
        <v>178.08</v>
      </c>
      <c r="H859" s="1">
        <f>VLOOKUP(A859,GOOGL!A858:C2113,3)</f>
        <v>171.87700000000001</v>
      </c>
      <c r="I859" s="1">
        <f>VLOOKUP(A859,META!A858:C2113,3)</f>
        <v>466.83</v>
      </c>
      <c r="J859" s="1">
        <f>VLOOKUP(A859,Nasdaq!A858:C2113,3)</f>
        <v>16735.02</v>
      </c>
    </row>
    <row r="860" spans="1:10" x14ac:dyDescent="0.2">
      <c r="A860" s="2">
        <v>45446</v>
      </c>
      <c r="B860" s="1">
        <f>VLOOKUP(A860,AAPL!A859:C2114,3)</f>
        <v>192.721</v>
      </c>
      <c r="C860" s="1">
        <f>VLOOKUP(A860,MSFT!A859:C2114,3)</f>
        <v>411.95100000000002</v>
      </c>
      <c r="D860" s="1">
        <f>VLOOKUP(A860,NVDA!A859:C2114,3)</f>
        <v>114.973</v>
      </c>
      <c r="E860" s="1">
        <f>VLOOKUP(A860,AMD!A859:C2114,3)</f>
        <v>163.55000000000001</v>
      </c>
      <c r="F860" s="1">
        <f>VLOOKUP(A860,AMZN!A859:C2114,3)</f>
        <v>178.34</v>
      </c>
      <c r="G860" s="1">
        <f>VLOOKUP(A860,TSLA!A859:C2114,3)</f>
        <v>176.29</v>
      </c>
      <c r="H860" s="1">
        <f>VLOOKUP(A860,GOOGL!A859:C2114,3)</f>
        <v>172.54400000000001</v>
      </c>
      <c r="I860" s="1">
        <f>VLOOKUP(A860,META!A859:C2114,3)</f>
        <v>477.49</v>
      </c>
      <c r="J860" s="1">
        <f>VLOOKUP(A860,Nasdaq!A859:C2114,3)</f>
        <v>16828.669999999998</v>
      </c>
    </row>
    <row r="861" spans="1:10" x14ac:dyDescent="0.2">
      <c r="A861" s="2">
        <v>45447</v>
      </c>
      <c r="B861" s="1">
        <f>VLOOKUP(A861,AAPL!A860:C2115,3)</f>
        <v>193.03899999999999</v>
      </c>
      <c r="C861" s="1">
        <f>VLOOKUP(A861,MSFT!A860:C2115,3)</f>
        <v>414.49099999999999</v>
      </c>
      <c r="D861" s="1">
        <f>VLOOKUP(A861,NVDA!A860:C2115,3)</f>
        <v>116.40900000000001</v>
      </c>
      <c r="E861" s="1">
        <f>VLOOKUP(A861,AMD!A860:C2115,3)</f>
        <v>159.99</v>
      </c>
      <c r="F861" s="1">
        <f>VLOOKUP(A861,AMZN!A860:C2115,3)</f>
        <v>179.34</v>
      </c>
      <c r="G861" s="1">
        <f>VLOOKUP(A861,TSLA!A860:C2115,3)</f>
        <v>174.77</v>
      </c>
      <c r="H861" s="1">
        <f>VLOOKUP(A861,GOOGL!A860:C2115,3)</f>
        <v>173.16300000000001</v>
      </c>
      <c r="I861" s="1">
        <f>VLOOKUP(A861,META!A860:C2115,3)</f>
        <v>476.99</v>
      </c>
      <c r="J861" s="1">
        <f>VLOOKUP(A861,Nasdaq!A860:C2115,3)</f>
        <v>16857.05</v>
      </c>
    </row>
    <row r="862" spans="1:10" x14ac:dyDescent="0.2">
      <c r="A862" s="2">
        <v>45448</v>
      </c>
      <c r="B862" s="1">
        <f>VLOOKUP(A862,AAPL!A861:C2116,3)</f>
        <v>194.548</v>
      </c>
      <c r="C862" s="1">
        <f>VLOOKUP(A862,MSFT!A861:C2116,3)</f>
        <v>422.40199999999999</v>
      </c>
      <c r="D862" s="1">
        <f>VLOOKUP(A862,NVDA!A861:C2116,3)</f>
        <v>122.41200000000001</v>
      </c>
      <c r="E862" s="1">
        <f>VLOOKUP(A862,AMD!A861:C2116,3)</f>
        <v>166.17</v>
      </c>
      <c r="F862" s="1">
        <f>VLOOKUP(A862,AMZN!A861:C2116,3)</f>
        <v>181.28</v>
      </c>
      <c r="G862" s="1">
        <f>VLOOKUP(A862,TSLA!A861:C2116,3)</f>
        <v>175</v>
      </c>
      <c r="H862" s="1">
        <f>VLOOKUP(A862,GOOGL!A861:C2116,3)</f>
        <v>174.77699999999999</v>
      </c>
      <c r="I862" s="1">
        <f>VLOOKUP(A862,META!A861:C2116,3)</f>
        <v>495.06</v>
      </c>
      <c r="J862" s="1">
        <f>VLOOKUP(A862,Nasdaq!A861:C2116,3)</f>
        <v>17187.900000000001</v>
      </c>
    </row>
    <row r="863" spans="1:10" x14ac:dyDescent="0.2">
      <c r="A863" s="2">
        <v>45449</v>
      </c>
      <c r="B863" s="1">
        <f>VLOOKUP(A863,AAPL!A862:C2117,3)</f>
        <v>193.16900000000001</v>
      </c>
      <c r="C863" s="1">
        <f>VLOOKUP(A863,MSFT!A862:C2117,3)</f>
        <v>422.90899999999999</v>
      </c>
      <c r="D863" s="1">
        <f>VLOOKUP(A863,NVDA!A862:C2117,3)</f>
        <v>120.97</v>
      </c>
      <c r="E863" s="1">
        <f>VLOOKUP(A863,AMD!A862:C2117,3)</f>
        <v>166.78</v>
      </c>
      <c r="F863" s="1">
        <f>VLOOKUP(A863,AMZN!A862:C2117,3)</f>
        <v>185</v>
      </c>
      <c r="G863" s="1">
        <f>VLOOKUP(A863,TSLA!A862:C2117,3)</f>
        <v>177.94</v>
      </c>
      <c r="H863" s="1">
        <f>VLOOKUP(A863,GOOGL!A862:C2117,3)</f>
        <v>176.09100000000001</v>
      </c>
      <c r="I863" s="1">
        <f>VLOOKUP(A863,META!A862:C2117,3)</f>
        <v>493.76</v>
      </c>
      <c r="J863" s="1">
        <f>VLOOKUP(A863,Nasdaq!A862:C2117,3)</f>
        <v>17173.12</v>
      </c>
    </row>
    <row r="864" spans="1:10" x14ac:dyDescent="0.2">
      <c r="A864" s="2">
        <v>45450</v>
      </c>
      <c r="B864" s="1">
        <f>VLOOKUP(A864,AAPL!A863:C2118,3)</f>
        <v>195.56100000000001</v>
      </c>
      <c r="C864" s="1">
        <f>VLOOKUP(A864,MSFT!A863:C2118,3)</f>
        <v>422.24200000000002</v>
      </c>
      <c r="D864" s="1">
        <f>VLOOKUP(A864,NVDA!A863:C2118,3)</f>
        <v>120.86</v>
      </c>
      <c r="E864" s="1">
        <f>VLOOKUP(A864,AMD!A863:C2118,3)</f>
        <v>167.87</v>
      </c>
      <c r="F864" s="1">
        <f>VLOOKUP(A864,AMZN!A863:C2118,3)</f>
        <v>184.3</v>
      </c>
      <c r="G864" s="1">
        <f>VLOOKUP(A864,TSLA!A863:C2118,3)</f>
        <v>177.48</v>
      </c>
      <c r="H864" s="1">
        <f>VLOOKUP(A864,GOOGL!A863:C2118,3)</f>
        <v>173.83</v>
      </c>
      <c r="I864" s="1">
        <f>VLOOKUP(A864,META!A863:C2118,3)</f>
        <v>492.96</v>
      </c>
      <c r="J864" s="1">
        <f>VLOOKUP(A864,Nasdaq!A863:C2118,3)</f>
        <v>17133.13</v>
      </c>
    </row>
    <row r="865" spans="1:10" x14ac:dyDescent="0.2">
      <c r="A865" s="2">
        <v>45453</v>
      </c>
      <c r="B865" s="1">
        <f>VLOOKUP(A865,AAPL!A864:C2119,3)</f>
        <v>191.81700000000001</v>
      </c>
      <c r="C865" s="1">
        <f>VLOOKUP(A865,MSFT!A864:C2119,3)</f>
        <v>426.24700000000001</v>
      </c>
      <c r="D865" s="1">
        <f>VLOOKUP(A865,NVDA!A864:C2119,3)</f>
        <v>121.762</v>
      </c>
      <c r="E865" s="1">
        <f>VLOOKUP(A865,AMD!A864:C2119,3)</f>
        <v>160.34</v>
      </c>
      <c r="F865" s="1">
        <f>VLOOKUP(A865,AMZN!A864:C2119,3)</f>
        <v>187.06</v>
      </c>
      <c r="G865" s="1">
        <f>VLOOKUP(A865,TSLA!A864:C2119,3)</f>
        <v>173.79</v>
      </c>
      <c r="H865" s="1">
        <f>VLOOKUP(A865,GOOGL!A864:C2119,3)</f>
        <v>174.578</v>
      </c>
      <c r="I865" s="1">
        <f>VLOOKUP(A865,META!A864:C2119,3)</f>
        <v>502.6</v>
      </c>
      <c r="J865" s="1">
        <f>VLOOKUP(A865,Nasdaq!A864:C2119,3)</f>
        <v>17192.53</v>
      </c>
    </row>
    <row r="866" spans="1:10" x14ac:dyDescent="0.2">
      <c r="A866" s="2">
        <v>45454</v>
      </c>
      <c r="B866" s="1">
        <f>VLOOKUP(A866,AAPL!A865:C2120,3)</f>
        <v>205.75399999999999</v>
      </c>
      <c r="C866" s="1">
        <f>VLOOKUP(A866,MSFT!A865:C2120,3)</f>
        <v>431.03899999999999</v>
      </c>
      <c r="D866" s="1">
        <f>VLOOKUP(A866,NVDA!A865:C2120,3)</f>
        <v>120.892</v>
      </c>
      <c r="E866" s="1">
        <f>VLOOKUP(A866,AMD!A865:C2120,3)</f>
        <v>158.96</v>
      </c>
      <c r="F866" s="1">
        <f>VLOOKUP(A866,AMZN!A865:C2120,3)</f>
        <v>187.23</v>
      </c>
      <c r="G866" s="1">
        <f>VLOOKUP(A866,TSLA!A865:C2120,3)</f>
        <v>170.66</v>
      </c>
      <c r="H866" s="1">
        <f>VLOOKUP(A866,GOOGL!A865:C2120,3)</f>
        <v>176.184</v>
      </c>
      <c r="I866" s="1">
        <f>VLOOKUP(A866,META!A865:C2120,3)</f>
        <v>507.47</v>
      </c>
      <c r="J866" s="1">
        <f>VLOOKUP(A866,Nasdaq!A865:C2120,3)</f>
        <v>17343.55</v>
      </c>
    </row>
    <row r="867" spans="1:10" x14ac:dyDescent="0.2">
      <c r="A867" s="2">
        <v>45455</v>
      </c>
      <c r="B867" s="1">
        <f>VLOOKUP(A867,AAPL!A866:C2121,3)</f>
        <v>211.63399999999999</v>
      </c>
      <c r="C867" s="1">
        <f>VLOOKUP(A867,MSFT!A866:C2121,3)</f>
        <v>439.387</v>
      </c>
      <c r="D867" s="1">
        <f>VLOOKUP(A867,NVDA!A866:C2121,3)</f>
        <v>125.18</v>
      </c>
      <c r="E867" s="1">
        <f>VLOOKUP(A867,AMD!A866:C2121,3)</f>
        <v>160.24</v>
      </c>
      <c r="F867" s="1">
        <f>VLOOKUP(A867,AMZN!A866:C2121,3)</f>
        <v>186.89</v>
      </c>
      <c r="G867" s="1">
        <f>VLOOKUP(A867,TSLA!A866:C2121,3)</f>
        <v>177.29</v>
      </c>
      <c r="H867" s="1">
        <f>VLOOKUP(A867,GOOGL!A866:C2121,3)</f>
        <v>177.351</v>
      </c>
      <c r="I867" s="1">
        <f>VLOOKUP(A867,META!A866:C2121,3)</f>
        <v>508.84</v>
      </c>
      <c r="J867" s="1">
        <f>VLOOKUP(A867,Nasdaq!A866:C2121,3)</f>
        <v>17608.439999999999</v>
      </c>
    </row>
    <row r="868" spans="1:10" x14ac:dyDescent="0.2">
      <c r="A868" s="2">
        <v>45456</v>
      </c>
      <c r="B868" s="1">
        <f>VLOOKUP(A868,AAPL!A867:C2122,3)</f>
        <v>212.79400000000001</v>
      </c>
      <c r="C868" s="1">
        <f>VLOOKUP(A868,MSFT!A867:C2122,3)</f>
        <v>439.90499999999997</v>
      </c>
      <c r="D868" s="1">
        <f>VLOOKUP(A868,NVDA!A867:C2122,3)</f>
        <v>129.59</v>
      </c>
      <c r="E868" s="1">
        <f>VLOOKUP(A868,AMD!A867:C2122,3)</f>
        <v>159.9</v>
      </c>
      <c r="F868" s="1">
        <f>VLOOKUP(A868,AMZN!A867:C2122,3)</f>
        <v>183.83</v>
      </c>
      <c r="G868" s="1">
        <f>VLOOKUP(A868,TSLA!A867:C2122,3)</f>
        <v>182.47</v>
      </c>
      <c r="H868" s="1">
        <f>VLOOKUP(A868,GOOGL!A867:C2122,3)</f>
        <v>174.72800000000001</v>
      </c>
      <c r="I868" s="1">
        <f>VLOOKUP(A868,META!A867:C2122,3)</f>
        <v>504.1</v>
      </c>
      <c r="J868" s="1">
        <f>VLOOKUP(A868,Nasdaq!A867:C2122,3)</f>
        <v>17667.560000000001</v>
      </c>
    </row>
    <row r="869" spans="1:10" x14ac:dyDescent="0.2">
      <c r="A869" s="2">
        <v>45457</v>
      </c>
      <c r="B869" s="1">
        <f>VLOOKUP(A869,AAPL!A868:C2123,3)</f>
        <v>211.05600000000001</v>
      </c>
      <c r="C869" s="1">
        <f>VLOOKUP(A869,MSFT!A868:C2123,3)</f>
        <v>440.89100000000002</v>
      </c>
      <c r="D869" s="1">
        <f>VLOOKUP(A869,NVDA!A868:C2123,3)</f>
        <v>131.86000000000001</v>
      </c>
      <c r="E869" s="1">
        <f>VLOOKUP(A869,AMD!A868:C2123,3)</f>
        <v>159.63</v>
      </c>
      <c r="F869" s="1">
        <f>VLOOKUP(A869,AMZN!A868:C2123,3)</f>
        <v>183.66</v>
      </c>
      <c r="G869" s="1">
        <f>VLOOKUP(A869,TSLA!A868:C2123,3)</f>
        <v>178.01</v>
      </c>
      <c r="H869" s="1">
        <f>VLOOKUP(A869,GOOGL!A868:C2123,3)</f>
        <v>176.35400000000001</v>
      </c>
      <c r="I869" s="1">
        <f>VLOOKUP(A869,META!A868:C2123,3)</f>
        <v>504.16</v>
      </c>
      <c r="J869" s="1">
        <f>VLOOKUP(A869,Nasdaq!A868:C2123,3)</f>
        <v>17688.88</v>
      </c>
    </row>
    <row r="870" spans="1:10" x14ac:dyDescent="0.2">
      <c r="A870" s="2">
        <v>45460</v>
      </c>
      <c r="B870" s="1">
        <f>VLOOKUP(A870,AAPL!A869:C2124,3)</f>
        <v>215.209</v>
      </c>
      <c r="C870" s="1">
        <f>VLOOKUP(A870,MSFT!A869:C2124,3)</f>
        <v>446.66899999999998</v>
      </c>
      <c r="D870" s="1">
        <f>VLOOKUP(A870,NVDA!A869:C2124,3)</f>
        <v>130.96</v>
      </c>
      <c r="E870" s="1">
        <f>VLOOKUP(A870,AMD!A869:C2124,3)</f>
        <v>158.4</v>
      </c>
      <c r="F870" s="1">
        <f>VLOOKUP(A870,AMZN!A869:C2124,3)</f>
        <v>184.06</v>
      </c>
      <c r="G870" s="1">
        <f>VLOOKUP(A870,TSLA!A869:C2124,3)</f>
        <v>187.44</v>
      </c>
      <c r="H870" s="1">
        <f>VLOOKUP(A870,GOOGL!A869:C2124,3)</f>
        <v>176.80199999999999</v>
      </c>
      <c r="I870" s="1">
        <f>VLOOKUP(A870,META!A869:C2124,3)</f>
        <v>506.63</v>
      </c>
      <c r="J870" s="1">
        <f>VLOOKUP(A870,Nasdaq!A869:C2124,3)</f>
        <v>17857.02</v>
      </c>
    </row>
    <row r="871" spans="1:10" x14ac:dyDescent="0.2">
      <c r="A871" s="2">
        <v>45461</v>
      </c>
      <c r="B871" s="1">
        <f>VLOOKUP(A871,AAPL!A870:C2125,3)</f>
        <v>212.84399999999999</v>
      </c>
      <c r="C871" s="1">
        <f>VLOOKUP(A871,MSFT!A870:C2125,3)</f>
        <v>444.64699999999999</v>
      </c>
      <c r="D871" s="1">
        <f>VLOOKUP(A871,NVDA!A870:C2125,3)</f>
        <v>135.559</v>
      </c>
      <c r="E871" s="1">
        <f>VLOOKUP(A871,AMD!A870:C2125,3)</f>
        <v>154.63</v>
      </c>
      <c r="F871" s="1">
        <f>VLOOKUP(A871,AMZN!A870:C2125,3)</f>
        <v>182.81</v>
      </c>
      <c r="G871" s="1">
        <f>VLOOKUP(A871,TSLA!A870:C2125,3)</f>
        <v>184.86</v>
      </c>
      <c r="H871" s="1">
        <f>VLOOKUP(A871,GOOGL!A870:C2125,3)</f>
        <v>174.65799999999999</v>
      </c>
      <c r="I871" s="1">
        <f>VLOOKUP(A871,META!A870:C2125,3)</f>
        <v>499.49</v>
      </c>
      <c r="J871" s="1">
        <f>VLOOKUP(A871,Nasdaq!A870:C2125,3)</f>
        <v>17862.23</v>
      </c>
    </row>
    <row r="872" spans="1:10" x14ac:dyDescent="0.2">
      <c r="A872" s="2">
        <v>45463</v>
      </c>
      <c r="B872" s="1">
        <f>VLOOKUP(A872,AAPL!A871:C2126,3)</f>
        <v>208.26499999999999</v>
      </c>
      <c r="C872" s="1">
        <f>VLOOKUP(A872,MSFT!A871:C2126,3)</f>
        <v>444.00900000000001</v>
      </c>
      <c r="D872" s="1">
        <f>VLOOKUP(A872,NVDA!A871:C2126,3)</f>
        <v>130.76</v>
      </c>
      <c r="E872" s="1">
        <f>VLOOKUP(A872,AMD!A871:C2126,3)</f>
        <v>161.78</v>
      </c>
      <c r="F872" s="1">
        <f>VLOOKUP(A872,AMZN!A871:C2126,3)</f>
        <v>186.1</v>
      </c>
      <c r="G872" s="1">
        <f>VLOOKUP(A872,TSLA!A871:C2126,3)</f>
        <v>181.57</v>
      </c>
      <c r="H872" s="1">
        <f>VLOOKUP(A872,GOOGL!A871:C2126,3)</f>
        <v>175.864</v>
      </c>
      <c r="I872" s="1">
        <f>VLOOKUP(A872,META!A871:C2126,3)</f>
        <v>501.7</v>
      </c>
      <c r="J872" s="1">
        <f>VLOOKUP(A872,Nasdaq!A871:C2126,3)</f>
        <v>17721.59</v>
      </c>
    </row>
    <row r="873" spans="1:10" x14ac:dyDescent="0.2">
      <c r="A873" s="2">
        <v>45464</v>
      </c>
      <c r="B873" s="1">
        <f>VLOOKUP(A873,AAPL!A872:C2127,3)</f>
        <v>206.09</v>
      </c>
      <c r="C873" s="1">
        <f>VLOOKUP(A873,MSFT!A872:C2127,3)</f>
        <v>448.07400000000001</v>
      </c>
      <c r="D873" s="1">
        <f>VLOOKUP(A873,NVDA!A872:C2127,3)</f>
        <v>126.55</v>
      </c>
      <c r="E873" s="1">
        <f>VLOOKUP(A873,AMD!A872:C2127,3)</f>
        <v>161.22999999999999</v>
      </c>
      <c r="F873" s="1">
        <f>VLOOKUP(A873,AMZN!A872:C2127,3)</f>
        <v>189.08</v>
      </c>
      <c r="G873" s="1">
        <f>VLOOKUP(A873,TSLA!A872:C2127,3)</f>
        <v>183.01</v>
      </c>
      <c r="H873" s="1">
        <f>VLOOKUP(A873,GOOGL!A872:C2127,3)</f>
        <v>179.18700000000001</v>
      </c>
      <c r="I873" s="1">
        <f>VLOOKUP(A873,META!A872:C2127,3)</f>
        <v>494.78</v>
      </c>
      <c r="J873" s="1">
        <f>VLOOKUP(A873,Nasdaq!A872:C2127,3)</f>
        <v>17689.36</v>
      </c>
    </row>
    <row r="874" spans="1:10" x14ac:dyDescent="0.2">
      <c r="A874" s="2">
        <v>45467</v>
      </c>
      <c r="B874" s="1">
        <f>VLOOKUP(A874,AAPL!A873:C2128,3)</f>
        <v>206.73599999999999</v>
      </c>
      <c r="C874" s="1">
        <f>VLOOKUP(A874,MSFT!A873:C2128,3)</f>
        <v>445.97199999999998</v>
      </c>
      <c r="D874" s="1">
        <f>VLOOKUP(A874,NVDA!A873:C2128,3)</f>
        <v>118.092</v>
      </c>
      <c r="E874" s="1">
        <f>VLOOKUP(A874,AMD!A873:C2128,3)</f>
        <v>160.25</v>
      </c>
      <c r="F874" s="1">
        <f>VLOOKUP(A874,AMZN!A873:C2128,3)</f>
        <v>185.57</v>
      </c>
      <c r="G874" s="1">
        <f>VLOOKUP(A874,TSLA!A873:C2128,3)</f>
        <v>182.58</v>
      </c>
      <c r="H874" s="1">
        <f>VLOOKUP(A874,GOOGL!A873:C2128,3)</f>
        <v>178.77699999999999</v>
      </c>
      <c r="I874" s="1">
        <f>VLOOKUP(A874,META!A873:C2128,3)</f>
        <v>498.91</v>
      </c>
      <c r="J874" s="1">
        <f>VLOOKUP(A874,Nasdaq!A873:C2128,3)</f>
        <v>17496.82</v>
      </c>
    </row>
    <row r="875" spans="1:10" x14ac:dyDescent="0.2">
      <c r="A875" s="2">
        <v>45468</v>
      </c>
      <c r="B875" s="1">
        <f>VLOOKUP(A875,AAPL!A874:C2129,3)</f>
        <v>207.65899999999999</v>
      </c>
      <c r="C875" s="1">
        <f>VLOOKUP(A875,MSFT!A874:C2129,3)</f>
        <v>449.24</v>
      </c>
      <c r="D875" s="1">
        <f>VLOOKUP(A875,NVDA!A874:C2129,3)</f>
        <v>126.07</v>
      </c>
      <c r="E875" s="1">
        <f>VLOOKUP(A875,AMD!A874:C2129,3)</f>
        <v>160.25</v>
      </c>
      <c r="F875" s="1">
        <f>VLOOKUP(A875,AMZN!A874:C2129,3)</f>
        <v>186.34</v>
      </c>
      <c r="G875" s="1">
        <f>VLOOKUP(A875,TSLA!A874:C2129,3)</f>
        <v>187.35</v>
      </c>
      <c r="H875" s="1">
        <f>VLOOKUP(A875,GOOGL!A874:C2129,3)</f>
        <v>183.57599999999999</v>
      </c>
      <c r="I875" s="1">
        <f>VLOOKUP(A875,META!A874:C2129,3)</f>
        <v>510.6</v>
      </c>
      <c r="J875" s="1">
        <f>VLOOKUP(A875,Nasdaq!A874:C2129,3)</f>
        <v>17717.650000000001</v>
      </c>
    </row>
    <row r="876" spans="1:10" x14ac:dyDescent="0.2">
      <c r="A876" s="2">
        <v>45469</v>
      </c>
      <c r="B876" s="1">
        <f>VLOOKUP(A876,AAPL!A875:C2130,3)</f>
        <v>211.81100000000001</v>
      </c>
      <c r="C876" s="1">
        <f>VLOOKUP(A876,MSFT!A875:C2130,3)</f>
        <v>450.44400000000002</v>
      </c>
      <c r="D876" s="1">
        <f>VLOOKUP(A876,NVDA!A875:C2130,3)</f>
        <v>126.38</v>
      </c>
      <c r="E876" s="1">
        <f>VLOOKUP(A876,AMD!A875:C2130,3)</f>
        <v>157.54</v>
      </c>
      <c r="F876" s="1">
        <f>VLOOKUP(A876,AMZN!A875:C2130,3)</f>
        <v>193.61</v>
      </c>
      <c r="G876" s="1">
        <f>VLOOKUP(A876,TSLA!A875:C2130,3)</f>
        <v>196.37</v>
      </c>
      <c r="H876" s="1">
        <f>VLOOKUP(A876,GOOGL!A875:C2130,3)</f>
        <v>183.42599999999999</v>
      </c>
      <c r="I876" s="1">
        <f>VLOOKUP(A876,META!A875:C2130,3)</f>
        <v>513.12</v>
      </c>
      <c r="J876" s="1">
        <f>VLOOKUP(A876,Nasdaq!A875:C2130,3)</f>
        <v>17805.16</v>
      </c>
    </row>
    <row r="877" spans="1:10" x14ac:dyDescent="0.2">
      <c r="A877" s="2">
        <v>45470</v>
      </c>
      <c r="B877" s="1">
        <f>VLOOKUP(A877,AAPL!A876:C2131,3)</f>
        <v>212.655</v>
      </c>
      <c r="C877" s="1">
        <f>VLOOKUP(A877,MSFT!A876:C2131,3)</f>
        <v>451.13200000000001</v>
      </c>
      <c r="D877" s="1">
        <f>VLOOKUP(A877,NVDA!A876:C2131,3)</f>
        <v>123.97</v>
      </c>
      <c r="E877" s="1">
        <f>VLOOKUP(A877,AMD!A876:C2131,3)</f>
        <v>159.47</v>
      </c>
      <c r="F877" s="1">
        <f>VLOOKUP(A877,AMZN!A876:C2131,3)</f>
        <v>197.85</v>
      </c>
      <c r="G877" s="1">
        <f>VLOOKUP(A877,TSLA!A876:C2131,3)</f>
        <v>197.42</v>
      </c>
      <c r="H877" s="1">
        <f>VLOOKUP(A877,GOOGL!A876:C2131,3)</f>
        <v>184.952</v>
      </c>
      <c r="I877" s="1">
        <f>VLOOKUP(A877,META!A876:C2131,3)</f>
        <v>519.55999999999995</v>
      </c>
      <c r="J877" s="1">
        <f>VLOOKUP(A877,Nasdaq!A876:C2131,3)</f>
        <v>17858.68</v>
      </c>
    </row>
    <row r="878" spans="1:10" x14ac:dyDescent="0.2">
      <c r="A878" s="2">
        <v>45471</v>
      </c>
      <c r="B878" s="1">
        <f>VLOOKUP(A878,AAPL!A877:C2132,3)</f>
        <v>209.19800000000001</v>
      </c>
      <c r="C878" s="1">
        <f>VLOOKUP(A878,MSFT!A877:C2132,3)</f>
        <v>445.255</v>
      </c>
      <c r="D878" s="1">
        <f>VLOOKUP(A878,NVDA!A877:C2132,3)</f>
        <v>123.52</v>
      </c>
      <c r="E878" s="1">
        <f>VLOOKUP(A878,AMD!A877:C2132,3)</f>
        <v>162.21</v>
      </c>
      <c r="F878" s="1">
        <f>VLOOKUP(A878,AMZN!A877:C2132,3)</f>
        <v>193.25</v>
      </c>
      <c r="G878" s="1">
        <f>VLOOKUP(A878,TSLA!A877:C2132,3)</f>
        <v>197.88</v>
      </c>
      <c r="H878" s="1">
        <f>VLOOKUP(A878,GOOGL!A877:C2132,3)</f>
        <v>181.70099999999999</v>
      </c>
      <c r="I878" s="1">
        <f>VLOOKUP(A878,META!A877:C2132,3)</f>
        <v>504.22</v>
      </c>
      <c r="J878" s="1">
        <f>VLOOKUP(A878,Nasdaq!A877:C2132,3)</f>
        <v>17732.599999999999</v>
      </c>
    </row>
    <row r="879" spans="1:10" x14ac:dyDescent="0.2">
      <c r="A879" s="2">
        <v>45474</v>
      </c>
      <c r="B879" s="1">
        <f>VLOOKUP(A879,AAPL!A878:C2133,3)</f>
        <v>215.286</v>
      </c>
      <c r="C879" s="1">
        <f>VLOOKUP(A879,MSFT!A878:C2133,3)</f>
        <v>454.99700000000001</v>
      </c>
      <c r="D879" s="1">
        <f>VLOOKUP(A879,NVDA!A878:C2133,3)</f>
        <v>124.28</v>
      </c>
      <c r="E879" s="1">
        <f>VLOOKUP(A879,AMD!A878:C2133,3)</f>
        <v>157.69</v>
      </c>
      <c r="F879" s="1">
        <f>VLOOKUP(A879,AMZN!A878:C2133,3)</f>
        <v>197.2</v>
      </c>
      <c r="G879" s="1">
        <f>VLOOKUP(A879,TSLA!A878:C2133,3)</f>
        <v>209.86</v>
      </c>
      <c r="H879" s="1">
        <f>VLOOKUP(A879,GOOGL!A878:C2133,3)</f>
        <v>182.53899999999999</v>
      </c>
      <c r="I879" s="1">
        <f>VLOOKUP(A879,META!A878:C2133,3)</f>
        <v>504.68</v>
      </c>
      <c r="J879" s="1">
        <f>VLOOKUP(A879,Nasdaq!A878:C2133,3)</f>
        <v>17879.3</v>
      </c>
    </row>
    <row r="880" spans="1:10" x14ac:dyDescent="0.2">
      <c r="A880" s="2">
        <v>45475</v>
      </c>
      <c r="B880" s="1">
        <f>VLOOKUP(A880,AAPL!A879:C2134,3)</f>
        <v>218.78299999999999</v>
      </c>
      <c r="C880" s="1">
        <f>VLOOKUP(A880,MSFT!A879:C2134,3)</f>
        <v>457.53800000000001</v>
      </c>
      <c r="D880" s="1">
        <f>VLOOKUP(A880,NVDA!A879:C2134,3)</f>
        <v>122.652</v>
      </c>
      <c r="E880" s="1">
        <f>VLOOKUP(A880,AMD!A879:C2134,3)</f>
        <v>164.31</v>
      </c>
      <c r="F880" s="1">
        <f>VLOOKUP(A880,AMZN!A879:C2134,3)</f>
        <v>200</v>
      </c>
      <c r="G880" s="1">
        <f>VLOOKUP(A880,TSLA!A879:C2134,3)</f>
        <v>231.26</v>
      </c>
      <c r="H880" s="1">
        <f>VLOOKUP(A880,GOOGL!A879:C2134,3)</f>
        <v>184.78299999999999</v>
      </c>
      <c r="I880" s="1">
        <f>VLOOKUP(A880,META!A879:C2134,3)</f>
        <v>509.5</v>
      </c>
      <c r="J880" s="1">
        <f>VLOOKUP(A880,Nasdaq!A879:C2134,3)</f>
        <v>18028.759999999998</v>
      </c>
    </row>
    <row r="881" spans="1:10" x14ac:dyDescent="0.2">
      <c r="A881" s="2">
        <v>45476</v>
      </c>
      <c r="B881" s="1">
        <f>VLOOKUP(A881,AAPL!A880:C2135,3)</f>
        <v>220.05600000000001</v>
      </c>
      <c r="C881" s="1">
        <f>VLOOKUP(A881,MSFT!A880:C2135,3)</f>
        <v>459.02199999999999</v>
      </c>
      <c r="D881" s="1">
        <f>VLOOKUP(A881,NVDA!A880:C2135,3)</f>
        <v>128.26</v>
      </c>
      <c r="E881" s="1">
        <f>VLOOKUP(A881,AMD!A880:C2135,3)</f>
        <v>163.9</v>
      </c>
      <c r="F881" s="1">
        <f>VLOOKUP(A881,AMZN!A880:C2135,3)</f>
        <v>197.59</v>
      </c>
      <c r="G881" s="1">
        <f>VLOOKUP(A881,TSLA!A880:C2135,3)</f>
        <v>246.39</v>
      </c>
      <c r="H881" s="1">
        <f>VLOOKUP(A881,GOOGL!A880:C2135,3)</f>
        <v>185.36199999999999</v>
      </c>
      <c r="I881" s="1">
        <f>VLOOKUP(A881,META!A880:C2135,3)</f>
        <v>509.96</v>
      </c>
      <c r="J881" s="1">
        <f>VLOOKUP(A881,Nasdaq!A880:C2135,3)</f>
        <v>18188.3</v>
      </c>
    </row>
    <row r="882" spans="1:10" x14ac:dyDescent="0.2">
      <c r="A882" s="2">
        <v>45478</v>
      </c>
      <c r="B882" s="1">
        <f>VLOOKUP(A882,AAPL!A881:C2136,3)</f>
        <v>224.81399999999999</v>
      </c>
      <c r="C882" s="1">
        <f>VLOOKUP(A882,MSFT!A881:C2136,3)</f>
        <v>465.78699999999998</v>
      </c>
      <c r="D882" s="1">
        <f>VLOOKUP(A882,NVDA!A881:C2136,3)</f>
        <v>125.81</v>
      </c>
      <c r="E882" s="1">
        <f>VLOOKUP(A882,AMD!A881:C2136,3)</f>
        <v>171.9</v>
      </c>
      <c r="F882" s="1">
        <f>VLOOKUP(A882,AMZN!A881:C2136,3)</f>
        <v>200</v>
      </c>
      <c r="G882" s="1">
        <f>VLOOKUP(A882,TSLA!A881:C2136,3)</f>
        <v>251.52</v>
      </c>
      <c r="H882" s="1">
        <f>VLOOKUP(A882,GOOGL!A881:C2136,3)</f>
        <v>190.12899999999999</v>
      </c>
      <c r="I882" s="1">
        <f>VLOOKUP(A882,META!A881:C2136,3)</f>
        <v>539.91</v>
      </c>
      <c r="J882" s="1">
        <f>VLOOKUP(A882,Nasdaq!A881:C2136,3)</f>
        <v>18352.759999999998</v>
      </c>
    </row>
    <row r="883" spans="1:10" x14ac:dyDescent="0.2">
      <c r="A883" s="2">
        <v>45481</v>
      </c>
      <c r="B883" s="1">
        <f>VLOOKUP(A883,AAPL!A882:C2137,3)</f>
        <v>226.28399999999999</v>
      </c>
      <c r="C883" s="1">
        <f>VLOOKUP(A883,MSFT!A882:C2137,3)</f>
        <v>464.471</v>
      </c>
      <c r="D883" s="1">
        <f>VLOOKUP(A883,NVDA!A882:C2137,3)</f>
        <v>128.18</v>
      </c>
      <c r="E883" s="1">
        <f>VLOOKUP(A883,AMD!A882:C2137,3)</f>
        <v>178.69</v>
      </c>
      <c r="F883" s="1">
        <f>VLOOKUP(A883,AMZN!A882:C2137,3)</f>
        <v>199.29</v>
      </c>
      <c r="G883" s="1">
        <f>VLOOKUP(A883,TSLA!A882:C2137,3)</f>
        <v>252.94</v>
      </c>
      <c r="H883" s="1">
        <f>VLOOKUP(A883,GOOGL!A882:C2137,3)</f>
        <v>188.56299999999999</v>
      </c>
      <c r="I883" s="1">
        <f>VLOOKUP(A883,META!A882:C2137,3)</f>
        <v>529.32000000000005</v>
      </c>
      <c r="J883" s="1">
        <f>VLOOKUP(A883,Nasdaq!A882:C2137,3)</f>
        <v>18403.740000000002</v>
      </c>
    </row>
    <row r="884" spans="1:10" x14ac:dyDescent="0.2">
      <c r="A884" s="2">
        <v>45482</v>
      </c>
      <c r="B884" s="1">
        <f>VLOOKUP(A884,AAPL!A883:C2138,3)</f>
        <v>227.13800000000001</v>
      </c>
      <c r="C884" s="1">
        <f>VLOOKUP(A884,MSFT!A883:C2138,3)</f>
        <v>457.79700000000003</v>
      </c>
      <c r="D884" s="1">
        <f>VLOOKUP(A884,NVDA!A883:C2138,3)</f>
        <v>131.36000000000001</v>
      </c>
      <c r="E884" s="1">
        <f>VLOOKUP(A884,AMD!A883:C2138,3)</f>
        <v>177.1</v>
      </c>
      <c r="F884" s="1">
        <f>VLOOKUP(A884,AMZN!A883:C2138,3)</f>
        <v>199.34</v>
      </c>
      <c r="G884" s="1">
        <f>VLOOKUP(A884,TSLA!A883:C2138,3)</f>
        <v>262.33</v>
      </c>
      <c r="H884" s="1">
        <f>VLOOKUP(A884,GOOGL!A883:C2138,3)</f>
        <v>188.51400000000001</v>
      </c>
      <c r="I884" s="1">
        <f>VLOOKUP(A884,META!A883:C2138,3)</f>
        <v>530</v>
      </c>
      <c r="J884" s="1">
        <f>VLOOKUP(A884,Nasdaq!A883:C2138,3)</f>
        <v>18429.29</v>
      </c>
    </row>
    <row r="885" spans="1:10" x14ac:dyDescent="0.2">
      <c r="A885" s="2">
        <v>45483</v>
      </c>
      <c r="B885" s="1">
        <f>VLOOKUP(A885,AAPL!A884:C2139,3)</f>
        <v>231.40899999999999</v>
      </c>
      <c r="C885" s="1">
        <f>VLOOKUP(A885,MSFT!A884:C2139,3)</f>
        <v>464.48099999999999</v>
      </c>
      <c r="D885" s="1">
        <f>VLOOKUP(A885,NVDA!A884:C2139,3)</f>
        <v>134.88900000000001</v>
      </c>
      <c r="E885" s="1">
        <f>VLOOKUP(A885,AMD!A884:C2139,3)</f>
        <v>183.96</v>
      </c>
      <c r="F885" s="1">
        <f>VLOOKUP(A885,AMZN!A884:C2139,3)</f>
        <v>199.79</v>
      </c>
      <c r="G885" s="1">
        <f>VLOOKUP(A885,TSLA!A884:C2139,3)</f>
        <v>263.26</v>
      </c>
      <c r="H885" s="1">
        <f>VLOOKUP(A885,GOOGL!A884:C2139,3)</f>
        <v>190.708</v>
      </c>
      <c r="I885" s="1">
        <f>VLOOKUP(A885,META!A884:C2139,3)</f>
        <v>534.69000000000005</v>
      </c>
      <c r="J885" s="1">
        <f>VLOOKUP(A885,Nasdaq!A884:C2139,3)</f>
        <v>18647.45</v>
      </c>
    </row>
    <row r="886" spans="1:10" x14ac:dyDescent="0.2">
      <c r="A886" s="2">
        <v>45484</v>
      </c>
      <c r="B886" s="1">
        <f>VLOOKUP(A886,AAPL!A885:C2140,3)</f>
        <v>226.035</v>
      </c>
      <c r="C886" s="1">
        <f>VLOOKUP(A886,MSFT!A885:C2140,3)</f>
        <v>452.97500000000002</v>
      </c>
      <c r="D886" s="1">
        <f>VLOOKUP(A886,NVDA!A885:C2140,3)</f>
        <v>127.38</v>
      </c>
      <c r="E886" s="1">
        <f>VLOOKUP(A886,AMD!A885:C2140,3)</f>
        <v>181.94</v>
      </c>
      <c r="F886" s="1">
        <f>VLOOKUP(A886,AMZN!A885:C2140,3)</f>
        <v>195.05</v>
      </c>
      <c r="G886" s="1">
        <f>VLOOKUP(A886,TSLA!A885:C2140,3)</f>
        <v>241.03</v>
      </c>
      <c r="H886" s="1">
        <f>VLOOKUP(A886,GOOGL!A885:C2140,3)</f>
        <v>185.11199999999999</v>
      </c>
      <c r="I886" s="1">
        <f>VLOOKUP(A886,META!A885:C2140,3)</f>
        <v>512.70000000000005</v>
      </c>
      <c r="J886" s="1">
        <f>VLOOKUP(A886,Nasdaq!A885:C2140,3)</f>
        <v>18283.41</v>
      </c>
    </row>
    <row r="887" spans="1:10" x14ac:dyDescent="0.2">
      <c r="A887" s="2">
        <v>45485</v>
      </c>
      <c r="B887" s="1">
        <f>VLOOKUP(A887,AAPL!A886:C2141,3)</f>
        <v>228.98400000000001</v>
      </c>
      <c r="C887" s="1">
        <f>VLOOKUP(A887,MSFT!A886:C2141,3)</f>
        <v>451.83</v>
      </c>
      <c r="D887" s="1">
        <f>VLOOKUP(A887,NVDA!A886:C2141,3)</f>
        <v>129.22</v>
      </c>
      <c r="E887" s="1">
        <f>VLOOKUP(A887,AMD!A886:C2141,3)</f>
        <v>181.61</v>
      </c>
      <c r="F887" s="1">
        <f>VLOOKUP(A887,AMZN!A886:C2141,3)</f>
        <v>194.49</v>
      </c>
      <c r="G887" s="1">
        <f>VLOOKUP(A887,TSLA!A886:C2141,3)</f>
        <v>248.23</v>
      </c>
      <c r="H887" s="1">
        <f>VLOOKUP(A887,GOOGL!A886:C2141,3)</f>
        <v>184.613</v>
      </c>
      <c r="I887" s="1">
        <f>VLOOKUP(A887,META!A886:C2141,3)</f>
        <v>498.87</v>
      </c>
      <c r="J887" s="1">
        <f>VLOOKUP(A887,Nasdaq!A886:C2141,3)</f>
        <v>18398.45</v>
      </c>
    </row>
    <row r="888" spans="1:10" x14ac:dyDescent="0.2">
      <c r="A888" s="2">
        <v>45488</v>
      </c>
      <c r="B888" s="1">
        <f>VLOOKUP(A888,AAPL!A887:C2142,3)</f>
        <v>232.81899999999999</v>
      </c>
      <c r="C888" s="1">
        <f>VLOOKUP(A888,MSFT!A887:C2142,3)</f>
        <v>452.238</v>
      </c>
      <c r="D888" s="1">
        <f>VLOOKUP(A888,NVDA!A887:C2142,3)</f>
        <v>128.41999999999999</v>
      </c>
      <c r="E888" s="1">
        <f>VLOOKUP(A888,AMD!A887:C2142,3)</f>
        <v>179.83</v>
      </c>
      <c r="F888" s="1">
        <f>VLOOKUP(A888,AMZN!A887:C2142,3)</f>
        <v>192.72</v>
      </c>
      <c r="G888" s="1">
        <f>VLOOKUP(A888,TSLA!A887:C2142,3)</f>
        <v>252.64</v>
      </c>
      <c r="H888" s="1">
        <f>VLOOKUP(A888,GOOGL!A887:C2142,3)</f>
        <v>186.07</v>
      </c>
      <c r="I888" s="1">
        <f>VLOOKUP(A888,META!A887:C2142,3)</f>
        <v>496.16</v>
      </c>
      <c r="J888" s="1">
        <f>VLOOKUP(A888,Nasdaq!A887:C2142,3)</f>
        <v>18472.57</v>
      </c>
    </row>
    <row r="889" spans="1:10" x14ac:dyDescent="0.2">
      <c r="A889" s="2">
        <v>45489</v>
      </c>
      <c r="B889" s="1">
        <f>VLOOKUP(A889,AAPL!A888:C2143,3)</f>
        <v>233.23699999999999</v>
      </c>
      <c r="C889" s="1">
        <f>VLOOKUP(A889,MSFT!A888:C2143,3)</f>
        <v>447.815</v>
      </c>
      <c r="D889" s="1">
        <f>VLOOKUP(A889,NVDA!A888:C2143,3)</f>
        <v>126.34</v>
      </c>
      <c r="E889" s="1">
        <f>VLOOKUP(A889,AMD!A888:C2143,3)</f>
        <v>177.55</v>
      </c>
      <c r="F889" s="1">
        <f>VLOOKUP(A889,AMZN!A888:C2143,3)</f>
        <v>193.02</v>
      </c>
      <c r="G889" s="1">
        <f>VLOOKUP(A889,TSLA!A888:C2143,3)</f>
        <v>256.56</v>
      </c>
      <c r="H889" s="1">
        <f>VLOOKUP(A889,GOOGL!A888:C2143,3)</f>
        <v>183.46600000000001</v>
      </c>
      <c r="I889" s="1">
        <f>VLOOKUP(A889,META!A888:C2143,3)</f>
        <v>489.79</v>
      </c>
      <c r="J889" s="1">
        <f>VLOOKUP(A889,Nasdaq!A888:C2143,3)</f>
        <v>18509.34</v>
      </c>
    </row>
    <row r="890" spans="1:10" x14ac:dyDescent="0.2">
      <c r="A890" s="2">
        <v>45490</v>
      </c>
      <c r="B890" s="1">
        <f>VLOOKUP(A890,AAPL!A889:C2144,3)</f>
        <v>227.33600000000001</v>
      </c>
      <c r="C890" s="1">
        <f>VLOOKUP(A890,MSFT!A889:C2144,3)</f>
        <v>441.83800000000002</v>
      </c>
      <c r="D890" s="1">
        <f>VLOOKUP(A890,NVDA!A889:C2144,3)</f>
        <v>117.97199999999999</v>
      </c>
      <c r="E890" s="1">
        <f>VLOOKUP(A890,AMD!A889:C2144,3)</f>
        <v>159.43</v>
      </c>
      <c r="F890" s="1">
        <f>VLOOKUP(A890,AMZN!A889:C2144,3)</f>
        <v>187.93</v>
      </c>
      <c r="G890" s="1">
        <f>VLOOKUP(A890,TSLA!A889:C2144,3)</f>
        <v>248.5</v>
      </c>
      <c r="H890" s="1">
        <f>VLOOKUP(A890,GOOGL!A889:C2144,3)</f>
        <v>180.57300000000001</v>
      </c>
      <c r="I890" s="1">
        <f>VLOOKUP(A890,META!A889:C2144,3)</f>
        <v>461.99</v>
      </c>
      <c r="J890" s="1">
        <f>VLOOKUP(A890,Nasdaq!A889:C2144,3)</f>
        <v>17996.919999999998</v>
      </c>
    </row>
    <row r="891" spans="1:10" x14ac:dyDescent="0.2">
      <c r="A891" s="2">
        <v>45491</v>
      </c>
      <c r="B891" s="1">
        <f>VLOOKUP(A891,AAPL!A890:C2145,3)</f>
        <v>222.667</v>
      </c>
      <c r="C891" s="1">
        <f>VLOOKUP(A891,MSFT!A890:C2145,3)</f>
        <v>438.7</v>
      </c>
      <c r="D891" s="1">
        <f>VLOOKUP(A891,NVDA!A890:C2145,3)</f>
        <v>121.072</v>
      </c>
      <c r="E891" s="1">
        <f>VLOOKUP(A891,AMD!A890:C2145,3)</f>
        <v>155.77000000000001</v>
      </c>
      <c r="F891" s="1">
        <f>VLOOKUP(A891,AMZN!A890:C2145,3)</f>
        <v>183.75</v>
      </c>
      <c r="G891" s="1">
        <f>VLOOKUP(A891,TSLA!A890:C2145,3)</f>
        <v>249.23</v>
      </c>
      <c r="H891" s="1">
        <f>VLOOKUP(A891,GOOGL!A890:C2145,3)</f>
        <v>177.25200000000001</v>
      </c>
      <c r="I891" s="1">
        <f>VLOOKUP(A891,META!A890:C2145,3)</f>
        <v>475.85</v>
      </c>
      <c r="J891" s="1">
        <f>VLOOKUP(A891,Nasdaq!A890:C2145,3)</f>
        <v>17871.22</v>
      </c>
    </row>
    <row r="892" spans="1:10" x14ac:dyDescent="0.2">
      <c r="A892" s="2">
        <v>45492</v>
      </c>
      <c r="B892" s="1">
        <f>VLOOKUP(A892,AAPL!A891:C2146,3)</f>
        <v>222.797</v>
      </c>
      <c r="C892" s="1">
        <f>VLOOKUP(A892,MSFT!A891:C2146,3)</f>
        <v>435.452</v>
      </c>
      <c r="D892" s="1">
        <f>VLOOKUP(A892,NVDA!A891:C2146,3)</f>
        <v>117.91200000000001</v>
      </c>
      <c r="E892" s="1">
        <f>VLOOKUP(A892,AMD!A891:C2146,3)</f>
        <v>151.58000000000001</v>
      </c>
      <c r="F892" s="1">
        <f>VLOOKUP(A892,AMZN!A891:C2146,3)</f>
        <v>183.13</v>
      </c>
      <c r="G892" s="1">
        <f>VLOOKUP(A892,TSLA!A891:C2146,3)</f>
        <v>239.2</v>
      </c>
      <c r="H892" s="1">
        <f>VLOOKUP(A892,GOOGL!A891:C2146,3)</f>
        <v>177.22200000000001</v>
      </c>
      <c r="I892" s="1">
        <f>VLOOKUP(A892,META!A891:C2146,3)</f>
        <v>476.79</v>
      </c>
      <c r="J892" s="1">
        <f>VLOOKUP(A892,Nasdaq!A891:C2146,3)</f>
        <v>17726.939999999999</v>
      </c>
    </row>
    <row r="893" spans="1:10" x14ac:dyDescent="0.2">
      <c r="A893" s="2">
        <v>45495</v>
      </c>
      <c r="B893" s="1">
        <f>VLOOKUP(A893,AAPL!A892:C2147,3)</f>
        <v>222.44900000000001</v>
      </c>
      <c r="C893" s="1">
        <f>VLOOKUP(A893,MSFT!A892:C2147,3)</f>
        <v>441.26</v>
      </c>
      <c r="D893" s="1">
        <f>VLOOKUP(A893,NVDA!A892:C2147,3)</f>
        <v>123.52</v>
      </c>
      <c r="E893" s="1">
        <f>VLOOKUP(A893,AMD!A892:C2147,3)</f>
        <v>155.87</v>
      </c>
      <c r="F893" s="1">
        <f>VLOOKUP(A893,AMZN!A892:C2147,3)</f>
        <v>182.55</v>
      </c>
      <c r="G893" s="1">
        <f>VLOOKUP(A893,TSLA!A892:C2147,3)</f>
        <v>251.51</v>
      </c>
      <c r="H893" s="1">
        <f>VLOOKUP(A893,GOOGL!A892:C2147,3)</f>
        <v>181.221</v>
      </c>
      <c r="I893" s="1">
        <f>VLOOKUP(A893,META!A892:C2147,3)</f>
        <v>487.4</v>
      </c>
      <c r="J893" s="1">
        <f>VLOOKUP(A893,Nasdaq!A892:C2147,3)</f>
        <v>18007.57</v>
      </c>
    </row>
    <row r="894" spans="1:10" x14ac:dyDescent="0.2">
      <c r="A894" s="2">
        <v>45496</v>
      </c>
      <c r="B894" s="1">
        <f>VLOOKUP(A894,AAPL!A893:C2148,3)</f>
        <v>223.49100000000001</v>
      </c>
      <c r="C894" s="1">
        <f>VLOOKUP(A894,MSFT!A893:C2148,3)</f>
        <v>443.16300000000001</v>
      </c>
      <c r="D894" s="1">
        <f>VLOOKUP(A894,NVDA!A893:C2148,3)</f>
        <v>122.572</v>
      </c>
      <c r="E894" s="1">
        <f>VLOOKUP(A894,AMD!A893:C2148,3)</f>
        <v>154</v>
      </c>
      <c r="F894" s="1">
        <f>VLOOKUP(A894,AMZN!A893:C2148,3)</f>
        <v>186.41</v>
      </c>
      <c r="G894" s="1">
        <f>VLOOKUP(A894,TSLA!A893:C2148,3)</f>
        <v>246.38</v>
      </c>
      <c r="H894" s="1">
        <f>VLOOKUP(A894,GOOGL!A893:C2148,3)</f>
        <v>181.34100000000001</v>
      </c>
      <c r="I894" s="1">
        <f>VLOOKUP(A894,META!A893:C2148,3)</f>
        <v>488.69</v>
      </c>
      <c r="J894" s="1">
        <f>VLOOKUP(A894,Nasdaq!A893:C2148,3)</f>
        <v>17997.349999999999</v>
      </c>
    </row>
    <row r="895" spans="1:10" x14ac:dyDescent="0.2">
      <c r="A895" s="2">
        <v>45497</v>
      </c>
      <c r="B895" s="1">
        <f>VLOOKUP(A895,AAPL!A894:C2149,3)</f>
        <v>217.066</v>
      </c>
      <c r="C895" s="1">
        <f>VLOOKUP(A895,MSFT!A894:C2149,3)</f>
        <v>427.27300000000002</v>
      </c>
      <c r="D895" s="1">
        <f>VLOOKUP(A895,NVDA!A894:C2149,3)</f>
        <v>114.232</v>
      </c>
      <c r="E895" s="1">
        <f>VLOOKUP(A895,AMD!A894:C2149,3)</f>
        <v>144.63</v>
      </c>
      <c r="F895" s="1">
        <f>VLOOKUP(A895,AMZN!A894:C2149,3)</f>
        <v>180.83</v>
      </c>
      <c r="G895" s="1">
        <f>VLOOKUP(A895,TSLA!A894:C2149,3)</f>
        <v>215.99</v>
      </c>
      <c r="H895" s="1">
        <f>VLOOKUP(A895,GOOGL!A894:C2149,3)</f>
        <v>172.20400000000001</v>
      </c>
      <c r="I895" s="1">
        <f>VLOOKUP(A895,META!A894:C2149,3)</f>
        <v>461.27</v>
      </c>
      <c r="J895" s="1">
        <f>VLOOKUP(A895,Nasdaq!A894:C2149,3)</f>
        <v>17342.41</v>
      </c>
    </row>
    <row r="896" spans="1:10" x14ac:dyDescent="0.2">
      <c r="A896" s="2">
        <v>45498</v>
      </c>
      <c r="B896" s="1">
        <f>VLOOKUP(A896,AAPL!A895:C2150,3)</f>
        <v>216.024</v>
      </c>
      <c r="C896" s="1">
        <f>VLOOKUP(A896,MSFT!A895:C2150,3)</f>
        <v>416.81299999999999</v>
      </c>
      <c r="D896" s="1">
        <f>VLOOKUP(A896,NVDA!A895:C2150,3)</f>
        <v>112.262</v>
      </c>
      <c r="E896" s="1">
        <f>VLOOKUP(A896,AMD!A895:C2150,3)</f>
        <v>138.32</v>
      </c>
      <c r="F896" s="1">
        <f>VLOOKUP(A896,AMZN!A895:C2150,3)</f>
        <v>179.85</v>
      </c>
      <c r="G896" s="1">
        <f>VLOOKUP(A896,TSLA!A895:C2150,3)</f>
        <v>220.25</v>
      </c>
      <c r="H896" s="1">
        <f>VLOOKUP(A896,GOOGL!A895:C2150,3)</f>
        <v>166.86699999999999</v>
      </c>
      <c r="I896" s="1">
        <f>VLOOKUP(A896,META!A895:C2150,3)</f>
        <v>453.41</v>
      </c>
      <c r="J896" s="1">
        <f>VLOOKUP(A896,Nasdaq!A895:C2150,3)</f>
        <v>17181.72</v>
      </c>
    </row>
    <row r="897" spans="1:10" x14ac:dyDescent="0.2">
      <c r="A897" s="2">
        <v>45499</v>
      </c>
      <c r="B897" s="1">
        <f>VLOOKUP(A897,AAPL!A896:C2151,3)</f>
        <v>216.49</v>
      </c>
      <c r="C897" s="1">
        <f>VLOOKUP(A897,MSFT!A896:C2151,3)</f>
        <v>423.65699999999998</v>
      </c>
      <c r="D897" s="1">
        <f>VLOOKUP(A897,NVDA!A896:C2151,3)</f>
        <v>113.042</v>
      </c>
      <c r="E897" s="1">
        <f>VLOOKUP(A897,AMD!A896:C2151,3)</f>
        <v>139.99</v>
      </c>
      <c r="F897" s="1">
        <f>VLOOKUP(A897,AMZN!A896:C2151,3)</f>
        <v>182.5</v>
      </c>
      <c r="G897" s="1">
        <f>VLOOKUP(A897,TSLA!A896:C2151,3)</f>
        <v>219.8</v>
      </c>
      <c r="H897" s="1">
        <f>VLOOKUP(A897,GOOGL!A896:C2151,3)</f>
        <v>166.58799999999999</v>
      </c>
      <c r="I897" s="1">
        <f>VLOOKUP(A897,META!A896:C2151,3)</f>
        <v>465.7</v>
      </c>
      <c r="J897" s="1">
        <f>VLOOKUP(A897,Nasdaq!A896:C2151,3)</f>
        <v>17357.88</v>
      </c>
    </row>
    <row r="898" spans="1:10" x14ac:dyDescent="0.2">
      <c r="A898" s="2">
        <v>45502</v>
      </c>
      <c r="B898" s="1">
        <f>VLOOKUP(A898,AAPL!A897:C2152,3)</f>
        <v>216.768</v>
      </c>
      <c r="C898" s="1">
        <f>VLOOKUP(A898,MSFT!A897:C2152,3)</f>
        <v>425.11099999999999</v>
      </c>
      <c r="D898" s="1">
        <f>VLOOKUP(A898,NVDA!A897:C2152,3)</f>
        <v>111.572</v>
      </c>
      <c r="E898" s="1">
        <f>VLOOKUP(A898,AMD!A897:C2152,3)</f>
        <v>139.75</v>
      </c>
      <c r="F898" s="1">
        <f>VLOOKUP(A898,AMZN!A897:C2152,3)</f>
        <v>183.2</v>
      </c>
      <c r="G898" s="1">
        <f>VLOOKUP(A898,TSLA!A897:C2152,3)</f>
        <v>232.1</v>
      </c>
      <c r="H898" s="1">
        <f>VLOOKUP(A898,GOOGL!A897:C2152,3)</f>
        <v>169.11099999999999</v>
      </c>
      <c r="I898" s="1">
        <f>VLOOKUP(A898,META!A897:C2152,3)</f>
        <v>465.71</v>
      </c>
      <c r="J898" s="1">
        <f>VLOOKUP(A898,Nasdaq!A897:C2152,3)</f>
        <v>17370.2</v>
      </c>
    </row>
    <row r="899" spans="1:10" x14ac:dyDescent="0.2">
      <c r="A899" s="2">
        <v>45503</v>
      </c>
      <c r="B899" s="1">
        <f>VLOOKUP(A899,AAPL!A898:C2153,3)</f>
        <v>217.32300000000001</v>
      </c>
      <c r="C899" s="1">
        <f>VLOOKUP(A899,MSFT!A898:C2153,3)</f>
        <v>421.31599999999997</v>
      </c>
      <c r="D899" s="1">
        <f>VLOOKUP(A899,NVDA!A898:C2153,3)</f>
        <v>103.714</v>
      </c>
      <c r="E899" s="1">
        <f>VLOOKUP(A899,AMD!A898:C2153,3)</f>
        <v>138.44</v>
      </c>
      <c r="F899" s="1">
        <f>VLOOKUP(A899,AMZN!A898:C2153,3)</f>
        <v>181.71</v>
      </c>
      <c r="G899" s="1">
        <f>VLOOKUP(A899,TSLA!A898:C2153,3)</f>
        <v>222.62</v>
      </c>
      <c r="H899" s="1">
        <f>VLOOKUP(A899,GOOGL!A898:C2153,3)</f>
        <v>169.869</v>
      </c>
      <c r="I899" s="1">
        <f>VLOOKUP(A899,META!A898:C2153,3)</f>
        <v>463.19</v>
      </c>
      <c r="J899" s="1">
        <f>VLOOKUP(A899,Nasdaq!A898:C2153,3)</f>
        <v>17147.419999999998</v>
      </c>
    </row>
    <row r="900" spans="1:10" x14ac:dyDescent="0.2">
      <c r="A900" s="2">
        <v>45504</v>
      </c>
      <c r="B900" s="1">
        <f>VLOOKUP(A900,AAPL!A899:C2154,3)</f>
        <v>220.58099999999999</v>
      </c>
      <c r="C900" s="1">
        <f>VLOOKUP(A900,MSFT!A899:C2154,3)</f>
        <v>416.76299999999998</v>
      </c>
      <c r="D900" s="1">
        <f>VLOOKUP(A900,NVDA!A899:C2154,3)</f>
        <v>117.002</v>
      </c>
      <c r="E900" s="1">
        <f>VLOOKUP(A900,AMD!A899:C2154,3)</f>
        <v>144.47999999999999</v>
      </c>
      <c r="F900" s="1">
        <f>VLOOKUP(A900,AMZN!A899:C2154,3)</f>
        <v>186.98</v>
      </c>
      <c r="G900" s="1">
        <f>VLOOKUP(A900,TSLA!A899:C2154,3)</f>
        <v>232.07</v>
      </c>
      <c r="H900" s="1">
        <f>VLOOKUP(A900,GOOGL!A899:C2154,3)</f>
        <v>171.11699999999999</v>
      </c>
      <c r="I900" s="1">
        <f>VLOOKUP(A900,META!A899:C2154,3)</f>
        <v>474.83</v>
      </c>
      <c r="J900" s="1">
        <f>VLOOKUP(A900,Nasdaq!A899:C2154,3)</f>
        <v>17599.400000000001</v>
      </c>
    </row>
    <row r="901" spans="1:10" x14ac:dyDescent="0.2">
      <c r="A901" s="2">
        <v>45505</v>
      </c>
      <c r="B901" s="1">
        <f>VLOOKUP(A901,AAPL!A900:C2155,3)</f>
        <v>216.88800000000001</v>
      </c>
      <c r="C901" s="1">
        <f>VLOOKUP(A901,MSFT!A900:C2155,3)</f>
        <v>415.52800000000002</v>
      </c>
      <c r="D901" s="1">
        <f>VLOOKUP(A901,NVDA!A900:C2155,3)</f>
        <v>109.193</v>
      </c>
      <c r="E901" s="1">
        <f>VLOOKUP(A901,AMD!A900:C2155,3)</f>
        <v>132.54</v>
      </c>
      <c r="F901" s="1">
        <f>VLOOKUP(A901,AMZN!A900:C2155,3)</f>
        <v>184.07</v>
      </c>
      <c r="G901" s="1">
        <f>VLOOKUP(A901,TSLA!A900:C2155,3)</f>
        <v>216.86</v>
      </c>
      <c r="H901" s="1">
        <f>VLOOKUP(A901,GOOGL!A900:C2155,3)</f>
        <v>170.339</v>
      </c>
      <c r="I901" s="1">
        <f>VLOOKUP(A901,META!A900:C2155,3)</f>
        <v>497.74</v>
      </c>
      <c r="J901" s="1">
        <f>VLOOKUP(A901,Nasdaq!A900:C2155,3)</f>
        <v>17194.14</v>
      </c>
    </row>
    <row r="902" spans="1:10" x14ac:dyDescent="0.2">
      <c r="A902" s="2">
        <v>45506</v>
      </c>
      <c r="B902" s="1">
        <f>VLOOKUP(A902,AAPL!A901:C2156,3)</f>
        <v>218.37700000000001</v>
      </c>
      <c r="C902" s="1">
        <f>VLOOKUP(A902,MSFT!A901:C2156,3)</f>
        <v>406.94</v>
      </c>
      <c r="D902" s="1">
        <f>VLOOKUP(A902,NVDA!A901:C2156,3)</f>
        <v>107.254</v>
      </c>
      <c r="E902" s="1">
        <f>VLOOKUP(A902,AMD!A901:C2156,3)</f>
        <v>132.5</v>
      </c>
      <c r="F902" s="1">
        <f>VLOOKUP(A902,AMZN!A901:C2156,3)</f>
        <v>167.9</v>
      </c>
      <c r="G902" s="1">
        <f>VLOOKUP(A902,TSLA!A901:C2156,3)</f>
        <v>207.67</v>
      </c>
      <c r="H902" s="1">
        <f>VLOOKUP(A902,GOOGL!A901:C2156,3)</f>
        <v>166.24799999999999</v>
      </c>
      <c r="I902" s="1">
        <f>VLOOKUP(A902,META!A901:C2156,3)</f>
        <v>488.14</v>
      </c>
      <c r="J902" s="1">
        <f>VLOOKUP(A902,Nasdaq!A901:C2156,3)</f>
        <v>16776.16</v>
      </c>
    </row>
    <row r="903" spans="1:10" x14ac:dyDescent="0.2">
      <c r="A903" s="2">
        <v>45509</v>
      </c>
      <c r="B903" s="1">
        <f>VLOOKUP(A903,AAPL!A902:C2157,3)</f>
        <v>207.85900000000001</v>
      </c>
      <c r="C903" s="1">
        <f>VLOOKUP(A903,MSFT!A902:C2157,3)</f>
        <v>393.65100000000001</v>
      </c>
      <c r="D903" s="1">
        <f>VLOOKUP(A903,NVDA!A902:C2157,3)</f>
        <v>100.434</v>
      </c>
      <c r="E903" s="1">
        <f>VLOOKUP(A903,AMD!A902:C2157,3)</f>
        <v>134.82</v>
      </c>
      <c r="F903" s="1">
        <f>VLOOKUP(A903,AMZN!A902:C2157,3)</f>
        <v>161.02000000000001</v>
      </c>
      <c r="G903" s="1">
        <f>VLOOKUP(A903,TSLA!A902:C2157,3)</f>
        <v>198.88</v>
      </c>
      <c r="H903" s="1">
        <f>VLOOKUP(A903,GOOGL!A902:C2157,3)</f>
        <v>158.857</v>
      </c>
      <c r="I903" s="1">
        <f>VLOOKUP(A903,META!A902:C2157,3)</f>
        <v>475.73</v>
      </c>
      <c r="J903" s="1">
        <f>VLOOKUP(A903,Nasdaq!A902:C2157,3)</f>
        <v>16200.08</v>
      </c>
    </row>
    <row r="904" spans="1:10" x14ac:dyDescent="0.2">
      <c r="A904" s="2">
        <v>45510</v>
      </c>
      <c r="B904" s="1">
        <f>VLOOKUP(A904,AAPL!A903:C2158,3)</f>
        <v>205.83199999999999</v>
      </c>
      <c r="C904" s="1">
        <f>VLOOKUP(A904,MSFT!A903:C2158,3)</f>
        <v>398.09399999999999</v>
      </c>
      <c r="D904" s="1">
        <f>VLOOKUP(A904,NVDA!A903:C2158,3)</f>
        <v>104.23399999999999</v>
      </c>
      <c r="E904" s="1">
        <f>VLOOKUP(A904,AMD!A903:C2158,3)</f>
        <v>130.18</v>
      </c>
      <c r="F904" s="1">
        <f>VLOOKUP(A904,AMZN!A903:C2158,3)</f>
        <v>161.93</v>
      </c>
      <c r="G904" s="1">
        <f>VLOOKUP(A904,TSLA!A903:C2158,3)</f>
        <v>200.64</v>
      </c>
      <c r="H904" s="1">
        <f>VLOOKUP(A904,GOOGL!A903:C2158,3)</f>
        <v>157.899</v>
      </c>
      <c r="I904" s="1">
        <f>VLOOKUP(A904,META!A903:C2158,3)</f>
        <v>494.09</v>
      </c>
      <c r="J904" s="1">
        <f>VLOOKUP(A904,Nasdaq!A903:C2158,3)</f>
        <v>16366.85</v>
      </c>
    </row>
    <row r="905" spans="1:10" x14ac:dyDescent="0.2">
      <c r="A905" s="2">
        <v>45511</v>
      </c>
      <c r="B905" s="1">
        <f>VLOOKUP(A905,AAPL!A904:C2159,3)</f>
        <v>208.404</v>
      </c>
      <c r="C905" s="1">
        <f>VLOOKUP(A905,MSFT!A904:C2159,3)</f>
        <v>396.91899999999998</v>
      </c>
      <c r="D905" s="1">
        <f>VLOOKUP(A905,NVDA!A904:C2159,3)</f>
        <v>98.8947</v>
      </c>
      <c r="E905" s="1">
        <f>VLOOKUP(A905,AMD!A904:C2159,3)</f>
        <v>128.66999999999999</v>
      </c>
      <c r="F905" s="1">
        <f>VLOOKUP(A905,AMZN!A904:C2159,3)</f>
        <v>162.77000000000001</v>
      </c>
      <c r="G905" s="1">
        <f>VLOOKUP(A905,TSLA!A904:C2159,3)</f>
        <v>191.76</v>
      </c>
      <c r="H905" s="1">
        <f>VLOOKUP(A905,GOOGL!A904:C2159,3)</f>
        <v>158.547</v>
      </c>
      <c r="I905" s="1">
        <f>VLOOKUP(A905,META!A904:C2159,3)</f>
        <v>488.92</v>
      </c>
      <c r="J905" s="1">
        <f>VLOOKUP(A905,Nasdaq!A904:C2159,3)</f>
        <v>16195.81</v>
      </c>
    </row>
    <row r="906" spans="1:10" x14ac:dyDescent="0.2">
      <c r="A906" s="2">
        <v>45512</v>
      </c>
      <c r="B906" s="1">
        <f>VLOOKUP(A906,AAPL!A905:C2160,3)</f>
        <v>211.87100000000001</v>
      </c>
      <c r="C906" s="1">
        <f>VLOOKUP(A906,MSFT!A905:C2160,3)</f>
        <v>401.16199999999998</v>
      </c>
      <c r="D906" s="1">
        <f>VLOOKUP(A906,NVDA!A905:C2160,3)</f>
        <v>104.95399999999999</v>
      </c>
      <c r="E906" s="1">
        <f>VLOOKUP(A906,AMD!A905:C2160,3)</f>
        <v>136.32</v>
      </c>
      <c r="F906" s="1">
        <f>VLOOKUP(A906,AMZN!A905:C2160,3)</f>
        <v>165.8</v>
      </c>
      <c r="G906" s="1">
        <f>VLOOKUP(A906,TSLA!A905:C2160,3)</f>
        <v>198.84</v>
      </c>
      <c r="H906" s="1">
        <f>VLOOKUP(A906,GOOGL!A905:C2160,3)</f>
        <v>161.63</v>
      </c>
      <c r="I906" s="1">
        <f>VLOOKUP(A906,META!A905:C2160,3)</f>
        <v>509.63</v>
      </c>
      <c r="J906" s="1">
        <f>VLOOKUP(A906,Nasdaq!A905:C2160,3)</f>
        <v>16660.02</v>
      </c>
    </row>
    <row r="907" spans="1:10" x14ac:dyDescent="0.2">
      <c r="A907" s="2">
        <v>45513</v>
      </c>
      <c r="B907" s="1">
        <f>VLOOKUP(A907,AAPL!A906:C2161,3)</f>
        <v>214.78200000000001</v>
      </c>
      <c r="C907" s="1">
        <f>VLOOKUP(A907,MSFT!A906:C2161,3)</f>
        <v>404.48</v>
      </c>
      <c r="D907" s="1">
        <f>VLOOKUP(A907,NVDA!A906:C2161,3)</f>
        <v>104.73399999999999</v>
      </c>
      <c r="E907" s="1">
        <f>VLOOKUP(A907,AMD!A906:C2161,3)</f>
        <v>134.27000000000001</v>
      </c>
      <c r="F907" s="1">
        <f>VLOOKUP(A907,AMZN!A906:C2161,3)</f>
        <v>166.94</v>
      </c>
      <c r="G907" s="1">
        <f>VLOOKUP(A907,TSLA!A906:C2161,3)</f>
        <v>200</v>
      </c>
      <c r="H907" s="1">
        <f>VLOOKUP(A907,GOOGL!A906:C2161,3)</f>
        <v>163.26599999999999</v>
      </c>
      <c r="I907" s="1">
        <f>VLOOKUP(A907,META!A906:C2161,3)</f>
        <v>517.77</v>
      </c>
      <c r="J907" s="1">
        <f>VLOOKUP(A907,Nasdaq!A906:C2161,3)</f>
        <v>16745.3</v>
      </c>
    </row>
    <row r="908" spans="1:10" x14ac:dyDescent="0.2">
      <c r="A908" s="2">
        <v>45516</v>
      </c>
      <c r="B908" s="1">
        <f>VLOOKUP(A908,AAPL!A907:C2162,3)</f>
        <v>216.31200000000001</v>
      </c>
      <c r="C908" s="1">
        <f>VLOOKUP(A908,MSFT!A907:C2162,3)</f>
        <v>405.267</v>
      </c>
      <c r="D908" s="1">
        <f>VLOOKUP(A908,NVDA!A907:C2162,3)</f>
        <v>109.003</v>
      </c>
      <c r="E908" s="1">
        <f>VLOOKUP(A908,AMD!A907:C2162,3)</f>
        <v>136.77000000000001</v>
      </c>
      <c r="F908" s="1">
        <f>VLOOKUP(A908,AMZN!A907:C2162,3)</f>
        <v>166.8</v>
      </c>
      <c r="G908" s="1">
        <f>VLOOKUP(A908,TSLA!A907:C2162,3)</f>
        <v>197.49</v>
      </c>
      <c r="H908" s="1">
        <f>VLOOKUP(A908,GOOGL!A907:C2162,3)</f>
        <v>161.88900000000001</v>
      </c>
      <c r="I908" s="1">
        <f>VLOOKUP(A908,META!A907:C2162,3)</f>
        <v>515.95000000000005</v>
      </c>
      <c r="J908" s="1">
        <f>VLOOKUP(A908,Nasdaq!A907:C2162,3)</f>
        <v>16780.61</v>
      </c>
    </row>
    <row r="909" spans="1:10" x14ac:dyDescent="0.2">
      <c r="A909" s="2">
        <v>45517</v>
      </c>
      <c r="B909" s="1">
        <f>VLOOKUP(A909,AAPL!A908:C2163,3)</f>
        <v>220.03200000000001</v>
      </c>
      <c r="C909" s="1">
        <f>VLOOKUP(A909,MSFT!A908:C2163,3)</f>
        <v>412.43900000000002</v>
      </c>
      <c r="D909" s="1">
        <f>VLOOKUP(A909,NVDA!A908:C2163,3)</f>
        <v>116.122</v>
      </c>
      <c r="E909" s="1">
        <f>VLOOKUP(A909,AMD!A908:C2163,3)</f>
        <v>141.13</v>
      </c>
      <c r="F909" s="1">
        <f>VLOOKUP(A909,AMZN!A908:C2163,3)</f>
        <v>170.23</v>
      </c>
      <c r="G909" s="1">
        <f>VLOOKUP(A909,TSLA!A908:C2163,3)</f>
        <v>207.83</v>
      </c>
      <c r="H909" s="1">
        <f>VLOOKUP(A909,GOOGL!A908:C2163,3)</f>
        <v>163.75399999999999</v>
      </c>
      <c r="I909" s="1">
        <f>VLOOKUP(A909,META!A908:C2163,3)</f>
        <v>528.54</v>
      </c>
      <c r="J909" s="1">
        <f>VLOOKUP(A909,Nasdaq!A908:C2163,3)</f>
        <v>17187.61</v>
      </c>
    </row>
    <row r="910" spans="1:10" x14ac:dyDescent="0.2">
      <c r="A910" s="2">
        <v>45518</v>
      </c>
      <c r="B910" s="1">
        <f>VLOOKUP(A910,AAPL!A909:C2164,3)</f>
        <v>220.47900000000001</v>
      </c>
      <c r="C910" s="1">
        <f>VLOOKUP(A910,MSFT!A909:C2164,3)</f>
        <v>415.279</v>
      </c>
      <c r="D910" s="1">
        <f>VLOOKUP(A910,NVDA!A909:C2164,3)</f>
        <v>118.062</v>
      </c>
      <c r="E910" s="1">
        <f>VLOOKUP(A910,AMD!A909:C2164,3)</f>
        <v>140.75</v>
      </c>
      <c r="F910" s="1">
        <f>VLOOKUP(A910,AMZN!A909:C2164,3)</f>
        <v>170.1</v>
      </c>
      <c r="G910" s="1">
        <f>VLOOKUP(A910,TSLA!A909:C2164,3)</f>
        <v>201.38</v>
      </c>
      <c r="H910" s="1">
        <f>VLOOKUP(A910,GOOGL!A909:C2164,3)</f>
        <v>159.97399999999999</v>
      </c>
      <c r="I910" s="1">
        <f>VLOOKUP(A910,META!A909:C2164,3)</f>
        <v>526.76</v>
      </c>
      <c r="J910" s="1">
        <f>VLOOKUP(A910,Nasdaq!A909:C2164,3)</f>
        <v>17192.599999999999</v>
      </c>
    </row>
    <row r="911" spans="1:10" x14ac:dyDescent="0.2">
      <c r="A911" s="2">
        <v>45519</v>
      </c>
      <c r="B911" s="1">
        <f>VLOOKUP(A911,AAPL!A910:C2165,3)</f>
        <v>223.46100000000001</v>
      </c>
      <c r="C911" s="1">
        <f>VLOOKUP(A911,MSFT!A910:C2165,3)</f>
        <v>420.18900000000002</v>
      </c>
      <c r="D911" s="1">
        <f>VLOOKUP(A911,NVDA!A910:C2165,3)</f>
        <v>122.84099999999999</v>
      </c>
      <c r="E911" s="1">
        <f>VLOOKUP(A911,AMD!A910:C2165,3)</f>
        <v>147.36000000000001</v>
      </c>
      <c r="F911" s="1">
        <f>VLOOKUP(A911,AMZN!A910:C2165,3)</f>
        <v>177.59</v>
      </c>
      <c r="G911" s="1">
        <f>VLOOKUP(A911,TSLA!A910:C2165,3)</f>
        <v>214.14</v>
      </c>
      <c r="H911" s="1">
        <f>VLOOKUP(A911,GOOGL!A910:C2165,3)</f>
        <v>160.90199999999999</v>
      </c>
      <c r="I911" s="1">
        <f>VLOOKUP(A911,META!A910:C2165,3)</f>
        <v>537.33000000000004</v>
      </c>
      <c r="J911" s="1">
        <f>VLOOKUP(A911,Nasdaq!A910:C2165,3)</f>
        <v>17594.5</v>
      </c>
    </row>
    <row r="912" spans="1:10" x14ac:dyDescent="0.2">
      <c r="A912" s="2">
        <v>45520</v>
      </c>
      <c r="B912" s="1">
        <f>VLOOKUP(A912,AAPL!A911:C2166,3)</f>
        <v>224.786</v>
      </c>
      <c r="C912" s="1">
        <f>VLOOKUP(A912,MSFT!A911:C2166,3)</f>
        <v>417.63400000000001</v>
      </c>
      <c r="D912" s="1">
        <f>VLOOKUP(A912,NVDA!A911:C2166,3)</f>
        <v>124.56</v>
      </c>
      <c r="E912" s="1">
        <f>VLOOKUP(A912,AMD!A911:C2166,3)</f>
        <v>148.56</v>
      </c>
      <c r="F912" s="1">
        <f>VLOOKUP(A912,AMZN!A911:C2166,3)</f>
        <v>177.06</v>
      </c>
      <c r="G912" s="1">
        <f>VLOOKUP(A912,TSLA!A911:C2166,3)</f>
        <v>216.12</v>
      </c>
      <c r="H912" s="1">
        <f>VLOOKUP(A912,GOOGL!A911:C2166,3)</f>
        <v>162.55799999999999</v>
      </c>
      <c r="I912" s="1">
        <f>VLOOKUP(A912,META!A911:C2166,3)</f>
        <v>527.41999999999996</v>
      </c>
      <c r="J912" s="1">
        <f>VLOOKUP(A912,Nasdaq!A911:C2166,3)</f>
        <v>17631.72</v>
      </c>
    </row>
    <row r="913" spans="1:10" x14ac:dyDescent="0.2">
      <c r="A913" s="2">
        <v>45523</v>
      </c>
      <c r="B913" s="1">
        <f>VLOOKUP(A913,AAPL!A912:C2167,3)</f>
        <v>224.626</v>
      </c>
      <c r="C913" s="1">
        <f>VLOOKUP(A913,MSFT!A912:C2167,3)</f>
        <v>420.68799999999999</v>
      </c>
      <c r="D913" s="1">
        <f>VLOOKUP(A913,NVDA!A912:C2167,3)</f>
        <v>129.97999999999999</v>
      </c>
      <c r="E913" s="1">
        <f>VLOOKUP(A913,AMD!A912:C2167,3)</f>
        <v>155.28</v>
      </c>
      <c r="F913" s="1">
        <f>VLOOKUP(A913,AMZN!A912:C2167,3)</f>
        <v>178.22</v>
      </c>
      <c r="G913" s="1">
        <f>VLOOKUP(A913,TSLA!A912:C2167,3)</f>
        <v>222.72</v>
      </c>
      <c r="H913" s="1">
        <f>VLOOKUP(A913,GOOGL!A912:C2167,3)</f>
        <v>166.25800000000001</v>
      </c>
      <c r="I913" s="1">
        <f>VLOOKUP(A913,META!A912:C2167,3)</f>
        <v>529.28</v>
      </c>
      <c r="J913" s="1">
        <f>VLOOKUP(A913,Nasdaq!A912:C2167,3)</f>
        <v>17876.77</v>
      </c>
    </row>
    <row r="914" spans="1:10" x14ac:dyDescent="0.2">
      <c r="A914" s="2">
        <v>45524</v>
      </c>
      <c r="B914" s="1">
        <f>VLOOKUP(A914,AAPL!A913:C2168,3)</f>
        <v>225.24299999999999</v>
      </c>
      <c r="C914" s="1">
        <f>VLOOKUP(A914,MSFT!A913:C2168,3)</f>
        <v>423.95100000000002</v>
      </c>
      <c r="D914" s="1">
        <f>VLOOKUP(A914,NVDA!A913:C2168,3)</f>
        <v>127.23</v>
      </c>
      <c r="E914" s="1">
        <f>VLOOKUP(A914,AMD!A913:C2168,3)</f>
        <v>156.4</v>
      </c>
      <c r="F914" s="1">
        <f>VLOOKUP(A914,AMZN!A913:C2168,3)</f>
        <v>178.88</v>
      </c>
      <c r="G914" s="1">
        <f>VLOOKUP(A914,TSLA!A913:C2168,3)</f>
        <v>221.1</v>
      </c>
      <c r="H914" s="1">
        <f>VLOOKUP(A914,GOOGL!A913:C2168,3)</f>
        <v>166.767</v>
      </c>
      <c r="I914" s="1">
        <f>VLOOKUP(A914,META!A913:C2168,3)</f>
        <v>526.73</v>
      </c>
      <c r="J914" s="1">
        <f>VLOOKUP(A914,Nasdaq!A913:C2168,3)</f>
        <v>17816.939999999999</v>
      </c>
    </row>
    <row r="915" spans="1:10" x14ac:dyDescent="0.2">
      <c r="A915" s="2">
        <v>45525</v>
      </c>
      <c r="B915" s="1">
        <f>VLOOKUP(A915,AAPL!A914:C2169,3)</f>
        <v>225.13300000000001</v>
      </c>
      <c r="C915" s="1">
        <f>VLOOKUP(A915,MSFT!A914:C2169,3)</f>
        <v>423.29300000000001</v>
      </c>
      <c r="D915" s="1">
        <f>VLOOKUP(A915,NVDA!A914:C2169,3)</f>
        <v>128.47999999999999</v>
      </c>
      <c r="E915" s="1">
        <f>VLOOKUP(A915,AMD!A914:C2169,3)</f>
        <v>157.81</v>
      </c>
      <c r="F915" s="1">
        <f>VLOOKUP(A915,AMZN!A914:C2169,3)</f>
        <v>180.11</v>
      </c>
      <c r="G915" s="1">
        <f>VLOOKUP(A915,TSLA!A914:C2169,3)</f>
        <v>223.27</v>
      </c>
      <c r="H915" s="1">
        <f>VLOOKUP(A915,GOOGL!A914:C2169,3)</f>
        <v>165.44</v>
      </c>
      <c r="I915" s="1">
        <f>VLOOKUP(A915,META!A914:C2169,3)</f>
        <v>535.16</v>
      </c>
      <c r="J915" s="1">
        <f>VLOOKUP(A915,Nasdaq!A914:C2169,3)</f>
        <v>17918.990000000002</v>
      </c>
    </row>
    <row r="916" spans="1:10" x14ac:dyDescent="0.2">
      <c r="A916" s="2">
        <v>45526</v>
      </c>
      <c r="B916" s="1">
        <f>VLOOKUP(A916,AAPL!A915:C2170,3)</f>
        <v>223.274</v>
      </c>
      <c r="C916" s="1">
        <f>VLOOKUP(A916,MSFT!A915:C2170,3)</f>
        <v>414.72</v>
      </c>
      <c r="D916" s="1">
        <f>VLOOKUP(A916,NVDA!A915:C2170,3)</f>
        <v>123.72</v>
      </c>
      <c r="E916" s="1">
        <f>VLOOKUP(A916,AMD!A915:C2170,3)</f>
        <v>151.69999999999999</v>
      </c>
      <c r="F916" s="1">
        <f>VLOOKUP(A916,AMZN!A915:C2170,3)</f>
        <v>176.13</v>
      </c>
      <c r="G916" s="1">
        <f>VLOOKUP(A916,TSLA!A915:C2170,3)</f>
        <v>210.66</v>
      </c>
      <c r="H916" s="1">
        <f>VLOOKUP(A916,GOOGL!A915:C2170,3)</f>
        <v>163.39599999999999</v>
      </c>
      <c r="I916" s="1">
        <f>VLOOKUP(A916,META!A915:C2170,3)</f>
        <v>531.92999999999995</v>
      </c>
      <c r="J916" s="1">
        <f>VLOOKUP(A916,Nasdaq!A915:C2170,3)</f>
        <v>17619.349999999999</v>
      </c>
    </row>
    <row r="917" spans="1:10" x14ac:dyDescent="0.2">
      <c r="A917" s="2">
        <v>45527</v>
      </c>
      <c r="B917" s="1">
        <f>VLOOKUP(A917,AAPL!A916:C2171,3)</f>
        <v>225.571</v>
      </c>
      <c r="C917" s="1">
        <f>VLOOKUP(A917,MSFT!A916:C2171,3)</f>
        <v>415.95699999999999</v>
      </c>
      <c r="D917" s="1">
        <f>VLOOKUP(A917,NVDA!A916:C2171,3)</f>
        <v>129.35</v>
      </c>
      <c r="E917" s="1">
        <f>VLOOKUP(A917,AMD!A916:C2171,3)</f>
        <v>154.97999999999999</v>
      </c>
      <c r="F917" s="1">
        <f>VLOOKUP(A917,AMZN!A916:C2171,3)</f>
        <v>177.04</v>
      </c>
      <c r="G917" s="1">
        <f>VLOOKUP(A917,TSLA!A916:C2171,3)</f>
        <v>220.32</v>
      </c>
      <c r="H917" s="1">
        <f>VLOOKUP(A917,GOOGL!A916:C2171,3)</f>
        <v>165.21199999999999</v>
      </c>
      <c r="I917" s="1">
        <f>VLOOKUP(A917,META!A916:C2171,3)</f>
        <v>528</v>
      </c>
      <c r="J917" s="1">
        <f>VLOOKUP(A917,Nasdaq!A916:C2171,3)</f>
        <v>17877.79</v>
      </c>
    </row>
    <row r="918" spans="1:10" x14ac:dyDescent="0.2">
      <c r="A918" s="2">
        <v>45530</v>
      </c>
      <c r="B918" s="1">
        <f>VLOOKUP(A918,AAPL!A917:C2172,3)</f>
        <v>225.90799999999999</v>
      </c>
      <c r="C918" s="1">
        <f>VLOOKUP(A918,MSFT!A917:C2172,3)</f>
        <v>412.66399999999999</v>
      </c>
      <c r="D918" s="1">
        <f>VLOOKUP(A918,NVDA!A917:C2172,3)</f>
        <v>126.44</v>
      </c>
      <c r="E918" s="1">
        <f>VLOOKUP(A918,AMD!A917:C2172,3)</f>
        <v>149.99</v>
      </c>
      <c r="F918" s="1">
        <f>VLOOKUP(A918,AMZN!A917:C2172,3)</f>
        <v>175.5</v>
      </c>
      <c r="G918" s="1">
        <f>VLOOKUP(A918,TSLA!A917:C2172,3)</f>
        <v>213.21</v>
      </c>
      <c r="H918" s="1">
        <f>VLOOKUP(A918,GOOGL!A917:C2172,3)</f>
        <v>165.75</v>
      </c>
      <c r="I918" s="1">
        <f>VLOOKUP(A918,META!A917:C2172,3)</f>
        <v>521.12</v>
      </c>
      <c r="J918" s="1">
        <f>VLOOKUP(A918,Nasdaq!A917:C2172,3)</f>
        <v>17725.77</v>
      </c>
    </row>
    <row r="919" spans="1:10" x14ac:dyDescent="0.2">
      <c r="A919" s="2">
        <v>45531</v>
      </c>
      <c r="B919" s="1">
        <f>VLOOKUP(A919,AAPL!A918:C2173,3)</f>
        <v>226.75299999999999</v>
      </c>
      <c r="C919" s="1">
        <f>VLOOKUP(A919,MSFT!A918:C2173,3)</f>
        <v>413.01299999999998</v>
      </c>
      <c r="D919" s="1">
        <f>VLOOKUP(A919,NVDA!A918:C2173,3)</f>
        <v>128.28</v>
      </c>
      <c r="E919" s="1">
        <f>VLOOKUP(A919,AMD!A918:C2173,3)</f>
        <v>150.5</v>
      </c>
      <c r="F919" s="1">
        <f>VLOOKUP(A919,AMZN!A918:C2173,3)</f>
        <v>173.12</v>
      </c>
      <c r="G919" s="1">
        <f>VLOOKUP(A919,TSLA!A918:C2173,3)</f>
        <v>209.21</v>
      </c>
      <c r="H919" s="1">
        <f>VLOOKUP(A919,GOOGL!A918:C2173,3)</f>
        <v>164.274</v>
      </c>
      <c r="I919" s="1">
        <f>VLOOKUP(A919,META!A918:C2173,3)</f>
        <v>519.1</v>
      </c>
      <c r="J919" s="1">
        <f>VLOOKUP(A919,Nasdaq!A918:C2173,3)</f>
        <v>17754.82</v>
      </c>
    </row>
    <row r="920" spans="1:10" x14ac:dyDescent="0.2">
      <c r="A920" s="2">
        <v>45532</v>
      </c>
      <c r="B920" s="1">
        <f>VLOOKUP(A920,AAPL!A919:C2174,3)</f>
        <v>225.22300000000001</v>
      </c>
      <c r="C920" s="1">
        <f>VLOOKUP(A920,MSFT!A919:C2174,3)</f>
        <v>409.78</v>
      </c>
      <c r="D920" s="1">
        <f>VLOOKUP(A920,NVDA!A919:C2174,3)</f>
        <v>125.59</v>
      </c>
      <c r="E920" s="1">
        <f>VLOOKUP(A920,AMD!A919:C2174,3)</f>
        <v>146.36000000000001</v>
      </c>
      <c r="F920" s="1">
        <f>VLOOKUP(A920,AMZN!A919:C2174,3)</f>
        <v>170.8</v>
      </c>
      <c r="G920" s="1">
        <f>VLOOKUP(A920,TSLA!A919:C2174,3)</f>
        <v>205.75</v>
      </c>
      <c r="H920" s="1">
        <f>VLOOKUP(A920,GOOGL!A919:C2174,3)</f>
        <v>162.44800000000001</v>
      </c>
      <c r="I920" s="1">
        <f>VLOOKUP(A920,META!A919:C2174,3)</f>
        <v>516.78</v>
      </c>
      <c r="J920" s="1">
        <f>VLOOKUP(A920,Nasdaq!A919:C2174,3)</f>
        <v>17556.03</v>
      </c>
    </row>
    <row r="921" spans="1:10" x14ac:dyDescent="0.2">
      <c r="A921" s="2">
        <v>45533</v>
      </c>
      <c r="B921" s="1">
        <f>VLOOKUP(A921,AAPL!A920:C2175,3)</f>
        <v>228.50299999999999</v>
      </c>
      <c r="C921" s="1">
        <f>VLOOKUP(A921,MSFT!A920:C2175,3)</f>
        <v>412.29500000000002</v>
      </c>
      <c r="D921" s="1">
        <f>VLOOKUP(A921,NVDA!A920:C2175,3)</f>
        <v>117.572</v>
      </c>
      <c r="E921" s="1">
        <f>VLOOKUP(A921,AMD!A920:C2175,3)</f>
        <v>145.49</v>
      </c>
      <c r="F921" s="1">
        <f>VLOOKUP(A921,AMZN!A920:C2175,3)</f>
        <v>172.12</v>
      </c>
      <c r="G921" s="1">
        <f>VLOOKUP(A921,TSLA!A920:C2175,3)</f>
        <v>206.28</v>
      </c>
      <c r="H921" s="1">
        <f>VLOOKUP(A921,GOOGL!A920:C2175,3)</f>
        <v>161.381</v>
      </c>
      <c r="I921" s="1">
        <f>VLOOKUP(A921,META!A920:C2175,3)</f>
        <v>518.22</v>
      </c>
      <c r="J921" s="1">
        <f>VLOOKUP(A921,Nasdaq!A920:C2175,3)</f>
        <v>17516.43</v>
      </c>
    </row>
    <row r="922" spans="1:10" x14ac:dyDescent="0.2">
      <c r="A922" s="2">
        <v>45534</v>
      </c>
      <c r="B922" s="1">
        <f>VLOOKUP(A922,AAPL!A921:C2176,3)</f>
        <v>227.71799999999999</v>
      </c>
      <c r="C922" s="1">
        <f>VLOOKUP(A922,MSFT!A921:C2176,3)</f>
        <v>416.30700000000002</v>
      </c>
      <c r="D922" s="1">
        <f>VLOOKUP(A922,NVDA!A921:C2176,3)</f>
        <v>119.352</v>
      </c>
      <c r="E922" s="1">
        <f>VLOOKUP(A922,AMD!A921:C2176,3)</f>
        <v>148.56</v>
      </c>
      <c r="F922" s="1">
        <f>VLOOKUP(A922,AMZN!A921:C2176,3)</f>
        <v>178.5</v>
      </c>
      <c r="G922" s="1">
        <f>VLOOKUP(A922,TSLA!A921:C2176,3)</f>
        <v>214.11</v>
      </c>
      <c r="H922" s="1">
        <f>VLOOKUP(A922,GOOGL!A921:C2176,3)</f>
        <v>162.976</v>
      </c>
      <c r="I922" s="1">
        <f>VLOOKUP(A922,META!A921:C2176,3)</f>
        <v>521.30999999999995</v>
      </c>
      <c r="J922" s="1">
        <f>VLOOKUP(A922,Nasdaq!A921:C2176,3)</f>
        <v>17713.63</v>
      </c>
    </row>
    <row r="923" spans="1:10" x14ac:dyDescent="0.2">
      <c r="A923" s="2">
        <v>45538</v>
      </c>
      <c r="B923" s="1">
        <f>VLOOKUP(A923,AAPL!A922:C2177,3)</f>
        <v>221.523</v>
      </c>
      <c r="C923" s="1">
        <f>VLOOKUP(A923,MSFT!A922:C2177,3)</f>
        <v>408.62200000000001</v>
      </c>
      <c r="D923" s="1">
        <f>VLOOKUP(A923,NVDA!A922:C2177,3)</f>
        <v>107.98399999999999</v>
      </c>
      <c r="E923" s="1">
        <f>VLOOKUP(A923,AMD!A922:C2177,3)</f>
        <v>136.94</v>
      </c>
      <c r="F923" s="1">
        <f>VLOOKUP(A923,AMZN!A922:C2177,3)</f>
        <v>176.25</v>
      </c>
      <c r="G923" s="1">
        <f>VLOOKUP(A923,TSLA!A922:C2177,3)</f>
        <v>210.6</v>
      </c>
      <c r="H923" s="1">
        <f>VLOOKUP(A923,GOOGL!A922:C2177,3)</f>
        <v>156.971</v>
      </c>
      <c r="I923" s="1">
        <f>VLOOKUP(A923,META!A922:C2177,3)</f>
        <v>511.76</v>
      </c>
      <c r="J923" s="1">
        <f>VLOOKUP(A923,Nasdaq!A922:C2177,3)</f>
        <v>17136.3</v>
      </c>
    </row>
    <row r="924" spans="1:10" x14ac:dyDescent="0.2">
      <c r="A924" s="2">
        <v>45539</v>
      </c>
      <c r="B924" s="1">
        <f>VLOOKUP(A924,AAPL!A923:C2178,3)</f>
        <v>219.614</v>
      </c>
      <c r="C924" s="1">
        <f>VLOOKUP(A924,MSFT!A923:C2178,3)</f>
        <v>408.08300000000003</v>
      </c>
      <c r="D924" s="1">
        <f>VLOOKUP(A924,NVDA!A923:C2178,3)</f>
        <v>106.194</v>
      </c>
      <c r="E924" s="1">
        <f>VLOOKUP(A924,AMD!A923:C2178,3)</f>
        <v>140.87</v>
      </c>
      <c r="F924" s="1">
        <f>VLOOKUP(A924,AMZN!A923:C2178,3)</f>
        <v>173.33</v>
      </c>
      <c r="G924" s="1">
        <f>VLOOKUP(A924,TSLA!A923:C2178,3)</f>
        <v>219.41</v>
      </c>
      <c r="H924" s="1">
        <f>VLOOKUP(A924,GOOGL!A923:C2178,3)</f>
        <v>156.06399999999999</v>
      </c>
      <c r="I924" s="1">
        <f>VLOOKUP(A924,META!A923:C2178,3)</f>
        <v>512.74</v>
      </c>
      <c r="J924" s="1">
        <f>VLOOKUP(A924,Nasdaq!A923:C2178,3)</f>
        <v>17084.3</v>
      </c>
    </row>
    <row r="925" spans="1:10" x14ac:dyDescent="0.2">
      <c r="A925" s="2">
        <v>45540</v>
      </c>
      <c r="B925" s="1">
        <f>VLOOKUP(A925,AAPL!A924:C2179,3)</f>
        <v>221.136</v>
      </c>
      <c r="C925" s="1">
        <f>VLOOKUP(A925,MSFT!A924:C2179,3)</f>
        <v>407.57400000000001</v>
      </c>
      <c r="D925" s="1">
        <f>VLOOKUP(A925,NVDA!A924:C2179,3)</f>
        <v>107.194</v>
      </c>
      <c r="E925" s="1">
        <f>VLOOKUP(A925,AMD!A924:C2179,3)</f>
        <v>139.44</v>
      </c>
      <c r="F925" s="1">
        <f>VLOOKUP(A925,AMZN!A924:C2179,3)</f>
        <v>177.89</v>
      </c>
      <c r="G925" s="1">
        <f>VLOOKUP(A925,TSLA!A924:C2179,3)</f>
        <v>230.17</v>
      </c>
      <c r="H925" s="1">
        <f>VLOOKUP(A925,GOOGL!A924:C2179,3)</f>
        <v>156.852</v>
      </c>
      <c r="I925" s="1">
        <f>VLOOKUP(A925,META!A924:C2179,3)</f>
        <v>516.86</v>
      </c>
      <c r="J925" s="1">
        <f>VLOOKUP(A925,Nasdaq!A924:C2179,3)</f>
        <v>17127.66</v>
      </c>
    </row>
    <row r="926" spans="1:10" x14ac:dyDescent="0.2">
      <c r="A926" s="2">
        <v>45541</v>
      </c>
      <c r="B926" s="1">
        <f>VLOOKUP(A926,AAPL!A925:C2180,3)</f>
        <v>219.584</v>
      </c>
      <c r="C926" s="1">
        <f>VLOOKUP(A926,MSFT!A925:C2180,3)</f>
        <v>400.89800000000002</v>
      </c>
      <c r="D926" s="1">
        <f>VLOOKUP(A926,NVDA!A925:C2180,3)</f>
        <v>102.81399999999999</v>
      </c>
      <c r="E926" s="1">
        <f>VLOOKUP(A926,AMD!A925:C2180,3)</f>
        <v>134.35</v>
      </c>
      <c r="F926" s="1">
        <f>VLOOKUP(A926,AMZN!A925:C2180,3)</f>
        <v>171.39</v>
      </c>
      <c r="G926" s="1">
        <f>VLOOKUP(A926,TSLA!A925:C2180,3)</f>
        <v>210.73</v>
      </c>
      <c r="H926" s="1">
        <f>VLOOKUP(A926,GOOGL!A925:C2180,3)</f>
        <v>150.547</v>
      </c>
      <c r="I926" s="1">
        <f>VLOOKUP(A926,META!A925:C2180,3)</f>
        <v>500.27</v>
      </c>
      <c r="J926" s="1">
        <f>VLOOKUP(A926,Nasdaq!A925:C2180,3)</f>
        <v>16690.830000000002</v>
      </c>
    </row>
    <row r="927" spans="1:10" x14ac:dyDescent="0.2">
      <c r="A927" s="2">
        <v>45544</v>
      </c>
      <c r="B927" s="1">
        <f>VLOOKUP(A927,AAPL!A926:C2181,3)</f>
        <v>219.673</v>
      </c>
      <c r="C927" s="1">
        <f>VLOOKUP(A927,MSFT!A926:C2181,3)</f>
        <v>404.91</v>
      </c>
      <c r="D927" s="1">
        <f>VLOOKUP(A927,NVDA!A926:C2181,3)</f>
        <v>106.45399999999999</v>
      </c>
      <c r="E927" s="1">
        <f>VLOOKUP(A927,AMD!A926:C2181,3)</f>
        <v>138.15</v>
      </c>
      <c r="F927" s="1">
        <f>VLOOKUP(A927,AMZN!A926:C2181,3)</f>
        <v>175.4</v>
      </c>
      <c r="G927" s="1">
        <f>VLOOKUP(A927,TSLA!A926:C2181,3)</f>
        <v>216.27</v>
      </c>
      <c r="H927" s="1">
        <f>VLOOKUP(A927,GOOGL!A926:C2181,3)</f>
        <v>148.54</v>
      </c>
      <c r="I927" s="1">
        <f>VLOOKUP(A927,META!A926:C2181,3)</f>
        <v>504.79</v>
      </c>
      <c r="J927" s="1">
        <f>VLOOKUP(A927,Nasdaq!A926:C2181,3)</f>
        <v>16884.599999999999</v>
      </c>
    </row>
    <row r="928" spans="1:10" x14ac:dyDescent="0.2">
      <c r="A928" s="2">
        <v>45545</v>
      </c>
      <c r="B928" s="1">
        <f>VLOOKUP(A928,AAPL!A927:C2182,3)</f>
        <v>218.87799999999999</v>
      </c>
      <c r="C928" s="1">
        <f>VLOOKUP(A928,MSFT!A927:C2182,3)</f>
        <v>413.37299999999999</v>
      </c>
      <c r="D928" s="1">
        <f>VLOOKUP(A928,NVDA!A927:C2182,3)</f>
        <v>108.084</v>
      </c>
      <c r="E928" s="1">
        <f>VLOOKUP(A928,AMD!A927:C2182,3)</f>
        <v>142.84</v>
      </c>
      <c r="F928" s="1">
        <f>VLOOKUP(A928,AMZN!A927:C2182,3)</f>
        <v>179.55</v>
      </c>
      <c r="G928" s="1">
        <f>VLOOKUP(A928,TSLA!A927:C2182,3)</f>
        <v>226.17</v>
      </c>
      <c r="H928" s="1">
        <f>VLOOKUP(A928,GOOGL!A927:C2182,3)</f>
        <v>148.49</v>
      </c>
      <c r="I928" s="1">
        <f>VLOOKUP(A928,META!A927:C2182,3)</f>
        <v>504.79</v>
      </c>
      <c r="J928" s="1">
        <f>VLOOKUP(A928,Nasdaq!A927:C2182,3)</f>
        <v>17025.88</v>
      </c>
    </row>
    <row r="929" spans="1:10" x14ac:dyDescent="0.2">
      <c r="A929" s="2">
        <v>45546</v>
      </c>
      <c r="B929" s="1">
        <f>VLOOKUP(A929,AAPL!A928:C2183,3)</f>
        <v>221.41300000000001</v>
      </c>
      <c r="C929" s="1">
        <f>VLOOKUP(A929,MSFT!A928:C2183,3)</f>
        <v>422.19499999999999</v>
      </c>
      <c r="D929" s="1">
        <f>VLOOKUP(A929,NVDA!A928:C2183,3)</f>
        <v>116.892</v>
      </c>
      <c r="E929" s="1">
        <f>VLOOKUP(A929,AMD!A928:C2183,3)</f>
        <v>149.86000000000001</v>
      </c>
      <c r="F929" s="1">
        <f>VLOOKUP(A929,AMZN!A928:C2183,3)</f>
        <v>184.52</v>
      </c>
      <c r="G929" s="1">
        <f>VLOOKUP(A929,TSLA!A928:C2183,3)</f>
        <v>228.13</v>
      </c>
      <c r="H929" s="1">
        <f>VLOOKUP(A929,GOOGL!A928:C2183,3)</f>
        <v>150.98699999999999</v>
      </c>
      <c r="I929" s="1">
        <f>VLOOKUP(A929,META!A928:C2183,3)</f>
        <v>511.83</v>
      </c>
      <c r="J929" s="1">
        <f>VLOOKUP(A929,Nasdaq!A928:C2183,3)</f>
        <v>17395.53</v>
      </c>
    </row>
    <row r="930" spans="1:10" x14ac:dyDescent="0.2">
      <c r="A930" s="2">
        <v>45547</v>
      </c>
      <c r="B930" s="1">
        <f>VLOOKUP(A930,AAPL!A929:C2184,3)</f>
        <v>221.523</v>
      </c>
      <c r="C930" s="1">
        <f>VLOOKUP(A930,MSFT!A929:C2184,3)</f>
        <v>426.14699999999999</v>
      </c>
      <c r="D930" s="1">
        <f>VLOOKUP(A930,NVDA!A929:C2184,3)</f>
        <v>119.13200000000001</v>
      </c>
      <c r="E930" s="1">
        <f>VLOOKUP(A930,AMD!A929:C2184,3)</f>
        <v>150.77000000000001</v>
      </c>
      <c r="F930" s="1">
        <f>VLOOKUP(A930,AMZN!A929:C2184,3)</f>
        <v>187</v>
      </c>
      <c r="G930" s="1">
        <f>VLOOKUP(A930,TSLA!A929:C2184,3)</f>
        <v>229.81</v>
      </c>
      <c r="H930" s="1">
        <f>VLOOKUP(A930,GOOGL!A929:C2184,3)</f>
        <v>154.51300000000001</v>
      </c>
      <c r="I930" s="1">
        <f>VLOOKUP(A930,META!A929:C2184,3)</f>
        <v>525.6</v>
      </c>
      <c r="J930" s="1">
        <f>VLOOKUP(A930,Nasdaq!A929:C2184,3)</f>
        <v>17569.68</v>
      </c>
    </row>
    <row r="931" spans="1:10" x14ac:dyDescent="0.2">
      <c r="A931" s="2">
        <v>45548</v>
      </c>
      <c r="B931" s="1">
        <f>VLOOKUP(A931,AAPL!A930:C2185,3)</f>
        <v>221.255</v>
      </c>
      <c r="C931" s="1">
        <f>VLOOKUP(A931,MSFT!A930:C2185,3)</f>
        <v>429.73</v>
      </c>
      <c r="D931" s="1">
        <f>VLOOKUP(A931,NVDA!A930:C2185,3)</f>
        <v>119.092</v>
      </c>
      <c r="E931" s="1">
        <f>VLOOKUP(A931,AMD!A930:C2185,3)</f>
        <v>152.31</v>
      </c>
      <c r="F931" s="1">
        <f>VLOOKUP(A931,AMZN!A930:C2185,3)</f>
        <v>186.49</v>
      </c>
      <c r="G931" s="1">
        <f>VLOOKUP(A931,TSLA!A930:C2185,3)</f>
        <v>230.29</v>
      </c>
      <c r="H931" s="1">
        <f>VLOOKUP(A931,GOOGL!A930:C2185,3)</f>
        <v>157.28</v>
      </c>
      <c r="I931" s="1">
        <f>VLOOKUP(A931,META!A930:C2185,3)</f>
        <v>524.62</v>
      </c>
      <c r="J931" s="1">
        <f>VLOOKUP(A931,Nasdaq!A930:C2185,3)</f>
        <v>17683.98</v>
      </c>
    </row>
    <row r="932" spans="1:10" x14ac:dyDescent="0.2">
      <c r="A932" s="2">
        <v>45551</v>
      </c>
      <c r="B932" s="1">
        <f>VLOOKUP(A932,AAPL!A931:C2186,3)</f>
        <v>215.10900000000001</v>
      </c>
      <c r="C932" s="1">
        <f>VLOOKUP(A932,MSFT!A931:C2186,3)</f>
        <v>430.47800000000001</v>
      </c>
      <c r="D932" s="1">
        <f>VLOOKUP(A932,NVDA!A931:C2186,3)</f>
        <v>116.77200000000001</v>
      </c>
      <c r="E932" s="1">
        <f>VLOOKUP(A932,AMD!A931:C2186,3)</f>
        <v>152.08000000000001</v>
      </c>
      <c r="F932" s="1">
        <f>VLOOKUP(A932,AMZN!A931:C2186,3)</f>
        <v>184.89</v>
      </c>
      <c r="G932" s="1">
        <f>VLOOKUP(A932,TSLA!A931:C2186,3)</f>
        <v>226.78</v>
      </c>
      <c r="H932" s="1">
        <f>VLOOKUP(A932,GOOGL!A931:C2186,3)</f>
        <v>157.87899999999999</v>
      </c>
      <c r="I932" s="1">
        <f>VLOOKUP(A932,META!A931:C2186,3)</f>
        <v>533.28</v>
      </c>
      <c r="J932" s="1">
        <f>VLOOKUP(A932,Nasdaq!A931:C2186,3)</f>
        <v>17592.13</v>
      </c>
    </row>
    <row r="933" spans="1:10" x14ac:dyDescent="0.2">
      <c r="A933" s="2">
        <v>45552</v>
      </c>
      <c r="B933" s="1">
        <f>VLOOKUP(A933,AAPL!A932:C2187,3)</f>
        <v>215.577</v>
      </c>
      <c r="C933" s="1">
        <f>VLOOKUP(A933,MSFT!A932:C2187,3)</f>
        <v>434.28100000000001</v>
      </c>
      <c r="D933" s="1">
        <f>VLOOKUP(A933,NVDA!A932:C2187,3)</f>
        <v>115.58199999999999</v>
      </c>
      <c r="E933" s="1">
        <f>VLOOKUP(A933,AMD!A932:C2187,3)</f>
        <v>150.82</v>
      </c>
      <c r="F933" s="1">
        <f>VLOOKUP(A933,AMZN!A932:C2187,3)</f>
        <v>186.88</v>
      </c>
      <c r="G933" s="1">
        <f>VLOOKUP(A933,TSLA!A932:C2187,3)</f>
        <v>227.87</v>
      </c>
      <c r="H933" s="1">
        <f>VLOOKUP(A933,GOOGL!A932:C2187,3)</f>
        <v>159.13800000000001</v>
      </c>
      <c r="I933" s="1">
        <f>VLOOKUP(A933,META!A932:C2187,3)</f>
        <v>536.31500000000005</v>
      </c>
      <c r="J933" s="1">
        <f>VLOOKUP(A933,Nasdaq!A932:C2187,3)</f>
        <v>17628.060000000001</v>
      </c>
    </row>
    <row r="934" spans="1:10" x14ac:dyDescent="0.2">
      <c r="A934" s="2">
        <v>45553</v>
      </c>
      <c r="B934" s="1">
        <f>VLOOKUP(A934,AAPL!A933:C2188,3)</f>
        <v>219.45500000000001</v>
      </c>
      <c r="C934" s="1">
        <f>VLOOKUP(A934,MSFT!A933:C2188,3)</f>
        <v>429.94900000000001</v>
      </c>
      <c r="D934" s="1">
        <f>VLOOKUP(A934,NVDA!A933:C2188,3)</f>
        <v>113.36199999999999</v>
      </c>
      <c r="E934" s="1">
        <f>VLOOKUP(A934,AMD!A933:C2188,3)</f>
        <v>148.29</v>
      </c>
      <c r="F934" s="1">
        <f>VLOOKUP(A934,AMZN!A933:C2188,3)</f>
        <v>186.43</v>
      </c>
      <c r="G934" s="1">
        <f>VLOOKUP(A934,TSLA!A933:C2188,3)</f>
        <v>227.2</v>
      </c>
      <c r="H934" s="1">
        <f>VLOOKUP(A934,GOOGL!A933:C2188,3)</f>
        <v>159.62700000000001</v>
      </c>
      <c r="I934" s="1">
        <f>VLOOKUP(A934,META!A933:C2188,3)</f>
        <v>537.95000000000005</v>
      </c>
      <c r="J934" s="1">
        <f>VLOOKUP(A934,Nasdaq!A933:C2188,3)</f>
        <v>17573.3</v>
      </c>
    </row>
    <row r="935" spans="1:10" x14ac:dyDescent="0.2">
      <c r="A935" s="2">
        <v>45554</v>
      </c>
      <c r="B935" s="1">
        <f>VLOOKUP(A935,AAPL!A934:C2189,3)</f>
        <v>227.58799999999999</v>
      </c>
      <c r="C935" s="1">
        <f>VLOOKUP(A935,MSFT!A934:C2189,3)</f>
        <v>437.81400000000002</v>
      </c>
      <c r="D935" s="1">
        <f>VLOOKUP(A935,NVDA!A934:C2189,3)</f>
        <v>117.86199999999999</v>
      </c>
      <c r="E935" s="1">
        <f>VLOOKUP(A935,AMD!A934:C2189,3)</f>
        <v>156.74</v>
      </c>
      <c r="F935" s="1">
        <f>VLOOKUP(A935,AMZN!A934:C2189,3)</f>
        <v>189.87</v>
      </c>
      <c r="G935" s="1">
        <f>VLOOKUP(A935,TSLA!A934:C2189,3)</f>
        <v>243.92</v>
      </c>
      <c r="H935" s="1">
        <f>VLOOKUP(A935,GOOGL!A934:C2189,3)</f>
        <v>161.95400000000001</v>
      </c>
      <c r="I935" s="1">
        <f>VLOOKUP(A935,META!A934:C2189,3)</f>
        <v>559.1</v>
      </c>
      <c r="J935" s="1">
        <f>VLOOKUP(A935,Nasdaq!A934:C2189,3)</f>
        <v>18013.98</v>
      </c>
    </row>
    <row r="936" spans="1:10" x14ac:dyDescent="0.2">
      <c r="A936" s="2">
        <v>45555</v>
      </c>
      <c r="B936" s="1">
        <f>VLOOKUP(A936,AAPL!A935:C2190,3)</f>
        <v>226.923</v>
      </c>
      <c r="C936" s="1">
        <f>VLOOKUP(A936,MSFT!A935:C2190,3)</f>
        <v>434.4</v>
      </c>
      <c r="D936" s="1">
        <f>VLOOKUP(A936,NVDA!A935:C2190,3)</f>
        <v>115.992</v>
      </c>
      <c r="E936" s="1">
        <f>VLOOKUP(A936,AMD!A935:C2190,3)</f>
        <v>155.94999999999999</v>
      </c>
      <c r="F936" s="1">
        <f>VLOOKUP(A936,AMZN!A935:C2190,3)</f>
        <v>191.6</v>
      </c>
      <c r="G936" s="1">
        <f>VLOOKUP(A936,TSLA!A935:C2190,3)</f>
        <v>238.25</v>
      </c>
      <c r="H936" s="1">
        <f>VLOOKUP(A936,GOOGL!A935:C2190,3)</f>
        <v>163.40299999999999</v>
      </c>
      <c r="I936" s="1">
        <f>VLOOKUP(A936,META!A935:C2190,3)</f>
        <v>561.35</v>
      </c>
      <c r="J936" s="1">
        <f>VLOOKUP(A936,Nasdaq!A935:C2190,3)</f>
        <v>17948.32</v>
      </c>
    </row>
    <row r="937" spans="1:10" x14ac:dyDescent="0.2">
      <c r="A937" s="2">
        <v>45558</v>
      </c>
      <c r="B937" s="1">
        <f>VLOOKUP(A937,AAPL!A936:C2191,3)</f>
        <v>225.203</v>
      </c>
      <c r="C937" s="1">
        <f>VLOOKUP(A937,MSFT!A936:C2191,3)</f>
        <v>432.64400000000001</v>
      </c>
      <c r="D937" s="1">
        <f>VLOOKUP(A937,NVDA!A936:C2191,3)</f>
        <v>116.252</v>
      </c>
      <c r="E937" s="1">
        <f>VLOOKUP(A937,AMD!A936:C2191,3)</f>
        <v>156.75</v>
      </c>
      <c r="F937" s="1">
        <f>VLOOKUP(A937,AMZN!A936:C2191,3)</f>
        <v>193.88</v>
      </c>
      <c r="G937" s="1">
        <f>VLOOKUP(A937,TSLA!A936:C2191,3)</f>
        <v>250</v>
      </c>
      <c r="H937" s="1">
        <f>VLOOKUP(A937,GOOGL!A936:C2191,3)</f>
        <v>161.66499999999999</v>
      </c>
      <c r="I937" s="1">
        <f>VLOOKUP(A937,META!A936:C2191,3)</f>
        <v>564.41</v>
      </c>
      <c r="J937" s="1">
        <f>VLOOKUP(A937,Nasdaq!A936:C2191,3)</f>
        <v>17974.27</v>
      </c>
    </row>
    <row r="938" spans="1:10" x14ac:dyDescent="0.2">
      <c r="A938" s="2">
        <v>45559</v>
      </c>
      <c r="B938" s="1">
        <f>VLOOKUP(A938,AAPL!A937:C2192,3)</f>
        <v>226.09800000000001</v>
      </c>
      <c r="C938" s="1">
        <f>VLOOKUP(A938,MSFT!A937:C2192,3)</f>
        <v>428.31299999999999</v>
      </c>
      <c r="D938" s="1">
        <f>VLOOKUP(A938,NVDA!A937:C2192,3)</f>
        <v>120.86199999999999</v>
      </c>
      <c r="E938" s="1">
        <f>VLOOKUP(A938,AMD!A937:C2192,3)</f>
        <v>158.32</v>
      </c>
      <c r="F938" s="1">
        <f>VLOOKUP(A938,AMZN!A937:C2192,3)</f>
        <v>193.96</v>
      </c>
      <c r="G938" s="1">
        <f>VLOOKUP(A938,TSLA!A937:C2192,3)</f>
        <v>254.27</v>
      </c>
      <c r="H938" s="1">
        <f>VLOOKUP(A938,GOOGL!A937:C2192,3)</f>
        <v>162.10400000000001</v>
      </c>
      <c r="I938" s="1">
        <f>VLOOKUP(A938,META!A937:C2192,3)</f>
        <v>563.33000000000004</v>
      </c>
      <c r="J938" s="1">
        <f>VLOOKUP(A938,Nasdaq!A937:C2192,3)</f>
        <v>18074.52</v>
      </c>
    </row>
    <row r="939" spans="1:10" x14ac:dyDescent="0.2">
      <c r="A939" s="2">
        <v>45560</v>
      </c>
      <c r="B939" s="1">
        <f>VLOOKUP(A939,AAPL!A938:C2193,3)</f>
        <v>225.10300000000001</v>
      </c>
      <c r="C939" s="1">
        <f>VLOOKUP(A939,MSFT!A938:C2193,3)</f>
        <v>431.24700000000001</v>
      </c>
      <c r="D939" s="1">
        <f>VLOOKUP(A939,NVDA!A938:C2193,3)</f>
        <v>123.501</v>
      </c>
      <c r="E939" s="1">
        <f>VLOOKUP(A939,AMD!A938:C2193,3)</f>
        <v>162.02000000000001</v>
      </c>
      <c r="F939" s="1">
        <f>VLOOKUP(A939,AMZN!A938:C2193,3)</f>
        <v>192.53</v>
      </c>
      <c r="G939" s="1">
        <f>VLOOKUP(A939,TSLA!A938:C2193,3)</f>
        <v>257.02</v>
      </c>
      <c r="H939" s="1">
        <f>VLOOKUP(A939,GOOGL!A938:C2193,3)</f>
        <v>161.30500000000001</v>
      </c>
      <c r="I939" s="1">
        <f>VLOOKUP(A939,META!A938:C2193,3)</f>
        <v>568.30999999999995</v>
      </c>
      <c r="J939" s="1">
        <f>VLOOKUP(A939,Nasdaq!A938:C2193,3)</f>
        <v>18082.21</v>
      </c>
    </row>
    <row r="940" spans="1:10" x14ac:dyDescent="0.2">
      <c r="A940" s="2">
        <v>45561</v>
      </c>
      <c r="B940" s="1">
        <f>VLOOKUP(A940,AAPL!A939:C2194,3)</f>
        <v>226.24700000000001</v>
      </c>
      <c r="C940" s="1">
        <f>VLOOKUP(A940,MSFT!A939:C2194,3)</f>
        <v>430.44799999999998</v>
      </c>
      <c r="D940" s="1">
        <f>VLOOKUP(A940,NVDA!A939:C2194,3)</f>
        <v>124.03100000000001</v>
      </c>
      <c r="E940" s="1">
        <f>VLOOKUP(A940,AMD!A939:C2194,3)</f>
        <v>167.49</v>
      </c>
      <c r="F940" s="1">
        <f>VLOOKUP(A940,AMZN!A939:C2194,3)</f>
        <v>191.16</v>
      </c>
      <c r="G940" s="1">
        <f>VLOOKUP(A940,TSLA!A939:C2194,3)</f>
        <v>254.22</v>
      </c>
      <c r="H940" s="1">
        <f>VLOOKUP(A940,GOOGL!A939:C2194,3)</f>
        <v>162.54400000000001</v>
      </c>
      <c r="I940" s="1">
        <f>VLOOKUP(A940,META!A939:C2194,3)</f>
        <v>567.84</v>
      </c>
      <c r="J940" s="1">
        <f>VLOOKUP(A940,Nasdaq!A939:C2194,3)</f>
        <v>18190.29</v>
      </c>
    </row>
    <row r="941" spans="1:10" x14ac:dyDescent="0.2">
      <c r="A941" s="2">
        <v>45562</v>
      </c>
      <c r="B941" s="1">
        <f>VLOOKUP(A941,AAPL!A940:C2195,3)</f>
        <v>226.51499999999999</v>
      </c>
      <c r="C941" s="1">
        <f>VLOOKUP(A941,MSFT!A940:C2195,3)</f>
        <v>427.16500000000002</v>
      </c>
      <c r="D941" s="1">
        <f>VLOOKUP(A941,NVDA!A940:C2195,3)</f>
        <v>121.392</v>
      </c>
      <c r="E941" s="1">
        <f>VLOOKUP(A941,AMD!A940:C2195,3)</f>
        <v>164.35</v>
      </c>
      <c r="F941" s="1">
        <f>VLOOKUP(A941,AMZN!A940:C2195,3)</f>
        <v>187.97</v>
      </c>
      <c r="G941" s="1">
        <f>VLOOKUP(A941,TSLA!A940:C2195,3)</f>
        <v>260.45999999999998</v>
      </c>
      <c r="H941" s="1">
        <f>VLOOKUP(A941,GOOGL!A940:C2195,3)</f>
        <v>163.762</v>
      </c>
      <c r="I941" s="1">
        <f>VLOOKUP(A941,META!A940:C2195,3)</f>
        <v>567.36</v>
      </c>
      <c r="J941" s="1">
        <f>VLOOKUP(A941,Nasdaq!A940:C2195,3)</f>
        <v>18119.59</v>
      </c>
    </row>
    <row r="942" spans="1:10" x14ac:dyDescent="0.2">
      <c r="A942" s="2">
        <v>45565</v>
      </c>
      <c r="B942" s="1">
        <f>VLOOKUP(A942,AAPL!A941:C2196,3)</f>
        <v>231.696</v>
      </c>
      <c r="C942" s="1">
        <f>VLOOKUP(A942,MSFT!A941:C2196,3)</f>
        <v>429.44</v>
      </c>
      <c r="D942" s="1">
        <f>VLOOKUP(A942,NVDA!A941:C2196,3)</f>
        <v>121.432</v>
      </c>
      <c r="E942" s="1">
        <f>VLOOKUP(A942,AMD!A941:C2196,3)</f>
        <v>164.08</v>
      </c>
      <c r="F942" s="1">
        <f>VLOOKUP(A942,AMZN!A941:C2196,3)</f>
        <v>186.33</v>
      </c>
      <c r="G942" s="1">
        <f>VLOOKUP(A942,TSLA!A941:C2196,3)</f>
        <v>261.63</v>
      </c>
      <c r="H942" s="1">
        <f>VLOOKUP(A942,GOOGL!A941:C2196,3)</f>
        <v>165.66</v>
      </c>
      <c r="I942" s="1">
        <f>VLOOKUP(A942,META!A941:C2196,3)</f>
        <v>572.44000000000005</v>
      </c>
      <c r="J942" s="1">
        <f>VLOOKUP(A942,Nasdaq!A941:C2196,3)</f>
        <v>18189.169999999998</v>
      </c>
    </row>
    <row r="943" spans="1:10" x14ac:dyDescent="0.2">
      <c r="A943" s="2">
        <v>45566</v>
      </c>
      <c r="B943" s="1">
        <f>VLOOKUP(A943,AAPL!A942:C2197,3)</f>
        <v>224.94300000000001</v>
      </c>
      <c r="C943" s="1">
        <f>VLOOKUP(A943,MSFT!A942:C2197,3)</f>
        <v>419.85</v>
      </c>
      <c r="D943" s="1">
        <f>VLOOKUP(A943,NVDA!A942:C2197,3)</f>
        <v>116.992</v>
      </c>
      <c r="E943" s="1">
        <f>VLOOKUP(A943,AMD!A942:C2197,3)</f>
        <v>159.75</v>
      </c>
      <c r="F943" s="1">
        <f>VLOOKUP(A943,AMZN!A942:C2197,3)</f>
        <v>185.13</v>
      </c>
      <c r="G943" s="1">
        <f>VLOOKUP(A943,TSLA!A942:C2197,3)</f>
        <v>258.02</v>
      </c>
      <c r="H943" s="1">
        <f>VLOOKUP(A943,GOOGL!A942:C2197,3)</f>
        <v>166.79900000000001</v>
      </c>
      <c r="I943" s="1">
        <f>VLOOKUP(A943,META!A942:C2197,3)</f>
        <v>576.47</v>
      </c>
      <c r="J943" s="1">
        <f>VLOOKUP(A943,Nasdaq!A942:C2197,3)</f>
        <v>17910.36</v>
      </c>
    </row>
    <row r="944" spans="1:10" x14ac:dyDescent="0.2">
      <c r="A944" s="2">
        <v>45567</v>
      </c>
      <c r="B944" s="1">
        <f>VLOOKUP(A944,AAPL!A943:C2198,3)</f>
        <v>225.511</v>
      </c>
      <c r="C944" s="1">
        <f>VLOOKUP(A944,MSFT!A943:C2198,3)</f>
        <v>416.29700000000003</v>
      </c>
      <c r="D944" s="1">
        <f>VLOOKUP(A944,NVDA!A943:C2198,3)</f>
        <v>118.842</v>
      </c>
      <c r="E944" s="1">
        <f>VLOOKUP(A944,AMD!A943:C2198,3)</f>
        <v>159.78</v>
      </c>
      <c r="F944" s="1">
        <f>VLOOKUP(A944,AMZN!A943:C2198,3)</f>
        <v>184.76</v>
      </c>
      <c r="G944" s="1">
        <f>VLOOKUP(A944,TSLA!A943:C2198,3)</f>
        <v>249.02</v>
      </c>
      <c r="H944" s="1">
        <f>VLOOKUP(A944,GOOGL!A943:C2198,3)</f>
        <v>165.67</v>
      </c>
      <c r="I944" s="1">
        <f>VLOOKUP(A944,META!A943:C2198,3)</f>
        <v>572.80999999999995</v>
      </c>
      <c r="J944" s="1">
        <f>VLOOKUP(A944,Nasdaq!A943:C2198,3)</f>
        <v>17925.12</v>
      </c>
    </row>
    <row r="945" spans="1:10" x14ac:dyDescent="0.2">
      <c r="A945" s="2">
        <v>45568</v>
      </c>
      <c r="B945" s="1">
        <f>VLOOKUP(A945,AAPL!A944:C2199,3)</f>
        <v>224.40600000000001</v>
      </c>
      <c r="C945" s="1">
        <f>VLOOKUP(A945,MSFT!A944:C2199,3)</f>
        <v>415.70800000000003</v>
      </c>
      <c r="D945" s="1">
        <f>VLOOKUP(A945,NVDA!A944:C2199,3)</f>
        <v>122.842</v>
      </c>
      <c r="E945" s="1">
        <f>VLOOKUP(A945,AMD!A944:C2199,3)</f>
        <v>162.85</v>
      </c>
      <c r="F945" s="1">
        <f>VLOOKUP(A945,AMZN!A944:C2199,3)</f>
        <v>181.96</v>
      </c>
      <c r="G945" s="1">
        <f>VLOOKUP(A945,TSLA!A944:C2199,3)</f>
        <v>240.66</v>
      </c>
      <c r="H945" s="1">
        <f>VLOOKUP(A945,GOOGL!A944:C2199,3)</f>
        <v>165.67</v>
      </c>
      <c r="I945" s="1">
        <f>VLOOKUP(A945,META!A944:C2199,3)</f>
        <v>582.77</v>
      </c>
      <c r="J945" s="1">
        <f>VLOOKUP(A945,Nasdaq!A944:C2199,3)</f>
        <v>17918.47</v>
      </c>
    </row>
    <row r="946" spans="1:10" x14ac:dyDescent="0.2">
      <c r="A946" s="2">
        <v>45569</v>
      </c>
      <c r="B946" s="1">
        <f>VLOOKUP(A946,AAPL!A945:C2200,3)</f>
        <v>225.53100000000001</v>
      </c>
      <c r="C946" s="1">
        <f>VLOOKUP(A946,MSFT!A945:C2200,3)</f>
        <v>415.22899999999998</v>
      </c>
      <c r="D946" s="1">
        <f>VLOOKUP(A946,NVDA!A945:C2200,3)</f>
        <v>124.911</v>
      </c>
      <c r="E946" s="1">
        <f>VLOOKUP(A946,AMD!A945:C2200,3)</f>
        <v>170.9</v>
      </c>
      <c r="F946" s="1">
        <f>VLOOKUP(A946,AMZN!A945:C2200,3)</f>
        <v>186.51</v>
      </c>
      <c r="G946" s="1">
        <f>VLOOKUP(A946,TSLA!A945:C2200,3)</f>
        <v>250.08</v>
      </c>
      <c r="H946" s="1">
        <f>VLOOKUP(A946,GOOGL!A945:C2200,3)</f>
        <v>166.869</v>
      </c>
      <c r="I946" s="1">
        <f>VLOOKUP(A946,META!A945:C2200,3)</f>
        <v>595.94000000000005</v>
      </c>
      <c r="J946" s="1">
        <f>VLOOKUP(A946,Nasdaq!A945:C2200,3)</f>
        <v>18137.849999999999</v>
      </c>
    </row>
    <row r="947" spans="1:10" x14ac:dyDescent="0.2">
      <c r="A947" s="2">
        <v>45572</v>
      </c>
      <c r="B947" s="1">
        <f>VLOOKUP(A947,AAPL!A946:C2201,3)</f>
        <v>220.44900000000001</v>
      </c>
      <c r="C947" s="1">
        <f>VLOOKUP(A947,MSFT!A946:C2201,3)</f>
        <v>408.72199999999998</v>
      </c>
      <c r="D947" s="1">
        <f>VLOOKUP(A947,NVDA!A946:C2201,3)</f>
        <v>127.711</v>
      </c>
      <c r="E947" s="1">
        <f>VLOOKUP(A947,AMD!A946:C2201,3)</f>
        <v>170.97</v>
      </c>
      <c r="F947" s="1">
        <f>VLOOKUP(A947,AMZN!A946:C2201,3)</f>
        <v>180.8</v>
      </c>
      <c r="G947" s="1">
        <f>VLOOKUP(A947,TSLA!A946:C2201,3)</f>
        <v>240.83</v>
      </c>
      <c r="H947" s="1">
        <f>VLOOKUP(A947,GOOGL!A946:C2201,3)</f>
        <v>162.79300000000001</v>
      </c>
      <c r="I947" s="1">
        <f>VLOOKUP(A947,META!A946:C2201,3)</f>
        <v>584.78</v>
      </c>
      <c r="J947" s="1">
        <f>VLOOKUP(A947,Nasdaq!A946:C2201,3)</f>
        <v>17923.900000000001</v>
      </c>
    </row>
    <row r="948" spans="1:10" x14ac:dyDescent="0.2">
      <c r="A948" s="2">
        <v>45573</v>
      </c>
      <c r="B948" s="1">
        <f>VLOOKUP(A948,AAPL!A947:C2202,3)</f>
        <v>224.506</v>
      </c>
      <c r="C948" s="1">
        <f>VLOOKUP(A948,MSFT!A947:C2202,3)</f>
        <v>413.88200000000001</v>
      </c>
      <c r="D948" s="1">
        <f>VLOOKUP(A948,NVDA!A947:C2202,3)</f>
        <v>132.881</v>
      </c>
      <c r="E948" s="1">
        <f>VLOOKUP(A948,AMD!A947:C2202,3)</f>
        <v>172.8</v>
      </c>
      <c r="F948" s="1">
        <f>VLOOKUP(A948,AMZN!A947:C2202,3)</f>
        <v>182.72</v>
      </c>
      <c r="G948" s="1">
        <f>VLOOKUP(A948,TSLA!A947:C2202,3)</f>
        <v>244.5</v>
      </c>
      <c r="H948" s="1">
        <f>VLOOKUP(A948,GOOGL!A947:C2202,3)</f>
        <v>164.19200000000001</v>
      </c>
      <c r="I948" s="1">
        <f>VLOOKUP(A948,META!A947:C2202,3)</f>
        <v>592.89</v>
      </c>
      <c r="J948" s="1">
        <f>VLOOKUP(A948,Nasdaq!A947:C2202,3)</f>
        <v>18182.919999999998</v>
      </c>
    </row>
    <row r="949" spans="1:10" x14ac:dyDescent="0.2">
      <c r="A949" s="2">
        <v>45574</v>
      </c>
      <c r="B949" s="1">
        <f>VLOOKUP(A949,AAPL!A948:C2203,3)</f>
        <v>228.256</v>
      </c>
      <c r="C949" s="1">
        <f>VLOOKUP(A949,MSFT!A948:C2203,3)</f>
        <v>416.62599999999998</v>
      </c>
      <c r="D949" s="1">
        <f>VLOOKUP(A949,NVDA!A948:C2203,3)</f>
        <v>132.64099999999999</v>
      </c>
      <c r="E949" s="1">
        <f>VLOOKUP(A949,AMD!A948:C2203,3)</f>
        <v>171.02</v>
      </c>
      <c r="F949" s="1">
        <f>VLOOKUP(A949,AMZN!A948:C2203,3)</f>
        <v>185.17</v>
      </c>
      <c r="G949" s="1">
        <f>VLOOKUP(A949,TSLA!A948:C2203,3)</f>
        <v>241.05</v>
      </c>
      <c r="H949" s="1">
        <f>VLOOKUP(A949,GOOGL!A948:C2203,3)</f>
        <v>161.67500000000001</v>
      </c>
      <c r="I949" s="1">
        <f>VLOOKUP(A949,META!A948:C2203,3)</f>
        <v>590.51</v>
      </c>
      <c r="J949" s="1">
        <f>VLOOKUP(A949,Nasdaq!A948:C2203,3)</f>
        <v>18291.62</v>
      </c>
    </row>
    <row r="950" spans="1:10" x14ac:dyDescent="0.2">
      <c r="A950" s="2">
        <v>45575</v>
      </c>
      <c r="B950" s="1">
        <f>VLOOKUP(A950,AAPL!A949:C2204,3)</f>
        <v>227.75800000000001</v>
      </c>
      <c r="C950" s="1">
        <f>VLOOKUP(A950,MSFT!A949:C2204,3)</f>
        <v>415.00900000000001</v>
      </c>
      <c r="D950" s="1">
        <f>VLOOKUP(A950,NVDA!A949:C2204,3)</f>
        <v>134.80099999999999</v>
      </c>
      <c r="E950" s="1">
        <f>VLOOKUP(A950,AMD!A949:C2204,3)</f>
        <v>164.18</v>
      </c>
      <c r="F950" s="1">
        <f>VLOOKUP(A950,AMZN!A949:C2204,3)</f>
        <v>186.65</v>
      </c>
      <c r="G950" s="1">
        <f>VLOOKUP(A950,TSLA!A949:C2204,3)</f>
        <v>238.77</v>
      </c>
      <c r="H950" s="1">
        <f>VLOOKUP(A950,GOOGL!A949:C2204,3)</f>
        <v>161.89400000000001</v>
      </c>
      <c r="I950" s="1">
        <f>VLOOKUP(A950,META!A949:C2204,3)</f>
        <v>583.83000000000004</v>
      </c>
      <c r="J950" s="1">
        <f>VLOOKUP(A950,Nasdaq!A949:C2204,3)</f>
        <v>18282.05</v>
      </c>
    </row>
    <row r="951" spans="1:10" x14ac:dyDescent="0.2">
      <c r="A951" s="2">
        <v>45576</v>
      </c>
      <c r="B951" s="1">
        <f>VLOOKUP(A951,AAPL!A950:C2205,3)</f>
        <v>226.27699999999999</v>
      </c>
      <c r="C951" s="1">
        <f>VLOOKUP(A951,MSFT!A950:C2205,3)</f>
        <v>415.488</v>
      </c>
      <c r="D951" s="1">
        <f>VLOOKUP(A951,NVDA!A950:C2205,3)</f>
        <v>134.791</v>
      </c>
      <c r="E951" s="1">
        <f>VLOOKUP(A951,AMD!A950:C2205,3)</f>
        <v>167.89</v>
      </c>
      <c r="F951" s="1">
        <f>VLOOKUP(A951,AMZN!A950:C2205,3)</f>
        <v>188.82</v>
      </c>
      <c r="G951" s="1">
        <f>VLOOKUP(A951,TSLA!A950:C2205,3)</f>
        <v>217.8</v>
      </c>
      <c r="H951" s="1">
        <f>VLOOKUP(A951,GOOGL!A950:C2205,3)</f>
        <v>163.053</v>
      </c>
      <c r="I951" s="1">
        <f>VLOOKUP(A951,META!A950:C2205,3)</f>
        <v>589.95000000000005</v>
      </c>
      <c r="J951" s="1">
        <f>VLOOKUP(A951,Nasdaq!A950:C2205,3)</f>
        <v>18342.939999999999</v>
      </c>
    </row>
    <row r="952" spans="1:10" x14ac:dyDescent="0.2">
      <c r="A952" s="2">
        <v>45579</v>
      </c>
      <c r="B952" s="1">
        <f>VLOOKUP(A952,AAPL!A951:C2206,3)</f>
        <v>230.006</v>
      </c>
      <c r="C952" s="1">
        <f>VLOOKUP(A952,MSFT!A951:C2206,3)</f>
        <v>418.303</v>
      </c>
      <c r="D952" s="1">
        <f>VLOOKUP(A952,NVDA!A951:C2206,3)</f>
        <v>138.06</v>
      </c>
      <c r="E952" s="1">
        <f>VLOOKUP(A952,AMD!A951:C2206,3)</f>
        <v>165.27</v>
      </c>
      <c r="F952" s="1">
        <f>VLOOKUP(A952,AMZN!A951:C2206,3)</f>
        <v>187.54</v>
      </c>
      <c r="G952" s="1">
        <f>VLOOKUP(A952,TSLA!A951:C2206,3)</f>
        <v>219.16</v>
      </c>
      <c r="H952" s="1">
        <f>VLOOKUP(A952,GOOGL!A951:C2206,3)</f>
        <v>164.77099999999999</v>
      </c>
      <c r="I952" s="1">
        <f>VLOOKUP(A952,META!A951:C2206,3)</f>
        <v>590.41999999999996</v>
      </c>
      <c r="J952" s="1">
        <f>VLOOKUP(A952,Nasdaq!A951:C2206,3)</f>
        <v>18502.689999999999</v>
      </c>
    </row>
    <row r="953" spans="1:10" x14ac:dyDescent="0.2">
      <c r="A953" s="2">
        <v>45580</v>
      </c>
      <c r="B953" s="1">
        <f>VLOOKUP(A953,AAPL!A952:C2207,3)</f>
        <v>232.541</v>
      </c>
      <c r="C953" s="1">
        <f>VLOOKUP(A953,MSFT!A952:C2207,3)</f>
        <v>417.904</v>
      </c>
      <c r="D953" s="1">
        <f>VLOOKUP(A953,NVDA!A952:C2207,3)</f>
        <v>131.59100000000001</v>
      </c>
      <c r="E953" s="1">
        <f>VLOOKUP(A953,AMD!A952:C2207,3)</f>
        <v>156.63999999999999</v>
      </c>
      <c r="F953" s="1">
        <f>VLOOKUP(A953,AMZN!A952:C2207,3)</f>
        <v>187.69</v>
      </c>
      <c r="G953" s="1">
        <f>VLOOKUP(A953,TSLA!A952:C2207,3)</f>
        <v>219.57</v>
      </c>
      <c r="H953" s="1">
        <f>VLOOKUP(A953,GOOGL!A952:C2207,3)</f>
        <v>165.27099999999999</v>
      </c>
      <c r="I953" s="1">
        <f>VLOOKUP(A953,META!A952:C2207,3)</f>
        <v>586.27</v>
      </c>
      <c r="J953" s="1">
        <f>VLOOKUP(A953,Nasdaq!A952:C2207,3)</f>
        <v>18315.59</v>
      </c>
    </row>
    <row r="954" spans="1:10" x14ac:dyDescent="0.2">
      <c r="A954" s="2">
        <v>45581</v>
      </c>
      <c r="B954" s="1">
        <f>VLOOKUP(A954,AAPL!A953:C2208,3)</f>
        <v>230.483</v>
      </c>
      <c r="C954" s="1">
        <f>VLOOKUP(A954,MSFT!A953:C2208,3)</f>
        <v>415.28899999999999</v>
      </c>
      <c r="D954" s="1">
        <f>VLOOKUP(A954,NVDA!A953:C2208,3)</f>
        <v>135.71100000000001</v>
      </c>
      <c r="E954" s="1">
        <f>VLOOKUP(A954,AMD!A953:C2208,3)</f>
        <v>156.13</v>
      </c>
      <c r="F954" s="1">
        <f>VLOOKUP(A954,AMZN!A953:C2208,3)</f>
        <v>186.89</v>
      </c>
      <c r="G954" s="1">
        <f>VLOOKUP(A954,TSLA!A953:C2208,3)</f>
        <v>221.33</v>
      </c>
      <c r="H954" s="1">
        <f>VLOOKUP(A954,GOOGL!A953:C2208,3)</f>
        <v>164.971</v>
      </c>
      <c r="I954" s="1">
        <f>VLOOKUP(A954,META!A953:C2208,3)</f>
        <v>576.79</v>
      </c>
      <c r="J954" s="1">
        <f>VLOOKUP(A954,Nasdaq!A953:C2208,3)</f>
        <v>18367.080000000002</v>
      </c>
    </row>
    <row r="955" spans="1:10" x14ac:dyDescent="0.2">
      <c r="A955" s="2">
        <v>45582</v>
      </c>
      <c r="B955" s="1">
        <f>VLOOKUP(A955,AAPL!A954:C2209,3)</f>
        <v>230.851</v>
      </c>
      <c r="C955" s="1">
        <f>VLOOKUP(A955,MSFT!A954:C2209,3)</f>
        <v>415.88799999999998</v>
      </c>
      <c r="D955" s="1">
        <f>VLOOKUP(A955,NVDA!A954:C2209,3)</f>
        <v>136.92099999999999</v>
      </c>
      <c r="E955" s="1">
        <f>VLOOKUP(A955,AMD!A954:C2209,3)</f>
        <v>156.25</v>
      </c>
      <c r="F955" s="1">
        <f>VLOOKUP(A955,AMZN!A954:C2209,3)</f>
        <v>187.53</v>
      </c>
      <c r="G955" s="1">
        <f>VLOOKUP(A955,TSLA!A954:C2209,3)</f>
        <v>220.89</v>
      </c>
      <c r="H955" s="1">
        <f>VLOOKUP(A955,GOOGL!A954:C2209,3)</f>
        <v>162.74299999999999</v>
      </c>
      <c r="I955" s="1">
        <f>VLOOKUP(A955,META!A954:C2209,3)</f>
        <v>576.92999999999995</v>
      </c>
      <c r="J955" s="1">
        <f>VLOOKUP(A955,Nasdaq!A954:C2209,3)</f>
        <v>18373.61</v>
      </c>
    </row>
    <row r="956" spans="1:10" x14ac:dyDescent="0.2">
      <c r="A956" s="2">
        <v>45583</v>
      </c>
      <c r="B956" s="1">
        <f>VLOOKUP(A956,AAPL!A955:C2210,3)</f>
        <v>233.685</v>
      </c>
      <c r="C956" s="1">
        <f>VLOOKUP(A956,MSFT!A955:C2210,3)</f>
        <v>417.32499999999999</v>
      </c>
      <c r="D956" s="1">
        <f>VLOOKUP(A956,NVDA!A955:C2210,3)</f>
        <v>137.99</v>
      </c>
      <c r="E956" s="1">
        <f>VLOOKUP(A956,AMD!A955:C2210,3)</f>
        <v>155.97</v>
      </c>
      <c r="F956" s="1">
        <f>VLOOKUP(A956,AMZN!A955:C2210,3)</f>
        <v>188.99</v>
      </c>
      <c r="G956" s="1">
        <f>VLOOKUP(A956,TSLA!A955:C2210,3)</f>
        <v>220.7</v>
      </c>
      <c r="H956" s="1">
        <f>VLOOKUP(A956,GOOGL!A955:C2210,3)</f>
        <v>163.233</v>
      </c>
      <c r="I956" s="1">
        <f>VLOOKUP(A956,META!A955:C2210,3)</f>
        <v>576.47</v>
      </c>
      <c r="J956" s="1">
        <f>VLOOKUP(A956,Nasdaq!A955:C2210,3)</f>
        <v>18489.55</v>
      </c>
    </row>
    <row r="957" spans="1:10" x14ac:dyDescent="0.2">
      <c r="A957" s="2">
        <v>45586</v>
      </c>
      <c r="B957" s="1">
        <f>VLOOKUP(A957,AAPL!A956:C2211,3)</f>
        <v>235.15700000000001</v>
      </c>
      <c r="C957" s="1">
        <f>VLOOKUP(A957,MSFT!A956:C2211,3)</f>
        <v>417.94299999999998</v>
      </c>
      <c r="D957" s="1">
        <f>VLOOKUP(A957,NVDA!A956:C2211,3)</f>
        <v>143.69999999999999</v>
      </c>
      <c r="E957" s="1">
        <f>VLOOKUP(A957,AMD!A956:C2211,3)</f>
        <v>157.9</v>
      </c>
      <c r="F957" s="1">
        <f>VLOOKUP(A957,AMZN!A956:C2211,3)</f>
        <v>189.07</v>
      </c>
      <c r="G957" s="1">
        <f>VLOOKUP(A957,TSLA!A956:C2211,3)</f>
        <v>218.85</v>
      </c>
      <c r="H957" s="1">
        <f>VLOOKUP(A957,GOOGL!A956:C2211,3)</f>
        <v>163.88200000000001</v>
      </c>
      <c r="I957" s="1">
        <f>VLOOKUP(A957,META!A956:C2211,3)</f>
        <v>575.16</v>
      </c>
      <c r="J957" s="1">
        <f>VLOOKUP(A957,Nasdaq!A956:C2211,3)</f>
        <v>18540.009999999998</v>
      </c>
    </row>
    <row r="958" spans="1:10" x14ac:dyDescent="0.2">
      <c r="A958" s="2">
        <v>45587</v>
      </c>
      <c r="B958" s="1">
        <f>VLOOKUP(A958,AAPL!A957:C2212,3)</f>
        <v>234.541</v>
      </c>
      <c r="C958" s="1">
        <f>VLOOKUP(A958,MSFT!A957:C2212,3)</f>
        <v>426.65600000000001</v>
      </c>
      <c r="D958" s="1">
        <f>VLOOKUP(A958,NVDA!A957:C2212,3)</f>
        <v>143.58000000000001</v>
      </c>
      <c r="E958" s="1">
        <f>VLOOKUP(A958,AMD!A957:C2212,3)</f>
        <v>154.09</v>
      </c>
      <c r="F958" s="1">
        <f>VLOOKUP(A958,AMZN!A957:C2212,3)</f>
        <v>189.7</v>
      </c>
      <c r="G958" s="1">
        <f>VLOOKUP(A958,TSLA!A957:C2212,3)</f>
        <v>217.97</v>
      </c>
      <c r="H958" s="1">
        <f>VLOOKUP(A958,GOOGL!A957:C2212,3)</f>
        <v>164.95099999999999</v>
      </c>
      <c r="I958" s="1">
        <f>VLOOKUP(A958,META!A957:C2212,3)</f>
        <v>582.01</v>
      </c>
      <c r="J958" s="1">
        <f>VLOOKUP(A958,Nasdaq!A957:C2212,3)</f>
        <v>18573.13</v>
      </c>
    </row>
    <row r="959" spans="1:10" x14ac:dyDescent="0.2">
      <c r="A959" s="2">
        <v>45588</v>
      </c>
      <c r="B959" s="1">
        <f>VLOOKUP(A959,AAPL!A958:C2213,3)</f>
        <v>229.46799999999999</v>
      </c>
      <c r="C959" s="1">
        <f>VLOOKUP(A959,MSFT!A958:C2213,3)</f>
        <v>423.75200000000001</v>
      </c>
      <c r="D959" s="1">
        <f>VLOOKUP(A959,NVDA!A958:C2213,3)</f>
        <v>139.55000000000001</v>
      </c>
      <c r="E959" s="1">
        <f>VLOOKUP(A959,AMD!A958:C2213,3)</f>
        <v>152.91</v>
      </c>
      <c r="F959" s="1">
        <f>VLOOKUP(A959,AMZN!A958:C2213,3)</f>
        <v>184.71</v>
      </c>
      <c r="G959" s="1">
        <f>VLOOKUP(A959,TSLA!A958:C2213,3)</f>
        <v>213.65</v>
      </c>
      <c r="H959" s="1">
        <f>VLOOKUP(A959,GOOGL!A958:C2213,3)</f>
        <v>162.59399999999999</v>
      </c>
      <c r="I959" s="1">
        <f>VLOOKUP(A959,META!A958:C2213,3)</f>
        <v>563.69000000000005</v>
      </c>
      <c r="J959" s="1">
        <f>VLOOKUP(A959,Nasdaq!A958:C2213,3)</f>
        <v>18276.650000000001</v>
      </c>
    </row>
    <row r="960" spans="1:10" x14ac:dyDescent="0.2">
      <c r="A960" s="2">
        <v>45589</v>
      </c>
      <c r="B960" s="1">
        <f>VLOOKUP(A960,AAPL!A959:C2214,3)</f>
        <v>229.28100000000001</v>
      </c>
      <c r="C960" s="1">
        <f>VLOOKUP(A960,MSFT!A959:C2214,3)</f>
        <v>423.88200000000001</v>
      </c>
      <c r="D960" s="1">
        <f>VLOOKUP(A960,NVDA!A959:C2214,3)</f>
        <v>140.4</v>
      </c>
      <c r="E960" s="1">
        <f>VLOOKUP(A960,AMD!A959:C2214,3)</f>
        <v>153.44</v>
      </c>
      <c r="F960" s="1">
        <f>VLOOKUP(A960,AMZN!A959:C2214,3)</f>
        <v>186.38</v>
      </c>
      <c r="G960" s="1">
        <f>VLOOKUP(A960,TSLA!A959:C2214,3)</f>
        <v>260.48</v>
      </c>
      <c r="H960" s="1">
        <f>VLOOKUP(A960,GOOGL!A959:C2214,3)</f>
        <v>162.53399999999999</v>
      </c>
      <c r="I960" s="1">
        <f>VLOOKUP(A960,META!A959:C2214,3)</f>
        <v>567.78</v>
      </c>
      <c r="J960" s="1">
        <f>VLOOKUP(A960,Nasdaq!A959:C2214,3)</f>
        <v>18415.490000000002</v>
      </c>
    </row>
    <row r="961" spans="1:10" x14ac:dyDescent="0.2">
      <c r="A961" s="2">
        <v>45590</v>
      </c>
      <c r="B961" s="1">
        <f>VLOOKUP(A961,AAPL!A960:C2215,3)</f>
        <v>230.11600000000001</v>
      </c>
      <c r="C961" s="1">
        <f>VLOOKUP(A961,MSFT!A960:C2215,3)</f>
        <v>427.29500000000002</v>
      </c>
      <c r="D961" s="1">
        <f>VLOOKUP(A961,NVDA!A960:C2215,3)</f>
        <v>141.53</v>
      </c>
      <c r="E961" s="1">
        <f>VLOOKUP(A961,AMD!A960:C2215,3)</f>
        <v>156.22999999999999</v>
      </c>
      <c r="F961" s="1">
        <f>VLOOKUP(A961,AMZN!A960:C2215,3)</f>
        <v>187.83</v>
      </c>
      <c r="G961" s="1">
        <f>VLOOKUP(A961,TSLA!A960:C2215,3)</f>
        <v>269.19</v>
      </c>
      <c r="H961" s="1">
        <f>VLOOKUP(A961,GOOGL!A960:C2215,3)</f>
        <v>165.08099999999999</v>
      </c>
      <c r="I961" s="1">
        <f>VLOOKUP(A961,META!A960:C2215,3)</f>
        <v>573.25</v>
      </c>
      <c r="J961" s="1">
        <f>VLOOKUP(A961,Nasdaq!A960:C2215,3)</f>
        <v>18518.61</v>
      </c>
    </row>
    <row r="962" spans="1:10" x14ac:dyDescent="0.2">
      <c r="A962" s="2">
        <v>45593</v>
      </c>
      <c r="B962" s="1">
        <f>VLOOKUP(A962,AAPL!A961:C2216,3)</f>
        <v>232.09299999999999</v>
      </c>
      <c r="C962" s="1">
        <f>VLOOKUP(A962,MSFT!A961:C2216,3)</f>
        <v>425.738</v>
      </c>
      <c r="D962" s="1">
        <f>VLOOKUP(A962,NVDA!A961:C2216,3)</f>
        <v>140.51</v>
      </c>
      <c r="E962" s="1">
        <f>VLOOKUP(A962,AMD!A961:C2216,3)</f>
        <v>159.91999999999999</v>
      </c>
      <c r="F962" s="1">
        <f>VLOOKUP(A962,AMZN!A961:C2216,3)</f>
        <v>188.39</v>
      </c>
      <c r="G962" s="1">
        <f>VLOOKUP(A962,TSLA!A961:C2216,3)</f>
        <v>262.51</v>
      </c>
      <c r="H962" s="1">
        <f>VLOOKUP(A962,GOOGL!A961:C2216,3)</f>
        <v>166.529</v>
      </c>
      <c r="I962" s="1">
        <f>VLOOKUP(A962,META!A961:C2216,3)</f>
        <v>578.16</v>
      </c>
      <c r="J962" s="1">
        <f>VLOOKUP(A962,Nasdaq!A961:C2216,3)</f>
        <v>18567.189999999999</v>
      </c>
    </row>
    <row r="963" spans="1:10" x14ac:dyDescent="0.2">
      <c r="A963" s="2">
        <v>45594</v>
      </c>
      <c r="B963" s="1">
        <f>VLOOKUP(A963,AAPL!A962:C2217,3)</f>
        <v>232.363</v>
      </c>
      <c r="C963" s="1">
        <f>VLOOKUP(A963,MSFT!A962:C2217,3)</f>
        <v>431.08699999999999</v>
      </c>
      <c r="D963" s="1">
        <f>VLOOKUP(A963,NVDA!A962:C2217,3)</f>
        <v>141.24</v>
      </c>
      <c r="E963" s="1">
        <f>VLOOKUP(A963,AMD!A962:C2217,3)</f>
        <v>166.25</v>
      </c>
      <c r="F963" s="1">
        <f>VLOOKUP(A963,AMZN!A962:C2217,3)</f>
        <v>190.83</v>
      </c>
      <c r="G963" s="1">
        <f>VLOOKUP(A963,TSLA!A962:C2217,3)</f>
        <v>259.52</v>
      </c>
      <c r="H963" s="1">
        <f>VLOOKUP(A963,GOOGL!A962:C2217,3)</f>
        <v>169.48599999999999</v>
      </c>
      <c r="I963" s="1">
        <f>VLOOKUP(A963,META!A962:C2217,3)</f>
        <v>593.28</v>
      </c>
      <c r="J963" s="1">
        <f>VLOOKUP(A963,Nasdaq!A962:C2217,3)</f>
        <v>18712.75</v>
      </c>
    </row>
    <row r="964" spans="1:10" x14ac:dyDescent="0.2">
      <c r="A964" s="2">
        <v>45595</v>
      </c>
      <c r="B964" s="1">
        <f>VLOOKUP(A964,AAPL!A963:C2218,3)</f>
        <v>228.81200000000001</v>
      </c>
      <c r="C964" s="1">
        <f>VLOOKUP(A964,MSFT!A963:C2218,3)</f>
        <v>431.666</v>
      </c>
      <c r="D964" s="1">
        <f>VLOOKUP(A964,NVDA!A963:C2218,3)</f>
        <v>139.32499999999999</v>
      </c>
      <c r="E964" s="1">
        <f>VLOOKUP(A964,AMD!A963:C2218,3)</f>
        <v>148.6</v>
      </c>
      <c r="F964" s="1">
        <f>VLOOKUP(A964,AMZN!A963:C2218,3)</f>
        <v>192.73</v>
      </c>
      <c r="G964" s="1">
        <f>VLOOKUP(A964,TSLA!A963:C2218,3)</f>
        <v>257.55</v>
      </c>
      <c r="H964" s="1">
        <f>VLOOKUP(A964,GOOGL!A963:C2218,3)</f>
        <v>174.26</v>
      </c>
      <c r="I964" s="1">
        <f>VLOOKUP(A964,META!A963:C2218,3)</f>
        <v>591.79999999999995</v>
      </c>
      <c r="J964" s="1">
        <f>VLOOKUP(A964,Nasdaq!A963:C2218,3)</f>
        <v>18607.93</v>
      </c>
    </row>
    <row r="965" spans="1:10" x14ac:dyDescent="0.2">
      <c r="A965" s="2">
        <v>45596</v>
      </c>
      <c r="B965" s="1">
        <f>VLOOKUP(A965,AAPL!A964:C2219,3)</f>
        <v>224.64599999999999</v>
      </c>
      <c r="C965" s="1">
        <f>VLOOKUP(A965,MSFT!A964:C2219,3)</f>
        <v>405.53800000000001</v>
      </c>
      <c r="D965" s="1">
        <f>VLOOKUP(A965,NVDA!A964:C2219,3)</f>
        <v>132.751</v>
      </c>
      <c r="E965" s="1">
        <f>VLOOKUP(A965,AMD!A964:C2219,3)</f>
        <v>144.07</v>
      </c>
      <c r="F965" s="1">
        <f>VLOOKUP(A965,AMZN!A964:C2219,3)</f>
        <v>186.4</v>
      </c>
      <c r="G965" s="1">
        <f>VLOOKUP(A965,TSLA!A964:C2219,3)</f>
        <v>249.85</v>
      </c>
      <c r="H965" s="1">
        <f>VLOOKUP(A965,GOOGL!A964:C2219,3)</f>
        <v>170.91399999999999</v>
      </c>
      <c r="I965" s="1">
        <f>VLOOKUP(A965,META!A964:C2219,3)</f>
        <v>567.58000000000004</v>
      </c>
      <c r="J965" s="1">
        <f>VLOOKUP(A965,Nasdaq!A964:C2219,3)</f>
        <v>18095.150000000001</v>
      </c>
    </row>
    <row r="966" spans="1:10" x14ac:dyDescent="0.2">
      <c r="A966" s="2">
        <v>45597</v>
      </c>
      <c r="B966" s="1">
        <f>VLOOKUP(A966,AAPL!A965:C2220,3)</f>
        <v>221.66200000000001</v>
      </c>
      <c r="C966" s="1">
        <f>VLOOKUP(A966,MSFT!A965:C2220,3)</f>
        <v>409.55</v>
      </c>
      <c r="D966" s="1">
        <f>VLOOKUP(A966,NVDA!A965:C2220,3)</f>
        <v>135.36099999999999</v>
      </c>
      <c r="E966" s="1">
        <f>VLOOKUP(A966,AMD!A965:C2220,3)</f>
        <v>141.86000000000001</v>
      </c>
      <c r="F966" s="1">
        <f>VLOOKUP(A966,AMZN!A965:C2220,3)</f>
        <v>197.93</v>
      </c>
      <c r="G966" s="1">
        <f>VLOOKUP(A966,TSLA!A965:C2220,3)</f>
        <v>248.98</v>
      </c>
      <c r="H966" s="1">
        <f>VLOOKUP(A966,GOOGL!A965:C2220,3)</f>
        <v>171.09399999999999</v>
      </c>
      <c r="I966" s="1">
        <f>VLOOKUP(A966,META!A965:C2220,3)</f>
        <v>567.16</v>
      </c>
      <c r="J966" s="1">
        <f>VLOOKUP(A966,Nasdaq!A965:C2220,3)</f>
        <v>18239.919999999998</v>
      </c>
    </row>
    <row r="967" spans="1:10" x14ac:dyDescent="0.2">
      <c r="A967" s="2">
        <v>45600</v>
      </c>
      <c r="B967" s="1">
        <f>VLOOKUP(A967,AAPL!A966:C2221,3)</f>
        <v>220.767</v>
      </c>
      <c r="C967" s="1">
        <f>VLOOKUP(A967,MSFT!A966:C2221,3)</f>
        <v>407.64400000000001</v>
      </c>
      <c r="D967" s="1">
        <f>VLOOKUP(A967,NVDA!A966:C2221,3)</f>
        <v>136.041</v>
      </c>
      <c r="E967" s="1">
        <f>VLOOKUP(A967,AMD!A966:C2221,3)</f>
        <v>140.71</v>
      </c>
      <c r="F967" s="1">
        <f>VLOOKUP(A967,AMZN!A966:C2221,3)</f>
        <v>195.78</v>
      </c>
      <c r="G967" s="1">
        <f>VLOOKUP(A967,TSLA!A966:C2221,3)</f>
        <v>242.84</v>
      </c>
      <c r="H967" s="1">
        <f>VLOOKUP(A967,GOOGL!A966:C2221,3)</f>
        <v>169.04599999999999</v>
      </c>
      <c r="I967" s="1">
        <f>VLOOKUP(A967,META!A966:C2221,3)</f>
        <v>560.67999999999995</v>
      </c>
      <c r="J967" s="1">
        <f>VLOOKUP(A967,Nasdaq!A966:C2221,3)</f>
        <v>18179.98</v>
      </c>
    </row>
    <row r="968" spans="1:10" x14ac:dyDescent="0.2">
      <c r="A968" s="2">
        <v>45601</v>
      </c>
      <c r="B968" s="1">
        <f>VLOOKUP(A968,AAPL!A967:C2222,3)</f>
        <v>222.2</v>
      </c>
      <c r="C968" s="1">
        <f>VLOOKUP(A968,MSFT!A967:C2222,3)</f>
        <v>410.63799999999998</v>
      </c>
      <c r="D968" s="1">
        <f>VLOOKUP(A968,NVDA!A967:C2222,3)</f>
        <v>139.9</v>
      </c>
      <c r="E968" s="1">
        <f>VLOOKUP(A968,AMD!A967:C2222,3)</f>
        <v>141.66</v>
      </c>
      <c r="F968" s="1">
        <f>VLOOKUP(A968,AMZN!A967:C2222,3)</f>
        <v>199.5</v>
      </c>
      <c r="G968" s="1">
        <f>VLOOKUP(A968,TSLA!A967:C2222,3)</f>
        <v>251.44</v>
      </c>
      <c r="H968" s="1">
        <f>VLOOKUP(A968,GOOGL!A967:C2222,3)</f>
        <v>169.54599999999999</v>
      </c>
      <c r="I968" s="1">
        <f>VLOOKUP(A968,META!A967:C2222,3)</f>
        <v>572.42999999999995</v>
      </c>
      <c r="J968" s="1">
        <f>VLOOKUP(A968,Nasdaq!A967:C2222,3)</f>
        <v>18439.169999999998</v>
      </c>
    </row>
    <row r="969" spans="1:10" x14ac:dyDescent="0.2">
      <c r="A969" s="2">
        <v>45602</v>
      </c>
      <c r="B969" s="1">
        <f>VLOOKUP(A969,AAPL!A968:C2223,3)</f>
        <v>221.47300000000001</v>
      </c>
      <c r="C969" s="1">
        <f>VLOOKUP(A969,MSFT!A968:C2223,3)</f>
        <v>419.34100000000001</v>
      </c>
      <c r="D969" s="1">
        <f>VLOOKUP(A969,NVDA!A968:C2223,3)</f>
        <v>145.6</v>
      </c>
      <c r="E969" s="1">
        <f>VLOOKUP(A969,AMD!A968:C2223,3)</f>
        <v>145.1</v>
      </c>
      <c r="F969" s="1">
        <f>VLOOKUP(A969,AMZN!A968:C2223,3)</f>
        <v>207.09</v>
      </c>
      <c r="G969" s="1">
        <f>VLOOKUP(A969,TSLA!A968:C2223,3)</f>
        <v>288.52999999999997</v>
      </c>
      <c r="H969" s="1">
        <f>VLOOKUP(A969,GOOGL!A968:C2223,3)</f>
        <v>176.30799999999999</v>
      </c>
      <c r="I969" s="1">
        <f>VLOOKUP(A969,META!A968:C2223,3)</f>
        <v>572.04999999999995</v>
      </c>
      <c r="J969" s="1">
        <f>VLOOKUP(A969,Nasdaq!A968:C2223,3)</f>
        <v>18983.46</v>
      </c>
    </row>
    <row r="970" spans="1:10" x14ac:dyDescent="0.2">
      <c r="A970" s="2">
        <v>45603</v>
      </c>
      <c r="B970" s="1">
        <f>VLOOKUP(A970,AAPL!A969:C2224,3)</f>
        <v>226.20699999999999</v>
      </c>
      <c r="C970" s="1">
        <f>VLOOKUP(A970,MSFT!A969:C2224,3)</f>
        <v>424.58</v>
      </c>
      <c r="D970" s="1">
        <f>VLOOKUP(A970,NVDA!A969:C2224,3)</f>
        <v>148.87</v>
      </c>
      <c r="E970" s="1">
        <f>VLOOKUP(A970,AMD!A969:C2224,3)</f>
        <v>149.82</v>
      </c>
      <c r="F970" s="1">
        <f>VLOOKUP(A970,AMZN!A969:C2224,3)</f>
        <v>210.05</v>
      </c>
      <c r="G970" s="1">
        <f>VLOOKUP(A970,TSLA!A969:C2224,3)</f>
        <v>296.91000000000003</v>
      </c>
      <c r="H970" s="1">
        <f>VLOOKUP(A970,GOOGL!A969:C2224,3)</f>
        <v>180.54300000000001</v>
      </c>
      <c r="I970" s="1">
        <f>VLOOKUP(A970,META!A969:C2224,3)</f>
        <v>591.70000000000005</v>
      </c>
      <c r="J970" s="1">
        <f>VLOOKUP(A970,Nasdaq!A969:C2224,3)</f>
        <v>19269.46</v>
      </c>
    </row>
    <row r="971" spans="1:10" x14ac:dyDescent="0.2">
      <c r="A971" s="2">
        <v>45604</v>
      </c>
      <c r="B971" s="1">
        <f>VLOOKUP(A971,AAPL!A970:C2225,3)</f>
        <v>225.93799999999999</v>
      </c>
      <c r="C971" s="1">
        <f>VLOOKUP(A971,MSFT!A970:C2225,3)</f>
        <v>421.69600000000003</v>
      </c>
      <c r="D971" s="1">
        <f>VLOOKUP(A971,NVDA!A970:C2225,3)</f>
        <v>147.62</v>
      </c>
      <c r="E971" s="1">
        <f>VLOOKUP(A971,AMD!A970:C2225,3)</f>
        <v>147.94999999999999</v>
      </c>
      <c r="F971" s="1">
        <f>VLOOKUP(A971,AMZN!A970:C2225,3)</f>
        <v>208.18</v>
      </c>
      <c r="G971" s="1">
        <f>VLOOKUP(A971,TSLA!A970:C2225,3)</f>
        <v>321.22000000000003</v>
      </c>
      <c r="H971" s="1">
        <f>VLOOKUP(A971,GOOGL!A970:C2225,3)</f>
        <v>178.14599999999999</v>
      </c>
      <c r="I971" s="1">
        <f>VLOOKUP(A971,META!A970:C2225,3)</f>
        <v>589.34</v>
      </c>
      <c r="J971" s="1">
        <f>VLOOKUP(A971,Nasdaq!A970:C2225,3)</f>
        <v>19286.78</v>
      </c>
    </row>
    <row r="972" spans="1:10" x14ac:dyDescent="0.2">
      <c r="A972" s="2">
        <v>45607</v>
      </c>
      <c r="B972" s="1">
        <f>VLOOKUP(A972,AAPL!A971:C2226,3)</f>
        <v>223.221</v>
      </c>
      <c r="C972" s="1">
        <f>VLOOKUP(A972,MSFT!A971:C2226,3)</f>
        <v>417.17500000000001</v>
      </c>
      <c r="D972" s="1">
        <f>VLOOKUP(A972,NVDA!A971:C2226,3)</f>
        <v>145.25</v>
      </c>
      <c r="E972" s="1">
        <f>VLOOKUP(A972,AMD!A971:C2226,3)</f>
        <v>147.35</v>
      </c>
      <c r="F972" s="1">
        <f>VLOOKUP(A972,AMZN!A971:C2226,3)</f>
        <v>206.84</v>
      </c>
      <c r="G972" s="1">
        <f>VLOOKUP(A972,TSLA!A971:C2226,3)</f>
        <v>350</v>
      </c>
      <c r="H972" s="1">
        <f>VLOOKUP(A972,GOOGL!A971:C2226,3)</f>
        <v>180.14400000000001</v>
      </c>
      <c r="I972" s="1">
        <f>VLOOKUP(A972,META!A971:C2226,3)</f>
        <v>583.16999999999996</v>
      </c>
      <c r="J972" s="1">
        <f>VLOOKUP(A972,Nasdaq!A971:C2226,3)</f>
        <v>19298.759999999998</v>
      </c>
    </row>
    <row r="973" spans="1:10" x14ac:dyDescent="0.2">
      <c r="A973" s="2">
        <v>45608</v>
      </c>
      <c r="B973" s="1">
        <f>VLOOKUP(A973,AAPL!A972:C2227,3)</f>
        <v>223.221</v>
      </c>
      <c r="C973" s="1">
        <f>VLOOKUP(A973,MSFT!A972:C2227,3)</f>
        <v>422.185</v>
      </c>
      <c r="D973" s="1">
        <f>VLOOKUP(A973,NVDA!A972:C2227,3)</f>
        <v>148.28</v>
      </c>
      <c r="E973" s="1">
        <f>VLOOKUP(A973,AMD!A972:C2227,3)</f>
        <v>143.63</v>
      </c>
      <c r="F973" s="1">
        <f>VLOOKUP(A973,AMZN!A972:C2227,3)</f>
        <v>208.91</v>
      </c>
      <c r="G973" s="1">
        <f>VLOOKUP(A973,TSLA!A972:C2227,3)</f>
        <v>328.49</v>
      </c>
      <c r="H973" s="1">
        <f>VLOOKUP(A973,GOOGL!A972:C2227,3)</f>
        <v>181.41200000000001</v>
      </c>
      <c r="I973" s="1">
        <f>VLOOKUP(A973,META!A972:C2227,3)</f>
        <v>584.82000000000005</v>
      </c>
      <c r="J973" s="1">
        <f>VLOOKUP(A973,Nasdaq!A972:C2227,3)</f>
        <v>19281.400000000001</v>
      </c>
    </row>
    <row r="974" spans="1:10" x14ac:dyDescent="0.2">
      <c r="A974" s="2">
        <v>45609</v>
      </c>
      <c r="B974" s="1">
        <f>VLOOKUP(A974,AAPL!A973:C2228,3)</f>
        <v>224.107</v>
      </c>
      <c r="C974" s="1">
        <f>VLOOKUP(A974,MSFT!A973:C2228,3)</f>
        <v>424.351</v>
      </c>
      <c r="D974" s="1">
        <f>VLOOKUP(A974,NVDA!A973:C2228,3)</f>
        <v>146.26</v>
      </c>
      <c r="E974" s="1">
        <f>VLOOKUP(A974,AMD!A973:C2228,3)</f>
        <v>139.30000000000001</v>
      </c>
      <c r="F974" s="1">
        <f>VLOOKUP(A974,AMZN!A973:C2228,3)</f>
        <v>214.1</v>
      </c>
      <c r="G974" s="1">
        <f>VLOOKUP(A974,TSLA!A973:C2228,3)</f>
        <v>330.24</v>
      </c>
      <c r="H974" s="1">
        <f>VLOOKUP(A974,GOOGL!A973:C2228,3)</f>
        <v>178.67500000000001</v>
      </c>
      <c r="I974" s="1">
        <f>VLOOKUP(A974,META!A973:C2228,3)</f>
        <v>580</v>
      </c>
      <c r="J974" s="1">
        <f>VLOOKUP(A974,Nasdaq!A973:C2228,3)</f>
        <v>19230.72</v>
      </c>
    </row>
    <row r="975" spans="1:10" x14ac:dyDescent="0.2">
      <c r="A975" s="2">
        <v>45610</v>
      </c>
      <c r="B975" s="1">
        <f>VLOOKUP(A975,AAPL!A974:C2229,3)</f>
        <v>227.19200000000001</v>
      </c>
      <c r="C975" s="1">
        <f>VLOOKUP(A975,MSFT!A974:C2229,3)</f>
        <v>426.03699999999998</v>
      </c>
      <c r="D975" s="1">
        <f>VLOOKUP(A975,NVDA!A974:C2229,3)</f>
        <v>146.75</v>
      </c>
      <c r="E975" s="1">
        <f>VLOOKUP(A975,AMD!A974:C2229,3)</f>
        <v>138.84</v>
      </c>
      <c r="F975" s="1">
        <f>VLOOKUP(A975,AMZN!A974:C2229,3)</f>
        <v>211.48</v>
      </c>
      <c r="G975" s="1">
        <f>VLOOKUP(A975,TSLA!A974:C2229,3)</f>
        <v>311.18</v>
      </c>
      <c r="H975" s="1">
        <f>VLOOKUP(A975,GOOGL!A974:C2229,3)</f>
        <v>175.37899999999999</v>
      </c>
      <c r="I975" s="1">
        <f>VLOOKUP(A975,META!A974:C2229,3)</f>
        <v>577.16</v>
      </c>
      <c r="J975" s="1">
        <f>VLOOKUP(A975,Nasdaq!A974:C2229,3)</f>
        <v>19107.650000000001</v>
      </c>
    </row>
    <row r="976" spans="1:10" x14ac:dyDescent="0.2">
      <c r="A976" s="2">
        <v>45611</v>
      </c>
      <c r="B976" s="1">
        <f>VLOOKUP(A976,AAPL!A975:C2230,3)</f>
        <v>223.988</v>
      </c>
      <c r="C976" s="1">
        <f>VLOOKUP(A976,MSFT!A975:C2230,3)</f>
        <v>414.17099999999999</v>
      </c>
      <c r="D976" s="1">
        <f>VLOOKUP(A976,NVDA!A975:C2230,3)</f>
        <v>141.97</v>
      </c>
      <c r="E976" s="1">
        <f>VLOOKUP(A976,AMD!A975:C2230,3)</f>
        <v>134.9</v>
      </c>
      <c r="F976" s="1">
        <f>VLOOKUP(A976,AMZN!A975:C2230,3)</f>
        <v>202.61</v>
      </c>
      <c r="G976" s="1">
        <f>VLOOKUP(A976,TSLA!A975:C2230,3)</f>
        <v>320.72000000000003</v>
      </c>
      <c r="H976" s="1">
        <f>VLOOKUP(A976,GOOGL!A975:C2230,3)</f>
        <v>172.29300000000001</v>
      </c>
      <c r="I976" s="1">
        <f>VLOOKUP(A976,META!A975:C2230,3)</f>
        <v>554.08000000000004</v>
      </c>
      <c r="J976" s="1">
        <f>VLOOKUP(A976,Nasdaq!A975:C2230,3)</f>
        <v>18680.12</v>
      </c>
    </row>
    <row r="977" spans="1:10" x14ac:dyDescent="0.2">
      <c r="A977" s="2">
        <v>45614</v>
      </c>
      <c r="B977" s="1">
        <f>VLOOKUP(A977,AAPL!A976:C2231,3)</f>
        <v>226.994</v>
      </c>
      <c r="C977" s="1">
        <f>VLOOKUP(A977,MSFT!A976:C2231,3)</f>
        <v>414.92899999999997</v>
      </c>
      <c r="D977" s="1">
        <f>VLOOKUP(A977,NVDA!A976:C2231,3)</f>
        <v>140.13999999999999</v>
      </c>
      <c r="E977" s="1">
        <f>VLOOKUP(A977,AMD!A976:C2231,3)</f>
        <v>138.93</v>
      </c>
      <c r="F977" s="1">
        <f>VLOOKUP(A977,AMZN!A976:C2231,3)</f>
        <v>201.7</v>
      </c>
      <c r="G977" s="1">
        <f>VLOOKUP(A977,TSLA!A976:C2231,3)</f>
        <v>338.74</v>
      </c>
      <c r="H977" s="1">
        <f>VLOOKUP(A977,GOOGL!A976:C2231,3)</f>
        <v>175.09899999999999</v>
      </c>
      <c r="I977" s="1">
        <f>VLOOKUP(A977,META!A976:C2231,3)</f>
        <v>554.4</v>
      </c>
      <c r="J977" s="1">
        <f>VLOOKUP(A977,Nasdaq!A976:C2231,3)</f>
        <v>18791.810000000001</v>
      </c>
    </row>
    <row r="978" spans="1:10" x14ac:dyDescent="0.2">
      <c r="A978" s="2">
        <v>45615</v>
      </c>
      <c r="B978" s="1">
        <f>VLOOKUP(A978,AAPL!A977:C2232,3)</f>
        <v>227.25200000000001</v>
      </c>
      <c r="C978" s="1">
        <f>VLOOKUP(A978,MSFT!A977:C2232,3)</f>
        <v>416.95499999999998</v>
      </c>
      <c r="D978" s="1">
        <f>VLOOKUP(A978,NVDA!A977:C2232,3)</f>
        <v>147</v>
      </c>
      <c r="E978" s="1">
        <f>VLOOKUP(A978,AMD!A977:C2232,3)</f>
        <v>139.38999999999999</v>
      </c>
      <c r="F978" s="1">
        <f>VLOOKUP(A978,AMZN!A977:C2232,3)</f>
        <v>204.61</v>
      </c>
      <c r="G978" s="1">
        <f>VLOOKUP(A978,TSLA!A977:C2232,3)</f>
        <v>346</v>
      </c>
      <c r="H978" s="1">
        <f>VLOOKUP(A978,GOOGL!A977:C2232,3)</f>
        <v>177.916</v>
      </c>
      <c r="I978" s="1">
        <f>VLOOKUP(A978,META!A977:C2232,3)</f>
        <v>561.09</v>
      </c>
      <c r="J978" s="1">
        <f>VLOOKUP(A978,Nasdaq!A977:C2232,3)</f>
        <v>18987.47</v>
      </c>
    </row>
    <row r="979" spans="1:10" x14ac:dyDescent="0.2">
      <c r="A979" s="2">
        <v>45616</v>
      </c>
      <c r="B979" s="1">
        <f>VLOOKUP(A979,AAPL!A978:C2233,3)</f>
        <v>227.96799999999999</v>
      </c>
      <c r="C979" s="1">
        <f>VLOOKUP(A979,MSFT!A978:C2233,3)</f>
        <v>414.66</v>
      </c>
      <c r="D979" s="1">
        <f>VLOOKUP(A979,NVDA!A978:C2233,3)</f>
        <v>145.88</v>
      </c>
      <c r="E979" s="1">
        <f>VLOOKUP(A979,AMD!A978:C2233,3)</f>
        <v>137.6</v>
      </c>
      <c r="F979" s="1">
        <f>VLOOKUP(A979,AMZN!A978:C2233,3)</f>
        <v>202.88</v>
      </c>
      <c r="G979" s="1">
        <f>VLOOKUP(A979,TSLA!A978:C2233,3)</f>
        <v>342.03</v>
      </c>
      <c r="H979" s="1">
        <f>VLOOKUP(A979,GOOGL!A978:C2233,3)</f>
        <v>175.779</v>
      </c>
      <c r="I979" s="1">
        <f>VLOOKUP(A979,META!A978:C2233,3)</f>
        <v>565.52</v>
      </c>
      <c r="J979" s="1">
        <f>VLOOKUP(A979,Nasdaq!A978:C2233,3)</f>
        <v>18966.14</v>
      </c>
    </row>
    <row r="980" spans="1:10" x14ac:dyDescent="0.2">
      <c r="A980" s="2">
        <v>45617</v>
      </c>
      <c r="B980" s="1">
        <f>VLOOKUP(A980,AAPL!A979:C2234,3)</f>
        <v>227.49100000000001</v>
      </c>
      <c r="C980" s="1">
        <f>VLOOKUP(A980,MSFT!A979:C2234,3)</f>
        <v>412.87</v>
      </c>
      <c r="D980" s="1">
        <f>VLOOKUP(A980,NVDA!A979:C2234,3)</f>
        <v>146.66</v>
      </c>
      <c r="E980" s="1">
        <f>VLOOKUP(A980,AMD!A979:C2234,3)</f>
        <v>137.49</v>
      </c>
      <c r="F980" s="1">
        <f>VLOOKUP(A980,AMZN!A979:C2234,3)</f>
        <v>198.38</v>
      </c>
      <c r="G980" s="1">
        <f>VLOOKUP(A980,TSLA!A979:C2234,3)</f>
        <v>339.64</v>
      </c>
      <c r="H980" s="1">
        <f>VLOOKUP(A980,GOOGL!A979:C2234,3)</f>
        <v>167.43799999999999</v>
      </c>
      <c r="I980" s="1">
        <f>VLOOKUP(A980,META!A979:C2234,3)</f>
        <v>563.09</v>
      </c>
      <c r="J980" s="1">
        <f>VLOOKUP(A980,Nasdaq!A979:C2234,3)</f>
        <v>18972.419999999998</v>
      </c>
    </row>
    <row r="981" spans="1:10" x14ac:dyDescent="0.2">
      <c r="A981" s="2">
        <v>45618</v>
      </c>
      <c r="B981" s="1">
        <f>VLOOKUP(A981,AAPL!A980:C2235,3)</f>
        <v>228.83500000000001</v>
      </c>
      <c r="C981" s="1">
        <f>VLOOKUP(A981,MSFT!A980:C2235,3)</f>
        <v>417</v>
      </c>
      <c r="D981" s="1">
        <f>VLOOKUP(A981,NVDA!A980:C2235,3)</f>
        <v>141.94</v>
      </c>
      <c r="E981" s="1">
        <f>VLOOKUP(A981,AMD!A980:C2235,3)</f>
        <v>138.35</v>
      </c>
      <c r="F981" s="1">
        <f>VLOOKUP(A981,AMZN!A980:C2235,3)</f>
        <v>197.12</v>
      </c>
      <c r="G981" s="1">
        <f>VLOOKUP(A981,TSLA!A980:C2235,3)</f>
        <v>352.56</v>
      </c>
      <c r="H981" s="1">
        <f>VLOOKUP(A981,GOOGL!A980:C2235,3)</f>
        <v>164.571</v>
      </c>
      <c r="I981" s="1">
        <f>VLOOKUP(A981,META!A980:C2235,3)</f>
        <v>559.14</v>
      </c>
      <c r="J981" s="1">
        <f>VLOOKUP(A981,Nasdaq!A980:C2235,3)</f>
        <v>19003.650000000001</v>
      </c>
    </row>
    <row r="982" spans="1:10" x14ac:dyDescent="0.2">
      <c r="A982" s="2">
        <v>45621</v>
      </c>
      <c r="B982" s="1">
        <f>VLOOKUP(A982,AAPL!A981:C2236,3)</f>
        <v>231.821</v>
      </c>
      <c r="C982" s="1">
        <f>VLOOKUP(A982,MSFT!A981:C2236,3)</f>
        <v>418.79</v>
      </c>
      <c r="D982" s="1">
        <f>VLOOKUP(A982,NVDA!A981:C2236,3)</f>
        <v>136.011</v>
      </c>
      <c r="E982" s="1">
        <f>VLOOKUP(A982,AMD!A981:C2236,3)</f>
        <v>141.13</v>
      </c>
      <c r="F982" s="1">
        <f>VLOOKUP(A982,AMZN!A981:C2236,3)</f>
        <v>201.45</v>
      </c>
      <c r="G982" s="1">
        <f>VLOOKUP(A982,TSLA!A981:C2236,3)</f>
        <v>338.59</v>
      </c>
      <c r="H982" s="1">
        <f>VLOOKUP(A982,GOOGL!A981:C2236,3)</f>
        <v>167.458</v>
      </c>
      <c r="I982" s="1">
        <f>VLOOKUP(A982,META!A981:C2236,3)</f>
        <v>565.11</v>
      </c>
      <c r="J982" s="1">
        <f>VLOOKUP(A982,Nasdaq!A981:C2236,3)</f>
        <v>19054.84</v>
      </c>
    </row>
    <row r="983" spans="1:10" x14ac:dyDescent="0.2">
      <c r="A983" s="2">
        <v>45622</v>
      </c>
      <c r="B983" s="1">
        <f>VLOOKUP(A983,AAPL!A982:C2237,3)</f>
        <v>234.001</v>
      </c>
      <c r="C983" s="1">
        <f>VLOOKUP(A983,MSFT!A982:C2237,3)</f>
        <v>427.99</v>
      </c>
      <c r="D983" s="1">
        <f>VLOOKUP(A983,NVDA!A982:C2237,3)</f>
        <v>136.911</v>
      </c>
      <c r="E983" s="1">
        <f>VLOOKUP(A983,AMD!A982:C2237,3)</f>
        <v>137.72</v>
      </c>
      <c r="F983" s="1">
        <f>VLOOKUP(A983,AMZN!A982:C2237,3)</f>
        <v>207.86</v>
      </c>
      <c r="G983" s="1">
        <f>VLOOKUP(A983,TSLA!A982:C2237,3)</f>
        <v>338.23</v>
      </c>
      <c r="H983" s="1">
        <f>VLOOKUP(A983,GOOGL!A982:C2237,3)</f>
        <v>168.92599999999999</v>
      </c>
      <c r="I983" s="1">
        <f>VLOOKUP(A983,META!A982:C2237,3)</f>
        <v>573.54</v>
      </c>
      <c r="J983" s="1">
        <f>VLOOKUP(A983,Nasdaq!A982:C2237,3)</f>
        <v>19175.580000000002</v>
      </c>
    </row>
    <row r="984" spans="1:10" x14ac:dyDescent="0.2">
      <c r="A984" s="2">
        <v>45623</v>
      </c>
      <c r="B984" s="1">
        <f>VLOOKUP(A984,AAPL!A983:C2238,3)</f>
        <v>233.87200000000001</v>
      </c>
      <c r="C984" s="1">
        <f>VLOOKUP(A984,MSFT!A983:C2238,3)</f>
        <v>422.99</v>
      </c>
      <c r="D984" s="1">
        <f>VLOOKUP(A984,NVDA!A983:C2238,3)</f>
        <v>135.33099999999999</v>
      </c>
      <c r="E984" s="1">
        <f>VLOOKUP(A984,AMD!A983:C2238,3)</f>
        <v>136.24</v>
      </c>
      <c r="F984" s="1">
        <f>VLOOKUP(A984,AMZN!A983:C2238,3)</f>
        <v>205.74</v>
      </c>
      <c r="G984" s="1">
        <f>VLOOKUP(A984,TSLA!A983:C2238,3)</f>
        <v>332.89</v>
      </c>
      <c r="H984" s="1">
        <f>VLOOKUP(A984,GOOGL!A983:C2238,3)</f>
        <v>169.036</v>
      </c>
      <c r="I984" s="1">
        <f>VLOOKUP(A984,META!A983:C2238,3)</f>
        <v>569.20000000000005</v>
      </c>
      <c r="J984" s="1">
        <f>VLOOKUP(A984,Nasdaq!A983:C2238,3)</f>
        <v>19060.48</v>
      </c>
    </row>
    <row r="985" spans="1:10" x14ac:dyDescent="0.2">
      <c r="A985" s="2">
        <v>45625</v>
      </c>
      <c r="B985" s="1">
        <f>VLOOKUP(A985,AAPL!A984:C2239,3)</f>
        <v>236.262</v>
      </c>
      <c r="C985" s="1">
        <f>VLOOKUP(A985,MSFT!A984:C2239,3)</f>
        <v>423.46</v>
      </c>
      <c r="D985" s="1">
        <f>VLOOKUP(A985,NVDA!A984:C2239,3)</f>
        <v>138.24</v>
      </c>
      <c r="E985" s="1">
        <f>VLOOKUP(A985,AMD!A984:C2239,3)</f>
        <v>137.17500000000001</v>
      </c>
      <c r="F985" s="1">
        <f>VLOOKUP(A985,AMZN!A984:C2239,3)</f>
        <v>207.89</v>
      </c>
      <c r="G985" s="1">
        <f>VLOOKUP(A985,TSLA!A984:C2239,3)</f>
        <v>345.16</v>
      </c>
      <c r="H985" s="1">
        <f>VLOOKUP(A985,GOOGL!A984:C2239,3)</f>
        <v>168.75700000000001</v>
      </c>
      <c r="I985" s="1">
        <f>VLOOKUP(A985,META!A984:C2239,3)</f>
        <v>574.32000000000005</v>
      </c>
      <c r="J985" s="1">
        <f>VLOOKUP(A985,Nasdaq!A984:C2239,3)</f>
        <v>19218.169999999998</v>
      </c>
    </row>
    <row r="986" spans="1:10" x14ac:dyDescent="0.2">
      <c r="A986" s="2">
        <v>45628</v>
      </c>
      <c r="B986" s="1">
        <f>VLOOKUP(A986,AAPL!A985:C2240,3)</f>
        <v>238.512</v>
      </c>
      <c r="C986" s="1">
        <f>VLOOKUP(A986,MSFT!A985:C2240,3)</f>
        <v>430.98</v>
      </c>
      <c r="D986" s="1">
        <f>VLOOKUP(A986,NVDA!A985:C2240,3)</f>
        <v>138.62</v>
      </c>
      <c r="E986" s="1">
        <f>VLOOKUP(A986,AMD!A985:C2240,3)</f>
        <v>142.06</v>
      </c>
      <c r="F986" s="1">
        <f>VLOOKUP(A986,AMZN!A985:C2240,3)</f>
        <v>210.71</v>
      </c>
      <c r="G986" s="1">
        <f>VLOOKUP(A986,TSLA!A985:C2240,3)</f>
        <v>357.09</v>
      </c>
      <c r="H986" s="1">
        <f>VLOOKUP(A986,GOOGL!A985:C2240,3)</f>
        <v>171.29400000000001</v>
      </c>
      <c r="I986" s="1">
        <f>VLOOKUP(A986,META!A985:C2240,3)</f>
        <v>592.83000000000004</v>
      </c>
      <c r="J986" s="1">
        <f>VLOOKUP(A986,Nasdaq!A985:C2240,3)</f>
        <v>19403.95</v>
      </c>
    </row>
    <row r="987" spans="1:10" x14ac:dyDescent="0.2">
      <c r="A987" s="2">
        <v>45629</v>
      </c>
      <c r="B987" s="1">
        <f>VLOOKUP(A987,AAPL!A986:C2241,3)</f>
        <v>241.559</v>
      </c>
      <c r="C987" s="1">
        <f>VLOOKUP(A987,MSFT!A986:C2241,3)</f>
        <v>431.2</v>
      </c>
      <c r="D987" s="1">
        <f>VLOOKUP(A987,NVDA!A986:C2241,3)</f>
        <v>140.25</v>
      </c>
      <c r="E987" s="1">
        <f>VLOOKUP(A987,AMD!A986:C2241,3)</f>
        <v>141.97999999999999</v>
      </c>
      <c r="F987" s="1">
        <f>VLOOKUP(A987,AMZN!A986:C2241,3)</f>
        <v>213.44</v>
      </c>
      <c r="G987" s="1">
        <f>VLOOKUP(A987,TSLA!A986:C2241,3)</f>
        <v>351.42</v>
      </c>
      <c r="H987" s="1">
        <f>VLOOKUP(A987,GOOGL!A986:C2241,3)</f>
        <v>171.14400000000001</v>
      </c>
      <c r="I987" s="1">
        <f>VLOOKUP(A987,META!A986:C2241,3)</f>
        <v>613.65</v>
      </c>
      <c r="J987" s="1">
        <f>VLOOKUP(A987,Nasdaq!A986:C2241,3)</f>
        <v>19480.91</v>
      </c>
    </row>
    <row r="988" spans="1:10" x14ac:dyDescent="0.2">
      <c r="A988" s="2">
        <v>45630</v>
      </c>
      <c r="B988" s="1">
        <f>VLOOKUP(A988,AAPL!A987:C2242,3)</f>
        <v>241.91499999999999</v>
      </c>
      <c r="C988" s="1">
        <f>VLOOKUP(A988,MSFT!A987:C2242,3)</f>
        <v>437.42</v>
      </c>
      <c r="D988" s="1">
        <f>VLOOKUP(A988,NVDA!A987:C2242,3)</f>
        <v>145.13</v>
      </c>
      <c r="E988" s="1">
        <f>VLOOKUP(A988,AMD!A987:C2242,3)</f>
        <v>143.99</v>
      </c>
      <c r="F988" s="1">
        <f>VLOOKUP(A988,AMZN!A987:C2242,3)</f>
        <v>218.16</v>
      </c>
      <c r="G988" s="1">
        <f>VLOOKUP(A988,TSLA!A987:C2242,3)</f>
        <v>357.93</v>
      </c>
      <c r="H988" s="1">
        <f>VLOOKUP(A988,GOOGL!A987:C2242,3)</f>
        <v>174.17</v>
      </c>
      <c r="I988" s="1">
        <f>VLOOKUP(A988,META!A987:C2242,3)</f>
        <v>613.78</v>
      </c>
      <c r="J988" s="1">
        <f>VLOOKUP(A988,Nasdaq!A987:C2242,3)</f>
        <v>19735.12</v>
      </c>
    </row>
    <row r="989" spans="1:10" x14ac:dyDescent="0.2">
      <c r="A989" s="2">
        <v>45631</v>
      </c>
      <c r="B989" s="1">
        <f>VLOOKUP(A989,AAPL!A988:C2243,3)</f>
        <v>241.94499999999999</v>
      </c>
      <c r="C989" s="1">
        <f>VLOOKUP(A989,MSFT!A988:C2243,3)</f>
        <v>442.62</v>
      </c>
      <c r="D989" s="1">
        <f>VLOOKUP(A989,NVDA!A988:C2243,3)</f>
        <v>145.06</v>
      </c>
      <c r="E989" s="1">
        <f>VLOOKUP(A989,AMD!A988:C2243,3)</f>
        <v>141.36000000000001</v>
      </c>
      <c r="F989" s="1">
        <f>VLOOKUP(A989,AMZN!A988:C2243,3)</f>
        <v>220.55</v>
      </c>
      <c r="G989" s="1">
        <f>VLOOKUP(A989,TSLA!A988:C2243,3)</f>
        <v>369.49</v>
      </c>
      <c r="H989" s="1">
        <f>VLOOKUP(A989,GOOGL!A988:C2243,3)</f>
        <v>172.44200000000001</v>
      </c>
      <c r="I989" s="1">
        <f>VLOOKUP(A989,META!A988:C2243,3)</f>
        <v>608.92999999999995</v>
      </c>
      <c r="J989" s="1">
        <f>VLOOKUP(A989,Nasdaq!A988:C2243,3)</f>
        <v>19700.72</v>
      </c>
    </row>
    <row r="990" spans="1:10" x14ac:dyDescent="0.2">
      <c r="A990" s="2">
        <v>45632</v>
      </c>
      <c r="B990" s="1">
        <f>VLOOKUP(A990,AAPL!A989:C2244,3)</f>
        <v>241.74600000000001</v>
      </c>
      <c r="C990" s="1">
        <f>VLOOKUP(A990,MSFT!A989:C2244,3)</f>
        <v>443.57</v>
      </c>
      <c r="D990" s="1">
        <f>VLOOKUP(A990,NVDA!A989:C2244,3)</f>
        <v>142.44</v>
      </c>
      <c r="E990" s="1">
        <f>VLOOKUP(A990,AMD!A989:C2244,3)</f>
        <v>138.59</v>
      </c>
      <c r="F990" s="1">
        <f>VLOOKUP(A990,AMZN!A989:C2244,3)</f>
        <v>227.03</v>
      </c>
      <c r="G990" s="1">
        <f>VLOOKUP(A990,TSLA!A989:C2244,3)</f>
        <v>389.22</v>
      </c>
      <c r="H990" s="1">
        <f>VLOOKUP(A990,GOOGL!A989:C2244,3)</f>
        <v>174.51</v>
      </c>
      <c r="I990" s="1">
        <f>VLOOKUP(A990,META!A989:C2244,3)</f>
        <v>623.77</v>
      </c>
      <c r="J990" s="1">
        <f>VLOOKUP(A990,Nasdaq!A989:C2244,3)</f>
        <v>19859.77</v>
      </c>
    </row>
    <row r="991" spans="1:10" x14ac:dyDescent="0.2">
      <c r="A991" s="2">
        <v>45635</v>
      </c>
      <c r="B991" s="1">
        <f>VLOOKUP(A991,AAPL!A990:C2245,3)</f>
        <v>245.63900000000001</v>
      </c>
      <c r="C991" s="1">
        <f>VLOOKUP(A991,MSFT!A990:C2245,3)</f>
        <v>446.02</v>
      </c>
      <c r="D991" s="1">
        <f>VLOOKUP(A991,NVDA!A990:C2245,3)</f>
        <v>138.81</v>
      </c>
      <c r="E991" s="1">
        <f>VLOOKUP(A991,AMD!A990:C2245,3)</f>
        <v>130.87</v>
      </c>
      <c r="F991" s="1">
        <f>VLOOKUP(A991,AMZN!A990:C2245,3)</f>
        <v>226.09</v>
      </c>
      <c r="G991" s="1">
        <f>VLOOKUP(A991,TSLA!A990:C2245,3)</f>
        <v>389.79</v>
      </c>
      <c r="H991" s="1">
        <f>VLOOKUP(A991,GOOGL!A990:C2245,3)</f>
        <v>175.37</v>
      </c>
      <c r="I991" s="1">
        <f>VLOOKUP(A991,META!A990:C2245,3)</f>
        <v>613.57000000000005</v>
      </c>
      <c r="J991" s="1">
        <f>VLOOKUP(A991,Nasdaq!A990:C2245,3)</f>
        <v>19736.689999999999</v>
      </c>
    </row>
    <row r="992" spans="1:10" x14ac:dyDescent="0.2">
      <c r="A992" s="2">
        <v>45636</v>
      </c>
      <c r="B992" s="1">
        <f>VLOOKUP(A992,AAPL!A991:C2246,3)</f>
        <v>246.655</v>
      </c>
      <c r="C992" s="1">
        <f>VLOOKUP(A992,MSFT!A991:C2246,3)</f>
        <v>443.33</v>
      </c>
      <c r="D992" s="1">
        <f>VLOOKUP(A992,NVDA!A991:C2246,3)</f>
        <v>135.07</v>
      </c>
      <c r="E992" s="1">
        <f>VLOOKUP(A992,AMD!A991:C2246,3)</f>
        <v>127.74</v>
      </c>
      <c r="F992" s="1">
        <f>VLOOKUP(A992,AMZN!A991:C2246,3)</f>
        <v>225.04</v>
      </c>
      <c r="G992" s="1">
        <f>VLOOKUP(A992,TSLA!A991:C2246,3)</f>
        <v>400.99</v>
      </c>
      <c r="H992" s="1">
        <f>VLOOKUP(A992,GOOGL!A991:C2246,3)</f>
        <v>185.17</v>
      </c>
      <c r="I992" s="1">
        <f>VLOOKUP(A992,META!A991:C2246,3)</f>
        <v>619.32000000000005</v>
      </c>
      <c r="J992" s="1">
        <f>VLOOKUP(A992,Nasdaq!A991:C2246,3)</f>
        <v>19687.240000000002</v>
      </c>
    </row>
    <row r="993" spans="1:10" x14ac:dyDescent="0.2">
      <c r="A993" s="2">
        <v>45637</v>
      </c>
      <c r="B993" s="1">
        <f>VLOOKUP(A993,AAPL!A992:C2247,3)</f>
        <v>245.38</v>
      </c>
      <c r="C993" s="1">
        <f>VLOOKUP(A993,MSFT!A992:C2247,3)</f>
        <v>448.99</v>
      </c>
      <c r="D993" s="1">
        <f>VLOOKUP(A993,NVDA!A992:C2247,3)</f>
        <v>139.31</v>
      </c>
      <c r="E993" s="1">
        <f>VLOOKUP(A993,AMD!A992:C2247,3)</f>
        <v>130.15</v>
      </c>
      <c r="F993" s="1">
        <f>VLOOKUP(A993,AMZN!A992:C2247,3)</f>
        <v>230.26</v>
      </c>
      <c r="G993" s="1">
        <f>VLOOKUP(A993,TSLA!A992:C2247,3)</f>
        <v>424.77</v>
      </c>
      <c r="H993" s="1">
        <f>VLOOKUP(A993,GOOGL!A992:C2247,3)</f>
        <v>195.4</v>
      </c>
      <c r="I993" s="1">
        <f>VLOOKUP(A993,META!A992:C2247,3)</f>
        <v>632.67999999999995</v>
      </c>
      <c r="J993" s="1">
        <f>VLOOKUP(A993,Nasdaq!A992:C2247,3)</f>
        <v>20034.89</v>
      </c>
    </row>
    <row r="994" spans="1:10" x14ac:dyDescent="0.2">
      <c r="A994" s="2">
        <v>45638</v>
      </c>
      <c r="B994" s="1">
        <f>VLOOKUP(A994,AAPL!A993:C2248,3)</f>
        <v>246.845</v>
      </c>
      <c r="C994" s="1">
        <f>VLOOKUP(A994,MSFT!A993:C2248,3)</f>
        <v>449.56</v>
      </c>
      <c r="D994" s="1">
        <f>VLOOKUP(A994,NVDA!A993:C2248,3)</f>
        <v>137.34</v>
      </c>
      <c r="E994" s="1">
        <f>VLOOKUP(A994,AMD!A993:C2248,3)</f>
        <v>130.6</v>
      </c>
      <c r="F994" s="1">
        <f>VLOOKUP(A994,AMZN!A993:C2248,3)</f>
        <v>228.97</v>
      </c>
      <c r="G994" s="1">
        <f>VLOOKUP(A994,TSLA!A993:C2248,3)</f>
        <v>418.1</v>
      </c>
      <c r="H994" s="1">
        <f>VLOOKUP(A994,GOOGL!A993:C2248,3)</f>
        <v>191.96</v>
      </c>
      <c r="I994" s="1">
        <f>VLOOKUP(A994,META!A993:C2248,3)</f>
        <v>630.79</v>
      </c>
      <c r="J994" s="1">
        <f>VLOOKUP(A994,Nasdaq!A993:C2248,3)</f>
        <v>19902.84</v>
      </c>
    </row>
    <row r="995" spans="1:10" x14ac:dyDescent="0.2">
      <c r="A995" s="2">
        <v>45639</v>
      </c>
      <c r="B995" s="1">
        <f>VLOOKUP(A995,AAPL!A994:C2249,3)</f>
        <v>247.012</v>
      </c>
      <c r="C995" s="1">
        <f>VLOOKUP(A995,MSFT!A994:C2249,3)</f>
        <v>447.27</v>
      </c>
      <c r="D995" s="1">
        <f>VLOOKUP(A995,NVDA!A994:C2249,3)</f>
        <v>134.25</v>
      </c>
      <c r="E995" s="1">
        <f>VLOOKUP(A995,AMD!A994:C2249,3)</f>
        <v>126.91</v>
      </c>
      <c r="F995" s="1">
        <f>VLOOKUP(A995,AMZN!A994:C2249,3)</f>
        <v>227.46</v>
      </c>
      <c r="G995" s="1">
        <f>VLOOKUP(A995,TSLA!A994:C2249,3)</f>
        <v>436.23</v>
      </c>
      <c r="H995" s="1">
        <f>VLOOKUP(A995,GOOGL!A994:C2249,3)</f>
        <v>189.82</v>
      </c>
      <c r="I995" s="1">
        <f>VLOOKUP(A995,META!A994:C2249,3)</f>
        <v>620.35</v>
      </c>
      <c r="J995" s="1">
        <f>VLOOKUP(A995,Nasdaq!A994:C2249,3)</f>
        <v>19926.72</v>
      </c>
    </row>
    <row r="996" spans="1:10" x14ac:dyDescent="0.2">
      <c r="A996" s="2">
        <v>45642</v>
      </c>
      <c r="B996" s="1">
        <f>VLOOKUP(A996,AAPL!A995:C2250,3)</f>
        <v>249.91</v>
      </c>
      <c r="C996" s="1">
        <f>VLOOKUP(A996,MSFT!A995:C2250,3)</f>
        <v>451.59</v>
      </c>
      <c r="D996" s="1">
        <f>VLOOKUP(A996,NVDA!A995:C2250,3)</f>
        <v>132</v>
      </c>
      <c r="E996" s="1">
        <f>VLOOKUP(A996,AMD!A995:C2250,3)</f>
        <v>126.69</v>
      </c>
      <c r="F996" s="1">
        <f>VLOOKUP(A996,AMZN!A995:C2250,3)</f>
        <v>232.93</v>
      </c>
      <c r="G996" s="1">
        <f>VLOOKUP(A996,TSLA!A995:C2250,3)</f>
        <v>463.02</v>
      </c>
      <c r="H996" s="1">
        <f>VLOOKUP(A996,GOOGL!A995:C2250,3)</f>
        <v>196.66</v>
      </c>
      <c r="I996" s="1">
        <f>VLOOKUP(A996,META!A995:C2250,3)</f>
        <v>624.24</v>
      </c>
      <c r="J996" s="1">
        <f>VLOOKUP(A996,Nasdaq!A995:C2250,3)</f>
        <v>20173.89</v>
      </c>
    </row>
    <row r="997" spans="1:10" x14ac:dyDescent="0.2">
      <c r="A997" s="2">
        <v>45643</v>
      </c>
      <c r="B997" s="1">
        <f>VLOOKUP(A997,AAPL!A996:C2251,3)</f>
        <v>252.33799999999999</v>
      </c>
      <c r="C997" s="1">
        <f>VLOOKUP(A997,MSFT!A996:C2251,3)</f>
        <v>454.46</v>
      </c>
      <c r="D997" s="1">
        <f>VLOOKUP(A997,NVDA!A996:C2251,3)</f>
        <v>130.38999999999999</v>
      </c>
      <c r="E997" s="1">
        <f>VLOOKUP(A997,AMD!A996:C2251,3)</f>
        <v>125.02</v>
      </c>
      <c r="F997" s="1">
        <f>VLOOKUP(A997,AMZN!A996:C2251,3)</f>
        <v>231.15</v>
      </c>
      <c r="G997" s="1">
        <f>VLOOKUP(A997,TSLA!A996:C2251,3)</f>
        <v>479.86</v>
      </c>
      <c r="H997" s="1">
        <f>VLOOKUP(A997,GOOGL!A996:C2251,3)</f>
        <v>195.42</v>
      </c>
      <c r="I997" s="1">
        <f>VLOOKUP(A997,META!A996:C2251,3)</f>
        <v>619.44000000000005</v>
      </c>
      <c r="J997" s="1">
        <f>VLOOKUP(A997,Nasdaq!A996:C2251,3)</f>
        <v>20109.060000000001</v>
      </c>
    </row>
    <row r="998" spans="1:10" x14ac:dyDescent="0.2">
      <c r="A998" s="2">
        <v>45644</v>
      </c>
      <c r="B998" s="1">
        <f>VLOOKUP(A998,AAPL!A997:C2252,3)</f>
        <v>246.934</v>
      </c>
      <c r="C998" s="1">
        <f>VLOOKUP(A998,MSFT!A997:C2252,3)</f>
        <v>437.39</v>
      </c>
      <c r="D998" s="1">
        <f>VLOOKUP(A998,NVDA!A997:C2252,3)</f>
        <v>128.91</v>
      </c>
      <c r="E998" s="1">
        <f>VLOOKUP(A998,AMD!A997:C2252,3)</f>
        <v>121.41</v>
      </c>
      <c r="F998" s="1">
        <f>VLOOKUP(A998,AMZN!A997:C2252,3)</f>
        <v>220.52</v>
      </c>
      <c r="G998" s="1">
        <f>VLOOKUP(A998,TSLA!A997:C2252,3)</f>
        <v>440.13</v>
      </c>
      <c r="H998" s="1">
        <f>VLOOKUP(A998,GOOGL!A997:C2252,3)</f>
        <v>188.4</v>
      </c>
      <c r="I998" s="1">
        <f>VLOOKUP(A998,META!A997:C2252,3)</f>
        <v>597.19000000000005</v>
      </c>
      <c r="J998" s="1">
        <f>VLOOKUP(A998,Nasdaq!A997:C2252,3)</f>
        <v>19392.689999999999</v>
      </c>
    </row>
    <row r="999" spans="1:10" x14ac:dyDescent="0.2">
      <c r="A999" s="2">
        <v>45645</v>
      </c>
      <c r="B999" s="1">
        <f>VLOOKUP(A999,AAPL!A998:C2253,3)</f>
        <v>248.666</v>
      </c>
      <c r="C999" s="1">
        <f>VLOOKUP(A999,MSFT!A998:C2253,3)</f>
        <v>437.03</v>
      </c>
      <c r="D999" s="1">
        <f>VLOOKUP(A999,NVDA!A998:C2253,3)</f>
        <v>130.68</v>
      </c>
      <c r="E999" s="1">
        <f>VLOOKUP(A999,AMD!A998:C2253,3)</f>
        <v>118.88</v>
      </c>
      <c r="F999" s="1">
        <f>VLOOKUP(A999,AMZN!A998:C2253,3)</f>
        <v>223.29</v>
      </c>
      <c r="G999" s="1">
        <f>VLOOKUP(A999,TSLA!A998:C2253,3)</f>
        <v>436.17</v>
      </c>
      <c r="H999" s="1">
        <f>VLOOKUP(A999,GOOGL!A998:C2253,3)</f>
        <v>188.51</v>
      </c>
      <c r="I999" s="1">
        <f>VLOOKUP(A999,META!A998:C2253,3)</f>
        <v>595.57000000000005</v>
      </c>
      <c r="J999" s="1">
        <f>VLOOKUP(A999,Nasdaq!A998:C2253,3)</f>
        <v>19372.77</v>
      </c>
    </row>
    <row r="1000" spans="1:10" x14ac:dyDescent="0.2">
      <c r="A1000" s="2">
        <v>45646</v>
      </c>
      <c r="B1000" s="1">
        <f>VLOOKUP(A1000,AAPL!A999:C2254,3)</f>
        <v>253.34399999999999</v>
      </c>
      <c r="C1000" s="1">
        <f>VLOOKUP(A1000,MSFT!A999:C2254,3)</f>
        <v>436.6</v>
      </c>
      <c r="D1000" s="1">
        <f>VLOOKUP(A1000,NVDA!A999:C2254,3)</f>
        <v>134.69999999999999</v>
      </c>
      <c r="E1000" s="1">
        <f>VLOOKUP(A1000,AMD!A999:C2254,3)</f>
        <v>119.21</v>
      </c>
      <c r="F1000" s="1">
        <f>VLOOKUP(A1000,AMZN!A999:C2254,3)</f>
        <v>224.92</v>
      </c>
      <c r="G1000" s="1">
        <f>VLOOKUP(A1000,TSLA!A999:C2254,3)</f>
        <v>421.06</v>
      </c>
      <c r="H1000" s="1">
        <f>VLOOKUP(A1000,GOOGL!A999:C2254,3)</f>
        <v>191.41</v>
      </c>
      <c r="I1000" s="1">
        <f>VLOOKUP(A1000,META!A999:C2254,3)</f>
        <v>585.25</v>
      </c>
      <c r="J1000" s="1">
        <f>VLOOKUP(A1000,Nasdaq!A999:C2254,3)</f>
        <v>19572.599999999999</v>
      </c>
    </row>
    <row r="1001" spans="1:10" x14ac:dyDescent="0.2">
      <c r="A1001" s="2">
        <v>45649</v>
      </c>
      <c r="B1001" s="1">
        <f>VLOOKUP(A1001,AAPL!A1000:C2255,3)</f>
        <v>254.12100000000001</v>
      </c>
      <c r="C1001" s="1">
        <f>VLOOKUP(A1001,MSFT!A1000:C2255,3)</f>
        <v>435.25</v>
      </c>
      <c r="D1001" s="1">
        <f>VLOOKUP(A1001,NVDA!A1000:C2255,3)</f>
        <v>139.66999999999999</v>
      </c>
      <c r="E1001" s="1">
        <f>VLOOKUP(A1001,AMD!A1000:C2255,3)</f>
        <v>124.6</v>
      </c>
      <c r="F1001" s="1">
        <f>VLOOKUP(A1001,AMZN!A1000:C2255,3)</f>
        <v>225.06</v>
      </c>
      <c r="G1001" s="1">
        <f>VLOOKUP(A1001,TSLA!A1000:C2255,3)</f>
        <v>430.6</v>
      </c>
      <c r="H1001" s="1">
        <f>VLOOKUP(A1001,GOOGL!A1000:C2255,3)</f>
        <v>194.63</v>
      </c>
      <c r="I1001" s="1">
        <f>VLOOKUP(A1001,META!A1000:C2255,3)</f>
        <v>599.85</v>
      </c>
      <c r="J1001" s="1">
        <f>VLOOKUP(A1001,Nasdaq!A1000:C2255,3)</f>
        <v>19764.88</v>
      </c>
    </row>
    <row r="1002" spans="1:10" x14ac:dyDescent="0.2">
      <c r="A1002" s="2">
        <v>45650</v>
      </c>
      <c r="B1002" s="1">
        <f>VLOOKUP(A1002,AAPL!A1001:C2256,3)</f>
        <v>257.03699999999998</v>
      </c>
      <c r="C1002" s="1">
        <f>VLOOKUP(A1002,MSFT!A1001:C2256,3)</f>
        <v>439.33</v>
      </c>
      <c r="D1002" s="1">
        <f>VLOOKUP(A1002,NVDA!A1001:C2256,3)</f>
        <v>140.22</v>
      </c>
      <c r="E1002" s="1">
        <f>VLOOKUP(A1002,AMD!A1001:C2256,3)</f>
        <v>126.29</v>
      </c>
      <c r="F1002" s="1">
        <f>VLOOKUP(A1002,AMZN!A1001:C2256,3)</f>
        <v>229.05</v>
      </c>
      <c r="G1002" s="1">
        <f>VLOOKUP(A1002,TSLA!A1001:C2256,3)</f>
        <v>462.28</v>
      </c>
      <c r="H1002" s="1">
        <f>VLOOKUP(A1002,GOOGL!A1001:C2256,3)</f>
        <v>196.11</v>
      </c>
      <c r="I1002" s="1">
        <f>VLOOKUP(A1002,META!A1001:C2256,3)</f>
        <v>607.75</v>
      </c>
      <c r="J1002" s="1">
        <f>VLOOKUP(A1002,Nasdaq!A1001:C2256,3)</f>
        <v>20031.13</v>
      </c>
    </row>
    <row r="1003" spans="1:10" x14ac:dyDescent="0.2">
      <c r="A1003" s="2">
        <v>45652</v>
      </c>
      <c r="B1003" s="1">
        <f>VLOOKUP(A1003,AAPL!A1002:C2257,3)</f>
        <v>257.85399999999998</v>
      </c>
      <c r="C1003" s="1">
        <f>VLOOKUP(A1003,MSFT!A1002:C2257,3)</f>
        <v>438.11</v>
      </c>
      <c r="D1003" s="1">
        <f>VLOOKUP(A1003,NVDA!A1002:C2257,3)</f>
        <v>139.93</v>
      </c>
      <c r="E1003" s="1">
        <f>VLOOKUP(A1003,AMD!A1002:C2257,3)</f>
        <v>125.06</v>
      </c>
      <c r="F1003" s="1">
        <f>VLOOKUP(A1003,AMZN!A1002:C2257,3)</f>
        <v>227.05</v>
      </c>
      <c r="G1003" s="1">
        <f>VLOOKUP(A1003,TSLA!A1002:C2257,3)</f>
        <v>454.13</v>
      </c>
      <c r="H1003" s="1">
        <f>VLOOKUP(A1003,GOOGL!A1002:C2257,3)</f>
        <v>195.6</v>
      </c>
      <c r="I1003" s="1">
        <f>VLOOKUP(A1003,META!A1002:C2257,3)</f>
        <v>603.35</v>
      </c>
      <c r="J1003" s="1">
        <f>VLOOKUP(A1003,Nasdaq!A1002:C2257,3)</f>
        <v>20020.36</v>
      </c>
    </row>
    <row r="1004" spans="1:10" x14ac:dyDescent="0.2">
      <c r="A1004" s="2">
        <v>45653</v>
      </c>
      <c r="B1004" s="1">
        <f>VLOOKUP(A1004,AAPL!A1003:C2258,3)</f>
        <v>254.43899999999999</v>
      </c>
      <c r="C1004" s="1">
        <f>VLOOKUP(A1004,MSFT!A1003:C2258,3)</f>
        <v>430.53</v>
      </c>
      <c r="D1004" s="1">
        <f>VLOOKUP(A1004,NVDA!A1003:C2258,3)</f>
        <v>137.01</v>
      </c>
      <c r="E1004" s="1">
        <f>VLOOKUP(A1004,AMD!A1003:C2258,3)</f>
        <v>125.19</v>
      </c>
      <c r="F1004" s="1">
        <f>VLOOKUP(A1004,AMZN!A1003:C2258,3)</f>
        <v>223.75</v>
      </c>
      <c r="G1004" s="1">
        <f>VLOOKUP(A1004,TSLA!A1003:C2258,3)</f>
        <v>431.66</v>
      </c>
      <c r="H1004" s="1">
        <f>VLOOKUP(A1004,GOOGL!A1003:C2258,3)</f>
        <v>192.76</v>
      </c>
      <c r="I1004" s="1">
        <f>VLOOKUP(A1004,META!A1003:C2258,3)</f>
        <v>599.80999999999995</v>
      </c>
      <c r="J1004" s="1">
        <f>VLOOKUP(A1004,Nasdaq!A1003:C2258,3)</f>
        <v>19722.03</v>
      </c>
    </row>
    <row r="1005" spans="1:10" x14ac:dyDescent="0.2">
      <c r="A1005" s="2">
        <v>45656</v>
      </c>
      <c r="B1005" s="1">
        <f>VLOOKUP(A1005,AAPL!A1004:C2259,3)</f>
        <v>251.065</v>
      </c>
      <c r="C1005" s="1">
        <f>VLOOKUP(A1005,MSFT!A1004:C2259,3)</f>
        <v>424.83</v>
      </c>
      <c r="D1005" s="1">
        <f>VLOOKUP(A1005,NVDA!A1004:C2259,3)</f>
        <v>137.49</v>
      </c>
      <c r="E1005" s="1">
        <f>VLOOKUP(A1005,AMD!A1004:C2259,3)</f>
        <v>122.44</v>
      </c>
      <c r="F1005" s="1">
        <f>VLOOKUP(A1005,AMZN!A1004:C2259,3)</f>
        <v>221.3</v>
      </c>
      <c r="G1005" s="1">
        <f>VLOOKUP(A1005,TSLA!A1004:C2259,3)</f>
        <v>417.41</v>
      </c>
      <c r="H1005" s="1">
        <f>VLOOKUP(A1005,GOOGL!A1004:C2259,3)</f>
        <v>191.24</v>
      </c>
      <c r="I1005" s="1">
        <f>VLOOKUP(A1005,META!A1004:C2259,3)</f>
        <v>591.24</v>
      </c>
      <c r="J1005" s="1">
        <f>VLOOKUP(A1005,Nasdaq!A1004:C2259,3)</f>
        <v>19486.79</v>
      </c>
    </row>
    <row r="1006" spans="1:10" x14ac:dyDescent="0.2">
      <c r="A1006" s="2">
        <v>45657</v>
      </c>
      <c r="B1006" s="1">
        <f>VLOOKUP(A1006,AAPL!A1005:C2260,3)</f>
        <v>249.292</v>
      </c>
      <c r="C1006" s="1">
        <f>VLOOKUP(A1006,MSFT!A1005:C2260,3)</f>
        <v>421.5</v>
      </c>
      <c r="D1006" s="1">
        <f>VLOOKUP(A1006,NVDA!A1005:C2260,3)</f>
        <v>134.29</v>
      </c>
      <c r="E1006" s="1">
        <f>VLOOKUP(A1006,AMD!A1005:C2260,3)</f>
        <v>120.79</v>
      </c>
      <c r="F1006" s="1">
        <f>VLOOKUP(A1006,AMZN!A1005:C2260,3)</f>
        <v>219.39</v>
      </c>
      <c r="G1006" s="1">
        <f>VLOOKUP(A1006,TSLA!A1005:C2260,3)</f>
        <v>403.84</v>
      </c>
      <c r="H1006" s="1">
        <f>VLOOKUP(A1006,GOOGL!A1005:C2260,3)</f>
        <v>189.3</v>
      </c>
      <c r="I1006" s="1">
        <f>VLOOKUP(A1006,META!A1005:C2260,3)</f>
        <v>585.51</v>
      </c>
      <c r="J1006" s="1">
        <f>VLOOKUP(A1006,Nasdaq!A1005:C2260,3)</f>
        <v>19310.79</v>
      </c>
    </row>
    <row r="1007" spans="1:10" x14ac:dyDescent="0.2">
      <c r="A1007" s="2">
        <v>45659</v>
      </c>
      <c r="B1007" s="1">
        <f>VLOOKUP(A1007,AAPL!A1006:C2261,3)</f>
        <v>242.75200000000001</v>
      </c>
      <c r="C1007" s="1">
        <f>VLOOKUP(A1007,MSFT!A1006:C2261,3)</f>
        <v>418.58</v>
      </c>
      <c r="D1007" s="1">
        <f>VLOOKUP(A1007,NVDA!A1006:C2261,3)</f>
        <v>138.31</v>
      </c>
      <c r="E1007" s="1">
        <f>VLOOKUP(A1007,AMD!A1006:C2261,3)</f>
        <v>120.63</v>
      </c>
      <c r="F1007" s="1">
        <f>VLOOKUP(A1007,AMZN!A1006:C2261,3)</f>
        <v>220.22</v>
      </c>
      <c r="G1007" s="1">
        <f>VLOOKUP(A1007,TSLA!A1006:C2261,3)</f>
        <v>379.28</v>
      </c>
      <c r="H1007" s="1">
        <f>VLOOKUP(A1007,GOOGL!A1006:C2261,3)</f>
        <v>189.43</v>
      </c>
      <c r="I1007" s="1">
        <f>VLOOKUP(A1007,META!A1006:C2261,3)</f>
        <v>599.24</v>
      </c>
      <c r="J1007" s="1">
        <f>VLOOKUP(A1007,Nasdaq!A1006:C2261,3)</f>
        <v>19280.79</v>
      </c>
    </row>
    <row r="1008" spans="1:10" x14ac:dyDescent="0.2">
      <c r="A1008" s="2">
        <v>45660</v>
      </c>
      <c r="B1008" s="1">
        <f>VLOOKUP(A1008,AAPL!A1007:C2262,3)</f>
        <v>242.26499999999999</v>
      </c>
      <c r="C1008" s="1">
        <f>VLOOKUP(A1008,MSFT!A1007:C2262,3)</f>
        <v>423.35</v>
      </c>
      <c r="D1008" s="1">
        <f>VLOOKUP(A1008,NVDA!A1007:C2262,3)</f>
        <v>144.47</v>
      </c>
      <c r="E1008" s="1">
        <f>VLOOKUP(A1008,AMD!A1007:C2262,3)</f>
        <v>125.37</v>
      </c>
      <c r="F1008" s="1">
        <f>VLOOKUP(A1008,AMZN!A1007:C2262,3)</f>
        <v>224.19</v>
      </c>
      <c r="G1008" s="1">
        <f>VLOOKUP(A1008,TSLA!A1007:C2262,3)</f>
        <v>410.44</v>
      </c>
      <c r="H1008" s="1">
        <f>VLOOKUP(A1008,GOOGL!A1007:C2262,3)</f>
        <v>191.79</v>
      </c>
      <c r="I1008" s="1">
        <f>VLOOKUP(A1008,META!A1007:C2262,3)</f>
        <v>604.63</v>
      </c>
      <c r="J1008" s="1">
        <f>VLOOKUP(A1008,Nasdaq!A1007:C2262,3)</f>
        <v>19621.68</v>
      </c>
    </row>
    <row r="1009" spans="1:10" x14ac:dyDescent="0.2">
      <c r="A1009" s="2">
        <v>45663</v>
      </c>
      <c r="B1009" s="1">
        <f>VLOOKUP(A1009,AAPL!A1008:C2263,3)</f>
        <v>243.89699999999999</v>
      </c>
      <c r="C1009" s="1">
        <f>VLOOKUP(A1009,MSFT!A1008:C2263,3)</f>
        <v>427.85</v>
      </c>
      <c r="D1009" s="1">
        <f>VLOOKUP(A1009,NVDA!A1008:C2263,3)</f>
        <v>149.43</v>
      </c>
      <c r="E1009" s="1">
        <f>VLOOKUP(A1009,AMD!A1008:C2263,3)</f>
        <v>129.55000000000001</v>
      </c>
      <c r="F1009" s="1">
        <f>VLOOKUP(A1009,AMZN!A1008:C2263,3)</f>
        <v>227.61</v>
      </c>
      <c r="G1009" s="1">
        <f>VLOOKUP(A1009,TSLA!A1008:C2263,3)</f>
        <v>411.05</v>
      </c>
      <c r="H1009" s="1">
        <f>VLOOKUP(A1009,GOOGL!A1008:C2263,3)</f>
        <v>196.87</v>
      </c>
      <c r="I1009" s="1">
        <f>VLOOKUP(A1009,META!A1008:C2263,3)</f>
        <v>630.20000000000005</v>
      </c>
      <c r="J1009" s="1">
        <f>VLOOKUP(A1009,Nasdaq!A1008:C2263,3)</f>
        <v>19864.98</v>
      </c>
    </row>
    <row r="1010" spans="1:10" x14ac:dyDescent="0.2">
      <c r="A1010" s="2">
        <v>45664</v>
      </c>
      <c r="B1010" s="1">
        <f>VLOOKUP(A1010,AAPL!A1009:C2264,3)</f>
        <v>241.119</v>
      </c>
      <c r="C1010" s="1">
        <f>VLOOKUP(A1010,MSFT!A1009:C2264,3)</f>
        <v>422.37</v>
      </c>
      <c r="D1010" s="1">
        <f>VLOOKUP(A1010,NVDA!A1009:C2264,3)</f>
        <v>140.13999999999999</v>
      </c>
      <c r="E1010" s="1">
        <f>VLOOKUP(A1010,AMD!A1009:C2264,3)</f>
        <v>127.33</v>
      </c>
      <c r="F1010" s="1">
        <f>VLOOKUP(A1010,AMZN!A1009:C2264,3)</f>
        <v>222.11</v>
      </c>
      <c r="G1010" s="1">
        <f>VLOOKUP(A1010,TSLA!A1009:C2264,3)</f>
        <v>394.36</v>
      </c>
      <c r="H1010" s="1">
        <f>VLOOKUP(A1010,GOOGL!A1009:C2264,3)</f>
        <v>195.49</v>
      </c>
      <c r="I1010" s="1">
        <f>VLOOKUP(A1010,META!A1009:C2264,3)</f>
        <v>617.89</v>
      </c>
      <c r="J1010" s="1">
        <f>VLOOKUP(A1010,Nasdaq!A1009:C2264,3)</f>
        <v>19489.68</v>
      </c>
    </row>
    <row r="1011" spans="1:10" x14ac:dyDescent="0.2">
      <c r="A1011" s="2">
        <v>45665</v>
      </c>
      <c r="B1011" s="1">
        <f>VLOOKUP(A1011,AAPL!A1010:C2265,3)</f>
        <v>241.608</v>
      </c>
      <c r="C1011" s="1">
        <f>VLOOKUP(A1011,MSFT!A1010:C2265,3)</f>
        <v>424.56</v>
      </c>
      <c r="D1011" s="1">
        <f>VLOOKUP(A1011,NVDA!A1010:C2265,3)</f>
        <v>140.11000000000001</v>
      </c>
      <c r="E1011" s="1">
        <f>VLOOKUP(A1011,AMD!A1010:C2265,3)</f>
        <v>121.84</v>
      </c>
      <c r="F1011" s="1">
        <f>VLOOKUP(A1011,AMZN!A1010:C2265,3)</f>
        <v>222.13</v>
      </c>
      <c r="G1011" s="1">
        <f>VLOOKUP(A1011,TSLA!A1010:C2265,3)</f>
        <v>394.94</v>
      </c>
      <c r="H1011" s="1">
        <f>VLOOKUP(A1011,GOOGL!A1010:C2265,3)</f>
        <v>193.95</v>
      </c>
      <c r="I1011" s="1">
        <f>VLOOKUP(A1011,META!A1010:C2265,3)</f>
        <v>610.72</v>
      </c>
      <c r="J1011" s="1">
        <f>VLOOKUP(A1011,Nasdaq!A1010:C2265,3)</f>
        <v>19478.88</v>
      </c>
    </row>
    <row r="1012" spans="1:10" x14ac:dyDescent="0.2">
      <c r="A1012" s="2">
        <v>45667</v>
      </c>
      <c r="B1012" s="1">
        <f>VLOOKUP(A1012,AAPL!A1011:C2266,3)</f>
        <v>235.78299999999999</v>
      </c>
      <c r="C1012" s="1">
        <f>VLOOKUP(A1012,MSFT!A1011:C2266,3)</f>
        <v>418.95</v>
      </c>
      <c r="D1012" s="1">
        <f>VLOOKUP(A1012,NVDA!A1011:C2266,3)</f>
        <v>135.91</v>
      </c>
      <c r="E1012" s="1">
        <f>VLOOKUP(A1012,AMD!A1011:C2266,3)</f>
        <v>116.04</v>
      </c>
      <c r="F1012" s="1">
        <f>VLOOKUP(A1012,AMZN!A1011:C2266,3)</f>
        <v>218.94</v>
      </c>
      <c r="G1012" s="1">
        <f>VLOOKUP(A1012,TSLA!A1011:C2266,3)</f>
        <v>394.74</v>
      </c>
      <c r="H1012" s="1">
        <f>VLOOKUP(A1012,GOOGL!A1011:C2266,3)</f>
        <v>192.04</v>
      </c>
      <c r="I1012" s="1">
        <f>VLOOKUP(A1012,META!A1011:C2266,3)</f>
        <v>615.86</v>
      </c>
      <c r="J1012" s="1">
        <f>VLOOKUP(A1012,Nasdaq!A1011:C2266,3)</f>
        <v>19161.63</v>
      </c>
    </row>
    <row r="1013" spans="1:10" x14ac:dyDescent="0.2">
      <c r="A1013" s="2">
        <v>45670</v>
      </c>
      <c r="B1013" s="1">
        <f>VLOOKUP(A1013,AAPL!A1012:C2267,3)</f>
        <v>233.345</v>
      </c>
      <c r="C1013" s="1">
        <f>VLOOKUP(A1013,MSFT!A1012:C2267,3)</f>
        <v>417.19</v>
      </c>
      <c r="D1013" s="1">
        <f>VLOOKUP(A1013,NVDA!A1012:C2267,3)</f>
        <v>133.22999999999999</v>
      </c>
      <c r="E1013" s="1">
        <f>VLOOKUP(A1013,AMD!A1012:C2267,3)</f>
        <v>117.32</v>
      </c>
      <c r="F1013" s="1">
        <f>VLOOKUP(A1013,AMZN!A1012:C2267,3)</f>
        <v>218.46</v>
      </c>
      <c r="G1013" s="1">
        <f>VLOOKUP(A1013,TSLA!A1012:C2267,3)</f>
        <v>403.31</v>
      </c>
      <c r="H1013" s="1">
        <f>VLOOKUP(A1013,GOOGL!A1012:C2267,3)</f>
        <v>191.01</v>
      </c>
      <c r="I1013" s="1">
        <f>VLOOKUP(A1013,META!A1012:C2267,3)</f>
        <v>608.33000000000004</v>
      </c>
      <c r="J1013" s="1">
        <f>VLOOKUP(A1013,Nasdaq!A1012:C2267,3)</f>
        <v>19088.099999999999</v>
      </c>
    </row>
    <row r="1014" spans="1:10" x14ac:dyDescent="0.2">
      <c r="A1014" s="2">
        <v>45671</v>
      </c>
      <c r="B1014" s="1">
        <f>VLOOKUP(A1014,AAPL!A1013:C2268,3)</f>
        <v>232.23</v>
      </c>
      <c r="C1014" s="1">
        <f>VLOOKUP(A1014,MSFT!A1013:C2268,3)</f>
        <v>415.67</v>
      </c>
      <c r="D1014" s="1">
        <f>VLOOKUP(A1014,NVDA!A1013:C2268,3)</f>
        <v>131.76</v>
      </c>
      <c r="E1014" s="1">
        <f>VLOOKUP(A1014,AMD!A1013:C2268,3)</f>
        <v>116.09</v>
      </c>
      <c r="F1014" s="1">
        <f>VLOOKUP(A1014,AMZN!A1013:C2268,3)</f>
        <v>217.76</v>
      </c>
      <c r="G1014" s="1">
        <f>VLOOKUP(A1014,TSLA!A1013:C2268,3)</f>
        <v>396.36</v>
      </c>
      <c r="H1014" s="1">
        <f>VLOOKUP(A1014,GOOGL!A1013:C2268,3)</f>
        <v>189.66</v>
      </c>
      <c r="I1014" s="1">
        <f>VLOOKUP(A1014,META!A1013:C2268,3)</f>
        <v>594.25</v>
      </c>
      <c r="J1014" s="1">
        <f>VLOOKUP(A1014,Nasdaq!A1013:C2268,3)</f>
        <v>19044.39</v>
      </c>
    </row>
    <row r="1015" spans="1:10" x14ac:dyDescent="0.2">
      <c r="A1015" s="2">
        <v>45672</v>
      </c>
      <c r="B1015" s="1">
        <f>VLOOKUP(A1015,AAPL!A1014:C2269,3)</f>
        <v>236.79900000000001</v>
      </c>
      <c r="C1015" s="1">
        <f>VLOOKUP(A1015,MSFT!A1014:C2269,3)</f>
        <v>426.31</v>
      </c>
      <c r="D1015" s="1">
        <f>VLOOKUP(A1015,NVDA!A1014:C2269,3)</f>
        <v>136.24</v>
      </c>
      <c r="E1015" s="1">
        <f>VLOOKUP(A1015,AMD!A1014:C2269,3)</f>
        <v>119.96</v>
      </c>
      <c r="F1015" s="1">
        <f>VLOOKUP(A1015,AMZN!A1014:C2269,3)</f>
        <v>223.35</v>
      </c>
      <c r="G1015" s="1">
        <f>VLOOKUP(A1015,TSLA!A1014:C2269,3)</f>
        <v>428.22</v>
      </c>
      <c r="H1015" s="1">
        <f>VLOOKUP(A1015,GOOGL!A1014:C2269,3)</f>
        <v>195.55</v>
      </c>
      <c r="I1015" s="1">
        <f>VLOOKUP(A1015,META!A1014:C2269,3)</f>
        <v>617.12</v>
      </c>
      <c r="J1015" s="1">
        <f>VLOOKUP(A1015,Nasdaq!A1014:C2269,3)</f>
        <v>19511.23</v>
      </c>
    </row>
    <row r="1016" spans="1:10" x14ac:dyDescent="0.2">
      <c r="A1016" s="2">
        <v>45673</v>
      </c>
      <c r="B1016" s="1">
        <f>VLOOKUP(A1016,AAPL!A1015:C2270,3)</f>
        <v>227.232</v>
      </c>
      <c r="C1016" s="1">
        <f>VLOOKUP(A1016,MSFT!A1015:C2270,3)</f>
        <v>424.58</v>
      </c>
      <c r="D1016" s="1">
        <f>VLOOKUP(A1016,NVDA!A1015:C2270,3)</f>
        <v>133.57</v>
      </c>
      <c r="E1016" s="1">
        <f>VLOOKUP(A1016,AMD!A1015:C2270,3)</f>
        <v>118.44</v>
      </c>
      <c r="F1016" s="1">
        <f>VLOOKUP(A1016,AMZN!A1015:C2270,3)</f>
        <v>220.66</v>
      </c>
      <c r="G1016" s="1">
        <f>VLOOKUP(A1016,TSLA!A1015:C2270,3)</f>
        <v>413.82</v>
      </c>
      <c r="H1016" s="1">
        <f>VLOOKUP(A1016,GOOGL!A1015:C2270,3)</f>
        <v>192.91</v>
      </c>
      <c r="I1016" s="1">
        <f>VLOOKUP(A1016,META!A1015:C2270,3)</f>
        <v>611.29999999999995</v>
      </c>
      <c r="J1016" s="1">
        <f>VLOOKUP(A1016,Nasdaq!A1015:C2270,3)</f>
        <v>19338.29</v>
      </c>
    </row>
    <row r="1017" spans="1:10" x14ac:dyDescent="0.2">
      <c r="A1017" s="2">
        <v>45674</v>
      </c>
      <c r="B1017" s="1">
        <f>VLOOKUP(A1017,AAPL!A1016:C2271,3)</f>
        <v>228.94399999999999</v>
      </c>
      <c r="C1017" s="1">
        <f>VLOOKUP(A1017,MSFT!A1016:C2271,3)</f>
        <v>429.03</v>
      </c>
      <c r="D1017" s="1">
        <f>VLOOKUP(A1017,NVDA!A1016:C2271,3)</f>
        <v>137.71</v>
      </c>
      <c r="E1017" s="1">
        <f>VLOOKUP(A1017,AMD!A1016:C2271,3)</f>
        <v>121.46</v>
      </c>
      <c r="F1017" s="1">
        <f>VLOOKUP(A1017,AMZN!A1016:C2271,3)</f>
        <v>225.94</v>
      </c>
      <c r="G1017" s="1">
        <f>VLOOKUP(A1017,TSLA!A1016:C2271,3)</f>
        <v>426.5</v>
      </c>
      <c r="H1017" s="1">
        <f>VLOOKUP(A1017,GOOGL!A1016:C2271,3)</f>
        <v>196</v>
      </c>
      <c r="I1017" s="1">
        <f>VLOOKUP(A1017,META!A1016:C2271,3)</f>
        <v>612.77</v>
      </c>
      <c r="J1017" s="1">
        <f>VLOOKUP(A1017,Nasdaq!A1016:C2271,3)</f>
        <v>19630.2</v>
      </c>
    </row>
    <row r="1018" spans="1:10" x14ac:dyDescent="0.2">
      <c r="A1018" s="2">
        <v>45678</v>
      </c>
      <c r="B1018" s="1">
        <f>VLOOKUP(A1018,AAPL!A1017:C2272,3)</f>
        <v>221.637</v>
      </c>
      <c r="C1018" s="1">
        <f>VLOOKUP(A1018,MSFT!A1017:C2272,3)</f>
        <v>428.5</v>
      </c>
      <c r="D1018" s="1">
        <f>VLOOKUP(A1018,NVDA!A1017:C2272,3)</f>
        <v>140.83000000000001</v>
      </c>
      <c r="E1018" s="1">
        <f>VLOOKUP(A1018,AMD!A1017:C2272,3)</f>
        <v>122.28</v>
      </c>
      <c r="F1018" s="1">
        <f>VLOOKUP(A1018,AMZN!A1017:C2272,3)</f>
        <v>230.71</v>
      </c>
      <c r="G1018" s="1">
        <f>VLOOKUP(A1018,TSLA!A1017:C2272,3)</f>
        <v>424.07</v>
      </c>
      <c r="H1018" s="1">
        <f>VLOOKUP(A1018,GOOGL!A1017:C2272,3)</f>
        <v>198.05</v>
      </c>
      <c r="I1018" s="1">
        <f>VLOOKUP(A1018,META!A1017:C2272,3)</f>
        <v>616.46</v>
      </c>
      <c r="J1018" s="1">
        <f>VLOOKUP(A1018,Nasdaq!A1017:C2272,3)</f>
        <v>19756.78</v>
      </c>
    </row>
    <row r="1019" spans="1:10" x14ac:dyDescent="0.2">
      <c r="A1019" s="2">
        <v>45679</v>
      </c>
      <c r="B1019" s="1">
        <f>VLOOKUP(A1019,AAPL!A1018:C2273,3)</f>
        <v>222.822</v>
      </c>
      <c r="C1019" s="1">
        <f>VLOOKUP(A1019,MSFT!A1018:C2273,3)</f>
        <v>446.2</v>
      </c>
      <c r="D1019" s="1">
        <f>VLOOKUP(A1019,NVDA!A1018:C2273,3)</f>
        <v>147.07</v>
      </c>
      <c r="E1019" s="1">
        <f>VLOOKUP(A1019,AMD!A1018:C2273,3)</f>
        <v>123.75</v>
      </c>
      <c r="F1019" s="1">
        <f>VLOOKUP(A1019,AMZN!A1018:C2273,3)</f>
        <v>235.01</v>
      </c>
      <c r="G1019" s="1">
        <f>VLOOKUP(A1019,TSLA!A1018:C2273,3)</f>
        <v>415.11</v>
      </c>
      <c r="H1019" s="1">
        <f>VLOOKUP(A1019,GOOGL!A1018:C2273,3)</f>
        <v>198.37</v>
      </c>
      <c r="I1019" s="1">
        <f>VLOOKUP(A1019,META!A1018:C2273,3)</f>
        <v>623.5</v>
      </c>
      <c r="J1019" s="1">
        <f>VLOOKUP(A1019,Nasdaq!A1018:C2273,3)</f>
        <v>20009.34</v>
      </c>
    </row>
    <row r="1020" spans="1:10" x14ac:dyDescent="0.2">
      <c r="A1020" s="2">
        <v>45680</v>
      </c>
      <c r="B1020" s="1">
        <f>VLOOKUP(A1020,AAPL!A1019:C2274,3)</f>
        <v>222.65199999999999</v>
      </c>
      <c r="C1020" s="1">
        <f>VLOOKUP(A1020,MSFT!A1019:C2274,3)</f>
        <v>446.71</v>
      </c>
      <c r="D1020" s="1">
        <f>VLOOKUP(A1020,NVDA!A1019:C2274,3)</f>
        <v>147.22</v>
      </c>
      <c r="E1020" s="1">
        <f>VLOOKUP(A1020,AMD!A1019:C2274,3)</f>
        <v>123.04</v>
      </c>
      <c r="F1020" s="1">
        <f>VLOOKUP(A1020,AMZN!A1019:C2274,3)</f>
        <v>235.42</v>
      </c>
      <c r="G1020" s="1">
        <f>VLOOKUP(A1020,TSLA!A1019:C2274,3)</f>
        <v>412.38</v>
      </c>
      <c r="H1020" s="1">
        <f>VLOOKUP(A1020,GOOGL!A1019:C2274,3)</f>
        <v>197.98</v>
      </c>
      <c r="I1020" s="1">
        <f>VLOOKUP(A1020,META!A1019:C2274,3)</f>
        <v>636.45000000000005</v>
      </c>
      <c r="J1020" s="1">
        <f>VLOOKUP(A1020,Nasdaq!A1019:C2274,3)</f>
        <v>20053.68</v>
      </c>
    </row>
    <row r="1021" spans="1:10" x14ac:dyDescent="0.2">
      <c r="A1021" s="2">
        <v>45681</v>
      </c>
      <c r="B1021" s="1">
        <f>VLOOKUP(A1021,AAPL!A1020:C2275,3)</f>
        <v>221.77699999999999</v>
      </c>
      <c r="C1021" s="1">
        <f>VLOOKUP(A1021,MSFT!A1020:C2275,3)</f>
        <v>444.06</v>
      </c>
      <c r="D1021" s="1">
        <f>VLOOKUP(A1021,NVDA!A1020:C2275,3)</f>
        <v>142.62</v>
      </c>
      <c r="E1021" s="1">
        <f>VLOOKUP(A1021,AMD!A1020:C2275,3)</f>
        <v>122.84</v>
      </c>
      <c r="F1021" s="1">
        <f>VLOOKUP(A1021,AMZN!A1020:C2275,3)</f>
        <v>234.85</v>
      </c>
      <c r="G1021" s="1">
        <f>VLOOKUP(A1021,TSLA!A1020:C2275,3)</f>
        <v>406.58</v>
      </c>
      <c r="H1021" s="1">
        <f>VLOOKUP(A1021,GOOGL!A1020:C2275,3)</f>
        <v>200.21</v>
      </c>
      <c r="I1021" s="1">
        <f>VLOOKUP(A1021,META!A1020:C2275,3)</f>
        <v>647.49</v>
      </c>
      <c r="J1021" s="1">
        <f>VLOOKUP(A1021,Nasdaq!A1020:C2275,3)</f>
        <v>19954.3</v>
      </c>
    </row>
    <row r="1022" spans="1:10" x14ac:dyDescent="0.2">
      <c r="A1022" s="2">
        <v>45684</v>
      </c>
      <c r="B1022" s="1">
        <f>VLOOKUP(A1022,AAPL!A1021:C2276,3)</f>
        <v>228.82499999999999</v>
      </c>
      <c r="C1022" s="1">
        <f>VLOOKUP(A1022,MSFT!A1021:C2276,3)</f>
        <v>434.56</v>
      </c>
      <c r="D1022" s="1">
        <f>VLOOKUP(A1022,NVDA!A1021:C2276,3)</f>
        <v>118.42</v>
      </c>
      <c r="E1022" s="1">
        <f>VLOOKUP(A1022,AMD!A1021:C2276,3)</f>
        <v>115.01</v>
      </c>
      <c r="F1022" s="1">
        <f>VLOOKUP(A1022,AMZN!A1021:C2276,3)</f>
        <v>235.42</v>
      </c>
      <c r="G1022" s="1">
        <f>VLOOKUP(A1022,TSLA!A1021:C2276,3)</f>
        <v>397.15</v>
      </c>
      <c r="H1022" s="1">
        <f>VLOOKUP(A1022,GOOGL!A1021:C2276,3)</f>
        <v>191.81</v>
      </c>
      <c r="I1022" s="1">
        <f>VLOOKUP(A1022,META!A1021:C2276,3)</f>
        <v>659.88</v>
      </c>
      <c r="J1022" s="1">
        <f>VLOOKUP(A1022,Nasdaq!A1021:C2276,3)</f>
        <v>19341.830000000002</v>
      </c>
    </row>
    <row r="1023" spans="1:10" x14ac:dyDescent="0.2">
      <c r="A1023" s="2">
        <v>45685</v>
      </c>
      <c r="B1023" s="1">
        <f>VLOOKUP(A1023,AAPL!A1022:C2277,3)</f>
        <v>237.18700000000001</v>
      </c>
      <c r="C1023" s="1">
        <f>VLOOKUP(A1023,MSFT!A1022:C2277,3)</f>
        <v>447.2</v>
      </c>
      <c r="D1023" s="1">
        <f>VLOOKUP(A1023,NVDA!A1022:C2277,3)</f>
        <v>128.99</v>
      </c>
      <c r="E1023" s="1">
        <f>VLOOKUP(A1023,AMD!A1022:C2277,3)</f>
        <v>114.17</v>
      </c>
      <c r="F1023" s="1">
        <f>VLOOKUP(A1023,AMZN!A1022:C2277,3)</f>
        <v>238.15</v>
      </c>
      <c r="G1023" s="1">
        <f>VLOOKUP(A1023,TSLA!A1022:C2277,3)</f>
        <v>398.09</v>
      </c>
      <c r="H1023" s="1">
        <f>VLOOKUP(A1023,GOOGL!A1022:C2277,3)</f>
        <v>195.3</v>
      </c>
      <c r="I1023" s="1">
        <f>VLOOKUP(A1023,META!A1022:C2277,3)</f>
        <v>674.33</v>
      </c>
      <c r="J1023" s="1">
        <f>VLOOKUP(A1023,Nasdaq!A1022:C2277,3)</f>
        <v>19733.59</v>
      </c>
    </row>
    <row r="1024" spans="1:10" x14ac:dyDescent="0.2">
      <c r="A1024" s="2">
        <v>45686</v>
      </c>
      <c r="B1024" s="1">
        <f>VLOOKUP(A1024,AAPL!A1023:C2278,3)</f>
        <v>238.28200000000001</v>
      </c>
      <c r="C1024" s="1">
        <f>VLOOKUP(A1024,MSFT!A1023:C2278,3)</f>
        <v>442.33</v>
      </c>
      <c r="D1024" s="1">
        <f>VLOOKUP(A1024,NVDA!A1023:C2278,3)</f>
        <v>123.7</v>
      </c>
      <c r="E1024" s="1">
        <f>VLOOKUP(A1024,AMD!A1023:C2278,3)</f>
        <v>117.35</v>
      </c>
      <c r="F1024" s="1">
        <f>VLOOKUP(A1024,AMZN!A1023:C2278,3)</f>
        <v>237.07</v>
      </c>
      <c r="G1024" s="1">
        <f>VLOOKUP(A1024,TSLA!A1023:C2278,3)</f>
        <v>389.1</v>
      </c>
      <c r="H1024" s="1">
        <f>VLOOKUP(A1024,GOOGL!A1023:C2278,3)</f>
        <v>195.41</v>
      </c>
      <c r="I1024" s="1">
        <f>VLOOKUP(A1024,META!A1023:C2278,3)</f>
        <v>676.49</v>
      </c>
      <c r="J1024" s="1">
        <f>VLOOKUP(A1024,Nasdaq!A1023:C2278,3)</f>
        <v>19632.32</v>
      </c>
    </row>
    <row r="1025" spans="1:10" x14ac:dyDescent="0.2">
      <c r="A1025" s="2">
        <v>45687</v>
      </c>
      <c r="B1025" s="1">
        <f>VLOOKUP(A1025,AAPL!A1024:C2279,3)</f>
        <v>236.52</v>
      </c>
      <c r="C1025" s="1">
        <f>VLOOKUP(A1025,MSFT!A1024:C2279,3)</f>
        <v>414.99</v>
      </c>
      <c r="D1025" s="1">
        <f>VLOOKUP(A1025,NVDA!A1024:C2279,3)</f>
        <v>124.65</v>
      </c>
      <c r="E1025" s="1">
        <f>VLOOKUP(A1025,AMD!A1024:C2279,3)</f>
        <v>118.86</v>
      </c>
      <c r="F1025" s="1">
        <f>VLOOKUP(A1025,AMZN!A1024:C2279,3)</f>
        <v>234.64</v>
      </c>
      <c r="G1025" s="1">
        <f>VLOOKUP(A1025,TSLA!A1024:C2279,3)</f>
        <v>400.28</v>
      </c>
      <c r="H1025" s="1">
        <f>VLOOKUP(A1025,GOOGL!A1024:C2279,3)</f>
        <v>200.87</v>
      </c>
      <c r="I1025" s="1">
        <f>VLOOKUP(A1025,META!A1024:C2279,3)</f>
        <v>687</v>
      </c>
      <c r="J1025" s="1">
        <f>VLOOKUP(A1025,Nasdaq!A1024:C2279,3)</f>
        <v>19681.75</v>
      </c>
    </row>
    <row r="1026" spans="1:10" x14ac:dyDescent="0.2">
      <c r="A1026" s="2">
        <v>45688</v>
      </c>
      <c r="B1026" s="1">
        <f>VLOOKUP(A1026,AAPL!A1025:C2280,3)</f>
        <v>234.93700000000001</v>
      </c>
      <c r="C1026" s="1">
        <f>VLOOKUP(A1026,MSFT!A1025:C2280,3)</f>
        <v>415.06</v>
      </c>
      <c r="D1026" s="1">
        <f>VLOOKUP(A1026,NVDA!A1025:C2280,3)</f>
        <v>120.07</v>
      </c>
      <c r="E1026" s="1">
        <f>VLOOKUP(A1026,AMD!A1025:C2280,3)</f>
        <v>115.95</v>
      </c>
      <c r="F1026" s="1">
        <f>VLOOKUP(A1026,AMZN!A1025:C2280,3)</f>
        <v>237.68</v>
      </c>
      <c r="G1026" s="1">
        <f>VLOOKUP(A1026,TSLA!A1025:C2280,3)</f>
        <v>404.6</v>
      </c>
      <c r="H1026" s="1">
        <f>VLOOKUP(A1026,GOOGL!A1025:C2280,3)</f>
        <v>204.02</v>
      </c>
      <c r="I1026" s="1">
        <f>VLOOKUP(A1026,META!A1025:C2280,3)</f>
        <v>689.18</v>
      </c>
      <c r="J1026" s="1">
        <f>VLOOKUP(A1026,Nasdaq!A1025:C2280,3)</f>
        <v>19627.439999999999</v>
      </c>
    </row>
    <row r="1027" spans="1:10" x14ac:dyDescent="0.2">
      <c r="A1027" s="2">
        <v>45691</v>
      </c>
      <c r="B1027" s="1">
        <f>VLOOKUP(A1027,AAPL!A1026:C2281,3)</f>
        <v>226.98400000000001</v>
      </c>
      <c r="C1027" s="1">
        <f>VLOOKUP(A1027,MSFT!A1026:C2281,3)</f>
        <v>410.92</v>
      </c>
      <c r="D1027" s="1">
        <f>VLOOKUP(A1027,NVDA!A1026:C2281,3)</f>
        <v>116.66</v>
      </c>
      <c r="E1027" s="1">
        <f>VLOOKUP(A1027,AMD!A1026:C2281,3)</f>
        <v>114.27</v>
      </c>
      <c r="F1027" s="1">
        <f>VLOOKUP(A1027,AMZN!A1026:C2281,3)</f>
        <v>237.42</v>
      </c>
      <c r="G1027" s="1">
        <f>VLOOKUP(A1027,TSLA!A1026:C2281,3)</f>
        <v>383.68</v>
      </c>
      <c r="H1027" s="1">
        <f>VLOOKUP(A1027,GOOGL!A1026:C2281,3)</f>
        <v>201.23</v>
      </c>
      <c r="I1027" s="1">
        <f>VLOOKUP(A1027,META!A1026:C2281,3)</f>
        <v>697.46</v>
      </c>
      <c r="J1027" s="1">
        <f>VLOOKUP(A1027,Nasdaq!A1026:C2281,3)</f>
        <v>19391.96</v>
      </c>
    </row>
    <row r="1028" spans="1:10" x14ac:dyDescent="0.2">
      <c r="A1028" s="2">
        <v>45692</v>
      </c>
      <c r="B1028" s="1">
        <f>VLOOKUP(A1028,AAPL!A1027:C2282,3)</f>
        <v>231.751</v>
      </c>
      <c r="C1028" s="1">
        <f>VLOOKUP(A1028,MSFT!A1027:C2282,3)</f>
        <v>412.37</v>
      </c>
      <c r="D1028" s="1">
        <f>VLOOKUP(A1028,NVDA!A1027:C2282,3)</f>
        <v>118.65</v>
      </c>
      <c r="E1028" s="1">
        <f>VLOOKUP(A1028,AMD!A1027:C2282,3)</f>
        <v>119.5</v>
      </c>
      <c r="F1028" s="1">
        <f>VLOOKUP(A1028,AMZN!A1027:C2282,3)</f>
        <v>242.06</v>
      </c>
      <c r="G1028" s="1">
        <f>VLOOKUP(A1028,TSLA!A1027:C2282,3)</f>
        <v>392.21</v>
      </c>
      <c r="H1028" s="1">
        <f>VLOOKUP(A1028,GOOGL!A1027:C2282,3)</f>
        <v>206.38</v>
      </c>
      <c r="I1028" s="1">
        <f>VLOOKUP(A1028,META!A1027:C2282,3)</f>
        <v>704.19</v>
      </c>
      <c r="J1028" s="1">
        <f>VLOOKUP(A1028,Nasdaq!A1027:C2282,3)</f>
        <v>19654.02</v>
      </c>
    </row>
    <row r="1029" spans="1:10" x14ac:dyDescent="0.2">
      <c r="A1029" s="2">
        <v>45693</v>
      </c>
      <c r="B1029" s="1">
        <f>VLOOKUP(A1029,AAPL!A1028:C2283,3)</f>
        <v>231.42400000000001</v>
      </c>
      <c r="C1029" s="1">
        <f>VLOOKUP(A1029,MSFT!A1028:C2283,3)</f>
        <v>413.29</v>
      </c>
      <c r="D1029" s="1">
        <f>VLOOKUP(A1029,NVDA!A1028:C2283,3)</f>
        <v>124.83</v>
      </c>
      <c r="E1029" s="1">
        <f>VLOOKUP(A1029,AMD!A1028:C2283,3)</f>
        <v>112.01</v>
      </c>
      <c r="F1029" s="1">
        <f>VLOOKUP(A1029,AMZN!A1028:C2283,3)</f>
        <v>236.17</v>
      </c>
      <c r="G1029" s="1">
        <f>VLOOKUP(A1029,TSLA!A1028:C2283,3)</f>
        <v>378.17</v>
      </c>
      <c r="H1029" s="1">
        <f>VLOOKUP(A1029,GOOGL!A1028:C2283,3)</f>
        <v>191.33</v>
      </c>
      <c r="I1029" s="1">
        <f>VLOOKUP(A1029,META!A1028:C2283,3)</f>
        <v>704.87</v>
      </c>
      <c r="J1029" s="1">
        <f>VLOOKUP(A1029,Nasdaq!A1028:C2283,3)</f>
        <v>19692.330000000002</v>
      </c>
    </row>
    <row r="1030" spans="1:10" x14ac:dyDescent="0.2">
      <c r="A1030" s="2">
        <v>45694</v>
      </c>
      <c r="B1030" s="1">
        <f>VLOOKUP(A1030,AAPL!A1029:C2284,3)</f>
        <v>232.17</v>
      </c>
      <c r="C1030" s="1">
        <f>VLOOKUP(A1030,MSFT!A1029:C2284,3)</f>
        <v>415.82</v>
      </c>
      <c r="D1030" s="1">
        <f>VLOOKUP(A1030,NVDA!A1029:C2284,3)</f>
        <v>128.68</v>
      </c>
      <c r="E1030" s="1">
        <f>VLOOKUP(A1030,AMD!A1029:C2284,3)</f>
        <v>110.16</v>
      </c>
      <c r="F1030" s="1">
        <f>VLOOKUP(A1030,AMZN!A1029:C2284,3)</f>
        <v>238.83</v>
      </c>
      <c r="G1030" s="1">
        <f>VLOOKUP(A1030,TSLA!A1029:C2284,3)</f>
        <v>374.32</v>
      </c>
      <c r="H1030" s="1">
        <f>VLOOKUP(A1030,GOOGL!A1029:C2284,3)</f>
        <v>191.6</v>
      </c>
      <c r="I1030" s="1">
        <f>VLOOKUP(A1030,META!A1029:C2284,3)</f>
        <v>711.99</v>
      </c>
      <c r="J1030" s="1">
        <f>VLOOKUP(A1030,Nasdaq!A1029:C2284,3)</f>
        <v>19791.990000000002</v>
      </c>
    </row>
    <row r="1031" spans="1:10" x14ac:dyDescent="0.2">
      <c r="A1031" s="2">
        <v>45695</v>
      </c>
      <c r="B1031" s="1">
        <f>VLOOKUP(A1031,AAPL!A1030:C2285,3)</f>
        <v>226.60499999999999</v>
      </c>
      <c r="C1031" s="1">
        <f>VLOOKUP(A1031,MSFT!A1030:C2285,3)</f>
        <v>409.75</v>
      </c>
      <c r="D1031" s="1">
        <f>VLOOKUP(A1031,NVDA!A1030:C2285,3)</f>
        <v>129.84</v>
      </c>
      <c r="E1031" s="1">
        <f>VLOOKUP(A1031,AMD!A1030:C2285,3)</f>
        <v>107.56</v>
      </c>
      <c r="F1031" s="1">
        <f>VLOOKUP(A1031,AMZN!A1030:C2285,3)</f>
        <v>229.15</v>
      </c>
      <c r="G1031" s="1">
        <f>VLOOKUP(A1031,TSLA!A1030:C2285,3)</f>
        <v>361.62</v>
      </c>
      <c r="H1031" s="1">
        <f>VLOOKUP(A1031,GOOGL!A1030:C2285,3)</f>
        <v>185.34</v>
      </c>
      <c r="I1031" s="1">
        <f>VLOOKUP(A1031,META!A1030:C2285,3)</f>
        <v>714.52</v>
      </c>
      <c r="J1031" s="1">
        <f>VLOOKUP(A1031,Nasdaq!A1030:C2285,3)</f>
        <v>19523.400000000001</v>
      </c>
    </row>
    <row r="1032" spans="1:10" x14ac:dyDescent="0.2">
      <c r="A1032" s="2">
        <v>45698</v>
      </c>
      <c r="B1032" s="1">
        <f>VLOOKUP(A1032,AAPL!A1031:C2286,3)</f>
        <v>226.874</v>
      </c>
      <c r="C1032" s="1">
        <f>VLOOKUP(A1032,MSFT!A1031:C2286,3)</f>
        <v>412.22</v>
      </c>
      <c r="D1032" s="1">
        <f>VLOOKUP(A1032,NVDA!A1031:C2286,3)</f>
        <v>133.57</v>
      </c>
      <c r="E1032" s="1">
        <f>VLOOKUP(A1032,AMD!A1031:C2286,3)</f>
        <v>110.48</v>
      </c>
      <c r="F1032" s="1">
        <f>VLOOKUP(A1032,AMZN!A1031:C2286,3)</f>
        <v>233.14</v>
      </c>
      <c r="G1032" s="1">
        <f>VLOOKUP(A1032,TSLA!A1031:C2286,3)</f>
        <v>350.73</v>
      </c>
      <c r="H1032" s="1">
        <f>VLOOKUP(A1032,GOOGL!A1031:C2286,3)</f>
        <v>186.47</v>
      </c>
      <c r="I1032" s="1">
        <f>VLOOKUP(A1032,META!A1031:C2286,3)</f>
        <v>717.4</v>
      </c>
      <c r="J1032" s="1">
        <f>VLOOKUP(A1032,Nasdaq!A1031:C2286,3)</f>
        <v>19714.27</v>
      </c>
    </row>
    <row r="1033" spans="1:10" x14ac:dyDescent="0.2">
      <c r="A1033" s="2">
        <v>45699</v>
      </c>
      <c r="B1033" s="1">
        <f>VLOOKUP(A1033,AAPL!A1032:C2287,3)</f>
        <v>231.827</v>
      </c>
      <c r="C1033" s="1">
        <f>VLOOKUP(A1033,MSFT!A1032:C2287,3)</f>
        <v>411.44</v>
      </c>
      <c r="D1033" s="1">
        <f>VLOOKUP(A1033,NVDA!A1032:C2287,3)</f>
        <v>132.80000000000001</v>
      </c>
      <c r="E1033" s="1">
        <f>VLOOKUP(A1033,AMD!A1032:C2287,3)</f>
        <v>111.1</v>
      </c>
      <c r="F1033" s="1">
        <f>VLOOKUP(A1033,AMZN!A1032:C2287,3)</f>
        <v>232.76</v>
      </c>
      <c r="G1033" s="1">
        <f>VLOOKUP(A1033,TSLA!A1032:C2287,3)</f>
        <v>328.5</v>
      </c>
      <c r="H1033" s="1">
        <f>VLOOKUP(A1033,GOOGL!A1032:C2287,3)</f>
        <v>185.32</v>
      </c>
      <c r="I1033" s="1">
        <f>VLOOKUP(A1033,META!A1032:C2287,3)</f>
        <v>719.8</v>
      </c>
      <c r="J1033" s="1">
        <f>VLOOKUP(A1033,Nasdaq!A1032:C2287,3)</f>
        <v>19643.86</v>
      </c>
    </row>
    <row r="1034" spans="1:10" x14ac:dyDescent="0.2">
      <c r="A1034" s="2">
        <v>45700</v>
      </c>
      <c r="B1034" s="1">
        <f>VLOOKUP(A1034,AAPL!A1033:C2288,3)</f>
        <v>236.06299999999999</v>
      </c>
      <c r="C1034" s="1">
        <f>VLOOKUP(A1034,MSFT!A1033:C2288,3)</f>
        <v>409.04</v>
      </c>
      <c r="D1034" s="1">
        <f>VLOOKUP(A1034,NVDA!A1033:C2288,3)</f>
        <v>131.13999999999999</v>
      </c>
      <c r="E1034" s="1">
        <f>VLOOKUP(A1034,AMD!A1033:C2288,3)</f>
        <v>111.72</v>
      </c>
      <c r="F1034" s="1">
        <f>VLOOKUP(A1034,AMZN!A1033:C2288,3)</f>
        <v>228.93</v>
      </c>
      <c r="G1034" s="1">
        <f>VLOOKUP(A1034,TSLA!A1033:C2288,3)</f>
        <v>336.51</v>
      </c>
      <c r="H1034" s="1">
        <f>VLOOKUP(A1034,GOOGL!A1033:C2288,3)</f>
        <v>183.61</v>
      </c>
      <c r="I1034" s="1">
        <f>VLOOKUP(A1034,META!A1033:C2288,3)</f>
        <v>725.38</v>
      </c>
      <c r="J1034" s="1">
        <f>VLOOKUP(A1034,Nasdaq!A1033:C2288,3)</f>
        <v>19649.95</v>
      </c>
    </row>
    <row r="1035" spans="1:10" x14ac:dyDescent="0.2">
      <c r="A1035" s="2">
        <v>45701</v>
      </c>
      <c r="B1035" s="1">
        <f>VLOOKUP(A1035,AAPL!A1034:C2289,3)</f>
        <v>240.708</v>
      </c>
      <c r="C1035" s="1">
        <f>VLOOKUP(A1035,MSFT!A1034:C2289,3)</f>
        <v>410.54</v>
      </c>
      <c r="D1035" s="1">
        <f>VLOOKUP(A1035,NVDA!A1034:C2289,3)</f>
        <v>135.29</v>
      </c>
      <c r="E1035" s="1">
        <f>VLOOKUP(A1035,AMD!A1034:C2289,3)</f>
        <v>111.81</v>
      </c>
      <c r="F1035" s="1">
        <f>VLOOKUP(A1035,AMZN!A1034:C2289,3)</f>
        <v>230.37</v>
      </c>
      <c r="G1035" s="1">
        <f>VLOOKUP(A1035,TSLA!A1034:C2289,3)</f>
        <v>355.94</v>
      </c>
      <c r="H1035" s="1">
        <f>VLOOKUP(A1035,GOOGL!A1034:C2289,3)</f>
        <v>186.14</v>
      </c>
      <c r="I1035" s="1">
        <f>VLOOKUP(A1035,META!A1034:C2289,3)</f>
        <v>728.56</v>
      </c>
      <c r="J1035" s="1">
        <f>VLOOKUP(A1035,Nasdaq!A1034:C2289,3)</f>
        <v>19945.64</v>
      </c>
    </row>
    <row r="1036" spans="1:10" x14ac:dyDescent="0.2">
      <c r="A1036" s="2">
        <v>45702</v>
      </c>
      <c r="B1036" s="1">
        <f>VLOOKUP(A1036,AAPL!A1035:C2290,3)</f>
        <v>243.767</v>
      </c>
      <c r="C1036" s="1">
        <f>VLOOKUP(A1036,MSFT!A1035:C2290,3)</f>
        <v>408.43</v>
      </c>
      <c r="D1036" s="1">
        <f>VLOOKUP(A1036,NVDA!A1035:C2290,3)</f>
        <v>138.85</v>
      </c>
      <c r="E1036" s="1">
        <f>VLOOKUP(A1036,AMD!A1035:C2290,3)</f>
        <v>113.1</v>
      </c>
      <c r="F1036" s="1">
        <f>VLOOKUP(A1036,AMZN!A1035:C2290,3)</f>
        <v>228.68</v>
      </c>
      <c r="G1036" s="1">
        <f>VLOOKUP(A1036,TSLA!A1035:C2290,3)</f>
        <v>355.84</v>
      </c>
      <c r="H1036" s="1">
        <f>VLOOKUP(A1036,GOOGL!A1035:C2290,3)</f>
        <v>185.23</v>
      </c>
      <c r="I1036" s="1">
        <f>VLOOKUP(A1036,META!A1035:C2290,3)</f>
        <v>736.67</v>
      </c>
      <c r="J1036" s="1">
        <f>VLOOKUP(A1036,Nasdaq!A1035:C2290,3)</f>
        <v>20026.77</v>
      </c>
    </row>
    <row r="1037" spans="1:10" x14ac:dyDescent="0.2">
      <c r="A1037" s="2">
        <v>45706</v>
      </c>
      <c r="B1037" s="1">
        <f>VLOOKUP(A1037,AAPL!A1036:C2291,3)</f>
        <v>243.637</v>
      </c>
      <c r="C1037" s="1">
        <f>VLOOKUP(A1037,MSFT!A1036:C2291,3)</f>
        <v>409.64</v>
      </c>
      <c r="D1037" s="1">
        <f>VLOOKUP(A1037,NVDA!A1036:C2291,3)</f>
        <v>139.4</v>
      </c>
      <c r="E1037" s="1">
        <f>VLOOKUP(A1037,AMD!A1036:C2291,3)</f>
        <v>114.28</v>
      </c>
      <c r="F1037" s="1">
        <f>VLOOKUP(A1037,AMZN!A1036:C2291,3)</f>
        <v>226.65</v>
      </c>
      <c r="G1037" s="1">
        <f>VLOOKUP(A1037,TSLA!A1036:C2291,3)</f>
        <v>354.11</v>
      </c>
      <c r="H1037" s="1">
        <f>VLOOKUP(A1037,GOOGL!A1036:C2291,3)</f>
        <v>183.77</v>
      </c>
      <c r="I1037" s="1">
        <f>VLOOKUP(A1037,META!A1036:C2291,3)</f>
        <v>716.37</v>
      </c>
      <c r="J1037" s="1">
        <f>VLOOKUP(A1037,Nasdaq!A1036:C2291,3)</f>
        <v>20041.259999999998</v>
      </c>
    </row>
    <row r="1038" spans="1:10" x14ac:dyDescent="0.2">
      <c r="A1038" s="2">
        <v>45707</v>
      </c>
      <c r="B1038" s="1">
        <f>VLOOKUP(A1038,AAPL!A1037:C2292,3)</f>
        <v>244.035</v>
      </c>
      <c r="C1038" s="1">
        <f>VLOOKUP(A1038,MSFT!A1037:C2292,3)</f>
        <v>414.77</v>
      </c>
      <c r="D1038" s="1">
        <f>VLOOKUP(A1038,NVDA!A1037:C2292,3)</f>
        <v>139.22999999999999</v>
      </c>
      <c r="E1038" s="1">
        <f>VLOOKUP(A1038,AMD!A1037:C2292,3)</f>
        <v>114.69</v>
      </c>
      <c r="F1038" s="1">
        <f>VLOOKUP(A1038,AMZN!A1037:C2292,3)</f>
        <v>226.63</v>
      </c>
      <c r="G1038" s="1">
        <f>VLOOKUP(A1038,TSLA!A1037:C2292,3)</f>
        <v>360.56</v>
      </c>
      <c r="H1038" s="1">
        <f>VLOOKUP(A1038,GOOGL!A1037:C2292,3)</f>
        <v>185.27</v>
      </c>
      <c r="I1038" s="1">
        <f>VLOOKUP(A1038,META!A1037:C2292,3)</f>
        <v>703.77</v>
      </c>
      <c r="J1038" s="1">
        <f>VLOOKUP(A1038,Nasdaq!A1037:C2292,3)</f>
        <v>20056.25</v>
      </c>
    </row>
    <row r="1039" spans="1:10" x14ac:dyDescent="0.2">
      <c r="A1039" s="2">
        <v>45708</v>
      </c>
      <c r="B1039" s="1">
        <f>VLOOKUP(A1039,AAPL!A1038:C2293,3)</f>
        <v>244.99299999999999</v>
      </c>
      <c r="C1039" s="1">
        <f>VLOOKUP(A1039,MSFT!A1038:C2293,3)</f>
        <v>416.13</v>
      </c>
      <c r="D1039" s="1">
        <f>VLOOKUP(A1039,NVDA!A1038:C2293,3)</f>
        <v>140.11000000000001</v>
      </c>
      <c r="E1039" s="1">
        <f>VLOOKUP(A1039,AMD!A1038:C2293,3)</f>
        <v>114.17</v>
      </c>
      <c r="F1039" s="1">
        <f>VLOOKUP(A1039,AMZN!A1038:C2293,3)</f>
        <v>222.88</v>
      </c>
      <c r="G1039" s="1">
        <f>VLOOKUP(A1039,TSLA!A1038:C2293,3)</f>
        <v>354.4</v>
      </c>
      <c r="H1039" s="1">
        <f>VLOOKUP(A1039,GOOGL!A1038:C2293,3)</f>
        <v>184.56</v>
      </c>
      <c r="I1039" s="1">
        <f>VLOOKUP(A1039,META!A1038:C2293,3)</f>
        <v>694.84</v>
      </c>
      <c r="J1039" s="1">
        <f>VLOOKUP(A1039,Nasdaq!A1038:C2293,3)</f>
        <v>19962.36</v>
      </c>
    </row>
    <row r="1040" spans="1:10" x14ac:dyDescent="0.2">
      <c r="A1040" s="2">
        <v>45709</v>
      </c>
      <c r="B1040" s="1">
        <f>VLOOKUP(A1040,AAPL!A1039:C2294,3)</f>
        <v>244.71299999999999</v>
      </c>
      <c r="C1040" s="1">
        <f>VLOOKUP(A1040,MSFT!A1039:C2294,3)</f>
        <v>408.21</v>
      </c>
      <c r="D1040" s="1">
        <f>VLOOKUP(A1040,NVDA!A1039:C2294,3)</f>
        <v>134.43</v>
      </c>
      <c r="E1040" s="1">
        <f>VLOOKUP(A1040,AMD!A1039:C2294,3)</f>
        <v>110.84</v>
      </c>
      <c r="F1040" s="1">
        <f>VLOOKUP(A1040,AMZN!A1039:C2294,3)</f>
        <v>216.58</v>
      </c>
      <c r="G1040" s="1">
        <f>VLOOKUP(A1040,TSLA!A1039:C2294,3)</f>
        <v>337.8</v>
      </c>
      <c r="H1040" s="1">
        <f>VLOOKUP(A1040,GOOGL!A1039:C2294,3)</f>
        <v>179.66</v>
      </c>
      <c r="I1040" s="1">
        <f>VLOOKUP(A1040,META!A1039:C2294,3)</f>
        <v>683.55</v>
      </c>
      <c r="J1040" s="1">
        <f>VLOOKUP(A1040,Nasdaq!A1039:C2294,3)</f>
        <v>19524.009999999998</v>
      </c>
    </row>
    <row r="1041" spans="1:10" x14ac:dyDescent="0.2">
      <c r="A1041" s="2">
        <v>45712</v>
      </c>
      <c r="B1041" s="1">
        <f>VLOOKUP(A1041,AAPL!A1040:C2295,3)</f>
        <v>246.32900000000001</v>
      </c>
      <c r="C1041" s="1">
        <f>VLOOKUP(A1041,MSFT!A1040:C2295,3)</f>
        <v>404</v>
      </c>
      <c r="D1041" s="1">
        <f>VLOOKUP(A1041,NVDA!A1040:C2295,3)</f>
        <v>130.28</v>
      </c>
      <c r="E1041" s="1">
        <f>VLOOKUP(A1041,AMD!A1040:C2295,3)</f>
        <v>108.12</v>
      </c>
      <c r="F1041" s="1">
        <f>VLOOKUP(A1041,AMZN!A1040:C2295,3)</f>
        <v>212.71</v>
      </c>
      <c r="G1041" s="1">
        <f>VLOOKUP(A1041,TSLA!A1040:C2295,3)</f>
        <v>330.4</v>
      </c>
      <c r="H1041" s="1">
        <f>VLOOKUP(A1041,GOOGL!A1040:C2295,3)</f>
        <v>179.32</v>
      </c>
      <c r="I1041" s="1">
        <f>VLOOKUP(A1041,META!A1040:C2295,3)</f>
        <v>668.12750000000005</v>
      </c>
      <c r="J1041" s="1">
        <f>VLOOKUP(A1041,Nasdaq!A1040:C2295,3)</f>
        <v>19286.93</v>
      </c>
    </row>
    <row r="1042" spans="1:10" x14ac:dyDescent="0.2">
      <c r="A1042" s="2">
        <v>45713</v>
      </c>
      <c r="B1042" s="1">
        <f>VLOOKUP(A1042,AAPL!A1041:C2296,3)</f>
        <v>246.197</v>
      </c>
      <c r="C1042" s="1">
        <f>VLOOKUP(A1042,MSFT!A1041:C2296,3)</f>
        <v>397.9</v>
      </c>
      <c r="D1042" s="1">
        <f>VLOOKUP(A1042,NVDA!A1041:C2296,3)</f>
        <v>126.63</v>
      </c>
      <c r="E1042" s="1">
        <f>VLOOKUP(A1042,AMD!A1041:C2296,3)</f>
        <v>103.96</v>
      </c>
      <c r="F1042" s="1">
        <f>VLOOKUP(A1042,AMZN!A1041:C2296,3)</f>
        <v>212.8</v>
      </c>
      <c r="G1042" s="1">
        <f>VLOOKUP(A1042,TSLA!A1041:C2296,3)</f>
        <v>302.8</v>
      </c>
      <c r="H1042" s="1">
        <f>VLOOKUP(A1042,GOOGL!A1041:C2296,3)</f>
        <v>175.42</v>
      </c>
      <c r="I1042" s="1">
        <f>VLOOKUP(A1042,META!A1041:C2296,3)</f>
        <v>657.5</v>
      </c>
      <c r="J1042" s="1">
        <f>VLOOKUP(A1042,Nasdaq!A1041:C2296,3)</f>
        <v>19026.39</v>
      </c>
    </row>
    <row r="1043" spans="1:10" x14ac:dyDescent="0.2">
      <c r="A1043" s="2">
        <v>45714</v>
      </c>
      <c r="B1043" s="1">
        <f>VLOOKUP(A1043,AAPL!A1042:C2297,3)</f>
        <v>239.541</v>
      </c>
      <c r="C1043" s="1">
        <f>VLOOKUP(A1043,MSFT!A1042:C2297,3)</f>
        <v>399.73</v>
      </c>
      <c r="D1043" s="1">
        <f>VLOOKUP(A1043,NVDA!A1042:C2297,3)</f>
        <v>131.28</v>
      </c>
      <c r="E1043" s="1">
        <f>VLOOKUP(A1043,AMD!A1042:C2297,3)</f>
        <v>104.74</v>
      </c>
      <c r="F1043" s="1">
        <f>VLOOKUP(A1043,AMZN!A1042:C2297,3)</f>
        <v>214.35</v>
      </c>
      <c r="G1043" s="1">
        <f>VLOOKUP(A1043,TSLA!A1042:C2297,3)</f>
        <v>290.8</v>
      </c>
      <c r="H1043" s="1">
        <f>VLOOKUP(A1043,GOOGL!A1042:C2297,3)</f>
        <v>172.73</v>
      </c>
      <c r="I1043" s="1">
        <f>VLOOKUP(A1043,META!A1042:C2297,3)</f>
        <v>673.7</v>
      </c>
      <c r="J1043" s="1">
        <f>VLOOKUP(A1043,Nasdaq!A1042:C2297,3)</f>
        <v>19075.259999999998</v>
      </c>
    </row>
    <row r="1044" spans="1:10" x14ac:dyDescent="0.2">
      <c r="A1044" s="2">
        <v>45715</v>
      </c>
      <c r="B1044" s="1">
        <f>VLOOKUP(A1044,AAPL!A1043:C2298,3)</f>
        <v>236.49100000000001</v>
      </c>
      <c r="C1044" s="1">
        <f>VLOOKUP(A1044,MSFT!A1043:C2298,3)</f>
        <v>392.53</v>
      </c>
      <c r="D1044" s="1">
        <f>VLOOKUP(A1044,NVDA!A1043:C2298,3)</f>
        <v>120.15</v>
      </c>
      <c r="E1044" s="1">
        <f>VLOOKUP(A1044,AMD!A1043:C2298,3)</f>
        <v>99.51</v>
      </c>
      <c r="F1044" s="1">
        <f>VLOOKUP(A1044,AMZN!A1043:C2298,3)</f>
        <v>208.74</v>
      </c>
      <c r="G1044" s="1">
        <f>VLOOKUP(A1044,TSLA!A1043:C2298,3)</f>
        <v>281.95</v>
      </c>
      <c r="H1044" s="1">
        <f>VLOOKUP(A1044,GOOGL!A1043:C2298,3)</f>
        <v>168.5</v>
      </c>
      <c r="I1044" s="1">
        <f>VLOOKUP(A1044,META!A1043:C2298,3)</f>
        <v>658.24</v>
      </c>
      <c r="J1044" s="1">
        <f>VLOOKUP(A1044,Nasdaq!A1043:C2298,3)</f>
        <v>18544.419999999998</v>
      </c>
    </row>
    <row r="1045" spans="1:10" x14ac:dyDescent="0.2">
      <c r="A1045" s="2">
        <v>45716</v>
      </c>
      <c r="B1045" s="1">
        <f>VLOOKUP(A1045,AAPL!A1044:C2299,3)</f>
        <v>241.01499999999999</v>
      </c>
      <c r="C1045" s="1">
        <f>VLOOKUP(A1045,MSFT!A1044:C2299,3)</f>
        <v>396.99</v>
      </c>
      <c r="D1045" s="1">
        <f>VLOOKUP(A1045,NVDA!A1044:C2299,3)</f>
        <v>124.92</v>
      </c>
      <c r="E1045" s="1">
        <f>VLOOKUP(A1045,AMD!A1044:C2299,3)</f>
        <v>99.86</v>
      </c>
      <c r="F1045" s="1">
        <f>VLOOKUP(A1045,AMZN!A1044:C2299,3)</f>
        <v>212.28</v>
      </c>
      <c r="G1045" s="1">
        <f>VLOOKUP(A1045,TSLA!A1044:C2299,3)</f>
        <v>292.98</v>
      </c>
      <c r="H1045" s="1">
        <f>VLOOKUP(A1045,GOOGL!A1044:C2299,3)</f>
        <v>170.28</v>
      </c>
      <c r="I1045" s="1">
        <f>VLOOKUP(A1045,META!A1044:C2299,3)</f>
        <v>668.2</v>
      </c>
      <c r="J1045" s="1">
        <f>VLOOKUP(A1045,Nasdaq!A1044:C2299,3)</f>
        <v>18847.28</v>
      </c>
    </row>
    <row r="1046" spans="1:10" x14ac:dyDescent="0.2">
      <c r="A1046" s="2">
        <v>45719</v>
      </c>
      <c r="B1046" s="1">
        <f>VLOOKUP(A1046,AAPL!A1045:C2300,3)</f>
        <v>237.21899999999999</v>
      </c>
      <c r="C1046" s="1">
        <f>VLOOKUP(A1046,MSFT!A1045:C2300,3)</f>
        <v>388.49</v>
      </c>
      <c r="D1046" s="1">
        <f>VLOOKUP(A1046,NVDA!A1045:C2300,3)</f>
        <v>114.06</v>
      </c>
      <c r="E1046" s="1">
        <f>VLOOKUP(A1046,AMD!A1045:C2300,3)</f>
        <v>98.23</v>
      </c>
      <c r="F1046" s="1">
        <f>VLOOKUP(A1046,AMZN!A1045:C2300,3)</f>
        <v>205.02</v>
      </c>
      <c r="G1046" s="1">
        <f>VLOOKUP(A1046,TSLA!A1045:C2300,3)</f>
        <v>284.64999999999998</v>
      </c>
      <c r="H1046" s="1">
        <f>VLOOKUP(A1046,GOOGL!A1045:C2300,3)</f>
        <v>167.01</v>
      </c>
      <c r="I1046" s="1">
        <f>VLOOKUP(A1046,META!A1045:C2300,3)</f>
        <v>655.04999999999995</v>
      </c>
      <c r="J1046" s="1">
        <f>VLOOKUP(A1046,Nasdaq!A1045:C2300,3)</f>
        <v>18350.189999999999</v>
      </c>
    </row>
    <row r="1047" spans="1:10" x14ac:dyDescent="0.2">
      <c r="A1047" s="2">
        <v>45720</v>
      </c>
      <c r="B1047" s="1">
        <f>VLOOKUP(A1047,AAPL!A1046:C2301,3)</f>
        <v>235.126</v>
      </c>
      <c r="C1047" s="1">
        <f>VLOOKUP(A1047,MSFT!A1046:C2301,3)</f>
        <v>388.61</v>
      </c>
      <c r="D1047" s="1">
        <f>VLOOKUP(A1047,NVDA!A1046:C2301,3)</f>
        <v>115.99</v>
      </c>
      <c r="E1047" s="1">
        <f>VLOOKUP(A1047,AMD!A1046:C2301,3)</f>
        <v>100.75</v>
      </c>
      <c r="F1047" s="1">
        <f>VLOOKUP(A1047,AMZN!A1046:C2301,3)</f>
        <v>203.8</v>
      </c>
      <c r="G1047" s="1">
        <f>VLOOKUP(A1047,TSLA!A1046:C2301,3)</f>
        <v>272.04000000000002</v>
      </c>
      <c r="H1047" s="1">
        <f>VLOOKUP(A1047,GOOGL!A1046:C2301,3)</f>
        <v>170.92</v>
      </c>
      <c r="I1047" s="1">
        <f>VLOOKUP(A1047,META!A1046:C2301,3)</f>
        <v>640</v>
      </c>
      <c r="J1047" s="1">
        <f>VLOOKUP(A1047,Nasdaq!A1046:C2301,3)</f>
        <v>18285.16</v>
      </c>
    </row>
    <row r="1048" spans="1:10" x14ac:dyDescent="0.2">
      <c r="A1048" s="2">
        <v>45721</v>
      </c>
      <c r="B1048" s="1">
        <f>VLOOKUP(A1048,AAPL!A1047:C2302,3)</f>
        <v>234.93600000000001</v>
      </c>
      <c r="C1048" s="1">
        <f>VLOOKUP(A1048,MSFT!A1047:C2302,3)</f>
        <v>401.02</v>
      </c>
      <c r="D1048" s="1">
        <f>VLOOKUP(A1048,NVDA!A1047:C2302,3)</f>
        <v>117.3</v>
      </c>
      <c r="E1048" s="1">
        <f>VLOOKUP(A1048,AMD!A1047:C2302,3)</f>
        <v>101.67</v>
      </c>
      <c r="F1048" s="1">
        <f>VLOOKUP(A1048,AMZN!A1047:C2302,3)</f>
        <v>208.36</v>
      </c>
      <c r="G1048" s="1">
        <f>VLOOKUP(A1048,TSLA!A1047:C2302,3)</f>
        <v>279.10000000000002</v>
      </c>
      <c r="H1048" s="1">
        <f>VLOOKUP(A1048,GOOGL!A1047:C2302,3)</f>
        <v>173.02</v>
      </c>
      <c r="I1048" s="1">
        <f>VLOOKUP(A1048,META!A1047:C2302,3)</f>
        <v>656.47</v>
      </c>
      <c r="J1048" s="1">
        <f>VLOOKUP(A1048,Nasdaq!A1047:C2302,3)</f>
        <v>18552.73</v>
      </c>
    </row>
    <row r="1049" spans="1:10" x14ac:dyDescent="0.2">
      <c r="A1049" s="2">
        <v>45722</v>
      </c>
      <c r="B1049" s="1">
        <f>VLOOKUP(A1049,AAPL!A1048:C2303,3)</f>
        <v>234.529</v>
      </c>
      <c r="C1049" s="1">
        <f>VLOOKUP(A1049,MSFT!A1048:C2303,3)</f>
        <v>396.89</v>
      </c>
      <c r="D1049" s="1">
        <f>VLOOKUP(A1049,NVDA!A1048:C2303,3)</f>
        <v>110.57</v>
      </c>
      <c r="E1049" s="1">
        <f>VLOOKUP(A1049,AMD!A1048:C2303,3)</f>
        <v>98.85</v>
      </c>
      <c r="F1049" s="1">
        <f>VLOOKUP(A1049,AMZN!A1048:C2303,3)</f>
        <v>200.7</v>
      </c>
      <c r="G1049" s="1">
        <f>VLOOKUP(A1049,TSLA!A1048:C2303,3)</f>
        <v>263.45</v>
      </c>
      <c r="H1049" s="1">
        <f>VLOOKUP(A1049,GOOGL!A1048:C2303,3)</f>
        <v>172.35</v>
      </c>
      <c r="I1049" s="1">
        <f>VLOOKUP(A1049,META!A1048:C2303,3)</f>
        <v>627.92999999999995</v>
      </c>
      <c r="J1049" s="1">
        <f>VLOOKUP(A1049,Nasdaq!A1048:C2303,3)</f>
        <v>18069.259999999998</v>
      </c>
    </row>
    <row r="1050" spans="1:10" x14ac:dyDescent="0.2">
      <c r="A1050" s="2">
        <v>45723</v>
      </c>
      <c r="B1050" s="1">
        <f>VLOOKUP(A1050,AAPL!A1049:C2304,3)</f>
        <v>238.255</v>
      </c>
      <c r="C1050" s="1">
        <f>VLOOKUP(A1050,MSFT!A1049:C2304,3)</f>
        <v>393.31</v>
      </c>
      <c r="D1050" s="1">
        <f>VLOOKUP(A1050,NVDA!A1049:C2304,3)</f>
        <v>112.69</v>
      </c>
      <c r="E1050" s="1">
        <f>VLOOKUP(A1050,AMD!A1049:C2304,3)</f>
        <v>100.31</v>
      </c>
      <c r="F1050" s="1">
        <f>VLOOKUP(A1050,AMZN!A1049:C2304,3)</f>
        <v>199.25</v>
      </c>
      <c r="G1050" s="1">
        <f>VLOOKUP(A1050,TSLA!A1049:C2304,3)</f>
        <v>262.67</v>
      </c>
      <c r="H1050" s="1">
        <f>VLOOKUP(A1050,GOOGL!A1049:C2304,3)</f>
        <v>173.86</v>
      </c>
      <c r="I1050" s="1">
        <f>VLOOKUP(A1050,META!A1049:C2304,3)</f>
        <v>625.66</v>
      </c>
      <c r="J1050" s="1">
        <f>VLOOKUP(A1050,Nasdaq!A1049:C2304,3)</f>
        <v>18196.22</v>
      </c>
    </row>
    <row r="1051" spans="1:10" x14ac:dyDescent="0.2">
      <c r="A1051" s="2">
        <v>45726</v>
      </c>
      <c r="B1051" s="1">
        <f>VLOOKUP(A1051,AAPL!A1050:C2305,3)</f>
        <v>226.70400000000001</v>
      </c>
      <c r="C1051" s="1">
        <f>VLOOKUP(A1051,MSFT!A1050:C2305,3)</f>
        <v>380.16</v>
      </c>
      <c r="D1051" s="1">
        <f>VLOOKUP(A1051,NVDA!A1050:C2305,3)</f>
        <v>106.98</v>
      </c>
      <c r="E1051" s="1">
        <f>VLOOKUP(A1051,AMD!A1050:C2305,3)</f>
        <v>96.63</v>
      </c>
      <c r="F1051" s="1">
        <f>VLOOKUP(A1051,AMZN!A1050:C2305,3)</f>
        <v>194.54</v>
      </c>
      <c r="G1051" s="1">
        <f>VLOOKUP(A1051,TSLA!A1050:C2305,3)</f>
        <v>222.15</v>
      </c>
      <c r="H1051" s="1">
        <f>VLOOKUP(A1051,GOOGL!A1050:C2305,3)</f>
        <v>165.87</v>
      </c>
      <c r="I1051" s="1">
        <f>VLOOKUP(A1051,META!A1050:C2305,3)</f>
        <v>597.99</v>
      </c>
      <c r="J1051" s="1">
        <f>VLOOKUP(A1051,Nasdaq!A1050:C2305,3)</f>
        <v>17468.32</v>
      </c>
    </row>
    <row r="1052" spans="1:10" x14ac:dyDescent="0.2">
      <c r="A1052" s="2">
        <v>45727</v>
      </c>
      <c r="B1052" s="1">
        <f>VLOOKUP(A1052,AAPL!A1051:C2306,3)</f>
        <v>220.08799999999999</v>
      </c>
      <c r="C1052" s="1">
        <f>VLOOKUP(A1052,MSFT!A1051:C2306,3)</f>
        <v>380.45</v>
      </c>
      <c r="D1052" s="1">
        <f>VLOOKUP(A1052,NVDA!A1051:C2306,3)</f>
        <v>108.76</v>
      </c>
      <c r="E1052" s="1">
        <f>VLOOKUP(A1052,AMD!A1051:C2306,3)</f>
        <v>96.76</v>
      </c>
      <c r="F1052" s="1">
        <f>VLOOKUP(A1052,AMZN!A1051:C2306,3)</f>
        <v>196.59</v>
      </c>
      <c r="G1052" s="1">
        <f>VLOOKUP(A1052,TSLA!A1051:C2306,3)</f>
        <v>230.58</v>
      </c>
      <c r="H1052" s="1">
        <f>VLOOKUP(A1052,GOOGL!A1051:C2306,3)</f>
        <v>164.04</v>
      </c>
      <c r="I1052" s="1">
        <f>VLOOKUP(A1052,META!A1051:C2306,3)</f>
        <v>605.71</v>
      </c>
      <c r="J1052" s="1">
        <f>VLOOKUP(A1052,Nasdaq!A1051:C2306,3)</f>
        <v>17436.099999999999</v>
      </c>
    </row>
    <row r="1053" spans="1:10" x14ac:dyDescent="0.2">
      <c r="A1053" s="2">
        <v>45728</v>
      </c>
      <c r="B1053" s="1">
        <f>VLOOKUP(A1053,AAPL!A1052:C2307,3)</f>
        <v>216.24</v>
      </c>
      <c r="C1053" s="1">
        <f>VLOOKUP(A1053,MSFT!A1052:C2307,3)</f>
        <v>383.27</v>
      </c>
      <c r="D1053" s="1">
        <f>VLOOKUP(A1053,NVDA!A1052:C2307,3)</f>
        <v>115.74</v>
      </c>
      <c r="E1053" s="1">
        <f>VLOOKUP(A1053,AMD!A1052:C2307,3)</f>
        <v>100.79</v>
      </c>
      <c r="F1053" s="1">
        <f>VLOOKUP(A1053,AMZN!A1052:C2307,3)</f>
        <v>198.89</v>
      </c>
      <c r="G1053" s="1">
        <f>VLOOKUP(A1053,TSLA!A1052:C2307,3)</f>
        <v>248.09</v>
      </c>
      <c r="H1053" s="1">
        <f>VLOOKUP(A1053,GOOGL!A1052:C2307,3)</f>
        <v>167.11</v>
      </c>
      <c r="I1053" s="1">
        <f>VLOOKUP(A1053,META!A1052:C2307,3)</f>
        <v>619.55999999999995</v>
      </c>
      <c r="J1053" s="1">
        <f>VLOOKUP(A1053,Nasdaq!A1052:C2307,3)</f>
        <v>17648.45</v>
      </c>
    </row>
    <row r="1054" spans="1:10" x14ac:dyDescent="0.2">
      <c r="A1054" s="2">
        <v>45729</v>
      </c>
      <c r="B1054" s="1">
        <f>VLOOKUP(A1054,AAPL!A1053:C2308,3)</f>
        <v>208.965</v>
      </c>
      <c r="C1054" s="1">
        <f>VLOOKUP(A1054,MSFT!A1053:C2308,3)</f>
        <v>378.77</v>
      </c>
      <c r="D1054" s="1">
        <f>VLOOKUP(A1054,NVDA!A1053:C2308,3)</f>
        <v>115.58</v>
      </c>
      <c r="E1054" s="1">
        <f>VLOOKUP(A1054,AMD!A1053:C2308,3)</f>
        <v>98.11</v>
      </c>
      <c r="F1054" s="1">
        <f>VLOOKUP(A1054,AMZN!A1053:C2308,3)</f>
        <v>193.89</v>
      </c>
      <c r="G1054" s="1">
        <f>VLOOKUP(A1054,TSLA!A1053:C2308,3)</f>
        <v>240.68</v>
      </c>
      <c r="H1054" s="1">
        <f>VLOOKUP(A1054,GOOGL!A1053:C2308,3)</f>
        <v>162.76</v>
      </c>
      <c r="I1054" s="1">
        <f>VLOOKUP(A1054,META!A1053:C2308,3)</f>
        <v>590.64</v>
      </c>
      <c r="J1054" s="1">
        <f>VLOOKUP(A1054,Nasdaq!A1053:C2308,3)</f>
        <v>17303.009999999998</v>
      </c>
    </row>
    <row r="1055" spans="1:10" x14ac:dyDescent="0.2">
      <c r="A1055" s="2">
        <v>45730</v>
      </c>
      <c r="B1055" s="1">
        <f>VLOOKUP(A1055,AAPL!A1054:C2309,3)</f>
        <v>212.762</v>
      </c>
      <c r="C1055" s="1">
        <f>VLOOKUP(A1055,MSFT!A1054:C2309,3)</f>
        <v>388.56</v>
      </c>
      <c r="D1055" s="1">
        <f>VLOOKUP(A1055,NVDA!A1054:C2309,3)</f>
        <v>121.67</v>
      </c>
      <c r="E1055" s="1">
        <f>VLOOKUP(A1055,AMD!A1054:C2309,3)</f>
        <v>100.97</v>
      </c>
      <c r="F1055" s="1">
        <f>VLOOKUP(A1055,AMZN!A1054:C2309,3)</f>
        <v>197.95</v>
      </c>
      <c r="G1055" s="1">
        <f>VLOOKUP(A1055,TSLA!A1054:C2309,3)</f>
        <v>249.98</v>
      </c>
      <c r="H1055" s="1">
        <f>VLOOKUP(A1055,GOOGL!A1054:C2309,3)</f>
        <v>165.49</v>
      </c>
      <c r="I1055" s="1">
        <f>VLOOKUP(A1055,META!A1054:C2309,3)</f>
        <v>607.6</v>
      </c>
      <c r="J1055" s="1">
        <f>VLOOKUP(A1055,Nasdaq!A1054:C2309,3)</f>
        <v>17754.09</v>
      </c>
    </row>
    <row r="1056" spans="1:10" x14ac:dyDescent="0.2">
      <c r="A1056" s="2">
        <v>45733</v>
      </c>
      <c r="B1056" s="1">
        <f>VLOOKUP(A1056,AAPL!A1055:C2310,3)</f>
        <v>213.27099999999999</v>
      </c>
      <c r="C1056" s="1">
        <f>VLOOKUP(A1056,MSFT!A1055:C2310,3)</f>
        <v>388.7</v>
      </c>
      <c r="D1056" s="1">
        <f>VLOOKUP(A1056,NVDA!A1055:C2310,3)</f>
        <v>119.53</v>
      </c>
      <c r="E1056" s="1">
        <f>VLOOKUP(A1056,AMD!A1055:C2310,3)</f>
        <v>104.59</v>
      </c>
      <c r="F1056" s="1">
        <f>VLOOKUP(A1056,AMZN!A1055:C2310,3)</f>
        <v>195.74</v>
      </c>
      <c r="G1056" s="1">
        <f>VLOOKUP(A1056,TSLA!A1055:C2310,3)</f>
        <v>238.01</v>
      </c>
      <c r="H1056" s="1">
        <f>VLOOKUP(A1056,GOOGL!A1055:C2310,3)</f>
        <v>164.29</v>
      </c>
      <c r="I1056" s="1">
        <f>VLOOKUP(A1056,META!A1055:C2310,3)</f>
        <v>604.9</v>
      </c>
      <c r="J1056" s="1">
        <f>VLOOKUP(A1056,Nasdaq!A1055:C2310,3)</f>
        <v>17808.66</v>
      </c>
    </row>
    <row r="1057" spans="1:10" x14ac:dyDescent="0.2">
      <c r="A1057" s="2">
        <v>45734</v>
      </c>
      <c r="B1057" s="1">
        <f>VLOOKUP(A1057,AAPL!A1056:C2311,3)</f>
        <v>211.965</v>
      </c>
      <c r="C1057" s="1">
        <f>VLOOKUP(A1057,MSFT!A1056:C2311,3)</f>
        <v>383.52</v>
      </c>
      <c r="D1057" s="1">
        <f>VLOOKUP(A1057,NVDA!A1056:C2311,3)</f>
        <v>115.43</v>
      </c>
      <c r="E1057" s="1">
        <f>VLOOKUP(A1057,AMD!A1056:C2311,3)</f>
        <v>103.51</v>
      </c>
      <c r="F1057" s="1">
        <f>VLOOKUP(A1057,AMZN!A1056:C2311,3)</f>
        <v>192.82</v>
      </c>
      <c r="G1057" s="1">
        <f>VLOOKUP(A1057,TSLA!A1056:C2311,3)</f>
        <v>225.31</v>
      </c>
      <c r="H1057" s="1">
        <f>VLOOKUP(A1057,GOOGL!A1056:C2311,3)</f>
        <v>160.66999999999999</v>
      </c>
      <c r="I1057" s="1">
        <f>VLOOKUP(A1057,META!A1056:C2311,3)</f>
        <v>582.36</v>
      </c>
      <c r="J1057" s="1">
        <f>VLOOKUP(A1057,Nasdaq!A1056:C2311,3)</f>
        <v>17504.12</v>
      </c>
    </row>
    <row r="1058" spans="1:10" x14ac:dyDescent="0.2">
      <c r="A1058" s="2">
        <v>45735</v>
      </c>
      <c r="B1058" s="1">
        <f>VLOOKUP(A1058,AAPL!A1057:C2312,3)</f>
        <v>214.506</v>
      </c>
      <c r="C1058" s="1">
        <f>VLOOKUP(A1058,MSFT!A1057:C2312,3)</f>
        <v>387.82</v>
      </c>
      <c r="D1058" s="1">
        <f>VLOOKUP(A1058,NVDA!A1057:C2312,3)</f>
        <v>117.52</v>
      </c>
      <c r="E1058" s="1">
        <f>VLOOKUP(A1058,AMD!A1057:C2312,3)</f>
        <v>106.23</v>
      </c>
      <c r="F1058" s="1">
        <f>VLOOKUP(A1058,AMZN!A1057:C2312,3)</f>
        <v>195.54</v>
      </c>
      <c r="G1058" s="1">
        <f>VLOOKUP(A1058,TSLA!A1057:C2312,3)</f>
        <v>235.86</v>
      </c>
      <c r="H1058" s="1">
        <f>VLOOKUP(A1058,GOOGL!A1057:C2312,3)</f>
        <v>163.89</v>
      </c>
      <c r="I1058" s="1">
        <f>VLOOKUP(A1058,META!A1057:C2312,3)</f>
        <v>584.05999999999995</v>
      </c>
      <c r="J1058" s="1">
        <f>VLOOKUP(A1058,Nasdaq!A1057:C2312,3)</f>
        <v>17750.79</v>
      </c>
    </row>
    <row r="1059" spans="1:10" x14ac:dyDescent="0.2">
      <c r="A1059" s="2">
        <v>45736</v>
      </c>
      <c r="B1059" s="1">
        <f>VLOOKUP(A1059,AAPL!A1058:C2313,3)</f>
        <v>213.37100000000001</v>
      </c>
      <c r="C1059" s="1">
        <f>VLOOKUP(A1059,MSFT!A1058:C2313,3)</f>
        <v>386.84</v>
      </c>
      <c r="D1059" s="1">
        <f>VLOOKUP(A1059,NVDA!A1058:C2313,3)</f>
        <v>118.53</v>
      </c>
      <c r="E1059" s="1">
        <f>VLOOKUP(A1059,AMD!A1058:C2313,3)</f>
        <v>107.14</v>
      </c>
      <c r="F1059" s="1">
        <f>VLOOKUP(A1059,AMZN!A1058:C2313,3)</f>
        <v>194.95</v>
      </c>
      <c r="G1059" s="1">
        <f>VLOOKUP(A1059,TSLA!A1058:C2313,3)</f>
        <v>236.26</v>
      </c>
      <c r="H1059" s="1">
        <f>VLOOKUP(A1059,GOOGL!A1058:C2313,3)</f>
        <v>162.80000000000001</v>
      </c>
      <c r="I1059" s="1">
        <f>VLOOKUP(A1059,META!A1058:C2313,3)</f>
        <v>586</v>
      </c>
      <c r="J1059" s="1">
        <f>VLOOKUP(A1059,Nasdaq!A1058:C2313,3)</f>
        <v>17691.63</v>
      </c>
    </row>
    <row r="1060" spans="1:10" x14ac:dyDescent="0.2">
      <c r="A1060" s="2">
        <v>45737</v>
      </c>
      <c r="B1060" s="1">
        <f>VLOOKUP(A1060,AAPL!A1059:C2314,3)</f>
        <v>217.52600000000001</v>
      </c>
      <c r="C1060" s="1">
        <f>VLOOKUP(A1060,MSFT!A1059:C2314,3)</f>
        <v>391.26</v>
      </c>
      <c r="D1060" s="1">
        <f>VLOOKUP(A1060,NVDA!A1059:C2314,3)</f>
        <v>117.7</v>
      </c>
      <c r="E1060" s="1">
        <f>VLOOKUP(A1060,AMD!A1059:C2314,3)</f>
        <v>106.44</v>
      </c>
      <c r="F1060" s="1">
        <f>VLOOKUP(A1060,AMZN!A1059:C2314,3)</f>
        <v>196.21</v>
      </c>
      <c r="G1060" s="1">
        <f>VLOOKUP(A1060,TSLA!A1059:C2314,3)</f>
        <v>248.71</v>
      </c>
      <c r="H1060" s="1">
        <f>VLOOKUP(A1060,GOOGL!A1059:C2314,3)</f>
        <v>163.99</v>
      </c>
      <c r="I1060" s="1">
        <f>VLOOKUP(A1060,META!A1059:C2314,3)</f>
        <v>596.25</v>
      </c>
      <c r="J1060" s="1">
        <f>VLOOKUP(A1060,Nasdaq!A1059:C2314,3)</f>
        <v>17784.05</v>
      </c>
    </row>
    <row r="1061" spans="1:10" x14ac:dyDescent="0.2">
      <c r="A1061" s="2">
        <v>45740</v>
      </c>
      <c r="B1061" s="1">
        <f>VLOOKUP(A1061,AAPL!A1060:C2315,3)</f>
        <v>219.97800000000001</v>
      </c>
      <c r="C1061" s="1">
        <f>VLOOKUP(A1061,MSFT!A1060:C2315,3)</f>
        <v>393.08</v>
      </c>
      <c r="D1061" s="1">
        <f>VLOOKUP(A1061,NVDA!A1060:C2315,3)</f>
        <v>121.41</v>
      </c>
      <c r="E1061" s="1">
        <f>VLOOKUP(A1061,AMD!A1060:C2315,3)</f>
        <v>113.85</v>
      </c>
      <c r="F1061" s="1">
        <f>VLOOKUP(A1061,AMZN!A1060:C2315,3)</f>
        <v>203.26</v>
      </c>
      <c r="G1061" s="1">
        <f>VLOOKUP(A1061,TSLA!A1060:C2315,3)</f>
        <v>278.39</v>
      </c>
      <c r="H1061" s="1">
        <f>VLOOKUP(A1061,GOOGL!A1060:C2315,3)</f>
        <v>167.68</v>
      </c>
      <c r="I1061" s="1">
        <f>VLOOKUP(A1061,META!A1060:C2315,3)</f>
        <v>618.85</v>
      </c>
      <c r="J1061" s="1">
        <f>VLOOKUP(A1061,Nasdaq!A1060:C2315,3)</f>
        <v>18188.59</v>
      </c>
    </row>
    <row r="1062" spans="1:10" x14ac:dyDescent="0.2">
      <c r="A1062" s="2">
        <v>45741</v>
      </c>
      <c r="B1062" s="1">
        <f>VLOOKUP(A1062,AAPL!A1061:C2316,3)</f>
        <v>222.988</v>
      </c>
      <c r="C1062" s="1">
        <f>VLOOKUP(A1062,MSFT!A1061:C2316,3)</f>
        <v>395.16</v>
      </c>
      <c r="D1062" s="1">
        <f>VLOOKUP(A1062,NVDA!A1061:C2316,3)</f>
        <v>120.69</v>
      </c>
      <c r="E1062" s="1">
        <f>VLOOKUP(A1062,AMD!A1061:C2316,3)</f>
        <v>114.81</v>
      </c>
      <c r="F1062" s="1">
        <f>VLOOKUP(A1062,AMZN!A1061:C2316,3)</f>
        <v>205.71</v>
      </c>
      <c r="G1062" s="1">
        <f>VLOOKUP(A1062,TSLA!A1061:C2316,3)</f>
        <v>288.14</v>
      </c>
      <c r="H1062" s="1">
        <f>VLOOKUP(A1062,GOOGL!A1061:C2316,3)</f>
        <v>170.56</v>
      </c>
      <c r="I1062" s="1">
        <f>VLOOKUP(A1062,META!A1061:C2316,3)</f>
        <v>626.30999999999995</v>
      </c>
      <c r="J1062" s="1">
        <f>VLOOKUP(A1062,Nasdaq!A1061:C2316,3)</f>
        <v>18271.86</v>
      </c>
    </row>
    <row r="1063" spans="1:10" x14ac:dyDescent="0.2">
      <c r="A1063" s="2">
        <v>45742</v>
      </c>
      <c r="B1063" s="1">
        <f>VLOOKUP(A1063,AAPL!A1062:C2317,3)</f>
        <v>220.77500000000001</v>
      </c>
      <c r="C1063" s="1">
        <f>VLOOKUP(A1063,MSFT!A1062:C2317,3)</f>
        <v>389.97</v>
      </c>
      <c r="D1063" s="1">
        <f>VLOOKUP(A1063,NVDA!A1062:C2317,3)</f>
        <v>113.76</v>
      </c>
      <c r="E1063" s="1">
        <f>VLOOKUP(A1063,AMD!A1062:C2317,3)</f>
        <v>110.19</v>
      </c>
      <c r="F1063" s="1">
        <f>VLOOKUP(A1063,AMZN!A1062:C2317,3)</f>
        <v>201.13</v>
      </c>
      <c r="G1063" s="1">
        <f>VLOOKUP(A1063,TSLA!A1062:C2317,3)</f>
        <v>272.06</v>
      </c>
      <c r="H1063" s="1">
        <f>VLOOKUP(A1063,GOOGL!A1062:C2317,3)</f>
        <v>165.06</v>
      </c>
      <c r="I1063" s="1">
        <f>VLOOKUP(A1063,META!A1062:C2317,3)</f>
        <v>610.98</v>
      </c>
      <c r="J1063" s="1">
        <f>VLOOKUP(A1063,Nasdaq!A1062:C2317,3)</f>
        <v>17899.02</v>
      </c>
    </row>
    <row r="1064" spans="1:10" x14ac:dyDescent="0.2">
      <c r="A1064" s="2">
        <v>45743</v>
      </c>
      <c r="B1064" s="1">
        <f>VLOOKUP(A1064,AAPL!A1063:C2318,3)</f>
        <v>223.08799999999999</v>
      </c>
      <c r="C1064" s="1">
        <f>VLOOKUP(A1064,MSFT!A1063:C2318,3)</f>
        <v>390.58</v>
      </c>
      <c r="D1064" s="1">
        <f>VLOOKUP(A1064,NVDA!A1063:C2318,3)</f>
        <v>111.43</v>
      </c>
      <c r="E1064" s="1">
        <f>VLOOKUP(A1064,AMD!A1063:C2318,3)</f>
        <v>106.65</v>
      </c>
      <c r="F1064" s="1">
        <f>VLOOKUP(A1064,AMZN!A1063:C2318,3)</f>
        <v>201.36</v>
      </c>
      <c r="G1064" s="1">
        <f>VLOOKUP(A1064,TSLA!A1063:C2318,3)</f>
        <v>273.13</v>
      </c>
      <c r="H1064" s="1">
        <f>VLOOKUP(A1064,GOOGL!A1063:C2318,3)</f>
        <v>162.24</v>
      </c>
      <c r="I1064" s="1">
        <f>VLOOKUP(A1064,META!A1063:C2318,3)</f>
        <v>602.58000000000004</v>
      </c>
      <c r="J1064" s="1">
        <f>VLOOKUP(A1064,Nasdaq!A1063:C2318,3)</f>
        <v>17804.03</v>
      </c>
    </row>
    <row r="1065" spans="1:10" x14ac:dyDescent="0.2">
      <c r="A1065" s="2">
        <v>45744</v>
      </c>
      <c r="B1065" s="1">
        <f>VLOOKUP(A1065,AAPL!A1064:C2319,3)</f>
        <v>217.15700000000001</v>
      </c>
      <c r="C1065" s="1">
        <f>VLOOKUP(A1065,MSFT!A1064:C2319,3)</f>
        <v>378.8</v>
      </c>
      <c r="D1065" s="1">
        <f>VLOOKUP(A1065,NVDA!A1064:C2319,3)</f>
        <v>109.67</v>
      </c>
      <c r="E1065" s="1">
        <f>VLOOKUP(A1065,AMD!A1064:C2319,3)</f>
        <v>103.22</v>
      </c>
      <c r="F1065" s="1">
        <f>VLOOKUP(A1065,AMZN!A1064:C2319,3)</f>
        <v>192.72</v>
      </c>
      <c r="G1065" s="1">
        <f>VLOOKUP(A1065,TSLA!A1064:C2319,3)</f>
        <v>263.55</v>
      </c>
      <c r="H1065" s="1">
        <f>VLOOKUP(A1065,GOOGL!A1064:C2319,3)</f>
        <v>154.33000000000001</v>
      </c>
      <c r="I1065" s="1">
        <f>VLOOKUP(A1065,META!A1064:C2319,3)</f>
        <v>576.74</v>
      </c>
      <c r="J1065" s="1">
        <f>VLOOKUP(A1065,Nasdaq!A1064:C2319,3)</f>
        <v>17322.990000000002</v>
      </c>
    </row>
    <row r="1066" spans="1:10" x14ac:dyDescent="0.2">
      <c r="A1066" s="2">
        <v>45747</v>
      </c>
      <c r="B1066" s="1">
        <f>VLOOKUP(A1066,AAPL!A1065:C2320,3)</f>
        <v>221.37299999999999</v>
      </c>
      <c r="C1066" s="1">
        <f>VLOOKUP(A1066,MSFT!A1065:C2320,3)</f>
        <v>375.39</v>
      </c>
      <c r="D1066" s="1">
        <f>VLOOKUP(A1066,NVDA!A1065:C2320,3)</f>
        <v>108.38</v>
      </c>
      <c r="E1066" s="1">
        <f>VLOOKUP(A1066,AMD!A1065:C2320,3)</f>
        <v>102.74</v>
      </c>
      <c r="F1066" s="1">
        <f>VLOOKUP(A1066,AMZN!A1065:C2320,3)</f>
        <v>190.26</v>
      </c>
      <c r="G1066" s="1">
        <f>VLOOKUP(A1066,TSLA!A1065:C2320,3)</f>
        <v>259.16000000000003</v>
      </c>
      <c r="H1066" s="1">
        <f>VLOOKUP(A1066,GOOGL!A1065:C2320,3)</f>
        <v>154.63999999999999</v>
      </c>
      <c r="I1066" s="1">
        <f>VLOOKUP(A1066,META!A1065:C2320,3)</f>
        <v>576.36</v>
      </c>
      <c r="J1066" s="1">
        <f>VLOOKUP(A1066,Nasdaq!A1065:C2320,3)</f>
        <v>17299.29</v>
      </c>
    </row>
    <row r="1067" spans="1:10" x14ac:dyDescent="0.2">
      <c r="A1067" s="2">
        <v>45748</v>
      </c>
      <c r="B1067" s="1">
        <f>VLOOKUP(A1067,AAPL!A1066:C2321,3)</f>
        <v>222.429</v>
      </c>
      <c r="C1067" s="1">
        <f>VLOOKUP(A1067,MSFT!A1066:C2321,3)</f>
        <v>382.19</v>
      </c>
      <c r="D1067" s="1">
        <f>VLOOKUP(A1067,NVDA!A1066:C2321,3)</f>
        <v>110.15</v>
      </c>
      <c r="E1067" s="1">
        <f>VLOOKUP(A1067,AMD!A1066:C2321,3)</f>
        <v>102.78</v>
      </c>
      <c r="F1067" s="1">
        <f>VLOOKUP(A1067,AMZN!A1066:C2321,3)</f>
        <v>192.17</v>
      </c>
      <c r="G1067" s="1">
        <f>VLOOKUP(A1067,TSLA!A1066:C2321,3)</f>
        <v>268.45999999999998</v>
      </c>
      <c r="H1067" s="1">
        <f>VLOOKUP(A1067,GOOGL!A1066:C2321,3)</f>
        <v>157.07</v>
      </c>
      <c r="I1067" s="1">
        <f>VLOOKUP(A1067,META!A1066:C2321,3)</f>
        <v>586</v>
      </c>
      <c r="J1067" s="1">
        <f>VLOOKUP(A1067,Nasdaq!A1066:C2321,3)</f>
        <v>17449.89</v>
      </c>
    </row>
    <row r="1068" spans="1:10" x14ac:dyDescent="0.2">
      <c r="A1068" s="2">
        <v>45749</v>
      </c>
      <c r="B1068" s="1">
        <f>VLOOKUP(A1068,AAPL!A1067:C2322,3)</f>
        <v>223.12799999999999</v>
      </c>
      <c r="C1068" s="1">
        <f>VLOOKUP(A1068,MSFT!A1067:C2322,3)</f>
        <v>382.14</v>
      </c>
      <c r="D1068" s="1">
        <f>VLOOKUP(A1068,NVDA!A1067:C2322,3)</f>
        <v>110.42</v>
      </c>
      <c r="E1068" s="1">
        <f>VLOOKUP(A1068,AMD!A1067:C2322,3)</f>
        <v>102.96</v>
      </c>
      <c r="F1068" s="1">
        <f>VLOOKUP(A1068,AMZN!A1067:C2322,3)</f>
        <v>196.01</v>
      </c>
      <c r="G1068" s="1">
        <f>VLOOKUP(A1068,TSLA!A1067:C2322,3)</f>
        <v>282.76</v>
      </c>
      <c r="H1068" s="1">
        <f>VLOOKUP(A1068,GOOGL!A1067:C2322,3)</f>
        <v>157.04</v>
      </c>
      <c r="I1068" s="1">
        <f>VLOOKUP(A1068,META!A1067:C2322,3)</f>
        <v>583.92999999999995</v>
      </c>
      <c r="J1068" s="1">
        <f>VLOOKUP(A1068,Nasdaq!A1067:C2322,3)</f>
        <v>17601.05</v>
      </c>
    </row>
    <row r="1069" spans="1:10" x14ac:dyDescent="0.2">
      <c r="A1069" s="2">
        <v>45750</v>
      </c>
      <c r="B1069" s="1">
        <f>VLOOKUP(A1069,AAPL!A1068:C2323,3)</f>
        <v>202.49799999999999</v>
      </c>
      <c r="C1069" s="1">
        <f>VLOOKUP(A1069,MSFT!A1068:C2323,3)</f>
        <v>373.11</v>
      </c>
      <c r="D1069" s="1">
        <f>VLOOKUP(A1069,NVDA!A1068:C2323,3)</f>
        <v>101.8</v>
      </c>
      <c r="E1069" s="1">
        <f>VLOOKUP(A1069,AMD!A1068:C2323,3)</f>
        <v>93.8</v>
      </c>
      <c r="F1069" s="1">
        <f>VLOOKUP(A1069,AMZN!A1068:C2323,3)</f>
        <v>178.41</v>
      </c>
      <c r="G1069" s="1">
        <f>VLOOKUP(A1069,TSLA!A1068:C2323,3)</f>
        <v>267.27999999999997</v>
      </c>
      <c r="H1069" s="1">
        <f>VLOOKUP(A1069,GOOGL!A1068:C2323,3)</f>
        <v>150.72</v>
      </c>
      <c r="I1069" s="1">
        <f>VLOOKUP(A1069,META!A1068:C2323,3)</f>
        <v>531.62</v>
      </c>
      <c r="J1069" s="1">
        <f>VLOOKUP(A1069,Nasdaq!A1068:C2323,3)</f>
        <v>16550.61</v>
      </c>
    </row>
    <row r="1070" spans="1:10" x14ac:dyDescent="0.2">
      <c r="A1070" s="2">
        <v>45751</v>
      </c>
      <c r="B1070" s="1">
        <f>VLOOKUP(A1070,AAPL!A1069:C2324,3)</f>
        <v>187.738</v>
      </c>
      <c r="C1070" s="1">
        <f>VLOOKUP(A1070,MSFT!A1069:C2324,3)</f>
        <v>359.84</v>
      </c>
      <c r="D1070" s="1">
        <f>VLOOKUP(A1070,NVDA!A1069:C2324,3)</f>
        <v>94.31</v>
      </c>
      <c r="E1070" s="1">
        <f>VLOOKUP(A1070,AMD!A1069:C2324,3)</f>
        <v>85.76</v>
      </c>
      <c r="F1070" s="1">
        <f>VLOOKUP(A1070,AMZN!A1069:C2324,3)</f>
        <v>171</v>
      </c>
      <c r="G1070" s="1">
        <f>VLOOKUP(A1070,TSLA!A1069:C2324,3)</f>
        <v>239.43</v>
      </c>
      <c r="H1070" s="1">
        <f>VLOOKUP(A1070,GOOGL!A1069:C2324,3)</f>
        <v>145.6</v>
      </c>
      <c r="I1070" s="1">
        <f>VLOOKUP(A1070,META!A1069:C2324,3)</f>
        <v>504.73</v>
      </c>
      <c r="J1070" s="1">
        <f>VLOOKUP(A1070,Nasdaq!A1069:C2324,3)</f>
        <v>15587.79</v>
      </c>
    </row>
    <row r="1071" spans="1:10" x14ac:dyDescent="0.2">
      <c r="A1071" s="2">
        <v>45754</v>
      </c>
      <c r="B1071" s="1">
        <f>VLOOKUP(A1071,AAPL!A1070:C2325,3)</f>
        <v>180.84200000000001</v>
      </c>
      <c r="C1071" s="1">
        <f>VLOOKUP(A1071,MSFT!A1070:C2325,3)</f>
        <v>357.86</v>
      </c>
      <c r="D1071" s="1">
        <f>VLOOKUP(A1071,NVDA!A1070:C2325,3)</f>
        <v>97.64</v>
      </c>
      <c r="E1071" s="1">
        <f>VLOOKUP(A1071,AMD!A1070:C2325,3)</f>
        <v>83.64</v>
      </c>
      <c r="F1071" s="1">
        <f>VLOOKUP(A1071,AMZN!A1070:C2325,3)</f>
        <v>175.26</v>
      </c>
      <c r="G1071" s="1">
        <f>VLOOKUP(A1071,TSLA!A1070:C2325,3)</f>
        <v>233.29</v>
      </c>
      <c r="H1071" s="1">
        <f>VLOOKUP(A1071,GOOGL!A1070:C2325,3)</f>
        <v>146.75</v>
      </c>
      <c r="I1071" s="1">
        <f>VLOOKUP(A1071,META!A1070:C2325,3)</f>
        <v>516.25</v>
      </c>
      <c r="J1071" s="1">
        <f>VLOOKUP(A1071,Nasdaq!A1070:C2325,3)</f>
        <v>15603.26</v>
      </c>
    </row>
    <row r="1072" spans="1:10" x14ac:dyDescent="0.2">
      <c r="A1072" s="2">
        <v>45755</v>
      </c>
      <c r="B1072" s="1">
        <f>VLOOKUP(A1072,AAPL!A1071:C2326,3)</f>
        <v>171.83199999999999</v>
      </c>
      <c r="C1072" s="1">
        <f>VLOOKUP(A1072,MSFT!A1071:C2326,3)</f>
        <v>354.56</v>
      </c>
      <c r="D1072" s="1">
        <f>VLOOKUP(A1072,NVDA!A1071:C2326,3)</f>
        <v>96.3</v>
      </c>
      <c r="E1072" s="1">
        <f>VLOOKUP(A1072,AMD!A1071:C2326,3)</f>
        <v>78.209999999999994</v>
      </c>
      <c r="F1072" s="1">
        <f>VLOOKUP(A1072,AMZN!A1071:C2326,3)</f>
        <v>170.66</v>
      </c>
      <c r="G1072" s="1">
        <f>VLOOKUP(A1072,TSLA!A1071:C2326,3)</f>
        <v>221.86</v>
      </c>
      <c r="H1072" s="1">
        <f>VLOOKUP(A1072,GOOGL!A1071:C2326,3)</f>
        <v>144.69999999999999</v>
      </c>
      <c r="I1072" s="1">
        <f>VLOOKUP(A1072,META!A1071:C2326,3)</f>
        <v>510.45</v>
      </c>
      <c r="J1072" s="1">
        <f>VLOOKUP(A1072,Nasdaq!A1071:C2326,3)</f>
        <v>15267.91</v>
      </c>
    </row>
    <row r="1073" spans="1:10" x14ac:dyDescent="0.2">
      <c r="A1073" s="2">
        <v>45756</v>
      </c>
      <c r="B1073" s="1">
        <f>VLOOKUP(A1073,AAPL!A1072:C2327,3)</f>
        <v>198.173</v>
      </c>
      <c r="C1073" s="1">
        <f>VLOOKUP(A1073,MSFT!A1072:C2327,3)</f>
        <v>390.49</v>
      </c>
      <c r="D1073" s="1">
        <f>VLOOKUP(A1073,NVDA!A1072:C2327,3)</f>
        <v>114.33</v>
      </c>
      <c r="E1073" s="1">
        <f>VLOOKUP(A1073,AMD!A1072:C2327,3)</f>
        <v>96.84</v>
      </c>
      <c r="F1073" s="1">
        <f>VLOOKUP(A1073,AMZN!A1072:C2327,3)</f>
        <v>191.1</v>
      </c>
      <c r="G1073" s="1">
        <f>VLOOKUP(A1073,TSLA!A1072:C2327,3)</f>
        <v>272.2</v>
      </c>
      <c r="H1073" s="1">
        <f>VLOOKUP(A1073,GOOGL!A1072:C2327,3)</f>
        <v>158.71</v>
      </c>
      <c r="I1073" s="1">
        <f>VLOOKUP(A1073,META!A1072:C2327,3)</f>
        <v>585.77</v>
      </c>
      <c r="J1073" s="1">
        <f>VLOOKUP(A1073,Nasdaq!A1072:C2327,3)</f>
        <v>17124.97</v>
      </c>
    </row>
    <row r="1074" spans="1:10" x14ac:dyDescent="0.2">
      <c r="A1074" s="2">
        <v>45757</v>
      </c>
      <c r="B1074" s="1">
        <f>VLOOKUP(A1074,AAPL!A1073:C2328,3)</f>
        <v>189.77099999999999</v>
      </c>
      <c r="C1074" s="1">
        <f>VLOOKUP(A1074,MSFT!A1073:C2328,3)</f>
        <v>381.35</v>
      </c>
      <c r="D1074" s="1">
        <f>VLOOKUP(A1074,NVDA!A1073:C2328,3)</f>
        <v>107.57</v>
      </c>
      <c r="E1074" s="1">
        <f>VLOOKUP(A1074,AMD!A1073:C2328,3)</f>
        <v>88.7</v>
      </c>
      <c r="F1074" s="1">
        <f>VLOOKUP(A1074,AMZN!A1073:C2328,3)</f>
        <v>181.22</v>
      </c>
      <c r="G1074" s="1">
        <f>VLOOKUP(A1074,TSLA!A1073:C2328,3)</f>
        <v>252.4</v>
      </c>
      <c r="H1074" s="1">
        <f>VLOOKUP(A1074,GOOGL!A1073:C2328,3)</f>
        <v>152.82</v>
      </c>
      <c r="I1074" s="1">
        <f>VLOOKUP(A1074,META!A1073:C2328,3)</f>
        <v>546.29</v>
      </c>
      <c r="J1074" s="1">
        <f>VLOOKUP(A1074,Nasdaq!A1073:C2328,3)</f>
        <v>16387.310000000001</v>
      </c>
    </row>
    <row r="1075" spans="1:10" x14ac:dyDescent="0.2">
      <c r="A1075" s="2">
        <v>45758</v>
      </c>
      <c r="B1075" s="1">
        <f>VLOOKUP(A1075,AAPL!A1074:C2329,3)</f>
        <v>197.47499999999999</v>
      </c>
      <c r="C1075" s="1">
        <f>VLOOKUP(A1075,MSFT!A1074:C2329,3)</f>
        <v>388.45</v>
      </c>
      <c r="D1075" s="1">
        <f>VLOOKUP(A1075,NVDA!A1074:C2329,3)</f>
        <v>110.93</v>
      </c>
      <c r="E1075" s="1">
        <f>VLOOKUP(A1075,AMD!A1074:C2329,3)</f>
        <v>93.4</v>
      </c>
      <c r="F1075" s="1">
        <f>VLOOKUP(A1075,AMZN!A1074:C2329,3)</f>
        <v>184.87</v>
      </c>
      <c r="G1075" s="1">
        <f>VLOOKUP(A1075,TSLA!A1074:C2329,3)</f>
        <v>252.31</v>
      </c>
      <c r="H1075" s="1">
        <f>VLOOKUP(A1075,GOOGL!A1074:C2329,3)</f>
        <v>157.13999999999999</v>
      </c>
      <c r="I1075" s="1">
        <f>VLOOKUP(A1075,META!A1074:C2329,3)</f>
        <v>543.57000000000005</v>
      </c>
      <c r="J1075" s="1">
        <f>VLOOKUP(A1075,Nasdaq!A1074:C2329,3)</f>
        <v>16724.46</v>
      </c>
    </row>
    <row r="1076" spans="1:10" x14ac:dyDescent="0.2">
      <c r="A1076" s="2">
        <v>45761</v>
      </c>
      <c r="B1076" s="1">
        <f>VLOOKUP(A1076,AAPL!A1075:C2330,3)</f>
        <v>201.83</v>
      </c>
      <c r="C1076" s="1">
        <f>VLOOKUP(A1076,MSFT!A1075:C2330,3)</f>
        <v>387.81</v>
      </c>
      <c r="D1076" s="1">
        <f>VLOOKUP(A1076,NVDA!A1075:C2330,3)</f>
        <v>110.71</v>
      </c>
      <c r="E1076" s="1">
        <f>VLOOKUP(A1076,AMD!A1075:C2330,3)</f>
        <v>94.5</v>
      </c>
      <c r="F1076" s="1">
        <f>VLOOKUP(A1076,AMZN!A1075:C2330,3)</f>
        <v>182.12</v>
      </c>
      <c r="G1076" s="1">
        <f>VLOOKUP(A1076,TSLA!A1075:C2330,3)</f>
        <v>252.35</v>
      </c>
      <c r="H1076" s="1">
        <f>VLOOKUP(A1076,GOOGL!A1075:C2330,3)</f>
        <v>159.07</v>
      </c>
      <c r="I1076" s="1">
        <f>VLOOKUP(A1076,META!A1075:C2330,3)</f>
        <v>531.48</v>
      </c>
      <c r="J1076" s="1">
        <f>VLOOKUP(A1076,Nasdaq!A1075:C2330,3)</f>
        <v>16831.48</v>
      </c>
    </row>
    <row r="1077" spans="1:10" x14ac:dyDescent="0.2">
      <c r="A1077" s="2">
        <v>45762</v>
      </c>
      <c r="B1077" s="1">
        <f>VLOOKUP(A1077,AAPL!A1076:C2331,3)</f>
        <v>201.45099999999999</v>
      </c>
      <c r="C1077" s="1">
        <f>VLOOKUP(A1077,MSFT!A1076:C2331,3)</f>
        <v>385.73</v>
      </c>
      <c r="D1077" s="1">
        <f>VLOOKUP(A1077,NVDA!A1076:C2331,3)</f>
        <v>112.2</v>
      </c>
      <c r="E1077" s="1">
        <f>VLOOKUP(A1077,AMD!A1076:C2331,3)</f>
        <v>95.29</v>
      </c>
      <c r="F1077" s="1">
        <f>VLOOKUP(A1077,AMZN!A1076:C2331,3)</f>
        <v>179.59</v>
      </c>
      <c r="G1077" s="1">
        <f>VLOOKUP(A1077,TSLA!A1076:C2331,3)</f>
        <v>254.11</v>
      </c>
      <c r="H1077" s="1">
        <f>VLOOKUP(A1077,GOOGL!A1076:C2331,3)</f>
        <v>156.31</v>
      </c>
      <c r="I1077" s="1">
        <f>VLOOKUP(A1077,META!A1076:C2331,3)</f>
        <v>521.52</v>
      </c>
      <c r="J1077" s="1">
        <f>VLOOKUP(A1077,Nasdaq!A1076:C2331,3)</f>
        <v>16823.169999999998</v>
      </c>
    </row>
    <row r="1078" spans="1:10" x14ac:dyDescent="0.2">
      <c r="A1078" s="2">
        <v>45763</v>
      </c>
      <c r="B1078" s="1">
        <f>VLOOKUP(A1078,AAPL!A1077:C2332,3)</f>
        <v>193.608</v>
      </c>
      <c r="C1078" s="1">
        <f>VLOOKUP(A1078,MSFT!A1077:C2332,3)</f>
        <v>371.61</v>
      </c>
      <c r="D1078" s="1">
        <f>VLOOKUP(A1078,NVDA!A1077:C2332,3)</f>
        <v>104.49</v>
      </c>
      <c r="E1078" s="1">
        <f>VLOOKUP(A1078,AMD!A1077:C2332,3)</f>
        <v>88.29</v>
      </c>
      <c r="F1078" s="1">
        <f>VLOOKUP(A1078,AMZN!A1077:C2332,3)</f>
        <v>174.33</v>
      </c>
      <c r="G1078" s="1">
        <f>VLOOKUP(A1078,TSLA!A1077:C2332,3)</f>
        <v>241.55</v>
      </c>
      <c r="H1078" s="1">
        <f>VLOOKUP(A1078,GOOGL!A1077:C2332,3)</f>
        <v>153.33000000000001</v>
      </c>
      <c r="I1078" s="1">
        <f>VLOOKUP(A1078,META!A1077:C2332,3)</f>
        <v>502.31</v>
      </c>
      <c r="J1078" s="1">
        <f>VLOOKUP(A1078,Nasdaq!A1077:C2332,3)</f>
        <v>16307.16</v>
      </c>
    </row>
    <row r="1079" spans="1:10" x14ac:dyDescent="0.2">
      <c r="A1079" s="2">
        <v>45764</v>
      </c>
      <c r="B1079" s="1">
        <f>VLOOKUP(A1079,AAPL!A1078:C2333,3)</f>
        <v>196.309</v>
      </c>
      <c r="C1079" s="1">
        <f>VLOOKUP(A1079,MSFT!A1078:C2333,3)</f>
        <v>367.78</v>
      </c>
      <c r="D1079" s="1">
        <f>VLOOKUP(A1079,NVDA!A1078:C2333,3)</f>
        <v>101.49</v>
      </c>
      <c r="E1079" s="1">
        <f>VLOOKUP(A1079,AMD!A1078:C2333,3)</f>
        <v>87.5</v>
      </c>
      <c r="F1079" s="1">
        <f>VLOOKUP(A1079,AMZN!A1078:C2333,3)</f>
        <v>172.61</v>
      </c>
      <c r="G1079" s="1">
        <f>VLOOKUP(A1079,TSLA!A1078:C2333,3)</f>
        <v>241.37</v>
      </c>
      <c r="H1079" s="1">
        <f>VLOOKUP(A1079,GOOGL!A1078:C2333,3)</f>
        <v>151.16</v>
      </c>
      <c r="I1079" s="1">
        <f>VLOOKUP(A1079,META!A1078:C2333,3)</f>
        <v>501.48</v>
      </c>
      <c r="J1079" s="1">
        <f>VLOOKUP(A1079,Nasdaq!A1078:C2333,3)</f>
        <v>16286.45</v>
      </c>
    </row>
    <row r="1080" spans="1:10" x14ac:dyDescent="0.2">
      <c r="A1080" s="2">
        <v>45768</v>
      </c>
      <c r="B1080" s="1">
        <f>VLOOKUP(A1080,AAPL!A1079:C2334,3)</f>
        <v>192.501</v>
      </c>
      <c r="C1080" s="1">
        <f>VLOOKUP(A1080,MSFT!A1079:C2334,3)</f>
        <v>359.12</v>
      </c>
      <c r="D1080" s="1">
        <f>VLOOKUP(A1080,NVDA!A1079:C2334,3)</f>
        <v>96.91</v>
      </c>
      <c r="E1080" s="1">
        <f>VLOOKUP(A1080,AMD!A1079:C2334,3)</f>
        <v>85.56</v>
      </c>
      <c r="F1080" s="1">
        <f>VLOOKUP(A1080,AMZN!A1079:C2334,3)</f>
        <v>167.32</v>
      </c>
      <c r="G1080" s="1">
        <f>VLOOKUP(A1080,TSLA!A1079:C2334,3)</f>
        <v>227.5</v>
      </c>
      <c r="H1080" s="1">
        <f>VLOOKUP(A1080,GOOGL!A1079:C2334,3)</f>
        <v>147.66999999999999</v>
      </c>
      <c r="I1080" s="1">
        <f>VLOOKUP(A1080,META!A1079:C2334,3)</f>
        <v>484.66</v>
      </c>
      <c r="J1080" s="1">
        <f>VLOOKUP(A1080,Nasdaq!A1079:C2334,3)</f>
        <v>15870.9</v>
      </c>
    </row>
    <row r="1081" spans="1:10" x14ac:dyDescent="0.2">
      <c r="A1081" s="2">
        <v>45769</v>
      </c>
      <c r="B1081" s="1">
        <f>VLOOKUP(A1081,AAPL!A1080:C2335,3)</f>
        <v>199.059</v>
      </c>
      <c r="C1081" s="1">
        <f>VLOOKUP(A1081,MSFT!A1080:C2335,3)</f>
        <v>366.82</v>
      </c>
      <c r="D1081" s="1">
        <f>VLOOKUP(A1081,NVDA!A1080:C2335,3)</f>
        <v>98.89</v>
      </c>
      <c r="E1081" s="1">
        <f>VLOOKUP(A1081,AMD!A1080:C2335,3)</f>
        <v>86.26</v>
      </c>
      <c r="F1081" s="1">
        <f>VLOOKUP(A1081,AMZN!A1080:C2335,3)</f>
        <v>173.18</v>
      </c>
      <c r="G1081" s="1">
        <f>VLOOKUP(A1081,TSLA!A1080:C2335,3)</f>
        <v>237.97</v>
      </c>
      <c r="H1081" s="1">
        <f>VLOOKUP(A1081,GOOGL!A1080:C2335,3)</f>
        <v>151.47</v>
      </c>
      <c r="I1081" s="1">
        <f>VLOOKUP(A1081,META!A1080:C2335,3)</f>
        <v>500.28</v>
      </c>
      <c r="J1081" s="1">
        <f>VLOOKUP(A1081,Nasdaq!A1080:C2335,3)</f>
        <v>16300.42</v>
      </c>
    </row>
    <row r="1082" spans="1:10" x14ac:dyDescent="0.2">
      <c r="A1082" s="2">
        <v>45770</v>
      </c>
      <c r="B1082" s="1">
        <f>VLOOKUP(A1082,AAPL!A1081:C2336,3)</f>
        <v>203.90199999999999</v>
      </c>
      <c r="C1082" s="1">
        <f>VLOOKUP(A1082,MSFT!A1081:C2336,3)</f>
        <v>374.39</v>
      </c>
      <c r="D1082" s="1">
        <f>VLOOKUP(A1082,NVDA!A1081:C2336,3)</f>
        <v>102.71</v>
      </c>
      <c r="E1082" s="1">
        <f>VLOOKUP(A1082,AMD!A1081:C2336,3)</f>
        <v>90.39</v>
      </c>
      <c r="F1082" s="1">
        <f>VLOOKUP(A1082,AMZN!A1081:C2336,3)</f>
        <v>180.6</v>
      </c>
      <c r="G1082" s="1">
        <f>VLOOKUP(A1082,TSLA!A1081:C2336,3)</f>
        <v>250.74</v>
      </c>
      <c r="H1082" s="1">
        <f>VLOOKUP(A1082,GOOGL!A1081:C2336,3)</f>
        <v>155.35</v>
      </c>
      <c r="I1082" s="1">
        <f>VLOOKUP(A1082,META!A1081:C2336,3)</f>
        <v>520.27</v>
      </c>
      <c r="J1082" s="1">
        <f>VLOOKUP(A1082,Nasdaq!A1081:C2336,3)</f>
        <v>16708.05</v>
      </c>
    </row>
    <row r="1083" spans="1:10" x14ac:dyDescent="0.2">
      <c r="A1083" s="2">
        <v>45771</v>
      </c>
      <c r="B1083" s="1">
        <f>VLOOKUP(A1083,AAPL!A1082:C2337,3)</f>
        <v>207.66</v>
      </c>
      <c r="C1083" s="1">
        <f>VLOOKUP(A1083,MSFT!A1082:C2337,3)</f>
        <v>387.3</v>
      </c>
      <c r="D1083" s="1">
        <f>VLOOKUP(A1083,NVDA!A1082:C2337,3)</f>
        <v>106.43</v>
      </c>
      <c r="E1083" s="1">
        <f>VLOOKUP(A1083,AMD!A1082:C2337,3)</f>
        <v>94.47</v>
      </c>
      <c r="F1083" s="1">
        <f>VLOOKUP(A1083,AMZN!A1082:C2337,3)</f>
        <v>186.54</v>
      </c>
      <c r="G1083" s="1">
        <f>VLOOKUP(A1083,TSLA!A1082:C2337,3)</f>
        <v>259.51</v>
      </c>
      <c r="H1083" s="1">
        <f>VLOOKUP(A1083,GOOGL!A1082:C2337,3)</f>
        <v>159.28</v>
      </c>
      <c r="I1083" s="1">
        <f>VLOOKUP(A1083,META!A1082:C2337,3)</f>
        <v>533.15</v>
      </c>
      <c r="J1083" s="1">
        <f>VLOOKUP(A1083,Nasdaq!A1082:C2337,3)</f>
        <v>17166.04</v>
      </c>
    </row>
    <row r="1084" spans="1:10" x14ac:dyDescent="0.2">
      <c r="A1084" s="2">
        <v>45772</v>
      </c>
      <c r="B1084" s="1">
        <f>VLOOKUP(A1084,AAPL!A1083:C2338,3)</f>
        <v>208.56700000000001</v>
      </c>
      <c r="C1084" s="1">
        <f>VLOOKUP(A1084,MSFT!A1083:C2338,3)</f>
        <v>391.85</v>
      </c>
      <c r="D1084" s="1">
        <f>VLOOKUP(A1084,NVDA!A1083:C2338,3)</f>
        <v>111.01</v>
      </c>
      <c r="E1084" s="1">
        <f>VLOOKUP(A1084,AMD!A1083:C2338,3)</f>
        <v>96.644999999999996</v>
      </c>
      <c r="F1084" s="1">
        <f>VLOOKUP(A1084,AMZN!A1083:C2338,3)</f>
        <v>188.99</v>
      </c>
      <c r="G1084" s="1">
        <f>VLOOKUP(A1084,TSLA!A1083:C2338,3)</f>
        <v>284.95</v>
      </c>
      <c r="H1084" s="1">
        <f>VLOOKUP(A1084,GOOGL!A1083:C2338,3)</f>
        <v>161.96</v>
      </c>
      <c r="I1084" s="1">
        <f>VLOOKUP(A1084,META!A1083:C2338,3)</f>
        <v>547.27</v>
      </c>
      <c r="J1084" s="1">
        <f>VLOOKUP(A1084,Nasdaq!A1083:C2338,3)</f>
        <v>17382.939999999999</v>
      </c>
    </row>
    <row r="1085" spans="1:10" x14ac:dyDescent="0.2">
      <c r="A1085" s="2">
        <v>45775</v>
      </c>
      <c r="B1085" s="1">
        <f>VLOOKUP(A1085,AAPL!A1084:C2339,3)</f>
        <v>209.42400000000001</v>
      </c>
      <c r="C1085" s="1">
        <f>VLOOKUP(A1085,MSFT!A1084:C2339,3)</f>
        <v>391.16</v>
      </c>
      <c r="D1085" s="1">
        <f>VLOOKUP(A1085,NVDA!A1084:C2339,3)</f>
        <v>108.73</v>
      </c>
      <c r="E1085" s="1">
        <f>VLOOKUP(A1085,AMD!A1084:C2339,3)</f>
        <v>96.39</v>
      </c>
      <c r="F1085" s="1">
        <f>VLOOKUP(A1085,AMZN!A1084:C2339,3)</f>
        <v>187.7</v>
      </c>
      <c r="G1085" s="1">
        <f>VLOOKUP(A1085,TSLA!A1084:C2339,3)</f>
        <v>285.88</v>
      </c>
      <c r="H1085" s="1">
        <f>VLOOKUP(A1085,GOOGL!A1084:C2339,3)</f>
        <v>160.61000000000001</v>
      </c>
      <c r="I1085" s="1">
        <f>VLOOKUP(A1085,META!A1084:C2339,3)</f>
        <v>549.74</v>
      </c>
      <c r="J1085" s="1">
        <f>VLOOKUP(A1085,Nasdaq!A1084:C2339,3)</f>
        <v>17366.13</v>
      </c>
    </row>
    <row r="1086" spans="1:10" x14ac:dyDescent="0.2">
      <c r="A1086" s="2">
        <v>45776</v>
      </c>
      <c r="B1086" s="1">
        <f>VLOOKUP(A1086,AAPL!A1085:C2340,3)</f>
        <v>210.49</v>
      </c>
      <c r="C1086" s="1">
        <f>VLOOKUP(A1086,MSFT!A1085:C2340,3)</f>
        <v>394.04</v>
      </c>
      <c r="D1086" s="1">
        <f>VLOOKUP(A1086,NVDA!A1085:C2340,3)</f>
        <v>109.02</v>
      </c>
      <c r="E1086" s="1">
        <f>VLOOKUP(A1086,AMD!A1085:C2340,3)</f>
        <v>96.06</v>
      </c>
      <c r="F1086" s="1">
        <f>VLOOKUP(A1086,AMZN!A1085:C2340,3)</f>
        <v>187.39</v>
      </c>
      <c r="G1086" s="1">
        <f>VLOOKUP(A1086,TSLA!A1085:C2340,3)</f>
        <v>292.02999999999997</v>
      </c>
      <c r="H1086" s="1">
        <f>VLOOKUP(A1086,GOOGL!A1085:C2340,3)</f>
        <v>160.16</v>
      </c>
      <c r="I1086" s="1">
        <f>VLOOKUP(A1086,META!A1085:C2340,3)</f>
        <v>554.44000000000005</v>
      </c>
      <c r="J1086" s="1">
        <f>VLOOKUP(A1086,Nasdaq!A1085:C2340,3)</f>
        <v>17461.32</v>
      </c>
    </row>
    <row r="1087" spans="1:10" x14ac:dyDescent="0.2">
      <c r="A1087" s="2">
        <v>45777</v>
      </c>
      <c r="B1087" s="1">
        <f>VLOOKUP(A1087,AAPL!A1086:C2341,3)</f>
        <v>211.77600000000001</v>
      </c>
      <c r="C1087" s="1">
        <f>VLOOKUP(A1087,MSFT!A1086:C2341,3)</f>
        <v>395.26</v>
      </c>
      <c r="D1087" s="1">
        <f>VLOOKUP(A1087,NVDA!A1086:C2341,3)</f>
        <v>108.92</v>
      </c>
      <c r="E1087" s="1">
        <f>VLOOKUP(A1087,AMD!A1086:C2341,3)</f>
        <v>97.35</v>
      </c>
      <c r="F1087" s="1">
        <f>VLOOKUP(A1087,AMZN!A1086:C2341,3)</f>
        <v>184.42</v>
      </c>
      <c r="G1087" s="1">
        <f>VLOOKUP(A1087,TSLA!A1086:C2341,3)</f>
        <v>282.16000000000003</v>
      </c>
      <c r="H1087" s="1">
        <f>VLOOKUP(A1087,GOOGL!A1086:C2341,3)</f>
        <v>158.80000000000001</v>
      </c>
      <c r="I1087" s="1">
        <f>VLOOKUP(A1087,META!A1086:C2341,3)</f>
        <v>549</v>
      </c>
      <c r="J1087" s="1">
        <f>VLOOKUP(A1087,Nasdaq!A1086:C2341,3)</f>
        <v>17446.34</v>
      </c>
    </row>
    <row r="1088" spans="1:10" x14ac:dyDescent="0.2">
      <c r="A1088" s="2">
        <v>45778</v>
      </c>
      <c r="B1088" s="1">
        <f>VLOOKUP(A1088,AAPL!A1087:C2342,3)</f>
        <v>212.59299999999999</v>
      </c>
      <c r="C1088" s="1">
        <f>VLOOKUP(A1088,MSFT!A1087:C2342,3)</f>
        <v>425.4</v>
      </c>
      <c r="D1088" s="1">
        <f>VLOOKUP(A1088,NVDA!A1087:C2342,3)</f>
        <v>111.61</v>
      </c>
      <c r="E1088" s="1">
        <f>VLOOKUP(A1088,AMD!A1087:C2342,3)</f>
        <v>96.65</v>
      </c>
      <c r="F1088" s="1">
        <f>VLOOKUP(A1088,AMZN!A1087:C2342,3)</f>
        <v>190.2</v>
      </c>
      <c r="G1088" s="1">
        <f>VLOOKUP(A1088,TSLA!A1087:C2342,3)</f>
        <v>280.52</v>
      </c>
      <c r="H1088" s="1">
        <f>VLOOKUP(A1088,GOOGL!A1087:C2342,3)</f>
        <v>161.30000000000001</v>
      </c>
      <c r="I1088" s="1">
        <f>VLOOKUP(A1088,META!A1087:C2342,3)</f>
        <v>572.21</v>
      </c>
      <c r="J1088" s="1">
        <f>VLOOKUP(A1088,Nasdaq!A1087:C2342,3)</f>
        <v>17710.740000000002</v>
      </c>
    </row>
    <row r="1089" spans="1:10" x14ac:dyDescent="0.2">
      <c r="A1089" s="2">
        <v>45779</v>
      </c>
      <c r="B1089" s="1">
        <f>VLOOKUP(A1089,AAPL!A1088:C2343,3)</f>
        <v>204.65100000000001</v>
      </c>
      <c r="C1089" s="1">
        <f>VLOOKUP(A1089,MSFT!A1088:C2343,3)</f>
        <v>435.28</v>
      </c>
      <c r="D1089" s="1">
        <f>VLOOKUP(A1089,NVDA!A1088:C2343,3)</f>
        <v>114.5</v>
      </c>
      <c r="E1089" s="1">
        <f>VLOOKUP(A1089,AMD!A1088:C2343,3)</f>
        <v>98.8</v>
      </c>
      <c r="F1089" s="1">
        <f>VLOOKUP(A1089,AMZN!A1088:C2343,3)</f>
        <v>189.98</v>
      </c>
      <c r="G1089" s="1">
        <f>VLOOKUP(A1089,TSLA!A1088:C2343,3)</f>
        <v>287.20999999999998</v>
      </c>
      <c r="H1089" s="1">
        <f>VLOOKUP(A1089,GOOGL!A1088:C2343,3)</f>
        <v>164.03</v>
      </c>
      <c r="I1089" s="1">
        <f>VLOOKUP(A1089,META!A1088:C2343,3)</f>
        <v>597.02</v>
      </c>
      <c r="J1089" s="1">
        <f>VLOOKUP(A1089,Nasdaq!A1088:C2343,3)</f>
        <v>17977.73</v>
      </c>
    </row>
    <row r="1090" spans="1:10" x14ac:dyDescent="0.2">
      <c r="A1090" s="2">
        <v>45782</v>
      </c>
      <c r="B1090" s="1">
        <f>VLOOKUP(A1090,AAPL!A1089:C2344,3)</f>
        <v>198.21299999999999</v>
      </c>
      <c r="C1090" s="1">
        <f>VLOOKUP(A1090,MSFT!A1089:C2344,3)</f>
        <v>436.17</v>
      </c>
      <c r="D1090" s="1">
        <f>VLOOKUP(A1090,NVDA!A1089:C2344,3)</f>
        <v>113.82</v>
      </c>
      <c r="E1090" s="1">
        <f>VLOOKUP(A1090,AMD!A1089:C2344,3)</f>
        <v>100.59</v>
      </c>
      <c r="F1090" s="1">
        <f>VLOOKUP(A1090,AMZN!A1089:C2344,3)</f>
        <v>186.35</v>
      </c>
      <c r="G1090" s="1">
        <f>VLOOKUP(A1090,TSLA!A1089:C2344,3)</f>
        <v>280.26</v>
      </c>
      <c r="H1090" s="1">
        <f>VLOOKUP(A1090,GOOGL!A1089:C2344,3)</f>
        <v>164.21</v>
      </c>
      <c r="I1090" s="1">
        <f>VLOOKUP(A1090,META!A1089:C2344,3)</f>
        <v>599.27</v>
      </c>
      <c r="J1090" s="1">
        <f>VLOOKUP(A1090,Nasdaq!A1089:C2344,3)</f>
        <v>17844.240000000002</v>
      </c>
    </row>
    <row r="1091" spans="1:10" x14ac:dyDescent="0.2">
      <c r="A1091" s="2">
        <v>45783</v>
      </c>
      <c r="B1091" s="1">
        <f>VLOOKUP(A1091,AAPL!A1090:C2345,3)</f>
        <v>197.833</v>
      </c>
      <c r="C1091" s="1">
        <f>VLOOKUP(A1091,MSFT!A1090:C2345,3)</f>
        <v>433.31</v>
      </c>
      <c r="D1091" s="1">
        <f>VLOOKUP(A1091,NVDA!A1090:C2345,3)</f>
        <v>113.54</v>
      </c>
      <c r="E1091" s="1">
        <f>VLOOKUP(A1091,AMD!A1090:C2345,3)</f>
        <v>98.62</v>
      </c>
      <c r="F1091" s="1">
        <f>VLOOKUP(A1091,AMZN!A1090:C2345,3)</f>
        <v>185.01</v>
      </c>
      <c r="G1091" s="1">
        <f>VLOOKUP(A1091,TSLA!A1090:C2345,3)</f>
        <v>275.35000000000002</v>
      </c>
      <c r="H1091" s="1">
        <f>VLOOKUP(A1091,GOOGL!A1090:C2345,3)</f>
        <v>163.22999999999999</v>
      </c>
      <c r="I1091" s="1">
        <f>VLOOKUP(A1091,META!A1090:C2345,3)</f>
        <v>587.30999999999995</v>
      </c>
      <c r="J1091" s="1">
        <f>VLOOKUP(A1091,Nasdaq!A1090:C2345,3)</f>
        <v>17689.66</v>
      </c>
    </row>
    <row r="1092" spans="1:10" x14ac:dyDescent="0.2">
      <c r="A1092" s="2">
        <v>45784</v>
      </c>
      <c r="B1092" s="1">
        <f>VLOOKUP(A1092,AAPL!A1091:C2346,3)</f>
        <v>195.58099999999999</v>
      </c>
      <c r="C1092" s="1">
        <f>VLOOKUP(A1092,MSFT!A1091:C2346,3)</f>
        <v>433.35</v>
      </c>
      <c r="D1092" s="1">
        <f>VLOOKUP(A1092,NVDA!A1091:C2346,3)</f>
        <v>117.06</v>
      </c>
      <c r="E1092" s="1">
        <f>VLOOKUP(A1092,AMD!A1091:C2346,3)</f>
        <v>100.36</v>
      </c>
      <c r="F1092" s="1">
        <f>VLOOKUP(A1092,AMZN!A1091:C2346,3)</f>
        <v>188.71</v>
      </c>
      <c r="G1092" s="1">
        <f>VLOOKUP(A1092,TSLA!A1091:C2346,3)</f>
        <v>276.22000000000003</v>
      </c>
      <c r="H1092" s="1">
        <f>VLOOKUP(A1092,GOOGL!A1091:C2346,3)</f>
        <v>151.38</v>
      </c>
      <c r="I1092" s="1">
        <f>VLOOKUP(A1092,META!A1091:C2346,3)</f>
        <v>596.80999999999995</v>
      </c>
      <c r="J1092" s="1">
        <f>VLOOKUP(A1092,Nasdaq!A1091:C2346,3)</f>
        <v>17738.16</v>
      </c>
    </row>
    <row r="1093" spans="1:10" x14ac:dyDescent="0.2">
      <c r="A1093" s="2">
        <v>45785</v>
      </c>
      <c r="B1093" s="1">
        <f>VLOOKUP(A1093,AAPL!A1092:C2347,3)</f>
        <v>196.816</v>
      </c>
      <c r="C1093" s="1">
        <f>VLOOKUP(A1093,MSFT!A1092:C2347,3)</f>
        <v>438.17</v>
      </c>
      <c r="D1093" s="1">
        <f>VLOOKUP(A1093,NVDA!A1092:C2347,3)</f>
        <v>117.37</v>
      </c>
      <c r="E1093" s="1">
        <f>VLOOKUP(A1093,AMD!A1092:C2347,3)</f>
        <v>101.7</v>
      </c>
      <c r="F1093" s="1">
        <f>VLOOKUP(A1093,AMZN!A1092:C2347,3)</f>
        <v>192.08</v>
      </c>
      <c r="G1093" s="1">
        <f>VLOOKUP(A1093,TSLA!A1092:C2347,3)</f>
        <v>284.82</v>
      </c>
      <c r="H1093" s="1">
        <f>VLOOKUP(A1093,GOOGL!A1092:C2347,3)</f>
        <v>154.28</v>
      </c>
      <c r="I1093" s="1">
        <f>VLOOKUP(A1093,META!A1092:C2347,3)</f>
        <v>598.01</v>
      </c>
      <c r="J1093" s="1">
        <f>VLOOKUP(A1093,Nasdaq!A1092:C2347,3)</f>
        <v>17928.14</v>
      </c>
    </row>
    <row r="1094" spans="1:10" x14ac:dyDescent="0.2">
      <c r="A1094" s="2">
        <v>45786</v>
      </c>
      <c r="B1094" s="1">
        <f>VLOOKUP(A1094,AAPL!A1093:C2348,3)</f>
        <v>197.85300000000001</v>
      </c>
      <c r="C1094" s="1">
        <f>VLOOKUP(A1094,MSFT!A1093:C2348,3)</f>
        <v>438.73</v>
      </c>
      <c r="D1094" s="1">
        <f>VLOOKUP(A1094,NVDA!A1093:C2348,3)</f>
        <v>116.65</v>
      </c>
      <c r="E1094" s="1">
        <f>VLOOKUP(A1094,AMD!A1093:C2348,3)</f>
        <v>102.84</v>
      </c>
      <c r="F1094" s="1">
        <f>VLOOKUP(A1094,AMZN!A1093:C2348,3)</f>
        <v>193.06</v>
      </c>
      <c r="G1094" s="1">
        <f>VLOOKUP(A1094,TSLA!A1093:C2348,3)</f>
        <v>298.26</v>
      </c>
      <c r="H1094" s="1">
        <f>VLOOKUP(A1094,GOOGL!A1093:C2348,3)</f>
        <v>152.75</v>
      </c>
      <c r="I1094" s="1">
        <f>VLOOKUP(A1094,META!A1093:C2348,3)</f>
        <v>592.49</v>
      </c>
      <c r="J1094" s="1">
        <f>VLOOKUP(A1094,Nasdaq!A1093:C2348,3)</f>
        <v>17928.919999999998</v>
      </c>
    </row>
    <row r="1095" spans="1:10" x14ac:dyDescent="0.2">
      <c r="A1095" s="2">
        <v>45789</v>
      </c>
      <c r="B1095" s="1">
        <f>VLOOKUP(A1095,AAPL!A1094:C2349,3)</f>
        <v>210.34700000000001</v>
      </c>
      <c r="C1095" s="1">
        <f>VLOOKUP(A1095,MSFT!A1094:C2349,3)</f>
        <v>449.26</v>
      </c>
      <c r="D1095" s="1">
        <f>VLOOKUP(A1095,NVDA!A1094:C2349,3)</f>
        <v>123</v>
      </c>
      <c r="E1095" s="1">
        <f>VLOOKUP(A1095,AMD!A1094:C2349,3)</f>
        <v>108.12</v>
      </c>
      <c r="F1095" s="1">
        <f>VLOOKUP(A1095,AMZN!A1094:C2349,3)</f>
        <v>208.64</v>
      </c>
      <c r="G1095" s="1">
        <f>VLOOKUP(A1095,TSLA!A1094:C2349,3)</f>
        <v>318.38</v>
      </c>
      <c r="H1095" s="1">
        <f>VLOOKUP(A1095,GOOGL!A1094:C2349,3)</f>
        <v>158.46</v>
      </c>
      <c r="I1095" s="1">
        <f>VLOOKUP(A1095,META!A1094:C2349,3)</f>
        <v>639.42999999999995</v>
      </c>
      <c r="J1095" s="1">
        <f>VLOOKUP(A1095,Nasdaq!A1094:C2349,3)</f>
        <v>18708.34</v>
      </c>
    </row>
    <row r="1096" spans="1:10" x14ac:dyDescent="0.2">
      <c r="A1096" s="2">
        <v>45790</v>
      </c>
      <c r="B1096" s="1">
        <f>VLOOKUP(A1096,AAPL!A1095:C2350,3)</f>
        <v>212.483</v>
      </c>
      <c r="C1096" s="1">
        <f>VLOOKUP(A1096,MSFT!A1095:C2350,3)</f>
        <v>449.14</v>
      </c>
      <c r="D1096" s="1">
        <f>VLOOKUP(A1096,NVDA!A1095:C2350,3)</f>
        <v>129.93</v>
      </c>
      <c r="E1096" s="1">
        <f>VLOOKUP(A1096,AMD!A1095:C2350,3)</f>
        <v>112.46</v>
      </c>
      <c r="F1096" s="1">
        <f>VLOOKUP(A1096,AMZN!A1095:C2350,3)</f>
        <v>211.37</v>
      </c>
      <c r="G1096" s="1">
        <f>VLOOKUP(A1096,TSLA!A1095:C2350,3)</f>
        <v>334.07</v>
      </c>
      <c r="H1096" s="1">
        <f>VLOOKUP(A1096,GOOGL!A1095:C2350,3)</f>
        <v>159.53</v>
      </c>
      <c r="I1096" s="1">
        <f>VLOOKUP(A1096,META!A1095:C2350,3)</f>
        <v>656.03</v>
      </c>
      <c r="J1096" s="1">
        <f>VLOOKUP(A1096,Nasdaq!A1095:C2350,3)</f>
        <v>19010.080000000002</v>
      </c>
    </row>
    <row r="1097" spans="1:10" x14ac:dyDescent="0.2">
      <c r="A1097" s="2">
        <v>45791</v>
      </c>
      <c r="B1097" s="1">
        <f>VLOOKUP(A1097,AAPL!A1096:C2351,3)</f>
        <v>211.88399999999999</v>
      </c>
      <c r="C1097" s="1">
        <f>VLOOKUP(A1097,MSFT!A1096:C2351,3)</f>
        <v>452.94</v>
      </c>
      <c r="D1097" s="1">
        <f>VLOOKUP(A1097,NVDA!A1096:C2351,3)</f>
        <v>135.34</v>
      </c>
      <c r="E1097" s="1">
        <f>VLOOKUP(A1097,AMD!A1096:C2351,3)</f>
        <v>117.72</v>
      </c>
      <c r="F1097" s="1">
        <f>VLOOKUP(A1097,AMZN!A1096:C2351,3)</f>
        <v>210.25</v>
      </c>
      <c r="G1097" s="1">
        <f>VLOOKUP(A1097,TSLA!A1096:C2351,3)</f>
        <v>347.68</v>
      </c>
      <c r="H1097" s="1">
        <f>VLOOKUP(A1097,GOOGL!A1096:C2351,3)</f>
        <v>165.37</v>
      </c>
      <c r="I1097" s="1">
        <f>VLOOKUP(A1097,META!A1096:C2351,3)</f>
        <v>659.36</v>
      </c>
      <c r="J1097" s="1">
        <f>VLOOKUP(A1097,Nasdaq!A1096:C2351,3)</f>
        <v>19146.810000000001</v>
      </c>
    </row>
    <row r="1098" spans="1:10" x14ac:dyDescent="0.2">
      <c r="A1098" s="2">
        <v>45792</v>
      </c>
      <c r="B1098" s="1">
        <f>VLOOKUP(A1098,AAPL!A1097:C2352,3)</f>
        <v>211.005</v>
      </c>
      <c r="C1098" s="1">
        <f>VLOOKUP(A1098,MSFT!A1097:C2352,3)</f>
        <v>453.13</v>
      </c>
      <c r="D1098" s="1">
        <f>VLOOKUP(A1098,NVDA!A1097:C2352,3)</f>
        <v>134.83000000000001</v>
      </c>
      <c r="E1098" s="1">
        <f>VLOOKUP(A1098,AMD!A1097:C2352,3)</f>
        <v>114.99</v>
      </c>
      <c r="F1098" s="1">
        <f>VLOOKUP(A1098,AMZN!A1097:C2352,3)</f>
        <v>205.17</v>
      </c>
      <c r="G1098" s="1">
        <f>VLOOKUP(A1098,TSLA!A1097:C2352,3)</f>
        <v>342.82</v>
      </c>
      <c r="H1098" s="1">
        <f>VLOOKUP(A1098,GOOGL!A1097:C2352,3)</f>
        <v>163.96</v>
      </c>
      <c r="I1098" s="1">
        <f>VLOOKUP(A1098,META!A1097:C2352,3)</f>
        <v>643.88</v>
      </c>
      <c r="J1098" s="1">
        <f>VLOOKUP(A1098,Nasdaq!A1097:C2352,3)</f>
        <v>19112.32</v>
      </c>
    </row>
    <row r="1099" spans="1:10" x14ac:dyDescent="0.2">
      <c r="A1099" s="2">
        <v>45793</v>
      </c>
      <c r="B1099" s="1">
        <f>VLOOKUP(A1099,AAPL!A1098:C2353,3)</f>
        <v>210.81700000000001</v>
      </c>
      <c r="C1099" s="1">
        <f>VLOOKUP(A1099,MSFT!A1098:C2353,3)</f>
        <v>454.27</v>
      </c>
      <c r="D1099" s="1">
        <f>VLOOKUP(A1099,NVDA!A1098:C2353,3)</f>
        <v>135.4</v>
      </c>
      <c r="E1099" s="1">
        <f>VLOOKUP(A1099,AMD!A1098:C2353,3)</f>
        <v>117.17</v>
      </c>
      <c r="F1099" s="1">
        <f>VLOOKUP(A1099,AMZN!A1098:C2353,3)</f>
        <v>205.59</v>
      </c>
      <c r="G1099" s="1">
        <f>VLOOKUP(A1099,TSLA!A1098:C2353,3)</f>
        <v>349.98</v>
      </c>
      <c r="H1099" s="1">
        <f>VLOOKUP(A1099,GOOGL!A1098:C2353,3)</f>
        <v>166.19</v>
      </c>
      <c r="I1099" s="1">
        <f>VLOOKUP(A1099,META!A1098:C2353,3)</f>
        <v>640.34</v>
      </c>
      <c r="J1099" s="1">
        <f>VLOOKUP(A1099,Nasdaq!A1098:C2353,3)</f>
        <v>19211.099999999999</v>
      </c>
    </row>
    <row r="1100" spans="1:10" x14ac:dyDescent="0.2">
      <c r="A1100" s="2">
        <v>45796</v>
      </c>
      <c r="B1100" s="1">
        <f>VLOOKUP(A1100,AAPL!A1099:C2354,3)</f>
        <v>208.34100000000001</v>
      </c>
      <c r="C1100" s="1">
        <f>VLOOKUP(A1100,MSFT!A1099:C2354,3)</f>
        <v>458.87</v>
      </c>
      <c r="D1100" s="1">
        <f>VLOOKUP(A1100,NVDA!A1099:C2354,3)</f>
        <v>135.57</v>
      </c>
      <c r="E1100" s="1">
        <f>VLOOKUP(A1100,AMD!A1099:C2354,3)</f>
        <v>114.74</v>
      </c>
      <c r="F1100" s="1">
        <f>VLOOKUP(A1100,AMZN!A1099:C2354,3)</f>
        <v>206.16</v>
      </c>
      <c r="G1100" s="1">
        <f>VLOOKUP(A1100,TSLA!A1099:C2354,3)</f>
        <v>342.09</v>
      </c>
      <c r="H1100" s="1">
        <f>VLOOKUP(A1100,GOOGL!A1099:C2354,3)</f>
        <v>166.54</v>
      </c>
      <c r="I1100" s="1">
        <f>VLOOKUP(A1100,META!A1099:C2354,3)</f>
        <v>640.42999999999995</v>
      </c>
      <c r="J1100" s="1">
        <f>VLOOKUP(A1100,Nasdaq!A1099:C2354,3)</f>
        <v>19215.46</v>
      </c>
    </row>
    <row r="1101" spans="1:10" x14ac:dyDescent="0.2">
      <c r="A1101" s="2">
        <v>45797</v>
      </c>
      <c r="B1101" s="1">
        <f>VLOOKUP(A1101,AAPL!A1100:C2355,3)</f>
        <v>206.42500000000001</v>
      </c>
      <c r="C1101" s="1">
        <f>VLOOKUP(A1101,MSFT!A1100:C2355,3)</f>
        <v>458.17</v>
      </c>
      <c r="D1101" s="1">
        <f>VLOOKUP(A1101,NVDA!A1100:C2355,3)</f>
        <v>134.38</v>
      </c>
      <c r="E1101" s="1">
        <f>VLOOKUP(A1101,AMD!A1100:C2355,3)</f>
        <v>113.51</v>
      </c>
      <c r="F1101" s="1">
        <f>VLOOKUP(A1101,AMZN!A1100:C2355,3)</f>
        <v>204.07</v>
      </c>
      <c r="G1101" s="1">
        <f>VLOOKUP(A1101,TSLA!A1100:C2355,3)</f>
        <v>343.82</v>
      </c>
      <c r="H1101" s="1">
        <f>VLOOKUP(A1101,GOOGL!A1100:C2355,3)</f>
        <v>163.98</v>
      </c>
      <c r="I1101" s="1">
        <f>VLOOKUP(A1101,META!A1100:C2355,3)</f>
        <v>637.1</v>
      </c>
      <c r="J1101" s="1">
        <f>VLOOKUP(A1101,Nasdaq!A1100:C2355,3)</f>
        <v>19142.71</v>
      </c>
    </row>
    <row r="1102" spans="1:10" x14ac:dyDescent="0.2">
      <c r="A1102" s="2">
        <v>45798</v>
      </c>
      <c r="B1102" s="1">
        <f>VLOOKUP(A1102,AAPL!A1101:C2356,3)</f>
        <v>201.666</v>
      </c>
      <c r="C1102" s="1">
        <f>VLOOKUP(A1102,MSFT!A1101:C2356,3)</f>
        <v>452.57</v>
      </c>
      <c r="D1102" s="1">
        <f>VLOOKUP(A1102,NVDA!A1101:C2356,3)</f>
        <v>131.80000000000001</v>
      </c>
      <c r="E1102" s="1">
        <f>VLOOKUP(A1102,AMD!A1101:C2356,3)</f>
        <v>112.06</v>
      </c>
      <c r="F1102" s="1">
        <f>VLOOKUP(A1102,AMZN!A1101:C2356,3)</f>
        <v>201.12</v>
      </c>
      <c r="G1102" s="1">
        <f>VLOOKUP(A1102,TSLA!A1101:C2356,3)</f>
        <v>334.62</v>
      </c>
      <c r="H1102" s="1">
        <f>VLOOKUP(A1102,GOOGL!A1101:C2356,3)</f>
        <v>168.56</v>
      </c>
      <c r="I1102" s="1">
        <f>VLOOKUP(A1102,META!A1101:C2356,3)</f>
        <v>635.5</v>
      </c>
      <c r="J1102" s="1">
        <f>VLOOKUP(A1102,Nasdaq!A1101:C2356,3)</f>
        <v>18872.64</v>
      </c>
    </row>
    <row r="1103" spans="1:10" x14ac:dyDescent="0.2">
      <c r="A1103" s="2">
        <v>45799</v>
      </c>
      <c r="B1103" s="1">
        <f>VLOOKUP(A1103,AAPL!A1102:C2357,3)</f>
        <v>200.93700000000001</v>
      </c>
      <c r="C1103" s="1">
        <f>VLOOKUP(A1103,MSFT!A1102:C2357,3)</f>
        <v>454.86</v>
      </c>
      <c r="D1103" s="1">
        <f>VLOOKUP(A1103,NVDA!A1102:C2357,3)</f>
        <v>132.83000000000001</v>
      </c>
      <c r="E1103" s="1">
        <f>VLOOKUP(A1103,AMD!A1102:C2357,3)</f>
        <v>110.71</v>
      </c>
      <c r="F1103" s="1">
        <f>VLOOKUP(A1103,AMZN!A1102:C2357,3)</f>
        <v>203.1</v>
      </c>
      <c r="G1103" s="1">
        <f>VLOOKUP(A1103,TSLA!A1102:C2357,3)</f>
        <v>341.04</v>
      </c>
      <c r="H1103" s="1">
        <f>VLOOKUP(A1103,GOOGL!A1102:C2357,3)</f>
        <v>170.87</v>
      </c>
      <c r="I1103" s="1">
        <f>VLOOKUP(A1103,META!A1102:C2357,3)</f>
        <v>636.57000000000005</v>
      </c>
      <c r="J1103" s="1">
        <f>VLOOKUP(A1103,Nasdaq!A1102:C2357,3)</f>
        <v>18925.73</v>
      </c>
    </row>
    <row r="1104" spans="1:10" x14ac:dyDescent="0.2">
      <c r="A1104" s="2">
        <v>45800</v>
      </c>
      <c r="B1104" s="1">
        <f>VLOOKUP(A1104,AAPL!A1103:C2358,3)</f>
        <v>194.86</v>
      </c>
      <c r="C1104" s="1">
        <f>VLOOKUP(A1104,MSFT!A1103:C2358,3)</f>
        <v>450.18</v>
      </c>
      <c r="D1104" s="1">
        <f>VLOOKUP(A1104,NVDA!A1103:C2358,3)</f>
        <v>131.29</v>
      </c>
      <c r="E1104" s="1">
        <f>VLOOKUP(A1104,AMD!A1103:C2358,3)</f>
        <v>110.31</v>
      </c>
      <c r="F1104" s="1">
        <f>VLOOKUP(A1104,AMZN!A1103:C2358,3)</f>
        <v>200.99</v>
      </c>
      <c r="G1104" s="1">
        <f>VLOOKUP(A1104,TSLA!A1103:C2358,3)</f>
        <v>339.34</v>
      </c>
      <c r="H1104" s="1">
        <f>VLOOKUP(A1104,GOOGL!A1103:C2358,3)</f>
        <v>168.47</v>
      </c>
      <c r="I1104" s="1">
        <f>VLOOKUP(A1104,META!A1103:C2358,3)</f>
        <v>627.05999999999995</v>
      </c>
      <c r="J1104" s="1">
        <f>VLOOKUP(A1104,Nasdaq!A1103:C2358,3)</f>
        <v>18737.21</v>
      </c>
    </row>
    <row r="1105" spans="1:10" x14ac:dyDescent="0.2">
      <c r="A1105" s="2">
        <v>45804</v>
      </c>
      <c r="B1105" s="1">
        <f>VLOOKUP(A1105,AAPL!A1104:C2359,3)</f>
        <v>199.78899999999999</v>
      </c>
      <c r="C1105" s="1">
        <f>VLOOKUP(A1105,MSFT!A1104:C2359,3)</f>
        <v>460.69</v>
      </c>
      <c r="D1105" s="1">
        <f>VLOOKUP(A1105,NVDA!A1104:C2359,3)</f>
        <v>135.5</v>
      </c>
      <c r="E1105" s="1">
        <f>VLOOKUP(A1105,AMD!A1104:C2359,3)</f>
        <v>114.56</v>
      </c>
      <c r="F1105" s="1">
        <f>VLOOKUP(A1105,AMZN!A1104:C2359,3)</f>
        <v>206.02</v>
      </c>
      <c r="G1105" s="1">
        <f>VLOOKUP(A1105,TSLA!A1104:C2359,3)</f>
        <v>362.89</v>
      </c>
      <c r="H1105" s="1">
        <f>VLOOKUP(A1105,GOOGL!A1104:C2359,3)</f>
        <v>172.9</v>
      </c>
      <c r="I1105" s="1">
        <f>VLOOKUP(A1105,META!A1104:C2359,3)</f>
        <v>642.32000000000005</v>
      </c>
      <c r="J1105" s="1">
        <f>VLOOKUP(A1105,Nasdaq!A1104:C2359,3)</f>
        <v>19199.16</v>
      </c>
    </row>
    <row r="1106" spans="1:10" x14ac:dyDescent="0.2">
      <c r="A1106" s="2">
        <v>45805</v>
      </c>
      <c r="B1106" s="1">
        <f>VLOOKUP(A1106,AAPL!A1105:C2360,3)</f>
        <v>199.999</v>
      </c>
      <c r="C1106" s="1">
        <f>VLOOKUP(A1106,MSFT!A1105:C2360,3)</f>
        <v>457.36</v>
      </c>
      <c r="D1106" s="1">
        <f>VLOOKUP(A1106,NVDA!A1105:C2360,3)</f>
        <v>134.81</v>
      </c>
      <c r="E1106" s="1">
        <f>VLOOKUP(A1106,AMD!A1105:C2360,3)</f>
        <v>112.86</v>
      </c>
      <c r="F1106" s="1">
        <f>VLOOKUP(A1106,AMZN!A1105:C2360,3)</f>
        <v>204.72</v>
      </c>
      <c r="G1106" s="1">
        <f>VLOOKUP(A1106,TSLA!A1105:C2360,3)</f>
        <v>356.9</v>
      </c>
      <c r="H1106" s="1">
        <f>VLOOKUP(A1106,GOOGL!A1105:C2360,3)</f>
        <v>172.36</v>
      </c>
      <c r="I1106" s="1">
        <f>VLOOKUP(A1106,META!A1105:C2360,3)</f>
        <v>643.58000000000004</v>
      </c>
      <c r="J1106" s="1">
        <f>VLOOKUP(A1106,Nasdaq!A1105:C2360,3)</f>
        <v>19100.939999999999</v>
      </c>
    </row>
    <row r="1107" spans="1:10" x14ac:dyDescent="0.2">
      <c r="A1107" s="2">
        <v>45806</v>
      </c>
      <c r="B1107" s="1">
        <f>VLOOKUP(A1107,AAPL!A1106:C2361,3)</f>
        <v>199.53</v>
      </c>
      <c r="C1107" s="1">
        <f>VLOOKUP(A1107,MSFT!A1106:C2361,3)</f>
        <v>458.68</v>
      </c>
      <c r="D1107" s="1">
        <f>VLOOKUP(A1107,NVDA!A1106:C2361,3)</f>
        <v>139.19</v>
      </c>
      <c r="E1107" s="1">
        <f>VLOOKUP(A1107,AMD!A1106:C2361,3)</f>
        <v>113.03</v>
      </c>
      <c r="F1107" s="1">
        <f>VLOOKUP(A1107,AMZN!A1106:C2361,3)</f>
        <v>205.7</v>
      </c>
      <c r="G1107" s="1">
        <f>VLOOKUP(A1107,TSLA!A1106:C2361,3)</f>
        <v>358.43</v>
      </c>
      <c r="H1107" s="1">
        <f>VLOOKUP(A1107,GOOGL!A1106:C2361,3)</f>
        <v>171.86</v>
      </c>
      <c r="I1107" s="1">
        <f>VLOOKUP(A1107,META!A1106:C2361,3)</f>
        <v>645.04999999999995</v>
      </c>
      <c r="J1107" s="1">
        <f>VLOOKUP(A1107,Nasdaq!A1106:C2361,3)</f>
        <v>19175.87</v>
      </c>
    </row>
    <row r="1108" spans="1:10" x14ac:dyDescent="0.2">
      <c r="A1108" s="2">
        <v>45807</v>
      </c>
      <c r="B1108" s="1">
        <f>VLOOKUP(A1108,AAPL!A1107:C2362,3)</f>
        <v>200.428</v>
      </c>
      <c r="C1108" s="1">
        <f>VLOOKUP(A1108,MSFT!A1107:C2362,3)</f>
        <v>460.36</v>
      </c>
      <c r="D1108" s="1">
        <f>VLOOKUP(A1108,NVDA!A1107:C2362,3)</f>
        <v>135.13</v>
      </c>
      <c r="E1108" s="1">
        <f>VLOOKUP(A1108,AMD!A1107:C2362,3)</f>
        <v>110.73</v>
      </c>
      <c r="F1108" s="1">
        <f>VLOOKUP(A1108,AMZN!A1107:C2362,3)</f>
        <v>205.01</v>
      </c>
      <c r="G1108" s="1">
        <f>VLOOKUP(A1108,TSLA!A1107:C2362,3)</f>
        <v>346.46</v>
      </c>
      <c r="H1108" s="1">
        <f>VLOOKUP(A1108,GOOGL!A1107:C2362,3)</f>
        <v>171.74</v>
      </c>
      <c r="I1108" s="1">
        <f>VLOOKUP(A1108,META!A1107:C2362,3)</f>
        <v>647.49</v>
      </c>
      <c r="J1108" s="1">
        <f>VLOOKUP(A1108,Nasdaq!A1107:C2362,3)</f>
        <v>19113.77</v>
      </c>
    </row>
    <row r="1109" spans="1:10" x14ac:dyDescent="0.2">
      <c r="A1109" s="2">
        <v>45810</v>
      </c>
      <c r="B1109" s="1">
        <f>VLOOKUP(A1109,AAPL!A1108:C2363,3)</f>
        <v>201.27600000000001</v>
      </c>
      <c r="C1109" s="1">
        <f>VLOOKUP(A1109,MSFT!A1108:C2363,3)</f>
        <v>461.97</v>
      </c>
      <c r="D1109" s="1">
        <f>VLOOKUP(A1109,NVDA!A1108:C2363,3)</f>
        <v>137.38</v>
      </c>
      <c r="E1109" s="1">
        <f>VLOOKUP(A1109,AMD!A1108:C2363,3)</f>
        <v>114.63</v>
      </c>
      <c r="F1109" s="1">
        <f>VLOOKUP(A1109,AMZN!A1108:C2363,3)</f>
        <v>206.65</v>
      </c>
      <c r="G1109" s="1">
        <f>VLOOKUP(A1109,TSLA!A1108:C2363,3)</f>
        <v>342.69</v>
      </c>
      <c r="H1109" s="1">
        <f>VLOOKUP(A1109,GOOGL!A1108:C2363,3)</f>
        <v>169.03</v>
      </c>
      <c r="I1109" s="1">
        <f>VLOOKUP(A1109,META!A1108:C2363,3)</f>
        <v>670.9</v>
      </c>
      <c r="J1109" s="1">
        <f>VLOOKUP(A1109,Nasdaq!A1108:C2363,3)</f>
        <v>19242.61</v>
      </c>
    </row>
    <row r="1110" spans="1:10" x14ac:dyDescent="0.2">
      <c r="A1110" s="2">
        <v>45811</v>
      </c>
      <c r="B1110" s="1">
        <f>VLOOKUP(A1110,AAPL!A1109:C2364,3)</f>
        <v>202.84299999999999</v>
      </c>
      <c r="C1110" s="1">
        <f>VLOOKUP(A1110,MSFT!A1109:C2364,3)</f>
        <v>462.97</v>
      </c>
      <c r="D1110" s="1">
        <f>VLOOKUP(A1110,NVDA!A1109:C2364,3)</f>
        <v>141.22</v>
      </c>
      <c r="E1110" s="1">
        <f>VLOOKUP(A1110,AMD!A1109:C2364,3)</f>
        <v>117.31</v>
      </c>
      <c r="F1110" s="1">
        <f>VLOOKUP(A1110,AMZN!A1109:C2364,3)</f>
        <v>205.71</v>
      </c>
      <c r="G1110" s="1">
        <f>VLOOKUP(A1110,TSLA!A1109:C2364,3)</f>
        <v>344.27</v>
      </c>
      <c r="H1110" s="1">
        <f>VLOOKUP(A1110,GOOGL!A1109:C2364,3)</f>
        <v>166.18</v>
      </c>
      <c r="I1110" s="1">
        <f>VLOOKUP(A1110,META!A1109:C2364,3)</f>
        <v>666.85</v>
      </c>
      <c r="J1110" s="1">
        <f>VLOOKUP(A1110,Nasdaq!A1109:C2364,3)</f>
        <v>19398.96</v>
      </c>
    </row>
    <row r="1111" spans="1:10" x14ac:dyDescent="0.2">
      <c r="A1111" s="2">
        <v>45812</v>
      </c>
      <c r="B1111" s="1">
        <f>VLOOKUP(A1111,AAPL!A1110:C2365,3)</f>
        <v>202.39400000000001</v>
      </c>
      <c r="C1111" s="1">
        <f>VLOOKUP(A1111,MSFT!A1110:C2365,3)</f>
        <v>463.87</v>
      </c>
      <c r="D1111" s="1">
        <f>VLOOKUP(A1111,NVDA!A1110:C2365,3)</f>
        <v>141.91999999999999</v>
      </c>
      <c r="E1111" s="1">
        <f>VLOOKUP(A1111,AMD!A1110:C2365,3)</f>
        <v>118.58</v>
      </c>
      <c r="F1111" s="1">
        <f>VLOOKUP(A1111,AMZN!A1110:C2365,3)</f>
        <v>207.23</v>
      </c>
      <c r="G1111" s="1">
        <f>VLOOKUP(A1111,TSLA!A1110:C2365,3)</f>
        <v>332.05</v>
      </c>
      <c r="H1111" s="1">
        <f>VLOOKUP(A1111,GOOGL!A1110:C2365,3)</f>
        <v>168.05</v>
      </c>
      <c r="I1111" s="1">
        <f>VLOOKUP(A1111,META!A1110:C2365,3)</f>
        <v>687.95</v>
      </c>
      <c r="J1111" s="1">
        <f>VLOOKUP(A1111,Nasdaq!A1110:C2365,3)</f>
        <v>19460.490000000002</v>
      </c>
    </row>
    <row r="1112" spans="1:10" x14ac:dyDescent="0.2">
      <c r="A1112" s="2">
        <v>45813</v>
      </c>
      <c r="B1112" s="1">
        <f>VLOOKUP(A1112,AAPL!A1111:C2366,3)</f>
        <v>200.209</v>
      </c>
      <c r="C1112" s="1">
        <f>VLOOKUP(A1112,MSFT!A1111:C2366,3)</f>
        <v>467.68</v>
      </c>
      <c r="D1112" s="1">
        <f>VLOOKUP(A1112,NVDA!A1111:C2366,3)</f>
        <v>139.99</v>
      </c>
      <c r="E1112" s="1">
        <f>VLOOKUP(A1112,AMD!A1111:C2366,3)</f>
        <v>115.69</v>
      </c>
      <c r="F1112" s="1">
        <f>VLOOKUP(A1112,AMZN!A1111:C2366,3)</f>
        <v>207.91</v>
      </c>
      <c r="G1112" s="1">
        <f>VLOOKUP(A1112,TSLA!A1111:C2366,3)</f>
        <v>284.7</v>
      </c>
      <c r="H1112" s="1">
        <f>VLOOKUP(A1112,GOOGL!A1111:C2366,3)</f>
        <v>168.21</v>
      </c>
      <c r="I1112" s="1">
        <f>VLOOKUP(A1112,META!A1111:C2366,3)</f>
        <v>684.62</v>
      </c>
      <c r="J1112" s="1">
        <f>VLOOKUP(A1112,Nasdaq!A1111:C2366,3)</f>
        <v>19298.45</v>
      </c>
    </row>
    <row r="1113" spans="1:10" x14ac:dyDescent="0.2">
      <c r="A1113" s="2">
        <v>45814</v>
      </c>
      <c r="B1113" s="1">
        <f>VLOOKUP(A1113,AAPL!A1112:C2367,3)</f>
        <v>203.49199999999999</v>
      </c>
      <c r="C1113" s="1">
        <f>VLOOKUP(A1113,MSFT!A1112:C2367,3)</f>
        <v>470.38</v>
      </c>
      <c r="D1113" s="1">
        <f>VLOOKUP(A1113,NVDA!A1112:C2367,3)</f>
        <v>141.72</v>
      </c>
      <c r="E1113" s="1">
        <f>VLOOKUP(A1113,AMD!A1112:C2367,3)</f>
        <v>116.19</v>
      </c>
      <c r="F1113" s="1">
        <f>VLOOKUP(A1113,AMZN!A1112:C2367,3)</f>
        <v>213.57</v>
      </c>
      <c r="G1113" s="1">
        <f>VLOOKUP(A1113,TSLA!A1112:C2367,3)</f>
        <v>295.14</v>
      </c>
      <c r="H1113" s="1">
        <f>VLOOKUP(A1113,GOOGL!A1112:C2367,3)</f>
        <v>173.68</v>
      </c>
      <c r="I1113" s="1">
        <f>VLOOKUP(A1113,META!A1112:C2367,3)</f>
        <v>697.71</v>
      </c>
      <c r="J1113" s="1">
        <f>VLOOKUP(A1113,Nasdaq!A1112:C2367,3)</f>
        <v>19529.95</v>
      </c>
    </row>
    <row r="1114" spans="1:10" x14ac:dyDescent="0.2">
      <c r="A1114" s="2">
        <v>45817</v>
      </c>
      <c r="B1114" s="1">
        <f>VLOOKUP(A1114,AAPL!A1113:C2368,3)</f>
        <v>201.02699999999999</v>
      </c>
      <c r="C1114" s="1">
        <f>VLOOKUP(A1114,MSFT!A1113:C2368,3)</f>
        <v>472.75</v>
      </c>
      <c r="D1114" s="1">
        <f>VLOOKUP(A1114,NVDA!A1113:C2368,3)</f>
        <v>142.63</v>
      </c>
      <c r="E1114" s="1">
        <f>VLOOKUP(A1114,AMD!A1113:C2368,3)</f>
        <v>121.73</v>
      </c>
      <c r="F1114" s="1">
        <f>VLOOKUP(A1114,AMZN!A1113:C2368,3)</f>
        <v>216.98</v>
      </c>
      <c r="G1114" s="1">
        <f>VLOOKUP(A1114,TSLA!A1113:C2368,3)</f>
        <v>308.58</v>
      </c>
      <c r="H1114" s="1">
        <f>VLOOKUP(A1114,GOOGL!A1113:C2368,3)</f>
        <v>176.09</v>
      </c>
      <c r="I1114" s="1">
        <f>VLOOKUP(A1114,META!A1113:C2368,3)</f>
        <v>694.06</v>
      </c>
      <c r="J1114" s="1">
        <f>VLOOKUP(A1114,Nasdaq!A1113:C2368,3)</f>
        <v>19591.240000000002</v>
      </c>
    </row>
    <row r="1115" spans="1:10" x14ac:dyDescent="0.2">
      <c r="A1115" s="2">
        <v>45818</v>
      </c>
      <c r="B1115" s="1">
        <f>VLOOKUP(A1115,AAPL!A1114:C2369,3)</f>
        <v>202.244</v>
      </c>
      <c r="C1115" s="1">
        <f>VLOOKUP(A1115,MSFT!A1114:C2369,3)</f>
        <v>470.92</v>
      </c>
      <c r="D1115" s="1">
        <f>VLOOKUP(A1115,NVDA!A1114:C2369,3)</f>
        <v>143.96</v>
      </c>
      <c r="E1115" s="1">
        <f>VLOOKUP(A1115,AMD!A1114:C2369,3)</f>
        <v>123.24</v>
      </c>
      <c r="F1115" s="1">
        <f>VLOOKUP(A1115,AMZN!A1114:C2369,3)</f>
        <v>217.61</v>
      </c>
      <c r="G1115" s="1">
        <f>VLOOKUP(A1115,TSLA!A1114:C2369,3)</f>
        <v>326.08999999999997</v>
      </c>
      <c r="H1115" s="1">
        <f>VLOOKUP(A1115,GOOGL!A1114:C2369,3)</f>
        <v>178.6</v>
      </c>
      <c r="I1115" s="1">
        <f>VLOOKUP(A1115,META!A1114:C2369,3)</f>
        <v>702.4</v>
      </c>
      <c r="J1115" s="1">
        <f>VLOOKUP(A1115,Nasdaq!A1114:C2369,3)</f>
        <v>19714.990000000002</v>
      </c>
    </row>
    <row r="1116" spans="1:10" x14ac:dyDescent="0.2">
      <c r="A1116" s="2">
        <v>45819</v>
      </c>
      <c r="B1116" s="1">
        <f>VLOOKUP(A1116,AAPL!A1115:C2370,3)</f>
        <v>198.363</v>
      </c>
      <c r="C1116" s="1">
        <f>VLOOKUP(A1116,MSFT!A1115:C2370,3)</f>
        <v>472.62</v>
      </c>
      <c r="D1116" s="1">
        <f>VLOOKUP(A1116,NVDA!A1115:C2370,3)</f>
        <v>142.83000000000001</v>
      </c>
      <c r="E1116" s="1">
        <f>VLOOKUP(A1116,AMD!A1115:C2370,3)</f>
        <v>121.14</v>
      </c>
      <c r="F1116" s="1">
        <f>VLOOKUP(A1116,AMZN!A1115:C2370,3)</f>
        <v>213.2</v>
      </c>
      <c r="G1116" s="1">
        <f>VLOOKUP(A1116,TSLA!A1115:C2370,3)</f>
        <v>326.43</v>
      </c>
      <c r="H1116" s="1">
        <f>VLOOKUP(A1116,GOOGL!A1115:C2370,3)</f>
        <v>177.35</v>
      </c>
      <c r="I1116" s="1">
        <f>VLOOKUP(A1116,META!A1115:C2370,3)</f>
        <v>694.14</v>
      </c>
      <c r="J1116" s="1">
        <f>VLOOKUP(A1116,Nasdaq!A1115:C2370,3)</f>
        <v>19615.88</v>
      </c>
    </row>
    <row r="1117" spans="1:10" x14ac:dyDescent="0.2">
      <c r="A1117" s="2">
        <v>45820</v>
      </c>
      <c r="B1117" s="1">
        <f>VLOOKUP(A1117,AAPL!A1116:C2371,3)</f>
        <v>198.78100000000001</v>
      </c>
      <c r="C1117" s="1">
        <f>VLOOKUP(A1117,MSFT!A1116:C2371,3)</f>
        <v>478.87</v>
      </c>
      <c r="D1117" s="1">
        <f>VLOOKUP(A1117,NVDA!A1116:C2371,3)</f>
        <v>145</v>
      </c>
      <c r="E1117" s="1">
        <f>VLOOKUP(A1117,AMD!A1116:C2371,3)</f>
        <v>118.5</v>
      </c>
      <c r="F1117" s="1">
        <f>VLOOKUP(A1117,AMZN!A1116:C2371,3)</f>
        <v>213.24</v>
      </c>
      <c r="G1117" s="1">
        <f>VLOOKUP(A1117,TSLA!A1116:C2371,3)</f>
        <v>319.11</v>
      </c>
      <c r="H1117" s="1">
        <f>VLOOKUP(A1117,GOOGL!A1116:C2371,3)</f>
        <v>175.7</v>
      </c>
      <c r="I1117" s="1">
        <f>VLOOKUP(A1117,META!A1116:C2371,3)</f>
        <v>693.36</v>
      </c>
      <c r="J1117" s="1">
        <f>VLOOKUP(A1117,Nasdaq!A1116:C2371,3)</f>
        <v>19662.48</v>
      </c>
    </row>
    <row r="1118" spans="1:10" x14ac:dyDescent="0.2">
      <c r="A1118" s="2">
        <v>45821</v>
      </c>
      <c r="B1118" s="1">
        <f>VLOOKUP(A1118,AAPL!A1117:C2372,3)</f>
        <v>196.03700000000001</v>
      </c>
      <c r="C1118" s="1">
        <f>VLOOKUP(A1118,MSFT!A1117:C2372,3)</f>
        <v>474.96</v>
      </c>
      <c r="D1118" s="1">
        <f>VLOOKUP(A1118,NVDA!A1117:C2372,3)</f>
        <v>141.97</v>
      </c>
      <c r="E1118" s="1">
        <f>VLOOKUP(A1118,AMD!A1117:C2372,3)</f>
        <v>116.16</v>
      </c>
      <c r="F1118" s="1">
        <f>VLOOKUP(A1118,AMZN!A1117:C2372,3)</f>
        <v>212.1</v>
      </c>
      <c r="G1118" s="1">
        <f>VLOOKUP(A1118,TSLA!A1117:C2372,3)</f>
        <v>325.31</v>
      </c>
      <c r="H1118" s="1">
        <f>VLOOKUP(A1118,GOOGL!A1117:C2372,3)</f>
        <v>174.67</v>
      </c>
      <c r="I1118" s="1">
        <f>VLOOKUP(A1118,META!A1117:C2372,3)</f>
        <v>682.87</v>
      </c>
      <c r="J1118" s="1">
        <f>VLOOKUP(A1118,Nasdaq!A1117:C2372,3)</f>
        <v>19406.830000000002</v>
      </c>
    </row>
    <row r="1119" spans="1:10" x14ac:dyDescent="0.2">
      <c r="A1119" s="2">
        <v>45824</v>
      </c>
      <c r="B1119" s="1">
        <f>VLOOKUP(A1119,AAPL!A1118:C2373,3)</f>
        <v>198.00299999999999</v>
      </c>
      <c r="C1119" s="1">
        <f>VLOOKUP(A1119,MSFT!A1118:C2373,3)</f>
        <v>479.14</v>
      </c>
      <c r="D1119" s="1">
        <f>VLOOKUP(A1119,NVDA!A1118:C2373,3)</f>
        <v>144.69</v>
      </c>
      <c r="E1119" s="1">
        <f>VLOOKUP(A1119,AMD!A1118:C2373,3)</f>
        <v>126.39</v>
      </c>
      <c r="F1119" s="1">
        <f>VLOOKUP(A1119,AMZN!A1118:C2373,3)</f>
        <v>216.1</v>
      </c>
      <c r="G1119" s="1">
        <f>VLOOKUP(A1119,TSLA!A1118:C2373,3)</f>
        <v>329.13</v>
      </c>
      <c r="H1119" s="1">
        <f>VLOOKUP(A1119,GOOGL!A1118:C2373,3)</f>
        <v>176.77</v>
      </c>
      <c r="I1119" s="1">
        <f>VLOOKUP(A1119,META!A1118:C2373,3)</f>
        <v>702.12</v>
      </c>
      <c r="J1119" s="1">
        <f>VLOOKUP(A1119,Nasdaq!A1118:C2373,3)</f>
        <v>19701.21</v>
      </c>
    </row>
    <row r="1120" spans="1:10" x14ac:dyDescent="0.2">
      <c r="A1120" s="2">
        <v>45825</v>
      </c>
      <c r="B1120" s="1">
        <f>VLOOKUP(A1120,AAPL!A1119:C2374,3)</f>
        <v>195.22900000000001</v>
      </c>
      <c r="C1120" s="1">
        <f>VLOOKUP(A1120,MSFT!A1119:C2374,3)</f>
        <v>478.04</v>
      </c>
      <c r="D1120" s="1">
        <f>VLOOKUP(A1120,NVDA!A1119:C2374,3)</f>
        <v>144.12</v>
      </c>
      <c r="E1120" s="1">
        <f>VLOOKUP(A1120,AMD!A1119:C2374,3)</f>
        <v>127.1</v>
      </c>
      <c r="F1120" s="1">
        <f>VLOOKUP(A1120,AMZN!A1119:C2374,3)</f>
        <v>214.82</v>
      </c>
      <c r="G1120" s="1">
        <f>VLOOKUP(A1120,TSLA!A1119:C2374,3)</f>
        <v>316.35000000000002</v>
      </c>
      <c r="H1120" s="1">
        <f>VLOOKUP(A1120,GOOGL!A1119:C2374,3)</f>
        <v>175.95</v>
      </c>
      <c r="I1120" s="1">
        <f>VLOOKUP(A1120,META!A1119:C2374,3)</f>
        <v>697.23</v>
      </c>
      <c r="J1120" s="1">
        <f>VLOOKUP(A1120,Nasdaq!A1119:C2374,3)</f>
        <v>19521.09</v>
      </c>
    </row>
    <row r="1121" spans="1:10" x14ac:dyDescent="0.2">
      <c r="A1121" s="2">
        <v>45826</v>
      </c>
      <c r="B1121" s="1">
        <f>VLOOKUP(A1121,AAPL!A1120:C2375,3)</f>
        <v>196.167</v>
      </c>
      <c r="C1121" s="1">
        <f>VLOOKUP(A1121,MSFT!A1120:C2375,3)</f>
        <v>480.24</v>
      </c>
      <c r="D1121" s="1">
        <f>VLOOKUP(A1121,NVDA!A1120:C2375,3)</f>
        <v>145.47999999999999</v>
      </c>
      <c r="E1121" s="1">
        <f>VLOOKUP(A1121,AMD!A1120:C2375,3)</f>
        <v>126.79</v>
      </c>
      <c r="F1121" s="1">
        <f>VLOOKUP(A1121,AMZN!A1120:C2375,3)</f>
        <v>212.52</v>
      </c>
      <c r="G1121" s="1">
        <f>VLOOKUP(A1121,TSLA!A1120:C2375,3)</f>
        <v>322.05</v>
      </c>
      <c r="H1121" s="1">
        <f>VLOOKUP(A1121,GOOGL!A1120:C2375,3)</f>
        <v>173.32</v>
      </c>
      <c r="I1121" s="1">
        <f>VLOOKUP(A1121,META!A1120:C2375,3)</f>
        <v>695.77</v>
      </c>
      <c r="J1121" s="1">
        <f>VLOOKUP(A1121,Nasdaq!A1120:C2375,3)</f>
        <v>19546.27</v>
      </c>
    </row>
    <row r="1122" spans="1:10" x14ac:dyDescent="0.2">
      <c r="A1122" s="2">
        <v>45828</v>
      </c>
      <c r="B1122" s="1">
        <f>VLOOKUP(A1122,AAPL!A1121:C2376,3)</f>
        <v>200.578</v>
      </c>
      <c r="C1122" s="1">
        <f>VLOOKUP(A1122,MSFT!A1121:C2376,3)</f>
        <v>477.4</v>
      </c>
      <c r="D1122" s="1">
        <f>VLOOKUP(A1122,NVDA!A1121:C2376,3)</f>
        <v>143.85</v>
      </c>
      <c r="E1122" s="1">
        <f>VLOOKUP(A1122,AMD!A1121:C2376,3)</f>
        <v>128.24</v>
      </c>
      <c r="F1122" s="1">
        <f>VLOOKUP(A1122,AMZN!A1121:C2376,3)</f>
        <v>209.69</v>
      </c>
      <c r="G1122" s="1">
        <f>VLOOKUP(A1122,TSLA!A1121:C2376,3)</f>
        <v>322.16000000000003</v>
      </c>
      <c r="H1122" s="1">
        <f>VLOOKUP(A1122,GOOGL!A1121:C2376,3)</f>
        <v>166.64</v>
      </c>
      <c r="I1122" s="1">
        <f>VLOOKUP(A1122,META!A1121:C2376,3)</f>
        <v>682.35</v>
      </c>
      <c r="J1122" s="1">
        <f>VLOOKUP(A1122,Nasdaq!A1121:C2376,3)</f>
        <v>19447.41</v>
      </c>
    </row>
    <row r="1123" spans="1:10" x14ac:dyDescent="0.2">
      <c r="A1123" s="2">
        <v>45831</v>
      </c>
      <c r="B1123" s="1">
        <f>VLOOKUP(A1123,AAPL!A1122:C2377,3)</f>
        <v>201.077</v>
      </c>
      <c r="C1123" s="1">
        <f>VLOOKUP(A1123,MSFT!A1122:C2377,3)</f>
        <v>486</v>
      </c>
      <c r="D1123" s="1">
        <f>VLOOKUP(A1123,NVDA!A1122:C2377,3)</f>
        <v>144.16999999999999</v>
      </c>
      <c r="E1123" s="1">
        <f>VLOOKUP(A1123,AMD!A1122:C2377,3)</f>
        <v>129.58000000000001</v>
      </c>
      <c r="F1123" s="1">
        <f>VLOOKUP(A1123,AMZN!A1122:C2377,3)</f>
        <v>208.47</v>
      </c>
      <c r="G1123" s="1">
        <f>VLOOKUP(A1123,TSLA!A1122:C2377,3)</f>
        <v>348.68</v>
      </c>
      <c r="H1123" s="1">
        <f>VLOOKUP(A1123,GOOGL!A1122:C2377,3)</f>
        <v>165.19</v>
      </c>
      <c r="I1123" s="1">
        <f>VLOOKUP(A1123,META!A1122:C2377,3)</f>
        <v>698.53</v>
      </c>
      <c r="J1123" s="1">
        <f>VLOOKUP(A1123,Nasdaq!A1122:C2377,3)</f>
        <v>19630.97</v>
      </c>
    </row>
    <row r="1124" spans="1:10" x14ac:dyDescent="0.2">
      <c r="A1124" s="2">
        <v>45832</v>
      </c>
      <c r="B1124" s="1">
        <f>VLOOKUP(A1124,AAPL!A1123:C2378,3)</f>
        <v>199.87899999999999</v>
      </c>
      <c r="C1124" s="1">
        <f>VLOOKUP(A1124,MSFT!A1123:C2378,3)</f>
        <v>490.11</v>
      </c>
      <c r="D1124" s="1">
        <f>VLOOKUP(A1124,NVDA!A1123:C2378,3)</f>
        <v>147.9</v>
      </c>
      <c r="E1124" s="1">
        <f>VLOOKUP(A1124,AMD!A1123:C2378,3)</f>
        <v>138.43</v>
      </c>
      <c r="F1124" s="1">
        <f>VLOOKUP(A1124,AMZN!A1123:C2378,3)</f>
        <v>212.77</v>
      </c>
      <c r="G1124" s="1">
        <f>VLOOKUP(A1124,TSLA!A1123:C2378,3)</f>
        <v>340.47</v>
      </c>
      <c r="H1124" s="1">
        <f>VLOOKUP(A1124,GOOGL!A1123:C2378,3)</f>
        <v>166.77</v>
      </c>
      <c r="I1124" s="1">
        <f>VLOOKUP(A1124,META!A1123:C2378,3)</f>
        <v>712.2</v>
      </c>
      <c r="J1124" s="1">
        <f>VLOOKUP(A1124,Nasdaq!A1123:C2378,3)</f>
        <v>19912.53</v>
      </c>
    </row>
    <row r="1125" spans="1:10" x14ac:dyDescent="0.2">
      <c r="A1125" s="2">
        <v>45833</v>
      </c>
      <c r="B1125" s="1">
        <f>VLOOKUP(A1125,AAPL!A1124:C2379,3)</f>
        <v>201.137</v>
      </c>
      <c r="C1125" s="1">
        <f>VLOOKUP(A1125,MSFT!A1124:C2379,3)</f>
        <v>492.27</v>
      </c>
      <c r="D1125" s="1">
        <f>VLOOKUP(A1125,NVDA!A1124:C2379,3)</f>
        <v>154.31</v>
      </c>
      <c r="E1125" s="1">
        <f>VLOOKUP(A1125,AMD!A1124:C2379,3)</f>
        <v>143.4</v>
      </c>
      <c r="F1125" s="1">
        <f>VLOOKUP(A1125,AMZN!A1124:C2379,3)</f>
        <v>211.99</v>
      </c>
      <c r="G1125" s="1">
        <f>VLOOKUP(A1125,TSLA!A1124:C2379,3)</f>
        <v>327.55</v>
      </c>
      <c r="H1125" s="1">
        <f>VLOOKUP(A1125,GOOGL!A1124:C2379,3)</f>
        <v>170.68</v>
      </c>
      <c r="I1125" s="1">
        <f>VLOOKUP(A1125,META!A1124:C2379,3)</f>
        <v>708.68</v>
      </c>
      <c r="J1125" s="1">
        <f>VLOOKUP(A1125,Nasdaq!A1124:C2379,3)</f>
        <v>19973.55</v>
      </c>
    </row>
    <row r="1126" spans="1:10" x14ac:dyDescent="0.2">
      <c r="A1126" s="2">
        <v>45834</v>
      </c>
      <c r="B1126" s="1">
        <f>VLOOKUP(A1126,AAPL!A1125:C2380,3)</f>
        <v>200.578</v>
      </c>
      <c r="C1126" s="1">
        <f>VLOOKUP(A1126,MSFT!A1125:C2380,3)</f>
        <v>497.45</v>
      </c>
      <c r="D1126" s="1">
        <f>VLOOKUP(A1126,NVDA!A1125:C2380,3)</f>
        <v>155.02000000000001</v>
      </c>
      <c r="E1126" s="1">
        <f>VLOOKUP(A1126,AMD!A1125:C2380,3)</f>
        <v>143.68</v>
      </c>
      <c r="F1126" s="1">
        <f>VLOOKUP(A1126,AMZN!A1125:C2380,3)</f>
        <v>217.12</v>
      </c>
      <c r="G1126" s="1">
        <f>VLOOKUP(A1126,TSLA!A1125:C2380,3)</f>
        <v>325.77999999999997</v>
      </c>
      <c r="H1126" s="1">
        <f>VLOOKUP(A1126,GOOGL!A1125:C2380,3)</f>
        <v>173.54</v>
      </c>
      <c r="I1126" s="1">
        <f>VLOOKUP(A1126,META!A1125:C2380,3)</f>
        <v>726.09</v>
      </c>
      <c r="J1126" s="1">
        <f>VLOOKUP(A1126,Nasdaq!A1125:C2380,3)</f>
        <v>20167.91</v>
      </c>
    </row>
    <row r="1127" spans="1:10" x14ac:dyDescent="0.2">
      <c r="A1127" s="2">
        <v>45835</v>
      </c>
      <c r="B1127" s="1">
        <f>VLOOKUP(A1127,AAPL!A1126:C2381,3)</f>
        <v>200.65700000000001</v>
      </c>
      <c r="C1127" s="1">
        <f>VLOOKUP(A1127,MSFT!A1126:C2381,3)</f>
        <v>495.94</v>
      </c>
      <c r="D1127" s="1">
        <f>VLOOKUP(A1127,NVDA!A1126:C2381,3)</f>
        <v>157.75</v>
      </c>
      <c r="E1127" s="1">
        <f>VLOOKUP(A1127,AMD!A1126:C2381,3)</f>
        <v>143.81</v>
      </c>
      <c r="F1127" s="1">
        <f>VLOOKUP(A1127,AMZN!A1126:C2381,3)</f>
        <v>223.3</v>
      </c>
      <c r="G1127" s="1">
        <f>VLOOKUP(A1127,TSLA!A1126:C2381,3)</f>
        <v>323.63</v>
      </c>
      <c r="H1127" s="1">
        <f>VLOOKUP(A1127,GOOGL!A1126:C2381,3)</f>
        <v>178.53</v>
      </c>
      <c r="I1127" s="1">
        <f>VLOOKUP(A1127,META!A1126:C2381,3)</f>
        <v>733.63</v>
      </c>
      <c r="J1127" s="1">
        <f>VLOOKUP(A1127,Nasdaq!A1126:C2381,3)</f>
        <v>20273.46</v>
      </c>
    </row>
    <row r="1128" spans="1:10" x14ac:dyDescent="0.2">
      <c r="A1128" s="2">
        <v>45838</v>
      </c>
      <c r="B1128" s="1">
        <f>VLOOKUP(A1128,AAPL!A1127:C2382,3)</f>
        <v>204.739</v>
      </c>
      <c r="C1128" s="1">
        <f>VLOOKUP(A1128,MSFT!A1127:C2382,3)</f>
        <v>497.41</v>
      </c>
      <c r="D1128" s="1">
        <f>VLOOKUP(A1128,NVDA!A1127:C2382,3)</f>
        <v>157.99</v>
      </c>
      <c r="E1128" s="1">
        <f>VLOOKUP(A1128,AMD!A1127:C2382,3)</f>
        <v>141.9</v>
      </c>
      <c r="F1128" s="1">
        <f>VLOOKUP(A1128,AMZN!A1127:C2382,3)</f>
        <v>219.39</v>
      </c>
      <c r="G1128" s="1">
        <f>VLOOKUP(A1128,TSLA!A1127:C2382,3)</f>
        <v>317.66000000000003</v>
      </c>
      <c r="H1128" s="1">
        <f>VLOOKUP(A1128,GOOGL!A1127:C2382,3)</f>
        <v>176.23</v>
      </c>
      <c r="I1128" s="1">
        <f>VLOOKUP(A1128,META!A1127:C2382,3)</f>
        <v>738.09</v>
      </c>
      <c r="J1128" s="1">
        <f>VLOOKUP(A1128,Nasdaq!A1127:C2382,3)</f>
        <v>20369.73</v>
      </c>
    </row>
    <row r="1129" spans="1:10" x14ac:dyDescent="0.2">
      <c r="A1129" s="2">
        <v>45839</v>
      </c>
      <c r="B1129" s="1">
        <f>VLOOKUP(A1129,AAPL!A1128:C2383,3)</f>
        <v>207.38300000000001</v>
      </c>
      <c r="C1129" s="1">
        <f>VLOOKUP(A1129,MSFT!A1128:C2383,3)</f>
        <v>492.05</v>
      </c>
      <c r="D1129" s="1">
        <f>VLOOKUP(A1129,NVDA!A1128:C2383,3)</f>
        <v>153.30000000000001</v>
      </c>
      <c r="E1129" s="1">
        <f>VLOOKUP(A1129,AMD!A1128:C2383,3)</f>
        <v>136.11000000000001</v>
      </c>
      <c r="F1129" s="1">
        <f>VLOOKUP(A1129,AMZN!A1128:C2383,3)</f>
        <v>220.46</v>
      </c>
      <c r="G1129" s="1">
        <f>VLOOKUP(A1129,TSLA!A1128:C2383,3)</f>
        <v>300.70999999999998</v>
      </c>
      <c r="H1129" s="1">
        <f>VLOOKUP(A1129,GOOGL!A1128:C2383,3)</f>
        <v>175.84</v>
      </c>
      <c r="I1129" s="1">
        <f>VLOOKUP(A1129,META!A1128:C2383,3)</f>
        <v>719.22</v>
      </c>
      <c r="J1129" s="1">
        <f>VLOOKUP(A1129,Nasdaq!A1128:C2383,3)</f>
        <v>20202.89</v>
      </c>
    </row>
    <row r="1130" spans="1:10" x14ac:dyDescent="0.2">
      <c r="A1130" s="2">
        <v>45840</v>
      </c>
      <c r="B1130" s="1">
        <f>VLOOKUP(A1130,AAPL!A1129:C2384,3)</f>
        <v>211.99299999999999</v>
      </c>
      <c r="C1130" s="1">
        <f>VLOOKUP(A1130,MSFT!A1129:C2384,3)</f>
        <v>491.09</v>
      </c>
      <c r="D1130" s="1">
        <f>VLOOKUP(A1130,NVDA!A1129:C2384,3)</f>
        <v>157.25</v>
      </c>
      <c r="E1130" s="1">
        <f>VLOOKUP(A1130,AMD!A1129:C2384,3)</f>
        <v>138.52000000000001</v>
      </c>
      <c r="F1130" s="1">
        <f>VLOOKUP(A1130,AMZN!A1129:C2384,3)</f>
        <v>219.92</v>
      </c>
      <c r="G1130" s="1">
        <f>VLOOKUP(A1130,TSLA!A1129:C2384,3)</f>
        <v>315.64999999999998</v>
      </c>
      <c r="H1130" s="1">
        <f>VLOOKUP(A1130,GOOGL!A1129:C2384,3)</f>
        <v>178.64</v>
      </c>
      <c r="I1130" s="1">
        <f>VLOOKUP(A1130,META!A1129:C2384,3)</f>
        <v>713.57</v>
      </c>
      <c r="J1130" s="1">
        <f>VLOOKUP(A1130,Nasdaq!A1129:C2384,3)</f>
        <v>20393.13</v>
      </c>
    </row>
    <row r="1131" spans="1:10" x14ac:dyDescent="0.2">
      <c r="A1131" s="2">
        <v>45841</v>
      </c>
      <c r="B1131" s="1">
        <f>VLOOKUP(A1131,AAPL!A1130:C2385,3)</f>
        <v>213.101</v>
      </c>
      <c r="C1131" s="1">
        <f>VLOOKUP(A1131,MSFT!A1130:C2385,3)</f>
        <v>498.84</v>
      </c>
      <c r="D1131" s="1">
        <f>VLOOKUP(A1131,NVDA!A1130:C2385,3)</f>
        <v>159.34</v>
      </c>
      <c r="E1131" s="1">
        <f>VLOOKUP(A1131,AMD!A1130:C2385,3)</f>
        <v>137.91</v>
      </c>
      <c r="F1131" s="1">
        <f>VLOOKUP(A1131,AMZN!A1130:C2385,3)</f>
        <v>223.41</v>
      </c>
      <c r="G1131" s="1">
        <f>VLOOKUP(A1131,TSLA!A1130:C2385,3)</f>
        <v>315.35000000000002</v>
      </c>
      <c r="H1131" s="1">
        <f>VLOOKUP(A1131,GOOGL!A1130:C2385,3)</f>
        <v>179.53</v>
      </c>
      <c r="I1131" s="1">
        <f>VLOOKUP(A1131,META!A1130:C2385,3)</f>
        <v>719.01</v>
      </c>
      <c r="J1131" s="1">
        <f>VLOOKUP(A1131,Nasdaq!A1130:C2385,3)</f>
        <v>20601.099999999999</v>
      </c>
    </row>
    <row r="1132" spans="1:10" x14ac:dyDescent="0.2">
      <c r="A1132" s="2">
        <v>45845</v>
      </c>
      <c r="B1132" s="1">
        <f>VLOOKUP(A1132,AAPL!A1131:C2386,3)</f>
        <v>209.50899999999999</v>
      </c>
      <c r="C1132" s="1">
        <f>VLOOKUP(A1132,MSFT!A1131:C2386,3)</f>
        <v>497.72</v>
      </c>
      <c r="D1132" s="1">
        <f>VLOOKUP(A1132,NVDA!A1131:C2386,3)</f>
        <v>158.24</v>
      </c>
      <c r="E1132" s="1">
        <f>VLOOKUP(A1132,AMD!A1131:C2386,3)</f>
        <v>134.80000000000001</v>
      </c>
      <c r="F1132" s="1">
        <f>VLOOKUP(A1132,AMZN!A1131:C2386,3)</f>
        <v>223.47</v>
      </c>
      <c r="G1132" s="1">
        <f>VLOOKUP(A1132,TSLA!A1131:C2386,3)</f>
        <v>293.94</v>
      </c>
      <c r="H1132" s="1">
        <f>VLOOKUP(A1132,GOOGL!A1131:C2386,3)</f>
        <v>176.79</v>
      </c>
      <c r="I1132" s="1">
        <f>VLOOKUP(A1132,META!A1131:C2386,3)</f>
        <v>718.35</v>
      </c>
      <c r="J1132" s="1">
        <f>VLOOKUP(A1132,Nasdaq!A1131:C2386,3)</f>
        <v>20412.52</v>
      </c>
    </row>
    <row r="1133" spans="1:10" x14ac:dyDescent="0.2">
      <c r="A1133" s="2">
        <v>45846</v>
      </c>
      <c r="B1133" s="1">
        <f>VLOOKUP(A1133,AAPL!A1132:C2387,3)</f>
        <v>209.56899999999999</v>
      </c>
      <c r="C1133" s="1">
        <f>VLOOKUP(A1133,MSFT!A1132:C2387,3)</f>
        <v>496.62</v>
      </c>
      <c r="D1133" s="1">
        <f>VLOOKUP(A1133,NVDA!A1132:C2387,3)</f>
        <v>160</v>
      </c>
      <c r="E1133" s="1">
        <f>VLOOKUP(A1133,AMD!A1132:C2387,3)</f>
        <v>137.82</v>
      </c>
      <c r="F1133" s="1">
        <f>VLOOKUP(A1133,AMZN!A1132:C2387,3)</f>
        <v>219.36</v>
      </c>
      <c r="G1133" s="1">
        <f>VLOOKUP(A1133,TSLA!A1132:C2387,3)</f>
        <v>297.81</v>
      </c>
      <c r="H1133" s="1">
        <f>VLOOKUP(A1133,GOOGL!A1132:C2387,3)</f>
        <v>174.36</v>
      </c>
      <c r="I1133" s="1">
        <f>VLOOKUP(A1133,META!A1132:C2387,3)</f>
        <v>720.67</v>
      </c>
      <c r="J1133" s="1">
        <f>VLOOKUP(A1133,Nasdaq!A1132:C2387,3)</f>
        <v>20418.46</v>
      </c>
    </row>
    <row r="1134" spans="1:10" x14ac:dyDescent="0.2">
      <c r="A1134" s="2">
        <v>45847</v>
      </c>
      <c r="B1134" s="1">
        <f>VLOOKUP(A1134,AAPL!A1133:C2388,3)</f>
        <v>210.697</v>
      </c>
      <c r="C1134" s="1">
        <f>VLOOKUP(A1134,MSFT!A1133:C2388,3)</f>
        <v>503.51</v>
      </c>
      <c r="D1134" s="1">
        <f>VLOOKUP(A1134,NVDA!A1133:C2388,3)</f>
        <v>162.88</v>
      </c>
      <c r="E1134" s="1">
        <f>VLOOKUP(A1134,AMD!A1133:C2388,3)</f>
        <v>138.41</v>
      </c>
      <c r="F1134" s="1">
        <f>VLOOKUP(A1134,AMZN!A1133:C2388,3)</f>
        <v>222.54</v>
      </c>
      <c r="G1134" s="1">
        <f>VLOOKUP(A1134,TSLA!A1133:C2388,3)</f>
        <v>295.88</v>
      </c>
      <c r="H1134" s="1">
        <f>VLOOKUP(A1134,GOOGL!A1133:C2388,3)</f>
        <v>176.62</v>
      </c>
      <c r="I1134" s="1">
        <f>VLOOKUP(A1134,META!A1133:C2388,3)</f>
        <v>732.78</v>
      </c>
      <c r="J1134" s="1">
        <f>VLOOKUP(A1134,Nasdaq!A1133:C2388,3)</f>
        <v>20611.34</v>
      </c>
    </row>
    <row r="1135" spans="1:10" x14ac:dyDescent="0.2">
      <c r="A1135" s="2">
        <v>45848</v>
      </c>
      <c r="B1135" s="1">
        <f>VLOOKUP(A1135,AAPL!A1134:C2389,3)</f>
        <v>211.964</v>
      </c>
      <c r="C1135" s="1">
        <f>VLOOKUP(A1135,MSFT!A1134:C2389,3)</f>
        <v>501.48</v>
      </c>
      <c r="D1135" s="1">
        <f>VLOOKUP(A1135,NVDA!A1134:C2389,3)</f>
        <v>164.1</v>
      </c>
      <c r="E1135" s="1">
        <f>VLOOKUP(A1135,AMD!A1134:C2389,3)</f>
        <v>144.16</v>
      </c>
      <c r="F1135" s="1">
        <f>VLOOKUP(A1135,AMZN!A1134:C2389,3)</f>
        <v>222.26</v>
      </c>
      <c r="G1135" s="1">
        <f>VLOOKUP(A1135,TSLA!A1134:C2389,3)</f>
        <v>309.87</v>
      </c>
      <c r="H1135" s="1">
        <f>VLOOKUP(A1135,GOOGL!A1134:C2389,3)</f>
        <v>177.62</v>
      </c>
      <c r="I1135" s="1">
        <f>VLOOKUP(A1135,META!A1134:C2389,3)</f>
        <v>727.24</v>
      </c>
      <c r="J1135" s="1">
        <f>VLOOKUP(A1135,Nasdaq!A1134:C2389,3)</f>
        <v>20630.66</v>
      </c>
    </row>
    <row r="1136" spans="1:10" x14ac:dyDescent="0.2">
      <c r="A1136" s="2">
        <v>45849</v>
      </c>
      <c r="B1136" s="1">
        <f>VLOOKUP(A1136,AAPL!A1135:C2390,3)</f>
        <v>210.71700000000001</v>
      </c>
      <c r="C1136" s="1">
        <f>VLOOKUP(A1136,MSFT!A1135:C2390,3)</f>
        <v>503.32</v>
      </c>
      <c r="D1136" s="1">
        <f>VLOOKUP(A1136,NVDA!A1135:C2390,3)</f>
        <v>164.92</v>
      </c>
      <c r="E1136" s="1">
        <f>VLOOKUP(A1136,AMD!A1135:C2390,3)</f>
        <v>146.41999999999999</v>
      </c>
      <c r="F1136" s="1">
        <f>VLOOKUP(A1136,AMZN!A1135:C2390,3)</f>
        <v>225.02</v>
      </c>
      <c r="G1136" s="1">
        <f>VLOOKUP(A1136,TSLA!A1135:C2390,3)</f>
        <v>313.51</v>
      </c>
      <c r="H1136" s="1">
        <f>VLOOKUP(A1136,GOOGL!A1135:C2390,3)</f>
        <v>180.19</v>
      </c>
      <c r="I1136" s="1">
        <f>VLOOKUP(A1136,META!A1135:C2390,3)</f>
        <v>717.51</v>
      </c>
      <c r="J1136" s="1">
        <f>VLOOKUP(A1136,Nasdaq!A1135:C2390,3)</f>
        <v>20585.53</v>
      </c>
    </row>
    <row r="1137" spans="1:10" x14ac:dyDescent="0.2">
      <c r="A1137" s="2">
        <v>45852</v>
      </c>
      <c r="B1137" s="1">
        <f>VLOOKUP(A1137,AAPL!A1136:C2391,3)</f>
        <v>208.18199999999999</v>
      </c>
      <c r="C1137" s="1">
        <f>VLOOKUP(A1137,MSFT!A1136:C2391,3)</f>
        <v>503.02</v>
      </c>
      <c r="D1137" s="1">
        <f>VLOOKUP(A1137,NVDA!A1136:C2391,3)</f>
        <v>164.07</v>
      </c>
      <c r="E1137" s="1">
        <f>VLOOKUP(A1137,AMD!A1136:C2391,3)</f>
        <v>146.24</v>
      </c>
      <c r="F1137" s="1">
        <f>VLOOKUP(A1137,AMZN!A1136:C2391,3)</f>
        <v>225.69</v>
      </c>
      <c r="G1137" s="1">
        <f>VLOOKUP(A1137,TSLA!A1136:C2391,3)</f>
        <v>316.89999999999998</v>
      </c>
      <c r="H1137" s="1">
        <f>VLOOKUP(A1137,GOOGL!A1136:C2391,3)</f>
        <v>181.56</v>
      </c>
      <c r="I1137" s="1">
        <f>VLOOKUP(A1137,META!A1136:C2391,3)</f>
        <v>720.92</v>
      </c>
      <c r="J1137" s="1">
        <f>VLOOKUP(A1137,Nasdaq!A1136:C2391,3)</f>
        <v>20640.330000000002</v>
      </c>
    </row>
    <row r="1138" spans="1:10" x14ac:dyDescent="0.2">
      <c r="A1138" s="2">
        <v>45853</v>
      </c>
      <c r="B1138" s="1">
        <f>VLOOKUP(A1138,AAPL!A1137:C2392,3)</f>
        <v>208.67099999999999</v>
      </c>
      <c r="C1138" s="1">
        <f>VLOOKUP(A1138,MSFT!A1137:C2392,3)</f>
        <v>505.82</v>
      </c>
      <c r="D1138" s="1">
        <f>VLOOKUP(A1138,NVDA!A1137:C2392,3)</f>
        <v>170.7</v>
      </c>
      <c r="E1138" s="1">
        <f>VLOOKUP(A1138,AMD!A1137:C2392,3)</f>
        <v>155.61000000000001</v>
      </c>
      <c r="F1138" s="1">
        <f>VLOOKUP(A1138,AMZN!A1137:C2392,3)</f>
        <v>226.35</v>
      </c>
      <c r="G1138" s="1">
        <f>VLOOKUP(A1138,TSLA!A1137:C2392,3)</f>
        <v>310.77999999999997</v>
      </c>
      <c r="H1138" s="1">
        <f>VLOOKUP(A1138,GOOGL!A1137:C2392,3)</f>
        <v>182</v>
      </c>
      <c r="I1138" s="1">
        <f>VLOOKUP(A1138,META!A1137:C2392,3)</f>
        <v>710.39</v>
      </c>
      <c r="J1138" s="1">
        <f>VLOOKUP(A1138,Nasdaq!A1137:C2392,3)</f>
        <v>20677.8</v>
      </c>
    </row>
    <row r="1139" spans="1:10" x14ac:dyDescent="0.2">
      <c r="A1139" s="2">
        <v>45854</v>
      </c>
      <c r="B1139" s="1">
        <f>VLOOKUP(A1139,AAPL!A1138:C2393,3)</f>
        <v>209.71899999999999</v>
      </c>
      <c r="C1139" s="1">
        <f>VLOOKUP(A1139,MSFT!A1138:C2393,3)</f>
        <v>505.62</v>
      </c>
      <c r="D1139" s="1">
        <f>VLOOKUP(A1139,NVDA!A1138:C2393,3)</f>
        <v>171.37</v>
      </c>
      <c r="E1139" s="1">
        <f>VLOOKUP(A1139,AMD!A1138:C2393,3)</f>
        <v>160.08000000000001</v>
      </c>
      <c r="F1139" s="1">
        <f>VLOOKUP(A1139,AMZN!A1138:C2393,3)</f>
        <v>223.19</v>
      </c>
      <c r="G1139" s="1">
        <f>VLOOKUP(A1139,TSLA!A1138:C2393,3)</f>
        <v>321.67</v>
      </c>
      <c r="H1139" s="1">
        <f>VLOOKUP(A1139,GOOGL!A1138:C2393,3)</f>
        <v>182.97</v>
      </c>
      <c r="I1139" s="1">
        <f>VLOOKUP(A1139,META!A1138:C2393,3)</f>
        <v>702.91</v>
      </c>
      <c r="J1139" s="1">
        <f>VLOOKUP(A1139,Nasdaq!A1138:C2393,3)</f>
        <v>20730.490000000002</v>
      </c>
    </row>
    <row r="1140" spans="1:10" x14ac:dyDescent="0.2">
      <c r="A1140" s="2">
        <v>45855</v>
      </c>
      <c r="B1140" s="1">
        <f>VLOOKUP(A1140,AAPL!A1139:C2394,3)</f>
        <v>209.57900000000001</v>
      </c>
      <c r="C1140" s="1">
        <f>VLOOKUP(A1140,MSFT!A1139:C2394,3)</f>
        <v>511.7</v>
      </c>
      <c r="D1140" s="1">
        <f>VLOOKUP(A1140,NVDA!A1139:C2394,3)</f>
        <v>173</v>
      </c>
      <c r="E1140" s="1">
        <f>VLOOKUP(A1140,AMD!A1139:C2394,3)</f>
        <v>160.41</v>
      </c>
      <c r="F1140" s="1">
        <f>VLOOKUP(A1140,AMZN!A1139:C2394,3)</f>
        <v>223.88</v>
      </c>
      <c r="G1140" s="1">
        <f>VLOOKUP(A1140,TSLA!A1139:C2394,3)</f>
        <v>319.41000000000003</v>
      </c>
      <c r="H1140" s="1">
        <f>VLOOKUP(A1140,GOOGL!A1139:C2394,3)</f>
        <v>183.58</v>
      </c>
      <c r="I1140" s="1">
        <f>VLOOKUP(A1140,META!A1139:C2394,3)</f>
        <v>701.41</v>
      </c>
      <c r="J1140" s="1">
        <f>VLOOKUP(A1140,Nasdaq!A1139:C2394,3)</f>
        <v>20885.650000000001</v>
      </c>
    </row>
    <row r="1141" spans="1:10" x14ac:dyDescent="0.2">
      <c r="A1141" s="2">
        <v>45856</v>
      </c>
      <c r="B1141" s="1">
        <f>VLOOKUP(A1141,AAPL!A1140:C2395,3)</f>
        <v>210.73699999999999</v>
      </c>
      <c r="C1141" s="1">
        <f>VLOOKUP(A1141,MSFT!A1140:C2395,3)</f>
        <v>510.05</v>
      </c>
      <c r="D1141" s="1">
        <f>VLOOKUP(A1141,NVDA!A1140:C2395,3)</f>
        <v>172.41</v>
      </c>
      <c r="E1141" s="1">
        <f>VLOOKUP(A1141,AMD!A1140:C2395,3)</f>
        <v>156.99</v>
      </c>
      <c r="F1141" s="1">
        <f>VLOOKUP(A1141,AMZN!A1140:C2395,3)</f>
        <v>226.13</v>
      </c>
      <c r="G1141" s="1">
        <f>VLOOKUP(A1141,TSLA!A1140:C2395,3)</f>
        <v>329.65</v>
      </c>
      <c r="H1141" s="1">
        <f>VLOOKUP(A1141,GOOGL!A1140:C2395,3)</f>
        <v>185.06</v>
      </c>
      <c r="I1141" s="1">
        <f>VLOOKUP(A1141,META!A1140:C2395,3)</f>
        <v>704.28</v>
      </c>
      <c r="J1141" s="1">
        <f>VLOOKUP(A1141,Nasdaq!A1140:C2395,3)</f>
        <v>20895.66</v>
      </c>
    </row>
    <row r="1142" spans="1:10" x14ac:dyDescent="0.2">
      <c r="A1142" s="2">
        <v>45859</v>
      </c>
      <c r="B1142" s="1">
        <f>VLOOKUP(A1142,AAPL!A1141:C2396,3)</f>
        <v>212.03299999999999</v>
      </c>
      <c r="C1142" s="1">
        <f>VLOOKUP(A1142,MSFT!A1141:C2396,3)</f>
        <v>510.06</v>
      </c>
      <c r="D1142" s="1">
        <f>VLOOKUP(A1142,NVDA!A1141:C2396,3)</f>
        <v>171.38</v>
      </c>
      <c r="E1142" s="1">
        <f>VLOOKUP(A1142,AMD!A1141:C2396,3)</f>
        <v>157</v>
      </c>
      <c r="F1142" s="1">
        <f>VLOOKUP(A1142,AMZN!A1141:C2396,3)</f>
        <v>229.3</v>
      </c>
      <c r="G1142" s="1">
        <f>VLOOKUP(A1142,TSLA!A1141:C2396,3)</f>
        <v>328.49</v>
      </c>
      <c r="H1142" s="1">
        <f>VLOOKUP(A1142,GOOGL!A1141:C2396,3)</f>
        <v>190.1</v>
      </c>
      <c r="I1142" s="1">
        <f>VLOOKUP(A1142,META!A1141:C2396,3)</f>
        <v>712.96500000000003</v>
      </c>
      <c r="J1142" s="1">
        <f>VLOOKUP(A1142,Nasdaq!A1141:C2396,3)</f>
        <v>20974.17</v>
      </c>
    </row>
    <row r="1143" spans="1:10" x14ac:dyDescent="0.2">
      <c r="A1143" s="2">
        <v>45860</v>
      </c>
      <c r="B1143" s="1">
        <f>VLOOKUP(A1143,AAPL!A1142:C2397,3)</f>
        <v>213.95</v>
      </c>
      <c r="C1143" s="1">
        <f>VLOOKUP(A1143,MSFT!A1142:C2397,3)</f>
        <v>505.27</v>
      </c>
      <c r="D1143" s="1">
        <f>VLOOKUP(A1143,NVDA!A1142:C2397,3)</f>
        <v>167.03</v>
      </c>
      <c r="E1143" s="1">
        <f>VLOOKUP(A1143,AMD!A1142:C2397,3)</f>
        <v>154.72</v>
      </c>
      <c r="F1143" s="1">
        <f>VLOOKUP(A1143,AMZN!A1142:C2397,3)</f>
        <v>227.47</v>
      </c>
      <c r="G1143" s="1">
        <f>VLOOKUP(A1143,TSLA!A1142:C2397,3)</f>
        <v>332.11</v>
      </c>
      <c r="H1143" s="1">
        <f>VLOOKUP(A1143,GOOGL!A1142:C2397,3)</f>
        <v>191.34</v>
      </c>
      <c r="I1143" s="1">
        <f>VLOOKUP(A1143,META!A1142:C2397,3)</f>
        <v>704.81</v>
      </c>
      <c r="J1143" s="1">
        <f>VLOOKUP(A1143,Nasdaq!A1142:C2397,3)</f>
        <v>20892.689999999999</v>
      </c>
    </row>
    <row r="1144" spans="1:10" x14ac:dyDescent="0.2">
      <c r="A1144" s="2">
        <v>45861</v>
      </c>
      <c r="B1144" s="1">
        <f>VLOOKUP(A1144,AAPL!A1143:C2398,3)</f>
        <v>213.7</v>
      </c>
      <c r="C1144" s="1">
        <f>VLOOKUP(A1144,MSFT!A1143:C2398,3)</f>
        <v>505.87</v>
      </c>
      <c r="D1144" s="1">
        <f>VLOOKUP(A1144,NVDA!A1143:C2398,3)</f>
        <v>170.78</v>
      </c>
      <c r="E1144" s="1">
        <f>VLOOKUP(A1144,AMD!A1143:C2398,3)</f>
        <v>158.65</v>
      </c>
      <c r="F1144" s="1">
        <f>VLOOKUP(A1144,AMZN!A1143:C2398,3)</f>
        <v>228.29</v>
      </c>
      <c r="G1144" s="1">
        <f>VLOOKUP(A1144,TSLA!A1143:C2398,3)</f>
        <v>332.56</v>
      </c>
      <c r="H1144" s="1">
        <f>VLOOKUP(A1144,GOOGL!A1143:C2398,3)</f>
        <v>190.23</v>
      </c>
      <c r="I1144" s="1">
        <f>VLOOKUP(A1144,META!A1143:C2398,3)</f>
        <v>713.58</v>
      </c>
      <c r="J1144" s="1">
        <f>VLOOKUP(A1144,Nasdaq!A1143:C2398,3)</f>
        <v>21020.02</v>
      </c>
    </row>
    <row r="1145" spans="1:10" x14ac:dyDescent="0.2">
      <c r="A1145" s="2">
        <v>45862</v>
      </c>
      <c r="B1145" s="1">
        <f>VLOOKUP(A1145,AAPL!A1144:C2399,3)</f>
        <v>213.31100000000001</v>
      </c>
      <c r="C1145" s="1">
        <f>VLOOKUP(A1145,MSFT!A1144:C2399,3)</f>
        <v>510.88</v>
      </c>
      <c r="D1145" s="1">
        <f>VLOOKUP(A1145,NVDA!A1144:C2399,3)</f>
        <v>173.74</v>
      </c>
      <c r="E1145" s="1">
        <f>VLOOKUP(A1145,AMD!A1144:C2399,3)</f>
        <v>162.12</v>
      </c>
      <c r="F1145" s="1">
        <f>VLOOKUP(A1145,AMZN!A1144:C2399,3)</f>
        <v>232.23</v>
      </c>
      <c r="G1145" s="1">
        <f>VLOOKUP(A1145,TSLA!A1144:C2399,3)</f>
        <v>305.3</v>
      </c>
      <c r="H1145" s="1">
        <f>VLOOKUP(A1145,GOOGL!A1144:C2399,3)</f>
        <v>192.17</v>
      </c>
      <c r="I1145" s="1">
        <f>VLOOKUP(A1145,META!A1144:C2399,3)</f>
        <v>714.8</v>
      </c>
      <c r="J1145" s="1">
        <f>VLOOKUP(A1145,Nasdaq!A1144:C2399,3)</f>
        <v>21057.96</v>
      </c>
    </row>
    <row r="1146" spans="1:10" x14ac:dyDescent="0.2">
      <c r="A1146" s="2">
        <v>45863</v>
      </c>
      <c r="B1146" s="1">
        <f>VLOOKUP(A1146,AAPL!A1145:C2400,3)</f>
        <v>213.43100000000001</v>
      </c>
      <c r="C1146" s="1">
        <f>VLOOKUP(A1146,MSFT!A1145:C2400,3)</f>
        <v>513.71</v>
      </c>
      <c r="D1146" s="1">
        <f>VLOOKUP(A1146,NVDA!A1145:C2400,3)</f>
        <v>173.5</v>
      </c>
      <c r="E1146" s="1">
        <f>VLOOKUP(A1146,AMD!A1145:C2400,3)</f>
        <v>166.47</v>
      </c>
      <c r="F1146" s="1">
        <f>VLOOKUP(A1146,AMZN!A1145:C2400,3)</f>
        <v>231.44</v>
      </c>
      <c r="G1146" s="1">
        <f>VLOOKUP(A1146,TSLA!A1145:C2400,3)</f>
        <v>316.06</v>
      </c>
      <c r="H1146" s="1">
        <f>VLOOKUP(A1146,GOOGL!A1145:C2400,3)</f>
        <v>193.18</v>
      </c>
      <c r="I1146" s="1">
        <f>VLOOKUP(A1146,META!A1145:C2400,3)</f>
        <v>712.68</v>
      </c>
      <c r="J1146" s="1">
        <f>VLOOKUP(A1146,Nasdaq!A1145:C2400,3)</f>
        <v>21108.32</v>
      </c>
    </row>
    <row r="1147" spans="1:10" x14ac:dyDescent="0.2">
      <c r="A1147" s="2">
        <v>45866</v>
      </c>
      <c r="B1147" s="1">
        <f>VLOOKUP(A1147,AAPL!A1146:C2401,3)</f>
        <v>213.6</v>
      </c>
      <c r="C1147" s="1">
        <f>VLOOKUP(A1147,MSFT!A1146:C2401,3)</f>
        <v>512.5</v>
      </c>
      <c r="D1147" s="1">
        <f>VLOOKUP(A1147,NVDA!A1146:C2401,3)</f>
        <v>176.75</v>
      </c>
      <c r="E1147" s="1">
        <f>VLOOKUP(A1147,AMD!A1146:C2401,3)</f>
        <v>173.66</v>
      </c>
      <c r="F1147" s="1">
        <f>VLOOKUP(A1147,AMZN!A1146:C2401,3)</f>
        <v>232.79</v>
      </c>
      <c r="G1147" s="1">
        <f>VLOOKUP(A1147,TSLA!A1146:C2401,3)</f>
        <v>325.58999999999997</v>
      </c>
      <c r="H1147" s="1">
        <f>VLOOKUP(A1147,GOOGL!A1146:C2401,3)</f>
        <v>192.58</v>
      </c>
      <c r="I1147" s="1">
        <f>VLOOKUP(A1147,META!A1146:C2401,3)</f>
        <v>717.63</v>
      </c>
      <c r="J1147" s="1">
        <f>VLOOKUP(A1147,Nasdaq!A1146:C2401,3)</f>
        <v>21178.58</v>
      </c>
    </row>
    <row r="1148" spans="1:10" x14ac:dyDescent="0.2">
      <c r="A1148" s="2">
        <v>45867</v>
      </c>
      <c r="B1148" s="1">
        <f>VLOOKUP(A1148,AAPL!A1147:C2402,3)</f>
        <v>210.82599999999999</v>
      </c>
      <c r="C1148" s="1">
        <f>VLOOKUP(A1148,MSFT!A1147:C2402,3)</f>
        <v>512.57000000000005</v>
      </c>
      <c r="D1148" s="1">
        <f>VLOOKUP(A1148,NVDA!A1147:C2402,3)</f>
        <v>175.51</v>
      </c>
      <c r="E1148" s="1">
        <f>VLOOKUP(A1148,AMD!A1147:C2402,3)</f>
        <v>177.44</v>
      </c>
      <c r="F1148" s="1">
        <f>VLOOKUP(A1148,AMZN!A1147:C2402,3)</f>
        <v>231.01</v>
      </c>
      <c r="G1148" s="1">
        <f>VLOOKUP(A1148,TSLA!A1147:C2402,3)</f>
        <v>321.2</v>
      </c>
      <c r="H1148" s="1">
        <f>VLOOKUP(A1148,GOOGL!A1147:C2402,3)</f>
        <v>195.75</v>
      </c>
      <c r="I1148" s="1">
        <f>VLOOKUP(A1148,META!A1147:C2402,3)</f>
        <v>700</v>
      </c>
      <c r="J1148" s="1">
        <f>VLOOKUP(A1148,Nasdaq!A1147:C2402,3)</f>
        <v>21098.29</v>
      </c>
    </row>
    <row r="1149" spans="1:10" x14ac:dyDescent="0.2">
      <c r="A1149" s="2">
        <v>45868</v>
      </c>
      <c r="B1149" s="1">
        <f>VLOOKUP(A1149,AAPL!A1148:C2403,3)</f>
        <v>208.61099999999999</v>
      </c>
      <c r="C1149" s="1">
        <f>VLOOKUP(A1149,MSFT!A1148:C2403,3)</f>
        <v>513.24</v>
      </c>
      <c r="D1149" s="1">
        <f>VLOOKUP(A1149,NVDA!A1148:C2403,3)</f>
        <v>179.27</v>
      </c>
      <c r="E1149" s="1">
        <f>VLOOKUP(A1149,AMD!A1148:C2403,3)</f>
        <v>179.51</v>
      </c>
      <c r="F1149" s="1">
        <f>VLOOKUP(A1149,AMZN!A1148:C2403,3)</f>
        <v>230.19</v>
      </c>
      <c r="G1149" s="1">
        <f>VLOOKUP(A1149,TSLA!A1148:C2403,3)</f>
        <v>319.04000000000002</v>
      </c>
      <c r="H1149" s="1">
        <f>VLOOKUP(A1149,GOOGL!A1148:C2403,3)</f>
        <v>196.53</v>
      </c>
      <c r="I1149" s="1">
        <f>VLOOKUP(A1149,META!A1148:C2403,3)</f>
        <v>695.21</v>
      </c>
      <c r="J1149" s="1">
        <f>VLOOKUP(A1149,Nasdaq!A1148:C2403,3)</f>
        <v>21129.67</v>
      </c>
    </row>
    <row r="1150" spans="1:10" x14ac:dyDescent="0.2">
      <c r="A1150" s="2">
        <v>45869</v>
      </c>
      <c r="B1150" s="1">
        <f>VLOOKUP(A1150,AAPL!A1149:C2404,3)</f>
        <v>207.13399999999999</v>
      </c>
      <c r="C1150" s="1">
        <f>VLOOKUP(A1150,MSFT!A1149:C2404,3)</f>
        <v>533.5</v>
      </c>
      <c r="D1150" s="1">
        <f>VLOOKUP(A1150,NVDA!A1149:C2404,3)</f>
        <v>177.87</v>
      </c>
      <c r="E1150" s="1">
        <f>VLOOKUP(A1150,AMD!A1149:C2404,3)</f>
        <v>176.31</v>
      </c>
      <c r="F1150" s="1">
        <f>VLOOKUP(A1150,AMZN!A1149:C2404,3)</f>
        <v>234.11</v>
      </c>
      <c r="G1150" s="1">
        <f>VLOOKUP(A1150,TSLA!A1149:C2404,3)</f>
        <v>308.27</v>
      </c>
      <c r="H1150" s="1">
        <f>VLOOKUP(A1150,GOOGL!A1149:C2404,3)</f>
        <v>191.9</v>
      </c>
      <c r="I1150" s="1">
        <f>VLOOKUP(A1150,META!A1149:C2404,3)</f>
        <v>773.44</v>
      </c>
      <c r="J1150" s="1">
        <f>VLOOKUP(A1150,Nasdaq!A1149:C2404,3)</f>
        <v>21122.45</v>
      </c>
    </row>
    <row r="1151" spans="1:10" x14ac:dyDescent="0.2">
      <c r="A1151" s="2">
        <v>45870</v>
      </c>
      <c r="B1151" s="1">
        <f>VLOOKUP(A1151,AAPL!A1150:C2405,3)</f>
        <v>201.95500000000001</v>
      </c>
      <c r="C1151" s="1">
        <f>VLOOKUP(A1151,MSFT!A1150:C2405,3)</f>
        <v>524.11</v>
      </c>
      <c r="D1151" s="1">
        <f>VLOOKUP(A1151,NVDA!A1150:C2405,3)</f>
        <v>173.72</v>
      </c>
      <c r="E1151" s="1">
        <f>VLOOKUP(A1151,AMD!A1150:C2405,3)</f>
        <v>171.7</v>
      </c>
      <c r="F1151" s="1">
        <f>VLOOKUP(A1151,AMZN!A1150:C2405,3)</f>
        <v>214.75</v>
      </c>
      <c r="G1151" s="1">
        <f>VLOOKUP(A1151,TSLA!A1150:C2405,3)</f>
        <v>302.63</v>
      </c>
      <c r="H1151" s="1">
        <f>VLOOKUP(A1151,GOOGL!A1150:C2405,3)</f>
        <v>189.13</v>
      </c>
      <c r="I1151" s="1">
        <f>VLOOKUP(A1151,META!A1150:C2405,3)</f>
        <v>750.01</v>
      </c>
      <c r="J1151" s="1">
        <f>VLOOKUP(A1151,Nasdaq!A1150:C2405,3)</f>
        <v>20650.13</v>
      </c>
    </row>
    <row r="1152" spans="1:10" x14ac:dyDescent="0.2">
      <c r="A1152" s="2">
        <v>45873</v>
      </c>
      <c r="B1152" s="1">
        <f>VLOOKUP(A1152,AAPL!A1151:C2406,3)</f>
        <v>202.922</v>
      </c>
      <c r="C1152" s="1">
        <f>VLOOKUP(A1152,MSFT!A1151:C2406,3)</f>
        <v>535.64</v>
      </c>
      <c r="D1152" s="1">
        <f>VLOOKUP(A1152,NVDA!A1151:C2406,3)</f>
        <v>180</v>
      </c>
      <c r="E1152" s="1">
        <f>VLOOKUP(A1152,AMD!A1151:C2406,3)</f>
        <v>176.78</v>
      </c>
      <c r="F1152" s="1">
        <f>VLOOKUP(A1152,AMZN!A1151:C2406,3)</f>
        <v>211.65</v>
      </c>
      <c r="G1152" s="1">
        <f>VLOOKUP(A1152,TSLA!A1151:C2406,3)</f>
        <v>309.26</v>
      </c>
      <c r="H1152" s="1">
        <f>VLOOKUP(A1152,GOOGL!A1151:C2406,3)</f>
        <v>195.04</v>
      </c>
      <c r="I1152" s="1">
        <f>VLOOKUP(A1152,META!A1151:C2406,3)</f>
        <v>776.37</v>
      </c>
      <c r="J1152" s="1">
        <f>VLOOKUP(A1152,Nasdaq!A1151:C2406,3)</f>
        <v>21053.58</v>
      </c>
    </row>
    <row r="1153" spans="1:10" x14ac:dyDescent="0.2">
      <c r="A1153" s="2">
        <v>45874</v>
      </c>
      <c r="B1153" s="1">
        <f>VLOOKUP(A1153,AAPL!A1152:C2407,3)</f>
        <v>202.494</v>
      </c>
      <c r="C1153" s="1">
        <f>VLOOKUP(A1153,MSFT!A1152:C2407,3)</f>
        <v>527.75</v>
      </c>
      <c r="D1153" s="1">
        <f>VLOOKUP(A1153,NVDA!A1152:C2407,3)</f>
        <v>178.26</v>
      </c>
      <c r="E1153" s="1">
        <f>VLOOKUP(A1153,AMD!A1152:C2407,3)</f>
        <v>174.31</v>
      </c>
      <c r="F1153" s="1">
        <f>VLOOKUP(A1153,AMZN!A1152:C2407,3)</f>
        <v>213.75</v>
      </c>
      <c r="G1153" s="1">
        <f>VLOOKUP(A1153,TSLA!A1152:C2407,3)</f>
        <v>308.72000000000003</v>
      </c>
      <c r="H1153" s="1">
        <f>VLOOKUP(A1153,GOOGL!A1152:C2407,3)</f>
        <v>194.67</v>
      </c>
      <c r="I1153" s="1">
        <f>VLOOKUP(A1153,META!A1152:C2407,3)</f>
        <v>763.46</v>
      </c>
      <c r="J1153" s="1">
        <f>VLOOKUP(A1153,Nasdaq!A1152:C2407,3)</f>
        <v>20916.55</v>
      </c>
    </row>
    <row r="1154" spans="1:10" x14ac:dyDescent="0.2">
      <c r="A1154" s="2">
        <v>45875</v>
      </c>
      <c r="B1154" s="1">
        <f>VLOOKUP(A1154,AAPL!A1153:C2408,3)</f>
        <v>212.80199999999999</v>
      </c>
      <c r="C1154" s="1">
        <f>VLOOKUP(A1154,MSFT!A1153:C2408,3)</f>
        <v>524.94000000000005</v>
      </c>
      <c r="D1154" s="1">
        <f>VLOOKUP(A1154,NVDA!A1153:C2408,3)</f>
        <v>179.42</v>
      </c>
      <c r="E1154" s="1">
        <f>VLOOKUP(A1154,AMD!A1153:C2408,3)</f>
        <v>163.12</v>
      </c>
      <c r="F1154" s="1">
        <f>VLOOKUP(A1154,AMZN!A1153:C2408,3)</f>
        <v>222.31</v>
      </c>
      <c r="G1154" s="1">
        <f>VLOOKUP(A1154,TSLA!A1153:C2408,3)</f>
        <v>319.91000000000003</v>
      </c>
      <c r="H1154" s="1">
        <f>VLOOKUP(A1154,GOOGL!A1153:C2408,3)</f>
        <v>196.09</v>
      </c>
      <c r="I1154" s="1">
        <f>VLOOKUP(A1154,META!A1153:C2408,3)</f>
        <v>771.99</v>
      </c>
      <c r="J1154" s="1">
        <f>VLOOKUP(A1154,Nasdaq!A1153:C2408,3)</f>
        <v>21169.42</v>
      </c>
    </row>
    <row r="1155" spans="1:10" x14ac:dyDescent="0.2">
      <c r="A1155" s="2">
        <v>45876</v>
      </c>
      <c r="B1155" s="1">
        <f>VLOOKUP(A1155,AAPL!A1154:C2409,3)</f>
        <v>219.56800000000001</v>
      </c>
      <c r="C1155" s="1">
        <f>VLOOKUP(A1155,MSFT!A1154:C2409,3)</f>
        <v>520.84</v>
      </c>
      <c r="D1155" s="1">
        <f>VLOOKUP(A1155,NVDA!A1154:C2409,3)</f>
        <v>180.77</v>
      </c>
      <c r="E1155" s="1">
        <f>VLOOKUP(A1155,AMD!A1154:C2409,3)</f>
        <v>172.4</v>
      </c>
      <c r="F1155" s="1">
        <f>VLOOKUP(A1155,AMZN!A1154:C2409,3)</f>
        <v>223.13</v>
      </c>
      <c r="G1155" s="1">
        <f>VLOOKUP(A1155,TSLA!A1154:C2409,3)</f>
        <v>322.27</v>
      </c>
      <c r="H1155" s="1">
        <f>VLOOKUP(A1155,GOOGL!A1154:C2409,3)</f>
        <v>196.52</v>
      </c>
      <c r="I1155" s="1">
        <f>VLOOKUP(A1155,META!A1154:C2409,3)</f>
        <v>761.83</v>
      </c>
      <c r="J1155" s="1">
        <f>VLOOKUP(A1155,Nasdaq!A1154:C2409,3)</f>
        <v>21242.7</v>
      </c>
    </row>
    <row r="1156" spans="1:10" x14ac:dyDescent="0.2">
      <c r="A1156" s="2">
        <v>45877</v>
      </c>
      <c r="B1156" s="1">
        <f>VLOOKUP(A1156,AAPL!A1155:C2410,3)</f>
        <v>228.86799999999999</v>
      </c>
      <c r="C1156" s="1">
        <f>VLOOKUP(A1156,MSFT!A1155:C2410,3)</f>
        <v>522.04</v>
      </c>
      <c r="D1156" s="1">
        <f>VLOOKUP(A1156,NVDA!A1155:C2410,3)</f>
        <v>182.7</v>
      </c>
      <c r="E1156" s="1">
        <f>VLOOKUP(A1156,AMD!A1155:C2410,3)</f>
        <v>172.76</v>
      </c>
      <c r="F1156" s="1">
        <f>VLOOKUP(A1156,AMZN!A1155:C2410,3)</f>
        <v>222.69</v>
      </c>
      <c r="G1156" s="1">
        <f>VLOOKUP(A1156,TSLA!A1155:C2410,3)</f>
        <v>329.65</v>
      </c>
      <c r="H1156" s="1">
        <f>VLOOKUP(A1156,GOOGL!A1155:C2410,3)</f>
        <v>201.42</v>
      </c>
      <c r="I1156" s="1">
        <f>VLOOKUP(A1156,META!A1155:C2410,3)</f>
        <v>769.3</v>
      </c>
      <c r="J1156" s="1">
        <f>VLOOKUP(A1156,Nasdaq!A1155:C2410,3)</f>
        <v>21450.02</v>
      </c>
    </row>
    <row r="1157" spans="1:10" x14ac:dyDescent="0.2">
      <c r="A1157" s="2">
        <v>45880</v>
      </c>
      <c r="B1157" s="1">
        <f>VLOOKUP(A1157,AAPL!A1156:C2411,3)</f>
        <v>226.96</v>
      </c>
      <c r="C1157" s="1">
        <f>VLOOKUP(A1157,MSFT!A1156:C2411,3)</f>
        <v>521.77</v>
      </c>
      <c r="D1157" s="1">
        <f>VLOOKUP(A1157,NVDA!A1156:C2411,3)</f>
        <v>182.06</v>
      </c>
      <c r="E1157" s="1">
        <f>VLOOKUP(A1157,AMD!A1156:C2411,3)</f>
        <v>172.28</v>
      </c>
      <c r="F1157" s="1">
        <f>VLOOKUP(A1157,AMZN!A1156:C2411,3)</f>
        <v>221.3</v>
      </c>
      <c r="G1157" s="1">
        <f>VLOOKUP(A1157,TSLA!A1156:C2411,3)</f>
        <v>339.03</v>
      </c>
      <c r="H1157" s="1">
        <f>VLOOKUP(A1157,GOOGL!A1156:C2411,3)</f>
        <v>201</v>
      </c>
      <c r="I1157" s="1">
        <f>VLOOKUP(A1157,META!A1156:C2411,3)</f>
        <v>765.87</v>
      </c>
      <c r="J1157" s="1">
        <f>VLOOKUP(A1157,Nasdaq!A1156:C2411,3)</f>
        <v>21385.4</v>
      </c>
    </row>
    <row r="1158" spans="1:10" x14ac:dyDescent="0.2">
      <c r="A1158" s="2">
        <v>45881</v>
      </c>
      <c r="B1158" s="1">
        <f>VLOOKUP(A1158,AAPL!A1157:C2412,3)</f>
        <v>229.428</v>
      </c>
      <c r="C1158" s="1">
        <f>VLOOKUP(A1158,MSFT!A1157:C2412,3)</f>
        <v>529.24</v>
      </c>
      <c r="D1158" s="1">
        <f>VLOOKUP(A1158,NVDA!A1157:C2412,3)</f>
        <v>183.16</v>
      </c>
      <c r="E1158" s="1">
        <f>VLOOKUP(A1158,AMD!A1157:C2412,3)</f>
        <v>174.95</v>
      </c>
      <c r="F1158" s="1">
        <f>VLOOKUP(A1158,AMZN!A1157:C2412,3)</f>
        <v>221.47</v>
      </c>
      <c r="G1158" s="1">
        <f>VLOOKUP(A1158,TSLA!A1157:C2412,3)</f>
        <v>340.84</v>
      </c>
      <c r="H1158" s="1">
        <f>VLOOKUP(A1158,GOOGL!A1157:C2412,3)</f>
        <v>203.34</v>
      </c>
      <c r="I1158" s="1">
        <f>VLOOKUP(A1158,META!A1157:C2412,3)</f>
        <v>790</v>
      </c>
      <c r="J1158" s="1">
        <f>VLOOKUP(A1158,Nasdaq!A1157:C2412,3)</f>
        <v>21681.9</v>
      </c>
    </row>
    <row r="1159" spans="1:10" x14ac:dyDescent="0.2">
      <c r="A1159" s="2">
        <v>45882</v>
      </c>
      <c r="B1159" s="1">
        <f>VLOOKUP(A1159,AAPL!A1158:C2413,3)</f>
        <v>233.10400000000001</v>
      </c>
      <c r="C1159" s="1">
        <f>VLOOKUP(A1159,MSFT!A1158:C2413,3)</f>
        <v>520.58000000000004</v>
      </c>
      <c r="D1159" s="1">
        <f>VLOOKUP(A1159,NVDA!A1158:C2413,3)</f>
        <v>181.59</v>
      </c>
      <c r="E1159" s="1">
        <f>VLOOKUP(A1159,AMD!A1158:C2413,3)</f>
        <v>184.42</v>
      </c>
      <c r="F1159" s="1">
        <f>VLOOKUP(A1159,AMZN!A1158:C2413,3)</f>
        <v>224.56</v>
      </c>
      <c r="G1159" s="1">
        <f>VLOOKUP(A1159,TSLA!A1158:C2413,3)</f>
        <v>339.38</v>
      </c>
      <c r="H1159" s="1">
        <f>VLOOKUP(A1159,GOOGL!A1158:C2413,3)</f>
        <v>201.96</v>
      </c>
      <c r="I1159" s="1">
        <f>VLOOKUP(A1159,META!A1158:C2413,3)</f>
        <v>780.08</v>
      </c>
      <c r="J1159" s="1">
        <f>VLOOKUP(A1159,Nasdaq!A1158:C2413,3)</f>
        <v>21713.14</v>
      </c>
    </row>
    <row r="1160" spans="1:10" x14ac:dyDescent="0.2">
      <c r="A1160" s="2">
        <v>45883</v>
      </c>
      <c r="B1160" s="1">
        <f>VLOOKUP(A1160,AAPL!A1159:C2414,3)</f>
        <v>232.55500000000001</v>
      </c>
      <c r="C1160" s="1">
        <f>VLOOKUP(A1160,MSFT!A1159:C2414,3)</f>
        <v>522.48</v>
      </c>
      <c r="D1160" s="1">
        <f>VLOOKUP(A1160,NVDA!A1159:C2414,3)</f>
        <v>182.02</v>
      </c>
      <c r="E1160" s="1">
        <f>VLOOKUP(A1160,AMD!A1159:C2414,3)</f>
        <v>180.95</v>
      </c>
      <c r="F1160" s="1">
        <f>VLOOKUP(A1160,AMZN!A1159:C2414,3)</f>
        <v>230.98</v>
      </c>
      <c r="G1160" s="1">
        <f>VLOOKUP(A1160,TSLA!A1159:C2414,3)</f>
        <v>335.58</v>
      </c>
      <c r="H1160" s="1">
        <f>VLOOKUP(A1160,GOOGL!A1159:C2414,3)</f>
        <v>202.94</v>
      </c>
      <c r="I1160" s="1">
        <f>VLOOKUP(A1160,META!A1159:C2414,3)</f>
        <v>782.13</v>
      </c>
      <c r="J1160" s="1">
        <f>VLOOKUP(A1160,Nasdaq!A1159:C2414,3)</f>
        <v>21710.67</v>
      </c>
    </row>
    <row r="1161" spans="1:10" x14ac:dyDescent="0.2">
      <c r="A1161" s="2">
        <v>45884</v>
      </c>
      <c r="B1161" s="1">
        <f>VLOOKUP(A1161,AAPL!A1160:C2415,3)</f>
        <v>231.36600000000001</v>
      </c>
      <c r="C1161" s="1">
        <f>VLOOKUP(A1161,MSFT!A1160:C2415,3)</f>
        <v>520.16999999999996</v>
      </c>
      <c r="D1161" s="1">
        <f>VLOOKUP(A1161,NVDA!A1160:C2415,3)</f>
        <v>180.45</v>
      </c>
      <c r="E1161" s="1">
        <f>VLOOKUP(A1161,AMD!A1160:C2415,3)</f>
        <v>177.51</v>
      </c>
      <c r="F1161" s="1">
        <f>VLOOKUP(A1161,AMZN!A1160:C2415,3)</f>
        <v>231.03</v>
      </c>
      <c r="G1161" s="1">
        <f>VLOOKUP(A1161,TSLA!A1160:C2415,3)</f>
        <v>330.56</v>
      </c>
      <c r="H1161" s="1">
        <f>VLOOKUP(A1161,GOOGL!A1160:C2415,3)</f>
        <v>203.9</v>
      </c>
      <c r="I1161" s="1">
        <f>VLOOKUP(A1161,META!A1160:C2415,3)</f>
        <v>785.23</v>
      </c>
      <c r="J1161" s="1">
        <f>VLOOKUP(A1161,Nasdaq!A1160:C2415,3)</f>
        <v>21622.98</v>
      </c>
    </row>
    <row r="1162" spans="1:10" x14ac:dyDescent="0.2">
      <c r="A1162" s="2">
        <v>45887</v>
      </c>
      <c r="B1162" s="1">
        <f>VLOOKUP(A1162,AAPL!A1161:C2416,3)</f>
        <v>230.666</v>
      </c>
      <c r="C1162" s="1">
        <f>VLOOKUP(A1162,MSFT!A1161:C2416,3)</f>
        <v>517.1</v>
      </c>
      <c r="D1162" s="1">
        <f>VLOOKUP(A1162,NVDA!A1161:C2416,3)</f>
        <v>182.01</v>
      </c>
      <c r="E1162" s="1">
        <f>VLOOKUP(A1162,AMD!A1161:C2416,3)</f>
        <v>176.14</v>
      </c>
      <c r="F1162" s="1">
        <f>VLOOKUP(A1162,AMZN!A1161:C2416,3)</f>
        <v>231.49</v>
      </c>
      <c r="G1162" s="1">
        <f>VLOOKUP(A1162,TSLA!A1161:C2416,3)</f>
        <v>335.16</v>
      </c>
      <c r="H1162" s="1">
        <f>VLOOKUP(A1162,GOOGL!A1161:C2416,3)</f>
        <v>203.5</v>
      </c>
      <c r="I1162" s="1">
        <f>VLOOKUP(A1162,META!A1161:C2416,3)</f>
        <v>767.37</v>
      </c>
      <c r="J1162" s="1">
        <f>VLOOKUP(A1162,Nasdaq!A1161:C2416,3)</f>
        <v>21629.77</v>
      </c>
    </row>
    <row r="1163" spans="1:10" x14ac:dyDescent="0.2">
      <c r="A1163" s="2">
        <v>45888</v>
      </c>
      <c r="B1163" s="1">
        <f>VLOOKUP(A1163,AAPL!A1162:C2417,3)</f>
        <v>230.33699999999999</v>
      </c>
      <c r="C1163" s="1">
        <f>VLOOKUP(A1163,MSFT!A1162:C2417,3)</f>
        <v>509.77</v>
      </c>
      <c r="D1163" s="1">
        <f>VLOOKUP(A1163,NVDA!A1162:C2417,3)</f>
        <v>175.64</v>
      </c>
      <c r="E1163" s="1">
        <f>VLOOKUP(A1163,AMD!A1162:C2417,3)</f>
        <v>166.55</v>
      </c>
      <c r="F1163" s="1">
        <f>VLOOKUP(A1163,AMZN!A1162:C2417,3)</f>
        <v>228.01</v>
      </c>
      <c r="G1163" s="1">
        <f>VLOOKUP(A1163,TSLA!A1162:C2417,3)</f>
        <v>329.31</v>
      </c>
      <c r="H1163" s="1">
        <f>VLOOKUP(A1163,GOOGL!A1162:C2417,3)</f>
        <v>201.57</v>
      </c>
      <c r="I1163" s="1">
        <f>VLOOKUP(A1163,META!A1162:C2417,3)</f>
        <v>751.48</v>
      </c>
      <c r="J1163" s="1">
        <f>VLOOKUP(A1163,Nasdaq!A1162:C2417,3)</f>
        <v>21314.95</v>
      </c>
    </row>
    <row r="1164" spans="1:10" x14ac:dyDescent="0.2">
      <c r="A1164" s="2">
        <v>45889</v>
      </c>
      <c r="B1164" s="1">
        <f>VLOOKUP(A1164,AAPL!A1163:C2418,3)</f>
        <v>225.791</v>
      </c>
      <c r="C1164" s="1">
        <f>VLOOKUP(A1164,MSFT!A1163:C2418,3)</f>
        <v>505.72</v>
      </c>
      <c r="D1164" s="1">
        <f>VLOOKUP(A1164,NVDA!A1163:C2418,3)</f>
        <v>175.4</v>
      </c>
      <c r="E1164" s="1">
        <f>VLOOKUP(A1164,AMD!A1163:C2418,3)</f>
        <v>165.2</v>
      </c>
      <c r="F1164" s="1">
        <f>VLOOKUP(A1164,AMZN!A1163:C2418,3)</f>
        <v>223.81</v>
      </c>
      <c r="G1164" s="1">
        <f>VLOOKUP(A1164,TSLA!A1163:C2418,3)</f>
        <v>323.89999999999998</v>
      </c>
      <c r="H1164" s="1">
        <f>VLOOKUP(A1164,GOOGL!A1163:C2418,3)</f>
        <v>199.32</v>
      </c>
      <c r="I1164" s="1">
        <f>VLOOKUP(A1164,META!A1163:C2418,3)</f>
        <v>747.72</v>
      </c>
      <c r="J1164" s="1">
        <f>VLOOKUP(A1164,Nasdaq!A1163:C2418,3)</f>
        <v>21172.86</v>
      </c>
    </row>
    <row r="1165" spans="1:10" x14ac:dyDescent="0.2">
      <c r="A1165" s="2">
        <v>45890</v>
      </c>
      <c r="B1165" s="1">
        <f>VLOOKUP(A1165,AAPL!A1164:C2419,3)</f>
        <v>224.68199999999999</v>
      </c>
      <c r="C1165" s="1">
        <f>VLOOKUP(A1165,MSFT!A1164:C2419,3)</f>
        <v>504.24</v>
      </c>
      <c r="D1165" s="1">
        <f>VLOOKUP(A1165,NVDA!A1164:C2419,3)</f>
        <v>174.98</v>
      </c>
      <c r="E1165" s="1">
        <f>VLOOKUP(A1165,AMD!A1164:C2419,3)</f>
        <v>163.71</v>
      </c>
      <c r="F1165" s="1">
        <f>VLOOKUP(A1165,AMZN!A1164:C2419,3)</f>
        <v>221.95</v>
      </c>
      <c r="G1165" s="1">
        <f>VLOOKUP(A1165,TSLA!A1164:C2419,3)</f>
        <v>320.11</v>
      </c>
      <c r="H1165" s="1">
        <f>VLOOKUP(A1165,GOOGL!A1164:C2419,3)</f>
        <v>199.75</v>
      </c>
      <c r="I1165" s="1">
        <f>VLOOKUP(A1165,META!A1164:C2419,3)</f>
        <v>739.1</v>
      </c>
      <c r="J1165" s="1">
        <f>VLOOKUP(A1165,Nasdaq!A1164:C2419,3)</f>
        <v>21100.31</v>
      </c>
    </row>
    <row r="1166" spans="1:10" x14ac:dyDescent="0.2">
      <c r="A1166" s="2">
        <v>45891</v>
      </c>
      <c r="B1166" s="1">
        <f>VLOOKUP(A1166,AAPL!A1165:C2420,3)</f>
        <v>227.53899999999999</v>
      </c>
      <c r="C1166" s="1">
        <f>VLOOKUP(A1166,MSFT!A1165:C2420,3)</f>
        <v>507.23</v>
      </c>
      <c r="D1166" s="1">
        <f>VLOOKUP(A1166,NVDA!A1165:C2420,3)</f>
        <v>177.99</v>
      </c>
      <c r="E1166" s="1">
        <f>VLOOKUP(A1166,AMD!A1165:C2420,3)</f>
        <v>167.76</v>
      </c>
      <c r="F1166" s="1">
        <f>VLOOKUP(A1166,AMZN!A1165:C2420,3)</f>
        <v>228.84</v>
      </c>
      <c r="G1166" s="1">
        <f>VLOOKUP(A1166,TSLA!A1165:C2420,3)</f>
        <v>340.01</v>
      </c>
      <c r="H1166" s="1">
        <f>VLOOKUP(A1166,GOOGL!A1165:C2420,3)</f>
        <v>206.09</v>
      </c>
      <c r="I1166" s="1">
        <f>VLOOKUP(A1166,META!A1165:C2420,3)</f>
        <v>754.79</v>
      </c>
      <c r="J1166" s="1">
        <f>VLOOKUP(A1166,Nasdaq!A1165:C2420,3)</f>
        <v>21496.54</v>
      </c>
    </row>
    <row r="1167" spans="1:10" x14ac:dyDescent="0.2">
      <c r="A1167" s="2">
        <v>45894</v>
      </c>
      <c r="B1167" s="1">
        <f>VLOOKUP(A1167,AAPL!A1166:C2421,3)</f>
        <v>226.94</v>
      </c>
      <c r="C1167" s="1">
        <f>VLOOKUP(A1167,MSFT!A1166:C2421,3)</f>
        <v>504.26</v>
      </c>
      <c r="D1167" s="1">
        <f>VLOOKUP(A1167,NVDA!A1166:C2421,3)</f>
        <v>179.81</v>
      </c>
      <c r="E1167" s="1">
        <f>VLOOKUP(A1167,AMD!A1166:C2421,3)</f>
        <v>163.36000000000001</v>
      </c>
      <c r="F1167" s="1">
        <f>VLOOKUP(A1167,AMZN!A1166:C2421,3)</f>
        <v>227.94</v>
      </c>
      <c r="G1167" s="1">
        <f>VLOOKUP(A1167,TSLA!A1166:C2421,3)</f>
        <v>346.6</v>
      </c>
      <c r="H1167" s="1">
        <f>VLOOKUP(A1167,GOOGL!A1166:C2421,3)</f>
        <v>208.49</v>
      </c>
      <c r="I1167" s="1">
        <f>VLOOKUP(A1167,META!A1166:C2421,3)</f>
        <v>753.3</v>
      </c>
      <c r="J1167" s="1">
        <f>VLOOKUP(A1167,Nasdaq!A1166:C2421,3)</f>
        <v>21449.29</v>
      </c>
    </row>
    <row r="1168" spans="1:10" x14ac:dyDescent="0.2">
      <c r="A1168" s="2">
        <v>45895</v>
      </c>
      <c r="B1168" s="1">
        <f>VLOOKUP(A1168,AAPL!A1167:C2422,3)</f>
        <v>229.08799999999999</v>
      </c>
      <c r="C1168" s="1">
        <f>VLOOKUP(A1168,MSFT!A1167:C2422,3)</f>
        <v>502.04</v>
      </c>
      <c r="D1168" s="1">
        <f>VLOOKUP(A1168,NVDA!A1167:C2422,3)</f>
        <v>181.77</v>
      </c>
      <c r="E1168" s="1">
        <f>VLOOKUP(A1168,AMD!A1167:C2422,3)</f>
        <v>166.62</v>
      </c>
      <c r="F1168" s="1">
        <f>VLOOKUP(A1168,AMZN!A1167:C2422,3)</f>
        <v>228.71</v>
      </c>
      <c r="G1168" s="1">
        <f>VLOOKUP(A1168,TSLA!A1167:C2422,3)</f>
        <v>351.67</v>
      </c>
      <c r="H1168" s="1">
        <f>VLOOKUP(A1168,GOOGL!A1167:C2422,3)</f>
        <v>207.14</v>
      </c>
      <c r="I1168" s="1">
        <f>VLOOKUP(A1168,META!A1167:C2422,3)</f>
        <v>754.1</v>
      </c>
      <c r="J1168" s="1">
        <f>VLOOKUP(A1168,Nasdaq!A1167:C2422,3)</f>
        <v>21544.27</v>
      </c>
    </row>
    <row r="1169" spans="1:10" x14ac:dyDescent="0.2">
      <c r="A1169" s="2">
        <v>45896</v>
      </c>
      <c r="B1169" s="1">
        <f>VLOOKUP(A1169,AAPL!A1168:C2423,3)</f>
        <v>230.267</v>
      </c>
      <c r="C1169" s="1">
        <f>VLOOKUP(A1169,MSFT!A1168:C2423,3)</f>
        <v>506.74</v>
      </c>
      <c r="D1169" s="1">
        <f>VLOOKUP(A1169,NVDA!A1168:C2423,3)</f>
        <v>181.6</v>
      </c>
      <c r="E1169" s="1">
        <f>VLOOKUP(A1169,AMD!A1168:C2423,3)</f>
        <v>167.13</v>
      </c>
      <c r="F1169" s="1">
        <f>VLOOKUP(A1169,AMZN!A1168:C2423,3)</f>
        <v>229.12</v>
      </c>
      <c r="G1169" s="1">
        <f>VLOOKUP(A1169,TSLA!A1168:C2423,3)</f>
        <v>349.6</v>
      </c>
      <c r="H1169" s="1">
        <f>VLOOKUP(A1169,GOOGL!A1168:C2423,3)</f>
        <v>207.48</v>
      </c>
      <c r="I1169" s="1">
        <f>VLOOKUP(A1169,META!A1168:C2423,3)</f>
        <v>747.38</v>
      </c>
      <c r="J1169" s="1">
        <f>VLOOKUP(A1169,Nasdaq!A1168:C2423,3)</f>
        <v>21590.14</v>
      </c>
    </row>
    <row r="1170" spans="1:10" x14ac:dyDescent="0.2">
      <c r="A1170" s="2">
        <v>45897</v>
      </c>
      <c r="B1170" s="1">
        <f>VLOOKUP(A1170,AAPL!A1169:C2424,3)</f>
        <v>232.33500000000001</v>
      </c>
      <c r="C1170" s="1">
        <f>VLOOKUP(A1170,MSFT!A1169:C2424,3)</f>
        <v>509.64</v>
      </c>
      <c r="D1170" s="1">
        <f>VLOOKUP(A1170,NVDA!A1169:C2424,3)</f>
        <v>180.17</v>
      </c>
      <c r="E1170" s="1">
        <f>VLOOKUP(A1170,AMD!A1169:C2424,3)</f>
        <v>168.58</v>
      </c>
      <c r="F1170" s="1">
        <f>VLOOKUP(A1170,AMZN!A1169:C2424,3)</f>
        <v>231.6</v>
      </c>
      <c r="G1170" s="1">
        <f>VLOOKUP(A1170,TSLA!A1169:C2424,3)</f>
        <v>345.98</v>
      </c>
      <c r="H1170" s="1">
        <f>VLOOKUP(A1170,GOOGL!A1169:C2424,3)</f>
        <v>211.64</v>
      </c>
      <c r="I1170" s="1">
        <f>VLOOKUP(A1170,META!A1169:C2424,3)</f>
        <v>751.11</v>
      </c>
      <c r="J1170" s="1">
        <f>VLOOKUP(A1170,Nasdaq!A1169:C2424,3)</f>
        <v>21705.16</v>
      </c>
    </row>
    <row r="1171" spans="1:10" x14ac:dyDescent="0.2">
      <c r="A1171" s="2">
        <v>45898</v>
      </c>
      <c r="B1171" s="1">
        <f>VLOOKUP(A1171,AAPL!A1170:C2425,3)</f>
        <v>231.91499999999999</v>
      </c>
      <c r="C1171" s="1">
        <f>VLOOKUP(A1171,MSFT!A1170:C2425,3)</f>
        <v>506.69</v>
      </c>
      <c r="D1171" s="1">
        <f>VLOOKUP(A1171,NVDA!A1170:C2425,3)</f>
        <v>174.18</v>
      </c>
      <c r="E1171" s="1">
        <f>VLOOKUP(A1171,AMD!A1170:C2425,3)</f>
        <v>162.63</v>
      </c>
      <c r="F1171" s="1">
        <f>VLOOKUP(A1171,AMZN!A1170:C2425,3)</f>
        <v>229</v>
      </c>
      <c r="G1171" s="1">
        <f>VLOOKUP(A1171,TSLA!A1170:C2425,3)</f>
        <v>333.87</v>
      </c>
      <c r="H1171" s="1">
        <f>VLOOKUP(A1171,GOOGL!A1170:C2425,3)</f>
        <v>212.91</v>
      </c>
      <c r="I1171" s="1">
        <f>VLOOKUP(A1171,META!A1170:C2425,3)</f>
        <v>738.7</v>
      </c>
      <c r="J1171" s="1">
        <f>VLOOKUP(A1171,Nasdaq!A1170:C2425,3)</f>
        <v>21455.55</v>
      </c>
    </row>
    <row r="1172" spans="1:10" x14ac:dyDescent="0.2">
      <c r="A1172" s="2">
        <v>45902</v>
      </c>
      <c r="B1172" s="1">
        <f>VLOOKUP(A1172,AAPL!A1171:C2426,3)</f>
        <v>229.49799999999999</v>
      </c>
      <c r="C1172" s="1">
        <f>VLOOKUP(A1172,MSFT!A1171:C2426,3)</f>
        <v>505.12</v>
      </c>
      <c r="D1172" s="1">
        <f>VLOOKUP(A1172,NVDA!A1171:C2426,3)</f>
        <v>170.78</v>
      </c>
      <c r="E1172" s="1">
        <f>VLOOKUP(A1172,AMD!A1171:C2426,3)</f>
        <v>162.32</v>
      </c>
      <c r="F1172" s="1">
        <f>VLOOKUP(A1172,AMZN!A1171:C2426,3)</f>
        <v>225.34</v>
      </c>
      <c r="G1172" s="1">
        <f>VLOOKUP(A1172,TSLA!A1171:C2426,3)</f>
        <v>329.36</v>
      </c>
      <c r="H1172" s="1">
        <f>VLOOKUP(A1172,GOOGL!A1171:C2426,3)</f>
        <v>211.35</v>
      </c>
      <c r="I1172" s="1">
        <f>VLOOKUP(A1172,META!A1171:C2426,3)</f>
        <v>735.11</v>
      </c>
      <c r="J1172" s="1">
        <f>VLOOKUP(A1172,Nasdaq!A1171:C2426,3)</f>
        <v>21279.63</v>
      </c>
    </row>
    <row r="1173" spans="1:10" x14ac:dyDescent="0.2">
      <c r="A1173" s="2">
        <v>45903</v>
      </c>
      <c r="B1173" s="1">
        <f>VLOOKUP(A1173,AAPL!A1172:C2427,3)</f>
        <v>238.239</v>
      </c>
      <c r="C1173" s="1">
        <f>VLOOKUP(A1173,MSFT!A1172:C2427,3)</f>
        <v>505.35</v>
      </c>
      <c r="D1173" s="1">
        <f>VLOOKUP(A1173,NVDA!A1172:C2427,3)</f>
        <v>170.62</v>
      </c>
      <c r="E1173" s="1">
        <f>VLOOKUP(A1173,AMD!A1172:C2427,3)</f>
        <v>162.13</v>
      </c>
      <c r="F1173" s="1">
        <f>VLOOKUP(A1173,AMZN!A1172:C2427,3)</f>
        <v>225.99</v>
      </c>
      <c r="G1173" s="1">
        <f>VLOOKUP(A1173,TSLA!A1172:C2427,3)</f>
        <v>334.09</v>
      </c>
      <c r="H1173" s="1">
        <f>VLOOKUP(A1173,GOOGL!A1172:C2427,3)</f>
        <v>230.66</v>
      </c>
      <c r="I1173" s="1">
        <f>VLOOKUP(A1173,META!A1172:C2427,3)</f>
        <v>737.05</v>
      </c>
      <c r="J1173" s="1">
        <f>VLOOKUP(A1173,Nasdaq!A1172:C2427,3)</f>
        <v>21497.73</v>
      </c>
    </row>
    <row r="1174" spans="1:10" x14ac:dyDescent="0.2">
      <c r="A1174" s="2">
        <v>45904</v>
      </c>
      <c r="B1174" s="1">
        <f>VLOOKUP(A1174,AAPL!A1173:C2428,3)</f>
        <v>239.548</v>
      </c>
      <c r="C1174" s="1">
        <f>VLOOKUP(A1174,MSFT!A1173:C2428,3)</f>
        <v>507.97</v>
      </c>
      <c r="D1174" s="1">
        <f>VLOOKUP(A1174,NVDA!A1173:C2428,3)</f>
        <v>171.66</v>
      </c>
      <c r="E1174" s="1">
        <f>VLOOKUP(A1174,AMD!A1173:C2428,3)</f>
        <v>161.79</v>
      </c>
      <c r="F1174" s="1">
        <f>VLOOKUP(A1174,AMZN!A1173:C2428,3)</f>
        <v>235.68</v>
      </c>
      <c r="G1174" s="1">
        <f>VLOOKUP(A1174,TSLA!A1173:C2428,3)</f>
        <v>338.53</v>
      </c>
      <c r="H1174" s="1">
        <f>VLOOKUP(A1174,GOOGL!A1173:C2428,3)</f>
        <v>232.3</v>
      </c>
      <c r="I1174" s="1">
        <f>VLOOKUP(A1174,META!A1173:C2428,3)</f>
        <v>748.65</v>
      </c>
      <c r="J1174" s="1">
        <f>VLOOKUP(A1174,Nasdaq!A1173:C2428,3)</f>
        <v>21707.69</v>
      </c>
    </row>
    <row r="1175" spans="1:10" x14ac:dyDescent="0.2">
      <c r="A1175" s="2">
        <v>45905</v>
      </c>
      <c r="B1175" s="1">
        <f>VLOOKUP(A1175,AAPL!A1174:C2429,3)</f>
        <v>239.458</v>
      </c>
      <c r="C1175" s="1">
        <f>VLOOKUP(A1175,MSFT!A1174:C2429,3)</f>
        <v>495</v>
      </c>
      <c r="D1175" s="1">
        <f>VLOOKUP(A1175,NVDA!A1174:C2429,3)</f>
        <v>167.02</v>
      </c>
      <c r="E1175" s="1">
        <f>VLOOKUP(A1175,AMD!A1174:C2429,3)</f>
        <v>151.13999999999999</v>
      </c>
      <c r="F1175" s="1">
        <f>VLOOKUP(A1175,AMZN!A1174:C2429,3)</f>
        <v>232.33</v>
      </c>
      <c r="G1175" s="1">
        <f>VLOOKUP(A1175,TSLA!A1174:C2429,3)</f>
        <v>350.84</v>
      </c>
      <c r="H1175" s="1">
        <f>VLOOKUP(A1175,GOOGL!A1174:C2429,3)</f>
        <v>235</v>
      </c>
      <c r="I1175" s="1">
        <f>VLOOKUP(A1175,META!A1174:C2429,3)</f>
        <v>752.45</v>
      </c>
      <c r="J1175" s="1">
        <f>VLOOKUP(A1175,Nasdaq!A1174:C2429,3)</f>
        <v>21700.39</v>
      </c>
    </row>
    <row r="1176" spans="1:10" x14ac:dyDescent="0.2">
      <c r="A1176" s="2">
        <v>45908</v>
      </c>
      <c r="B1176" s="1">
        <f>VLOOKUP(A1176,AAPL!A1175:C2430,3)</f>
        <v>237.65</v>
      </c>
      <c r="C1176" s="1">
        <f>VLOOKUP(A1176,MSFT!A1175:C2430,3)</f>
        <v>498.2</v>
      </c>
      <c r="D1176" s="1">
        <f>VLOOKUP(A1176,NVDA!A1175:C2430,3)</f>
        <v>168.31</v>
      </c>
      <c r="E1176" s="1">
        <f>VLOOKUP(A1176,AMD!A1175:C2430,3)</f>
        <v>151.41</v>
      </c>
      <c r="F1176" s="1">
        <f>VLOOKUP(A1176,AMZN!A1175:C2430,3)</f>
        <v>235.84</v>
      </c>
      <c r="G1176" s="1">
        <f>VLOOKUP(A1176,TSLA!A1175:C2430,3)</f>
        <v>346.4</v>
      </c>
      <c r="H1176" s="1">
        <f>VLOOKUP(A1176,GOOGL!A1175:C2430,3)</f>
        <v>234.04</v>
      </c>
      <c r="I1176" s="1">
        <f>VLOOKUP(A1176,META!A1175:C2430,3)</f>
        <v>752.3</v>
      </c>
      <c r="J1176" s="1">
        <f>VLOOKUP(A1176,Nasdaq!A1175:C2430,3)</f>
        <v>21798.7</v>
      </c>
    </row>
    <row r="1177" spans="1:10" x14ac:dyDescent="0.2">
      <c r="A1177" s="2">
        <v>45909</v>
      </c>
      <c r="B1177" s="1">
        <f>VLOOKUP(A1177,AAPL!A1176:C2431,3)</f>
        <v>234.12299999999999</v>
      </c>
      <c r="C1177" s="1">
        <f>VLOOKUP(A1177,MSFT!A1176:C2431,3)</f>
        <v>498.41</v>
      </c>
      <c r="D1177" s="1">
        <f>VLOOKUP(A1177,NVDA!A1176:C2431,3)</f>
        <v>170.76</v>
      </c>
      <c r="E1177" s="1">
        <f>VLOOKUP(A1177,AMD!A1176:C2431,3)</f>
        <v>155.82</v>
      </c>
      <c r="F1177" s="1">
        <f>VLOOKUP(A1177,AMZN!A1176:C2431,3)</f>
        <v>238.24</v>
      </c>
      <c r="G1177" s="1">
        <f>VLOOKUP(A1177,TSLA!A1176:C2431,3)</f>
        <v>346.97</v>
      </c>
      <c r="H1177" s="1">
        <f>VLOOKUP(A1177,GOOGL!A1176:C2431,3)</f>
        <v>239.63</v>
      </c>
      <c r="I1177" s="1">
        <f>VLOOKUP(A1177,META!A1176:C2431,3)</f>
        <v>765.7</v>
      </c>
      <c r="J1177" s="1">
        <f>VLOOKUP(A1177,Nasdaq!A1176:C2431,3)</f>
        <v>21879.49</v>
      </c>
    </row>
    <row r="1178" spans="1:10" x14ac:dyDescent="0.2">
      <c r="A1178" s="2">
        <v>45910</v>
      </c>
      <c r="B1178" s="1">
        <f>VLOOKUP(A1178,AAPL!A1177:C2432,3)</f>
        <v>226.57</v>
      </c>
      <c r="C1178" s="1">
        <f>VLOOKUP(A1178,MSFT!A1177:C2432,3)</f>
        <v>500.37</v>
      </c>
      <c r="D1178" s="1">
        <f>VLOOKUP(A1178,NVDA!A1177:C2432,3)</f>
        <v>177.33</v>
      </c>
      <c r="E1178" s="1">
        <f>VLOOKUP(A1178,AMD!A1177:C2432,3)</f>
        <v>159.54</v>
      </c>
      <c r="F1178" s="1">
        <f>VLOOKUP(A1178,AMZN!A1177:C2432,3)</f>
        <v>230.33</v>
      </c>
      <c r="G1178" s="1">
        <f>VLOOKUP(A1178,TSLA!A1177:C2432,3)</f>
        <v>347.79</v>
      </c>
      <c r="H1178" s="1">
        <f>VLOOKUP(A1178,GOOGL!A1177:C2432,3)</f>
        <v>239.17</v>
      </c>
      <c r="I1178" s="1">
        <f>VLOOKUP(A1178,META!A1177:C2432,3)</f>
        <v>751.98</v>
      </c>
      <c r="J1178" s="1">
        <f>VLOOKUP(A1178,Nasdaq!A1177:C2432,3)</f>
        <v>21886.06</v>
      </c>
    </row>
    <row r="1179" spans="1:10" x14ac:dyDescent="0.2">
      <c r="A1179" s="2">
        <v>45911</v>
      </c>
      <c r="B1179" s="1">
        <f>VLOOKUP(A1179,AAPL!A1178:C2433,3)</f>
        <v>229.80699999999999</v>
      </c>
      <c r="C1179" s="1">
        <f>VLOOKUP(A1179,MSFT!A1178:C2433,3)</f>
        <v>501.01</v>
      </c>
      <c r="D1179" s="1">
        <f>VLOOKUP(A1179,NVDA!A1178:C2433,3)</f>
        <v>177.17</v>
      </c>
      <c r="E1179" s="1">
        <f>VLOOKUP(A1179,AMD!A1178:C2433,3)</f>
        <v>155.66999999999999</v>
      </c>
      <c r="F1179" s="1">
        <f>VLOOKUP(A1179,AMZN!A1178:C2433,3)</f>
        <v>229.95</v>
      </c>
      <c r="G1179" s="1">
        <f>VLOOKUP(A1179,TSLA!A1178:C2433,3)</f>
        <v>368.81</v>
      </c>
      <c r="H1179" s="1">
        <f>VLOOKUP(A1179,GOOGL!A1178:C2433,3)</f>
        <v>240.37</v>
      </c>
      <c r="I1179" s="1">
        <f>VLOOKUP(A1179,META!A1178:C2433,3)</f>
        <v>750.9</v>
      </c>
      <c r="J1179" s="1">
        <f>VLOOKUP(A1179,Nasdaq!A1178:C2433,3)</f>
        <v>22043.07</v>
      </c>
    </row>
    <row r="1180" spans="1:10" x14ac:dyDescent="0.2">
      <c r="A1180" s="2">
        <v>45912</v>
      </c>
      <c r="B1180" s="1">
        <f>VLOOKUP(A1180,AAPL!A1179:C2434,3)</f>
        <v>233.84299999999999</v>
      </c>
      <c r="C1180" s="1">
        <f>VLOOKUP(A1180,MSFT!A1179:C2434,3)</f>
        <v>509.9</v>
      </c>
      <c r="D1180" s="1">
        <f>VLOOKUP(A1180,NVDA!A1179:C2434,3)</f>
        <v>177.82</v>
      </c>
      <c r="E1180" s="1">
        <f>VLOOKUP(A1180,AMD!A1179:C2434,3)</f>
        <v>158.57</v>
      </c>
      <c r="F1180" s="1">
        <f>VLOOKUP(A1180,AMZN!A1179:C2434,3)</f>
        <v>228.15</v>
      </c>
      <c r="G1180" s="1">
        <f>VLOOKUP(A1180,TSLA!A1179:C2434,3)</f>
        <v>395.94</v>
      </c>
      <c r="H1180" s="1">
        <f>VLOOKUP(A1180,GOOGL!A1179:C2434,3)</f>
        <v>240.8</v>
      </c>
      <c r="I1180" s="1">
        <f>VLOOKUP(A1180,META!A1179:C2434,3)</f>
        <v>755.59</v>
      </c>
      <c r="J1180" s="1">
        <f>VLOOKUP(A1180,Nasdaq!A1179:C2434,3)</f>
        <v>22141.1</v>
      </c>
    </row>
    <row r="1181" spans="1:10" x14ac:dyDescent="0.2">
      <c r="A1181" s="2">
        <v>45915</v>
      </c>
      <c r="B1181" s="1">
        <f>VLOOKUP(A1181,AAPL!A1180:C2435,3)</f>
        <v>236.471</v>
      </c>
      <c r="C1181" s="1">
        <f>VLOOKUP(A1181,MSFT!A1180:C2435,3)</f>
        <v>515.36</v>
      </c>
      <c r="D1181" s="1">
        <f>VLOOKUP(A1181,NVDA!A1180:C2435,3)</f>
        <v>177.75</v>
      </c>
      <c r="E1181" s="1">
        <f>VLOOKUP(A1181,AMD!A1180:C2435,3)</f>
        <v>161.16</v>
      </c>
      <c r="F1181" s="1">
        <f>VLOOKUP(A1181,AMZN!A1180:C2435,3)</f>
        <v>231.43</v>
      </c>
      <c r="G1181" s="1">
        <f>VLOOKUP(A1181,TSLA!A1180:C2435,3)</f>
        <v>410.04</v>
      </c>
      <c r="H1181" s="1">
        <f>VLOOKUP(A1181,GOOGL!A1180:C2435,3)</f>
        <v>251.61</v>
      </c>
      <c r="I1181" s="1">
        <f>VLOOKUP(A1181,META!A1180:C2435,3)</f>
        <v>764.7</v>
      </c>
      <c r="J1181" s="1">
        <f>VLOOKUP(A1181,Nasdaq!A1180:C2435,3)</f>
        <v>22348.75</v>
      </c>
    </row>
    <row r="1182" spans="1:10" x14ac:dyDescent="0.2">
      <c r="A1182" s="2">
        <v>45916</v>
      </c>
      <c r="B1182" s="1">
        <f>VLOOKUP(A1182,AAPL!A1181:C2436,3)</f>
        <v>237.91900000000001</v>
      </c>
      <c r="C1182" s="1">
        <f>VLOOKUP(A1182,MSFT!A1181:C2436,3)</f>
        <v>509.04</v>
      </c>
      <c r="D1182" s="1">
        <f>VLOOKUP(A1182,NVDA!A1181:C2436,3)</f>
        <v>174.88</v>
      </c>
      <c r="E1182" s="1">
        <f>VLOOKUP(A1182,AMD!A1181:C2436,3)</f>
        <v>160.46</v>
      </c>
      <c r="F1182" s="1">
        <f>VLOOKUP(A1182,AMZN!A1181:C2436,3)</f>
        <v>234.05</v>
      </c>
      <c r="G1182" s="1">
        <f>VLOOKUP(A1182,TSLA!A1181:C2436,3)</f>
        <v>421.62</v>
      </c>
      <c r="H1182" s="1">
        <f>VLOOKUP(A1182,GOOGL!A1181:C2436,3)</f>
        <v>251.16</v>
      </c>
      <c r="I1182" s="1">
        <f>VLOOKUP(A1182,META!A1181:C2436,3)</f>
        <v>779</v>
      </c>
      <c r="J1182" s="1">
        <f>VLOOKUP(A1182,Nasdaq!A1181:C2436,3)</f>
        <v>22333.96</v>
      </c>
    </row>
    <row r="1183" spans="1:10" x14ac:dyDescent="0.2">
      <c r="A1183" s="2">
        <v>45917</v>
      </c>
      <c r="B1183" s="1">
        <f>VLOOKUP(A1183,AAPL!A1182:C2437,3)</f>
        <v>238.75899999999999</v>
      </c>
      <c r="C1183" s="1">
        <f>VLOOKUP(A1183,MSFT!A1182:C2437,3)</f>
        <v>510.02</v>
      </c>
      <c r="D1183" s="1">
        <f>VLOOKUP(A1183,NVDA!A1182:C2437,3)</f>
        <v>170.29</v>
      </c>
      <c r="E1183" s="1">
        <f>VLOOKUP(A1183,AMD!A1182:C2437,3)</f>
        <v>159.16</v>
      </c>
      <c r="F1183" s="1">
        <f>VLOOKUP(A1183,AMZN!A1182:C2437,3)</f>
        <v>231.62</v>
      </c>
      <c r="G1183" s="1">
        <f>VLOOKUP(A1183,TSLA!A1182:C2437,3)</f>
        <v>425.86</v>
      </c>
      <c r="H1183" s="1">
        <f>VLOOKUP(A1183,GOOGL!A1182:C2437,3)</f>
        <v>249.53</v>
      </c>
      <c r="I1183" s="1">
        <f>VLOOKUP(A1183,META!A1182:C2437,3)</f>
        <v>775.71500000000003</v>
      </c>
      <c r="J1183" s="1">
        <f>VLOOKUP(A1183,Nasdaq!A1182:C2437,3)</f>
        <v>22261.33</v>
      </c>
    </row>
    <row r="1184" spans="1:10" x14ac:dyDescent="0.2">
      <c r="A1184" s="2">
        <v>45918</v>
      </c>
      <c r="B1184" s="1">
        <f>VLOOKUP(A1184,AAPL!A1183:C2438,3)</f>
        <v>237.65</v>
      </c>
      <c r="C1184" s="1">
        <f>VLOOKUP(A1184,MSFT!A1183:C2438,3)</f>
        <v>508.45</v>
      </c>
      <c r="D1184" s="1">
        <f>VLOOKUP(A1184,NVDA!A1183:C2438,3)</f>
        <v>176.24</v>
      </c>
      <c r="E1184" s="1">
        <f>VLOOKUP(A1184,AMD!A1183:C2438,3)</f>
        <v>157.91999999999999</v>
      </c>
      <c r="F1184" s="1">
        <f>VLOOKUP(A1184,AMZN!A1183:C2438,3)</f>
        <v>231.23</v>
      </c>
      <c r="G1184" s="1">
        <f>VLOOKUP(A1184,TSLA!A1183:C2438,3)</f>
        <v>416.85</v>
      </c>
      <c r="H1184" s="1">
        <f>VLOOKUP(A1184,GOOGL!A1183:C2438,3)</f>
        <v>252.03</v>
      </c>
      <c r="I1184" s="1">
        <f>VLOOKUP(A1184,META!A1183:C2438,3)</f>
        <v>780.25</v>
      </c>
      <c r="J1184" s="1">
        <f>VLOOKUP(A1184,Nasdaq!A1183:C2438,3)</f>
        <v>22470.720000000001</v>
      </c>
    </row>
    <row r="1185" spans="1:10" x14ac:dyDescent="0.2">
      <c r="A1185" s="2">
        <v>45919</v>
      </c>
      <c r="B1185" s="1">
        <f>VLOOKUP(A1185,AAPL!A1184:C2439,3)</f>
        <v>245.262</v>
      </c>
      <c r="C1185" s="1">
        <f>VLOOKUP(A1185,MSFT!A1184:C2439,3)</f>
        <v>517.92999999999995</v>
      </c>
      <c r="D1185" s="1">
        <f>VLOOKUP(A1185,NVDA!A1184:C2439,3)</f>
        <v>176.67</v>
      </c>
      <c r="E1185" s="1">
        <f>VLOOKUP(A1185,AMD!A1184:C2439,3)</f>
        <v>157.38999999999999</v>
      </c>
      <c r="F1185" s="1">
        <f>VLOOKUP(A1185,AMZN!A1184:C2439,3)</f>
        <v>231.48</v>
      </c>
      <c r="G1185" s="1">
        <f>VLOOKUP(A1185,TSLA!A1184:C2439,3)</f>
        <v>426.07</v>
      </c>
      <c r="H1185" s="1">
        <f>VLOOKUP(A1185,GOOGL!A1184:C2439,3)</f>
        <v>254.72</v>
      </c>
      <c r="I1185" s="1">
        <f>VLOOKUP(A1185,META!A1184:C2439,3)</f>
        <v>778.38</v>
      </c>
      <c r="J1185" s="1">
        <f>VLOOKUP(A1185,Nasdaq!A1184:C2439,3)</f>
        <v>22631.48</v>
      </c>
    </row>
    <row r="1186" spans="1:10" x14ac:dyDescent="0.2">
      <c r="A1186" s="2">
        <v>45922</v>
      </c>
      <c r="B1186" s="1">
        <f>VLOOKUP(A1186,AAPL!A1185:C2440,3)</f>
        <v>255.83199999999999</v>
      </c>
      <c r="C1186" s="1">
        <f>VLOOKUP(A1186,MSFT!A1185:C2440,3)</f>
        <v>514.45000000000005</v>
      </c>
      <c r="D1186" s="1">
        <f>VLOOKUP(A1186,NVDA!A1185:C2440,3)</f>
        <v>183.61</v>
      </c>
      <c r="E1186" s="1">
        <f>VLOOKUP(A1186,AMD!A1185:C2440,3)</f>
        <v>159.79</v>
      </c>
      <c r="F1186" s="1">
        <f>VLOOKUP(A1186,AMZN!A1185:C2440,3)</f>
        <v>227.63</v>
      </c>
      <c r="G1186" s="1">
        <f>VLOOKUP(A1186,TSLA!A1185:C2440,3)</f>
        <v>434.21</v>
      </c>
      <c r="H1186" s="1">
        <f>VLOOKUP(A1186,GOOGL!A1185:C2440,3)</f>
        <v>252.53</v>
      </c>
      <c r="I1186" s="1">
        <f>VLOOKUP(A1186,META!A1185:C2440,3)</f>
        <v>765.16</v>
      </c>
      <c r="J1186" s="1">
        <f>VLOOKUP(A1186,Nasdaq!A1185:C2440,3)</f>
        <v>22788.98</v>
      </c>
    </row>
    <row r="1187" spans="1:10" x14ac:dyDescent="0.2">
      <c r="A1187" s="2">
        <v>45923</v>
      </c>
      <c r="B1187" s="1">
        <f>VLOOKUP(A1187,AAPL!A1186:C2441,3)</f>
        <v>254.184</v>
      </c>
      <c r="C1187" s="1">
        <f>VLOOKUP(A1187,MSFT!A1186:C2441,3)</f>
        <v>509.23</v>
      </c>
      <c r="D1187" s="1">
        <f>VLOOKUP(A1187,NVDA!A1186:C2441,3)</f>
        <v>178.43</v>
      </c>
      <c r="E1187" s="1">
        <f>VLOOKUP(A1187,AMD!A1186:C2441,3)</f>
        <v>160.9</v>
      </c>
      <c r="F1187" s="1">
        <f>VLOOKUP(A1187,AMZN!A1186:C2441,3)</f>
        <v>220.71</v>
      </c>
      <c r="G1187" s="1">
        <f>VLOOKUP(A1187,TSLA!A1186:C2441,3)</f>
        <v>425.85</v>
      </c>
      <c r="H1187" s="1">
        <f>VLOOKUP(A1187,GOOGL!A1186:C2441,3)</f>
        <v>251.66</v>
      </c>
      <c r="I1187" s="1">
        <f>VLOOKUP(A1187,META!A1186:C2441,3)</f>
        <v>755.4</v>
      </c>
      <c r="J1187" s="1">
        <f>VLOOKUP(A1187,Nasdaq!A1186:C2441,3)</f>
        <v>22573.47</v>
      </c>
    </row>
    <row r="1188" spans="1:10" x14ac:dyDescent="0.2">
      <c r="A1188" s="2">
        <v>45924</v>
      </c>
      <c r="B1188" s="1">
        <f>VLOOKUP(A1188,AAPL!A1187:C2442,3)</f>
        <v>252.066</v>
      </c>
      <c r="C1188" s="1">
        <f>VLOOKUP(A1188,MSFT!A1187:C2442,3)</f>
        <v>510.15</v>
      </c>
      <c r="D1188" s="1">
        <f>VLOOKUP(A1188,NVDA!A1187:C2442,3)</f>
        <v>176.97</v>
      </c>
      <c r="E1188" s="1">
        <f>VLOOKUP(A1188,AMD!A1187:C2442,3)</f>
        <v>160.88</v>
      </c>
      <c r="F1188" s="1">
        <f>VLOOKUP(A1188,AMZN!A1187:C2442,3)</f>
        <v>220.21</v>
      </c>
      <c r="G1188" s="1">
        <f>VLOOKUP(A1188,TSLA!A1187:C2442,3)</f>
        <v>442.79</v>
      </c>
      <c r="H1188" s="1">
        <f>VLOOKUP(A1188,GOOGL!A1187:C2442,3)</f>
        <v>247.14</v>
      </c>
      <c r="I1188" s="1">
        <f>VLOOKUP(A1188,META!A1187:C2442,3)</f>
        <v>760.66</v>
      </c>
      <c r="J1188" s="1">
        <f>VLOOKUP(A1188,Nasdaq!A1187:C2442,3)</f>
        <v>22497.86</v>
      </c>
    </row>
    <row r="1189" spans="1:10" x14ac:dyDescent="0.2">
      <c r="A1189" s="2">
        <v>45925</v>
      </c>
      <c r="B1189" s="1">
        <f>VLOOKUP(A1189,AAPL!A1188:C2443,3)</f>
        <v>256.62099999999998</v>
      </c>
      <c r="C1189" s="1">
        <f>VLOOKUP(A1189,MSFT!A1188:C2443,3)</f>
        <v>507.03</v>
      </c>
      <c r="D1189" s="1">
        <f>VLOOKUP(A1189,NVDA!A1188:C2443,3)</f>
        <v>177.69</v>
      </c>
      <c r="E1189" s="1">
        <f>VLOOKUP(A1189,AMD!A1188:C2443,3)</f>
        <v>161.27000000000001</v>
      </c>
      <c r="F1189" s="1">
        <f>VLOOKUP(A1189,AMZN!A1188:C2443,3)</f>
        <v>218.15</v>
      </c>
      <c r="G1189" s="1">
        <f>VLOOKUP(A1189,TSLA!A1188:C2443,3)</f>
        <v>423.39</v>
      </c>
      <c r="H1189" s="1">
        <f>VLOOKUP(A1189,GOOGL!A1188:C2443,3)</f>
        <v>245.79</v>
      </c>
      <c r="I1189" s="1">
        <f>VLOOKUP(A1189,META!A1188:C2443,3)</f>
        <v>748.91</v>
      </c>
      <c r="J1189" s="1">
        <f>VLOOKUP(A1189,Nasdaq!A1188:C2443,3)</f>
        <v>22384.7</v>
      </c>
    </row>
    <row r="1190" spans="1:10" x14ac:dyDescent="0.2">
      <c r="A1190" s="2">
        <v>45926</v>
      </c>
      <c r="B1190" s="1">
        <f>VLOOKUP(A1190,AAPL!A1189:C2444,3)</f>
        <v>255.21299999999999</v>
      </c>
      <c r="C1190" s="1">
        <f>VLOOKUP(A1190,MSFT!A1189:C2444,3)</f>
        <v>511.46</v>
      </c>
      <c r="D1190" s="1">
        <f>VLOOKUP(A1190,NVDA!A1189:C2444,3)</f>
        <v>178.19</v>
      </c>
      <c r="E1190" s="1">
        <f>VLOOKUP(A1190,AMD!A1189:C2444,3)</f>
        <v>159.46</v>
      </c>
      <c r="F1190" s="1">
        <f>VLOOKUP(A1190,AMZN!A1189:C2444,3)</f>
        <v>219.78</v>
      </c>
      <c r="G1190" s="1">
        <f>VLOOKUP(A1190,TSLA!A1189:C2444,3)</f>
        <v>440.4</v>
      </c>
      <c r="H1190" s="1">
        <f>VLOOKUP(A1190,GOOGL!A1189:C2444,3)</f>
        <v>246.54</v>
      </c>
      <c r="I1190" s="1">
        <f>VLOOKUP(A1190,META!A1189:C2444,3)</f>
        <v>743.75</v>
      </c>
      <c r="J1190" s="1">
        <f>VLOOKUP(A1190,Nasdaq!A1189:C2444,3)</f>
        <v>22484.07</v>
      </c>
    </row>
    <row r="1191" spans="1:10" x14ac:dyDescent="0.2">
      <c r="A1191" s="2">
        <v>45929</v>
      </c>
      <c r="B1191" s="1">
        <f>VLOOKUP(A1191,AAPL!A1190:C2445,3)</f>
        <v>254.184</v>
      </c>
      <c r="C1191" s="1">
        <f>VLOOKUP(A1191,MSFT!A1190:C2445,3)</f>
        <v>514.6</v>
      </c>
      <c r="D1191" s="1">
        <f>VLOOKUP(A1191,NVDA!A1190:C2445,3)</f>
        <v>181.85</v>
      </c>
      <c r="E1191" s="1">
        <f>VLOOKUP(A1191,AMD!A1190:C2445,3)</f>
        <v>161.36000000000001</v>
      </c>
      <c r="F1191" s="1">
        <f>VLOOKUP(A1191,AMZN!A1190:C2445,3)</f>
        <v>222.17</v>
      </c>
      <c r="G1191" s="1">
        <f>VLOOKUP(A1191,TSLA!A1190:C2445,3)</f>
        <v>443.21</v>
      </c>
      <c r="H1191" s="1">
        <f>VLOOKUP(A1191,GOOGL!A1190:C2445,3)</f>
        <v>244.05</v>
      </c>
      <c r="I1191" s="1">
        <f>VLOOKUP(A1191,META!A1190:C2445,3)</f>
        <v>743.4</v>
      </c>
      <c r="J1191" s="1">
        <f>VLOOKUP(A1191,Nasdaq!A1190:C2445,3)</f>
        <v>22591.15</v>
      </c>
    </row>
    <row r="1192" spans="1:10" x14ac:dyDescent="0.2">
      <c r="A1192" s="2">
        <v>45930</v>
      </c>
      <c r="B1192" s="1">
        <f>VLOOKUP(A1192,AAPL!A1191:C2446,3)</f>
        <v>254.38300000000001</v>
      </c>
      <c r="C1192" s="1">
        <f>VLOOKUP(A1192,MSFT!A1191:C2446,3)</f>
        <v>517.95000000000005</v>
      </c>
      <c r="D1192" s="1">
        <f>VLOOKUP(A1192,NVDA!A1191:C2446,3)</f>
        <v>186.58</v>
      </c>
      <c r="E1192" s="1">
        <f>VLOOKUP(A1192,AMD!A1191:C2446,3)</f>
        <v>161.79</v>
      </c>
      <c r="F1192" s="1">
        <f>VLOOKUP(A1192,AMZN!A1191:C2446,3)</f>
        <v>219.57</v>
      </c>
      <c r="G1192" s="1">
        <f>VLOOKUP(A1192,TSLA!A1191:C2446,3)</f>
        <v>444.72</v>
      </c>
      <c r="H1192" s="1">
        <f>VLOOKUP(A1192,GOOGL!A1191:C2446,3)</f>
        <v>243.1</v>
      </c>
      <c r="I1192" s="1">
        <f>VLOOKUP(A1192,META!A1191:C2446,3)</f>
        <v>734.38</v>
      </c>
      <c r="J1192" s="1">
        <f>VLOOKUP(A1192,Nasdaq!A1191:C2446,3)</f>
        <v>22660.01</v>
      </c>
    </row>
    <row r="1193" spans="1:10" x14ac:dyDescent="0.2">
      <c r="A1193" s="2">
        <v>45931</v>
      </c>
      <c r="B1193" s="1">
        <f>VLOOKUP(A1193,AAPL!A1192:C2447,3)</f>
        <v>255.203</v>
      </c>
      <c r="C1193" s="1">
        <f>VLOOKUP(A1193,MSFT!A1192:C2447,3)</f>
        <v>519.71</v>
      </c>
      <c r="D1193" s="1">
        <f>VLOOKUP(A1193,NVDA!A1192:C2447,3)</f>
        <v>187.24</v>
      </c>
      <c r="E1193" s="1">
        <f>VLOOKUP(A1193,AMD!A1192:C2447,3)</f>
        <v>164.01</v>
      </c>
      <c r="F1193" s="1">
        <f>VLOOKUP(A1193,AMZN!A1192:C2447,3)</f>
        <v>220.63</v>
      </c>
      <c r="G1193" s="1">
        <f>VLOOKUP(A1193,TSLA!A1192:C2447,3)</f>
        <v>459.46</v>
      </c>
      <c r="H1193" s="1">
        <f>VLOOKUP(A1193,GOOGL!A1192:C2447,3)</f>
        <v>244.9</v>
      </c>
      <c r="I1193" s="1">
        <f>VLOOKUP(A1193,META!A1192:C2447,3)</f>
        <v>717.34</v>
      </c>
      <c r="J1193" s="1">
        <f>VLOOKUP(A1193,Nasdaq!A1192:C2447,3)</f>
        <v>22755.16</v>
      </c>
    </row>
    <row r="1194" spans="1:10" x14ac:dyDescent="0.2">
      <c r="A1194" s="2">
        <v>45932</v>
      </c>
      <c r="B1194" s="1">
        <f>VLOOKUP(A1194,AAPL!A1193:C2448,3)</f>
        <v>256.88099999999997</v>
      </c>
      <c r="C1194" s="1">
        <f>VLOOKUP(A1194,MSFT!A1193:C2448,3)</f>
        <v>515.74</v>
      </c>
      <c r="D1194" s="1">
        <f>VLOOKUP(A1194,NVDA!A1193:C2448,3)</f>
        <v>188.89</v>
      </c>
      <c r="E1194" s="1">
        <f>VLOOKUP(A1194,AMD!A1193:C2448,3)</f>
        <v>169.73</v>
      </c>
      <c r="F1194" s="1">
        <f>VLOOKUP(A1194,AMZN!A1193:C2448,3)</f>
        <v>222.41</v>
      </c>
      <c r="G1194" s="1">
        <f>VLOOKUP(A1194,TSLA!A1193:C2448,3)</f>
        <v>436</v>
      </c>
      <c r="H1194" s="1">
        <f>VLOOKUP(A1194,GOOGL!A1193:C2448,3)</f>
        <v>245.69</v>
      </c>
      <c r="I1194" s="1">
        <f>VLOOKUP(A1194,META!A1193:C2448,3)</f>
        <v>727.05</v>
      </c>
      <c r="J1194" s="1">
        <f>VLOOKUP(A1194,Nasdaq!A1193:C2448,3)</f>
        <v>22844.05</v>
      </c>
    </row>
    <row r="1195" spans="1:10" x14ac:dyDescent="0.2">
      <c r="A1195" s="2">
        <v>45933</v>
      </c>
      <c r="B1195" s="1">
        <f>VLOOKUP(A1195,AAPL!A1194:C2449,3)</f>
        <v>257.77</v>
      </c>
      <c r="C1195" s="1">
        <f>VLOOKUP(A1195,MSFT!A1194:C2449,3)</f>
        <v>517.35</v>
      </c>
      <c r="D1195" s="1">
        <f>VLOOKUP(A1195,NVDA!A1194:C2449,3)</f>
        <v>187.62</v>
      </c>
      <c r="E1195" s="1">
        <f>VLOOKUP(A1195,AMD!A1194:C2449,3)</f>
        <v>164.67</v>
      </c>
      <c r="F1195" s="1">
        <f>VLOOKUP(A1195,AMZN!A1194:C2449,3)</f>
        <v>219.51</v>
      </c>
      <c r="G1195" s="1">
        <f>VLOOKUP(A1195,TSLA!A1194:C2449,3)</f>
        <v>429.83</v>
      </c>
      <c r="H1195" s="1">
        <f>VLOOKUP(A1195,GOOGL!A1194:C2449,3)</f>
        <v>245.35</v>
      </c>
      <c r="I1195" s="1">
        <f>VLOOKUP(A1195,META!A1194:C2449,3)</f>
        <v>710.56</v>
      </c>
      <c r="J1195" s="1">
        <f>VLOOKUP(A1195,Nasdaq!A1194:C2449,3)</f>
        <v>22780.51</v>
      </c>
    </row>
    <row r="1196" spans="1:10" x14ac:dyDescent="0.2">
      <c r="A1196" s="2">
        <v>45936</v>
      </c>
      <c r="B1196" s="1">
        <f>VLOOKUP(A1196,AAPL!A1195:C2450,3)</f>
        <v>256.44099999999997</v>
      </c>
      <c r="C1196" s="1">
        <f>VLOOKUP(A1196,MSFT!A1195:C2450,3)</f>
        <v>528.57000000000005</v>
      </c>
      <c r="D1196" s="1">
        <f>VLOOKUP(A1196,NVDA!A1195:C2450,3)</f>
        <v>185.54</v>
      </c>
      <c r="E1196" s="1">
        <f>VLOOKUP(A1196,AMD!A1195:C2450,3)</f>
        <v>203.71</v>
      </c>
      <c r="F1196" s="1">
        <f>VLOOKUP(A1196,AMZN!A1195:C2450,3)</f>
        <v>220.9</v>
      </c>
      <c r="G1196" s="1">
        <f>VLOOKUP(A1196,TSLA!A1195:C2450,3)</f>
        <v>453.25</v>
      </c>
      <c r="H1196" s="1">
        <f>VLOOKUP(A1196,GOOGL!A1195:C2450,3)</f>
        <v>250.43</v>
      </c>
      <c r="I1196" s="1">
        <f>VLOOKUP(A1196,META!A1195:C2450,3)</f>
        <v>715.66</v>
      </c>
      <c r="J1196" s="1">
        <f>VLOOKUP(A1196,Nasdaq!A1195:C2450,3)</f>
        <v>22941.67</v>
      </c>
    </row>
    <row r="1197" spans="1:10" x14ac:dyDescent="0.2">
      <c r="A1197" s="2">
        <v>45937</v>
      </c>
      <c r="B1197" s="1">
        <f>VLOOKUP(A1197,AAPL!A1196:C2451,3)</f>
        <v>256.23200000000003</v>
      </c>
      <c r="C1197" s="1">
        <f>VLOOKUP(A1197,MSFT!A1196:C2451,3)</f>
        <v>523.98</v>
      </c>
      <c r="D1197" s="1">
        <f>VLOOKUP(A1197,NVDA!A1196:C2451,3)</f>
        <v>185.04</v>
      </c>
      <c r="E1197" s="1">
        <f>VLOOKUP(A1197,AMD!A1196:C2451,3)</f>
        <v>211.51</v>
      </c>
      <c r="F1197" s="1">
        <f>VLOOKUP(A1197,AMZN!A1196:C2451,3)</f>
        <v>221.78</v>
      </c>
      <c r="G1197" s="1">
        <f>VLOOKUP(A1197,TSLA!A1196:C2451,3)</f>
        <v>433.09</v>
      </c>
      <c r="H1197" s="1">
        <f>VLOOKUP(A1197,GOOGL!A1196:C2451,3)</f>
        <v>245.76</v>
      </c>
      <c r="I1197" s="1">
        <f>VLOOKUP(A1197,META!A1196:C2451,3)</f>
        <v>713.08</v>
      </c>
      <c r="J1197" s="1">
        <f>VLOOKUP(A1197,Nasdaq!A1196:C2451,3)</f>
        <v>22788.36</v>
      </c>
    </row>
    <row r="1198" spans="1:10" x14ac:dyDescent="0.2">
      <c r="A1198" s="2">
        <v>45938</v>
      </c>
      <c r="B1198" s="1">
        <f>VLOOKUP(A1198,AAPL!A1197:C2452,3)</f>
        <v>257.81</v>
      </c>
      <c r="C1198" s="1">
        <f>VLOOKUP(A1198,MSFT!A1197:C2452,3)</f>
        <v>524.85</v>
      </c>
      <c r="D1198" s="1">
        <f>VLOOKUP(A1198,NVDA!A1197:C2452,3)</f>
        <v>189.11</v>
      </c>
      <c r="E1198" s="1">
        <f>VLOOKUP(A1198,AMD!A1197:C2452,3)</f>
        <v>235.56</v>
      </c>
      <c r="F1198" s="1">
        <f>VLOOKUP(A1198,AMZN!A1197:C2452,3)</f>
        <v>225.22</v>
      </c>
      <c r="G1198" s="1">
        <f>VLOOKUP(A1198,TSLA!A1197:C2452,3)</f>
        <v>438.69</v>
      </c>
      <c r="H1198" s="1">
        <f>VLOOKUP(A1198,GOOGL!A1197:C2452,3)</f>
        <v>244.62</v>
      </c>
      <c r="I1198" s="1">
        <f>VLOOKUP(A1198,META!A1197:C2452,3)</f>
        <v>717.84</v>
      </c>
      <c r="J1198" s="1">
        <f>VLOOKUP(A1198,Nasdaq!A1197:C2452,3)</f>
        <v>23043.38</v>
      </c>
    </row>
    <row r="1199" spans="1:10" x14ac:dyDescent="0.2">
      <c r="A1199" s="2">
        <v>45939</v>
      </c>
      <c r="B1199" s="1">
        <f>VLOOKUP(A1199,AAPL!A1198:C2453,3)</f>
        <v>253.79400000000001</v>
      </c>
      <c r="C1199" s="1">
        <f>VLOOKUP(A1199,MSFT!A1198:C2453,3)</f>
        <v>522.4</v>
      </c>
      <c r="D1199" s="1">
        <f>VLOOKUP(A1199,NVDA!A1198:C2453,3)</f>
        <v>192.57</v>
      </c>
      <c r="E1199" s="1">
        <f>VLOOKUP(A1199,AMD!A1198:C2453,3)</f>
        <v>232.89</v>
      </c>
      <c r="F1199" s="1">
        <f>VLOOKUP(A1199,AMZN!A1198:C2453,3)</f>
        <v>227.74</v>
      </c>
      <c r="G1199" s="1">
        <f>VLOOKUP(A1199,TSLA!A1198:C2453,3)</f>
        <v>435.54</v>
      </c>
      <c r="H1199" s="1">
        <f>VLOOKUP(A1199,GOOGL!A1198:C2453,3)</f>
        <v>241.53</v>
      </c>
      <c r="I1199" s="1">
        <f>VLOOKUP(A1199,META!A1198:C2453,3)</f>
        <v>733.51</v>
      </c>
      <c r="J1199" s="1">
        <f>VLOOKUP(A1199,Nasdaq!A1198:C2453,3)</f>
        <v>23024.63</v>
      </c>
    </row>
    <row r="1200" spans="1:10" x14ac:dyDescent="0.2">
      <c r="A1200" s="2">
        <v>45940</v>
      </c>
      <c r="B1200" s="1">
        <f>VLOOKUP(A1200,AAPL!A1199:C2454,3)</f>
        <v>245.03200000000001</v>
      </c>
      <c r="C1200" s="1">
        <f>VLOOKUP(A1200,MSFT!A1199:C2454,3)</f>
        <v>510.96</v>
      </c>
      <c r="D1200" s="1">
        <f>VLOOKUP(A1200,NVDA!A1199:C2454,3)</f>
        <v>183.16</v>
      </c>
      <c r="E1200" s="1">
        <f>VLOOKUP(A1200,AMD!A1199:C2454,3)</f>
        <v>214.9</v>
      </c>
      <c r="F1200" s="1">
        <f>VLOOKUP(A1200,AMZN!A1199:C2454,3)</f>
        <v>216.37</v>
      </c>
      <c r="G1200" s="1">
        <f>VLOOKUP(A1200,TSLA!A1199:C2454,3)</f>
        <v>413.49</v>
      </c>
      <c r="H1200" s="1">
        <f>VLOOKUP(A1200,GOOGL!A1199:C2454,3)</f>
        <v>236.57</v>
      </c>
      <c r="I1200" s="1">
        <f>VLOOKUP(A1200,META!A1199:C2454,3)</f>
        <v>705.3</v>
      </c>
      <c r="J1200" s="1">
        <f>VLOOKUP(A1200,Nasdaq!A1199:C2454,3)</f>
        <v>22204.43</v>
      </c>
    </row>
    <row r="1201" spans="1:10" x14ac:dyDescent="0.2">
      <c r="A1201" s="2">
        <v>45943</v>
      </c>
      <c r="B1201" s="1">
        <f>VLOOKUP(A1201,AAPL!A1200:C2455,3)</f>
        <v>247.42</v>
      </c>
      <c r="C1201" s="1">
        <f>VLOOKUP(A1201,MSFT!A1200:C2455,3)</f>
        <v>514.04999999999995</v>
      </c>
      <c r="D1201" s="1">
        <f>VLOOKUP(A1201,NVDA!A1200:C2455,3)</f>
        <v>188.32</v>
      </c>
      <c r="E1201" s="1">
        <f>VLOOKUP(A1201,AMD!A1200:C2455,3)</f>
        <v>216.42</v>
      </c>
      <c r="F1201" s="1">
        <f>VLOOKUP(A1201,AMZN!A1200:C2455,3)</f>
        <v>220.07</v>
      </c>
      <c r="G1201" s="1">
        <f>VLOOKUP(A1201,TSLA!A1200:C2455,3)</f>
        <v>435.9</v>
      </c>
      <c r="H1201" s="1">
        <f>VLOOKUP(A1201,GOOGL!A1200:C2455,3)</f>
        <v>244.15</v>
      </c>
      <c r="I1201" s="1">
        <f>VLOOKUP(A1201,META!A1200:C2455,3)</f>
        <v>715.7</v>
      </c>
      <c r="J1201" s="1">
        <f>VLOOKUP(A1201,Nasdaq!A1200:C2455,3)</f>
        <v>22694.61</v>
      </c>
    </row>
    <row r="1202" spans="1:10" x14ac:dyDescent="0.2">
      <c r="A1202" s="2">
        <v>45944</v>
      </c>
      <c r="B1202" s="1">
        <f>VLOOKUP(A1202,AAPL!A1201:C2456,3)</f>
        <v>247.53</v>
      </c>
      <c r="C1202" s="1">
        <f>VLOOKUP(A1202,MSFT!A1201:C2456,3)</f>
        <v>513.57000000000005</v>
      </c>
      <c r="D1202" s="1">
        <f>VLOOKUP(A1202,NVDA!A1201:C2456,3)</f>
        <v>180.03</v>
      </c>
      <c r="E1202" s="1">
        <f>VLOOKUP(A1202,AMD!A1201:C2456,3)</f>
        <v>218.09</v>
      </c>
      <c r="F1202" s="1">
        <f>VLOOKUP(A1202,AMZN!A1201:C2456,3)</f>
        <v>216.39</v>
      </c>
      <c r="G1202" s="1">
        <f>VLOOKUP(A1202,TSLA!A1201:C2456,3)</f>
        <v>429.24</v>
      </c>
      <c r="H1202" s="1">
        <f>VLOOKUP(A1202,GOOGL!A1201:C2456,3)</f>
        <v>245.45</v>
      </c>
      <c r="I1202" s="1">
        <f>VLOOKUP(A1202,META!A1201:C2456,3)</f>
        <v>708.65</v>
      </c>
      <c r="J1202" s="1">
        <f>VLOOKUP(A1202,Nasdaq!A1201:C2456,3)</f>
        <v>22521.7</v>
      </c>
    </row>
    <row r="1203" spans="1:10" x14ac:dyDescent="0.2">
      <c r="A1203" s="2">
        <v>45945</v>
      </c>
      <c r="B1203" s="1">
        <f>VLOOKUP(A1203,AAPL!A1202:C2457,3)</f>
        <v>249.09899999999999</v>
      </c>
      <c r="C1203" s="1">
        <f>VLOOKUP(A1203,MSFT!A1202:C2457,3)</f>
        <v>513.42999999999995</v>
      </c>
      <c r="D1203" s="1">
        <f>VLOOKUP(A1203,NVDA!A1202:C2457,3)</f>
        <v>179.83</v>
      </c>
      <c r="E1203" s="1">
        <f>VLOOKUP(A1203,AMD!A1202:C2457,3)</f>
        <v>238.6</v>
      </c>
      <c r="F1203" s="1">
        <f>VLOOKUP(A1203,AMZN!A1202:C2457,3)</f>
        <v>215.57</v>
      </c>
      <c r="G1203" s="1">
        <f>VLOOKUP(A1203,TSLA!A1202:C2457,3)</f>
        <v>435.15</v>
      </c>
      <c r="H1203" s="1">
        <f>VLOOKUP(A1203,GOOGL!A1202:C2457,3)</f>
        <v>251.03</v>
      </c>
      <c r="I1203" s="1">
        <f>VLOOKUP(A1203,META!A1202:C2457,3)</f>
        <v>717.55</v>
      </c>
      <c r="J1203" s="1">
        <f>VLOOKUP(A1203,Nasdaq!A1202:C2457,3)</f>
        <v>22670.080000000002</v>
      </c>
    </row>
    <row r="1204" spans="1:10" x14ac:dyDescent="0.2">
      <c r="A1204" s="2">
        <v>45946</v>
      </c>
      <c r="B1204" s="1">
        <f>VLOOKUP(A1204,AAPL!A1203:C2458,3)</f>
        <v>247.21</v>
      </c>
      <c r="C1204" s="1">
        <f>VLOOKUP(A1204,MSFT!A1203:C2458,3)</f>
        <v>511.61</v>
      </c>
      <c r="D1204" s="1">
        <f>VLOOKUP(A1204,NVDA!A1203:C2458,3)</f>
        <v>181.81</v>
      </c>
      <c r="E1204" s="1">
        <f>VLOOKUP(A1204,AMD!A1203:C2458,3)</f>
        <v>234.56</v>
      </c>
      <c r="F1204" s="1">
        <f>VLOOKUP(A1204,AMZN!A1203:C2458,3)</f>
        <v>214.47</v>
      </c>
      <c r="G1204" s="1">
        <f>VLOOKUP(A1204,TSLA!A1203:C2458,3)</f>
        <v>428.75</v>
      </c>
      <c r="H1204" s="1">
        <f>VLOOKUP(A1204,GOOGL!A1203:C2458,3)</f>
        <v>251.46</v>
      </c>
      <c r="I1204" s="1">
        <f>VLOOKUP(A1204,META!A1203:C2458,3)</f>
        <v>712.07</v>
      </c>
      <c r="J1204" s="1">
        <f>VLOOKUP(A1204,Nasdaq!A1203:C2458,3)</f>
        <v>22562.54</v>
      </c>
    </row>
    <row r="1205" spans="1:10" x14ac:dyDescent="0.2">
      <c r="A1205" s="2">
        <v>45947</v>
      </c>
      <c r="B1205" s="1">
        <f>VLOOKUP(A1205,AAPL!A1204:C2459,3)</f>
        <v>252.04599999999999</v>
      </c>
      <c r="C1205" s="1">
        <f>VLOOKUP(A1205,MSFT!A1204:C2459,3)</f>
        <v>513.58000000000004</v>
      </c>
      <c r="D1205" s="1">
        <f>VLOOKUP(A1205,NVDA!A1204:C2459,3)</f>
        <v>183.22</v>
      </c>
      <c r="E1205" s="1">
        <f>VLOOKUP(A1205,AMD!A1204:C2459,3)</f>
        <v>233.08</v>
      </c>
      <c r="F1205" s="1">
        <f>VLOOKUP(A1205,AMZN!A1204:C2459,3)</f>
        <v>213.04</v>
      </c>
      <c r="G1205" s="1">
        <f>VLOOKUP(A1205,TSLA!A1204:C2459,3)</f>
        <v>439.31</v>
      </c>
      <c r="H1205" s="1">
        <f>VLOOKUP(A1205,GOOGL!A1204:C2459,3)</f>
        <v>253.3</v>
      </c>
      <c r="I1205" s="1">
        <f>VLOOKUP(A1205,META!A1204:C2459,3)</f>
        <v>716.91499999999996</v>
      </c>
      <c r="J1205" s="1">
        <f>VLOOKUP(A1205,Nasdaq!A1204:C2459,3)</f>
        <v>22679.97</v>
      </c>
    </row>
    <row r="1206" spans="1:10" x14ac:dyDescent="0.2">
      <c r="A1206" s="2">
        <v>45950</v>
      </c>
      <c r="B1206" s="1">
        <f>VLOOKUP(A1206,AAPL!A1205:C2460,3)</f>
        <v>261.98599999999999</v>
      </c>
      <c r="C1206" s="1">
        <f>VLOOKUP(A1206,MSFT!A1205:C2460,3)</f>
        <v>516.79</v>
      </c>
      <c r="D1206" s="1">
        <f>VLOOKUP(A1206,NVDA!A1205:C2460,3)</f>
        <v>182.64</v>
      </c>
      <c r="E1206" s="1">
        <f>VLOOKUP(A1206,AMD!A1205:C2460,3)</f>
        <v>240.56</v>
      </c>
      <c r="F1206" s="1">
        <f>VLOOKUP(A1206,AMZN!A1205:C2460,3)</f>
        <v>216.48</v>
      </c>
      <c r="G1206" s="1">
        <f>VLOOKUP(A1206,TSLA!A1205:C2460,3)</f>
        <v>447.43</v>
      </c>
      <c r="H1206" s="1">
        <f>VLOOKUP(A1206,GOOGL!A1205:C2460,3)</f>
        <v>256.55</v>
      </c>
      <c r="I1206" s="1">
        <f>VLOOKUP(A1206,META!A1205:C2460,3)</f>
        <v>732.17</v>
      </c>
      <c r="J1206" s="1">
        <f>VLOOKUP(A1206,Nasdaq!A1205:C2460,3)</f>
        <v>22990.54</v>
      </c>
    </row>
    <row r="1207" spans="1:10" x14ac:dyDescent="0.2">
      <c r="A1207" s="2">
        <v>45951</v>
      </c>
      <c r="B1207" s="1">
        <f>VLOOKUP(A1207,AAPL!A1206:C2461,3)</f>
        <v>262.51600000000002</v>
      </c>
      <c r="C1207" s="1">
        <f>VLOOKUP(A1207,MSFT!A1206:C2461,3)</f>
        <v>517.66</v>
      </c>
      <c r="D1207" s="1">
        <f>VLOOKUP(A1207,NVDA!A1206:C2461,3)</f>
        <v>181.16</v>
      </c>
      <c r="E1207" s="1">
        <f>VLOOKUP(A1207,AMD!A1206:C2461,3)</f>
        <v>238.03</v>
      </c>
      <c r="F1207" s="1">
        <f>VLOOKUP(A1207,AMZN!A1206:C2461,3)</f>
        <v>222.03</v>
      </c>
      <c r="G1207" s="1">
        <f>VLOOKUP(A1207,TSLA!A1206:C2461,3)</f>
        <v>442.6</v>
      </c>
      <c r="H1207" s="1">
        <f>VLOOKUP(A1207,GOOGL!A1206:C2461,3)</f>
        <v>250.46</v>
      </c>
      <c r="I1207" s="1">
        <f>VLOOKUP(A1207,META!A1206:C2461,3)</f>
        <v>733.27</v>
      </c>
      <c r="J1207" s="1">
        <f>VLOOKUP(A1207,Nasdaq!A1206:C2461,3)</f>
        <v>22953.67</v>
      </c>
    </row>
    <row r="1208" spans="1:10" x14ac:dyDescent="0.2">
      <c r="A1208" s="2">
        <v>45952</v>
      </c>
      <c r="B1208" s="1">
        <f>VLOOKUP(A1208,AAPL!A1207:C2462,3)</f>
        <v>258.2</v>
      </c>
      <c r="C1208" s="1">
        <f>VLOOKUP(A1208,MSFT!A1207:C2462,3)</f>
        <v>520.54</v>
      </c>
      <c r="D1208" s="1">
        <f>VLOOKUP(A1208,NVDA!A1207:C2462,3)</f>
        <v>180.28</v>
      </c>
      <c r="E1208" s="1">
        <f>VLOOKUP(A1208,AMD!A1207:C2462,3)</f>
        <v>230.23</v>
      </c>
      <c r="F1208" s="1">
        <f>VLOOKUP(A1208,AMZN!A1207:C2462,3)</f>
        <v>217.95</v>
      </c>
      <c r="G1208" s="1">
        <f>VLOOKUP(A1208,TSLA!A1207:C2462,3)</f>
        <v>438.97</v>
      </c>
      <c r="H1208" s="1">
        <f>VLOOKUP(A1208,GOOGL!A1207:C2462,3)</f>
        <v>251.69</v>
      </c>
      <c r="I1208" s="1">
        <f>VLOOKUP(A1208,META!A1207:C2462,3)</f>
        <v>733.41</v>
      </c>
      <c r="J1208" s="1">
        <f>VLOOKUP(A1208,Nasdaq!A1207:C2462,3)</f>
        <v>22740.400000000001</v>
      </c>
    </row>
    <row r="1209" spans="1:10" x14ac:dyDescent="0.2">
      <c r="A1209" s="2">
        <v>45953</v>
      </c>
      <c r="B1209" s="1">
        <f>VLOOKUP(A1209,AAPL!A1208:C2463,3)</f>
        <v>259.32900000000001</v>
      </c>
      <c r="C1209" s="1">
        <f>VLOOKUP(A1209,MSFT!A1208:C2463,3)</f>
        <v>520.55999999999995</v>
      </c>
      <c r="D1209" s="1">
        <f>VLOOKUP(A1209,NVDA!A1208:C2463,3)</f>
        <v>182.16</v>
      </c>
      <c r="E1209" s="1">
        <f>VLOOKUP(A1209,AMD!A1208:C2463,3)</f>
        <v>234.99</v>
      </c>
      <c r="F1209" s="1">
        <f>VLOOKUP(A1209,AMZN!A1208:C2463,3)</f>
        <v>221.09</v>
      </c>
      <c r="G1209" s="1">
        <f>VLOOKUP(A1209,TSLA!A1208:C2463,3)</f>
        <v>448.98</v>
      </c>
      <c r="H1209" s="1">
        <f>VLOOKUP(A1209,GOOGL!A1208:C2463,3)</f>
        <v>253.08</v>
      </c>
      <c r="I1209" s="1">
        <f>VLOOKUP(A1209,META!A1208:C2463,3)</f>
        <v>734</v>
      </c>
      <c r="J1209" s="1">
        <f>VLOOKUP(A1209,Nasdaq!A1208:C2463,3)</f>
        <v>22941.8</v>
      </c>
    </row>
    <row r="1210" spans="1:10" x14ac:dyDescent="0.2">
      <c r="A1210" s="2">
        <v>45954</v>
      </c>
      <c r="B1210" s="1">
        <f>VLOOKUP(A1210,AAPL!A1209:C2464,3)</f>
        <v>262.565</v>
      </c>
      <c r="C1210" s="1">
        <f>VLOOKUP(A1210,MSFT!A1209:C2464,3)</f>
        <v>523.61</v>
      </c>
      <c r="D1210" s="1">
        <f>VLOOKUP(A1210,NVDA!A1209:C2464,3)</f>
        <v>186.26</v>
      </c>
      <c r="E1210" s="1">
        <f>VLOOKUP(A1210,AMD!A1209:C2464,3)</f>
        <v>252.92</v>
      </c>
      <c r="F1210" s="1">
        <f>VLOOKUP(A1210,AMZN!A1209:C2464,3)</f>
        <v>224.21</v>
      </c>
      <c r="G1210" s="1">
        <f>VLOOKUP(A1210,TSLA!A1209:C2464,3)</f>
        <v>433.72</v>
      </c>
      <c r="H1210" s="1">
        <f>VLOOKUP(A1210,GOOGL!A1209:C2464,3)</f>
        <v>259.92</v>
      </c>
      <c r="I1210" s="1">
        <f>VLOOKUP(A1210,META!A1209:C2464,3)</f>
        <v>738.36</v>
      </c>
      <c r="J1210" s="1">
        <f>VLOOKUP(A1210,Nasdaq!A1209:C2464,3)</f>
        <v>23204.87</v>
      </c>
    </row>
    <row r="1211" spans="1:10" x14ac:dyDescent="0.2">
      <c r="A1211" s="2">
        <v>45957</v>
      </c>
      <c r="B1211" s="1">
        <f>VLOOKUP(A1211,AAPL!A1210:C2465,3)</f>
        <v>268.55</v>
      </c>
      <c r="C1211" s="1">
        <f>VLOOKUP(A1211,MSFT!A1210:C2465,3)</f>
        <v>531.52</v>
      </c>
      <c r="D1211" s="1">
        <f>VLOOKUP(A1211,NVDA!A1210:C2465,3)</f>
        <v>191.49</v>
      </c>
      <c r="E1211" s="1">
        <f>VLOOKUP(A1211,AMD!A1210:C2465,3)</f>
        <v>259.67</v>
      </c>
      <c r="F1211" s="1">
        <f>VLOOKUP(A1211,AMZN!A1210:C2465,3)</f>
        <v>226.97</v>
      </c>
      <c r="G1211" s="1">
        <f>VLOOKUP(A1211,TSLA!A1210:C2465,3)</f>
        <v>452.42</v>
      </c>
      <c r="H1211" s="1">
        <f>VLOOKUP(A1211,GOOGL!A1210:C2465,3)</f>
        <v>269.27</v>
      </c>
      <c r="I1211" s="1">
        <f>VLOOKUP(A1211,META!A1210:C2465,3)</f>
        <v>750.82</v>
      </c>
      <c r="J1211" s="1">
        <f>VLOOKUP(A1211,Nasdaq!A1210:C2465,3)</f>
        <v>23637.46</v>
      </c>
    </row>
    <row r="1212" spans="1:10" x14ac:dyDescent="0.2">
      <c r="A1212" s="2">
        <v>45958</v>
      </c>
      <c r="B1212" s="1">
        <f>VLOOKUP(A1212,AAPL!A1211:C2466,3)</f>
        <v>268.73899999999998</v>
      </c>
      <c r="C1212" s="1">
        <f>VLOOKUP(A1212,MSFT!A1211:C2466,3)</f>
        <v>542.07000000000005</v>
      </c>
      <c r="D1212" s="1">
        <f>VLOOKUP(A1212,NVDA!A1211:C2466,3)</f>
        <v>201.03</v>
      </c>
      <c r="E1212" s="1">
        <f>VLOOKUP(A1212,AMD!A1211:C2466,3)</f>
        <v>258.01</v>
      </c>
      <c r="F1212" s="1">
        <f>VLOOKUP(A1212,AMZN!A1211:C2466,3)</f>
        <v>229.25</v>
      </c>
      <c r="G1212" s="1">
        <f>VLOOKUP(A1212,TSLA!A1211:C2466,3)</f>
        <v>460.55</v>
      </c>
      <c r="H1212" s="1">
        <f>VLOOKUP(A1212,GOOGL!A1211:C2466,3)</f>
        <v>267.47000000000003</v>
      </c>
      <c r="I1212" s="1">
        <f>VLOOKUP(A1212,META!A1211:C2466,3)</f>
        <v>751.44</v>
      </c>
      <c r="J1212" s="1">
        <f>VLOOKUP(A1212,Nasdaq!A1211:C2466,3)</f>
        <v>23827.49</v>
      </c>
    </row>
    <row r="1213" spans="1:10" x14ac:dyDescent="0.2">
      <c r="A1213" s="2">
        <v>45959</v>
      </c>
      <c r="B1213" s="1">
        <f>VLOOKUP(A1213,AAPL!A1212:C2467,3)</f>
        <v>269.43900000000002</v>
      </c>
      <c r="C1213" s="1">
        <f>VLOOKUP(A1213,MSFT!A1212:C2467,3)</f>
        <v>541.54999999999995</v>
      </c>
      <c r="D1213" s="1">
        <f>VLOOKUP(A1213,NVDA!A1212:C2467,3)</f>
        <v>207.04</v>
      </c>
      <c r="E1213" s="1">
        <f>VLOOKUP(A1213,AMD!A1212:C2467,3)</f>
        <v>264.33</v>
      </c>
      <c r="F1213" s="1">
        <f>VLOOKUP(A1213,AMZN!A1212:C2467,3)</f>
        <v>230.3</v>
      </c>
      <c r="G1213" s="1">
        <f>VLOOKUP(A1213,TSLA!A1212:C2467,3)</f>
        <v>461.51</v>
      </c>
      <c r="H1213" s="1">
        <f>VLOOKUP(A1213,GOOGL!A1212:C2467,3)</f>
        <v>274.57</v>
      </c>
      <c r="I1213" s="1">
        <f>VLOOKUP(A1213,META!A1212:C2467,3)</f>
        <v>751.67</v>
      </c>
      <c r="J1213" s="1">
        <f>VLOOKUP(A1213,Nasdaq!A1212:C2467,3)</f>
        <v>23958.47</v>
      </c>
    </row>
    <row r="1214" spans="1:10" x14ac:dyDescent="0.2">
      <c r="A1214" s="2">
        <v>45960</v>
      </c>
      <c r="B1214" s="1">
        <f>VLOOKUP(A1214,AAPL!A1213:C2468,3)</f>
        <v>271.137</v>
      </c>
      <c r="C1214" s="1">
        <f>VLOOKUP(A1214,MSFT!A1213:C2468,3)</f>
        <v>525.76</v>
      </c>
      <c r="D1214" s="1">
        <f>VLOOKUP(A1214,NVDA!A1213:C2468,3)</f>
        <v>202.89</v>
      </c>
      <c r="E1214" s="1">
        <f>VLOOKUP(A1214,AMD!A1213:C2468,3)</f>
        <v>254.84</v>
      </c>
      <c r="F1214" s="1">
        <f>VLOOKUP(A1214,AMZN!A1213:C2468,3)</f>
        <v>222.86</v>
      </c>
      <c r="G1214" s="1">
        <f>VLOOKUP(A1214,TSLA!A1213:C2468,3)</f>
        <v>440.1</v>
      </c>
      <c r="H1214" s="1">
        <f>VLOOKUP(A1214,GOOGL!A1213:C2468,3)</f>
        <v>281.48</v>
      </c>
      <c r="I1214" s="1">
        <f>VLOOKUP(A1214,META!A1213:C2468,3)</f>
        <v>666.47</v>
      </c>
      <c r="J1214" s="1">
        <f>VLOOKUP(A1214,Nasdaq!A1213:C2468,3)</f>
        <v>23581.14</v>
      </c>
    </row>
    <row r="1215" spans="1:10" x14ac:dyDescent="0.2">
      <c r="A1215" s="2">
        <v>45961</v>
      </c>
      <c r="B1215" s="1">
        <f>VLOOKUP(A1215,AAPL!A1214:C2469,3)</f>
        <v>270.108</v>
      </c>
      <c r="C1215" s="1">
        <f>VLOOKUP(A1215,MSFT!A1214:C2469,3)</f>
        <v>517.80999999999995</v>
      </c>
      <c r="D1215" s="1">
        <f>VLOOKUP(A1215,NVDA!A1214:C2469,3)</f>
        <v>202.49</v>
      </c>
      <c r="E1215" s="1">
        <f>VLOOKUP(A1215,AMD!A1214:C2469,3)</f>
        <v>256.12</v>
      </c>
      <c r="F1215" s="1">
        <f>VLOOKUP(A1215,AMZN!A1214:C2469,3)</f>
        <v>244.22</v>
      </c>
      <c r="G1215" s="1">
        <f>VLOOKUP(A1215,TSLA!A1214:C2469,3)</f>
        <v>456.56</v>
      </c>
      <c r="H1215" s="1">
        <f>VLOOKUP(A1215,GOOGL!A1214:C2469,3)</f>
        <v>281.19</v>
      </c>
      <c r="I1215" s="1">
        <f>VLOOKUP(A1215,META!A1214:C2469,3)</f>
        <v>648.35</v>
      </c>
      <c r="J1215" s="1">
        <f>VLOOKUP(A1215,Nasdaq!A1214:C2469,3)</f>
        <v>23724.959999999999</v>
      </c>
    </row>
    <row r="1216" spans="1:10" x14ac:dyDescent="0.2">
      <c r="A1216" s="2">
        <v>45964</v>
      </c>
      <c r="B1216" s="1">
        <f>VLOOKUP(A1216,AAPL!A1215:C2470,3)</f>
        <v>268.78899999999999</v>
      </c>
      <c r="C1216" s="1">
        <f>VLOOKUP(A1216,MSFT!A1215:C2470,3)</f>
        <v>517.03</v>
      </c>
      <c r="D1216" s="1">
        <f>VLOOKUP(A1216,NVDA!A1215:C2470,3)</f>
        <v>206.88</v>
      </c>
      <c r="E1216" s="1">
        <f>VLOOKUP(A1216,AMD!A1215:C2470,3)</f>
        <v>259.64999999999998</v>
      </c>
      <c r="F1216" s="1">
        <f>VLOOKUP(A1216,AMZN!A1215:C2470,3)</f>
        <v>254</v>
      </c>
      <c r="G1216" s="1">
        <f>VLOOKUP(A1216,TSLA!A1215:C2470,3)</f>
        <v>468.37</v>
      </c>
      <c r="H1216" s="1">
        <f>VLOOKUP(A1216,GOOGL!A1215:C2470,3)</f>
        <v>283.72000000000003</v>
      </c>
      <c r="I1216" s="1">
        <f>VLOOKUP(A1216,META!A1215:C2470,3)</f>
        <v>637.71</v>
      </c>
      <c r="J1216" s="1">
        <f>VLOOKUP(A1216,Nasdaq!A1215:C2470,3)</f>
        <v>23834.720000000001</v>
      </c>
    </row>
    <row r="1217" spans="1:10" x14ac:dyDescent="0.2">
      <c r="A1217" s="2">
        <v>45965</v>
      </c>
      <c r="B1217" s="1">
        <f>VLOOKUP(A1217,AAPL!A1216:C2471,3)</f>
        <v>269.77800000000002</v>
      </c>
      <c r="C1217" s="1">
        <f>VLOOKUP(A1217,MSFT!A1216:C2471,3)</f>
        <v>514.33000000000004</v>
      </c>
      <c r="D1217" s="1">
        <f>VLOOKUP(A1217,NVDA!A1216:C2471,3)</f>
        <v>198.69</v>
      </c>
      <c r="E1217" s="1">
        <f>VLOOKUP(A1217,AMD!A1216:C2471,3)</f>
        <v>250.05</v>
      </c>
      <c r="F1217" s="1">
        <f>VLOOKUP(A1217,AMZN!A1216:C2471,3)</f>
        <v>249.32</v>
      </c>
      <c r="G1217" s="1">
        <f>VLOOKUP(A1217,TSLA!A1216:C2471,3)</f>
        <v>444.26</v>
      </c>
      <c r="H1217" s="1">
        <f>VLOOKUP(A1217,GOOGL!A1216:C2471,3)</f>
        <v>277.54000000000002</v>
      </c>
      <c r="I1217" s="1">
        <f>VLOOKUP(A1217,META!A1216:C2471,3)</f>
        <v>627.32000000000005</v>
      </c>
      <c r="J1217" s="1">
        <f>VLOOKUP(A1217,Nasdaq!A1216:C2471,3)</f>
        <v>23348.639999999999</v>
      </c>
    </row>
    <row r="1218" spans="1:10" x14ac:dyDescent="0.2">
      <c r="A1218" s="2">
        <v>45966</v>
      </c>
      <c r="B1218" s="1">
        <f>VLOOKUP(A1218,AAPL!A1217:C2472,3)</f>
        <v>269.87799999999999</v>
      </c>
      <c r="C1218" s="1">
        <f>VLOOKUP(A1218,MSFT!A1217:C2472,3)</f>
        <v>507.16</v>
      </c>
      <c r="D1218" s="1">
        <f>VLOOKUP(A1218,NVDA!A1217:C2472,3)</f>
        <v>195.21</v>
      </c>
      <c r="E1218" s="1">
        <f>VLOOKUP(A1218,AMD!A1217:C2472,3)</f>
        <v>256.33</v>
      </c>
      <c r="F1218" s="1">
        <f>VLOOKUP(A1218,AMZN!A1217:C2472,3)</f>
        <v>250.2</v>
      </c>
      <c r="G1218" s="1">
        <f>VLOOKUP(A1218,TSLA!A1217:C2472,3)</f>
        <v>462.07</v>
      </c>
      <c r="H1218" s="1">
        <f>VLOOKUP(A1218,GOOGL!A1217:C2472,3)</f>
        <v>284.31</v>
      </c>
      <c r="I1218" s="1">
        <f>VLOOKUP(A1218,META!A1217:C2472,3)</f>
        <v>635.95000000000005</v>
      </c>
      <c r="J1218" s="1">
        <f>VLOOKUP(A1218,Nasdaq!A1217:C2472,3)</f>
        <v>23499.8</v>
      </c>
    </row>
    <row r="1219" spans="1:10" x14ac:dyDescent="0.2">
      <c r="A1219" s="2">
        <v>45967</v>
      </c>
      <c r="B1219" s="1">
        <f>VLOOKUP(A1219,AAPL!A1218:C2473,3)</f>
        <v>269.50900000000001</v>
      </c>
      <c r="C1219" s="1">
        <f>VLOOKUP(A1219,MSFT!A1218:C2473,3)</f>
        <v>497.1</v>
      </c>
      <c r="D1219" s="1">
        <f>VLOOKUP(A1219,NVDA!A1218:C2473,3)</f>
        <v>188.08</v>
      </c>
      <c r="E1219" s="1">
        <f>VLOOKUP(A1219,AMD!A1218:C2473,3)</f>
        <v>237.7</v>
      </c>
      <c r="F1219" s="1">
        <f>VLOOKUP(A1219,AMZN!A1218:C2473,3)</f>
        <v>243.04</v>
      </c>
      <c r="G1219" s="1">
        <f>VLOOKUP(A1219,TSLA!A1218:C2473,3)</f>
        <v>445.91</v>
      </c>
      <c r="H1219" s="1">
        <f>VLOOKUP(A1219,GOOGL!A1218:C2473,3)</f>
        <v>284.75</v>
      </c>
      <c r="I1219" s="1">
        <f>VLOOKUP(A1219,META!A1218:C2473,3)</f>
        <v>618.94000000000005</v>
      </c>
      <c r="J1219" s="1">
        <f>VLOOKUP(A1219,Nasdaq!A1218:C2473,3)</f>
        <v>23053.99</v>
      </c>
    </row>
    <row r="1220" spans="1:10" x14ac:dyDescent="0.2">
      <c r="A1220" s="2">
        <v>45968</v>
      </c>
      <c r="B1220" s="1">
        <f>VLOOKUP(A1220,AAPL!A1219:C2474,3)</f>
        <v>268.20999999999998</v>
      </c>
      <c r="C1220" s="1">
        <f>VLOOKUP(A1220,MSFT!A1219:C2474,3)</f>
        <v>496.82</v>
      </c>
      <c r="D1220" s="1">
        <f>VLOOKUP(A1220,NVDA!A1219:C2474,3)</f>
        <v>188.15</v>
      </c>
      <c r="E1220" s="1">
        <f>VLOOKUP(A1220,AMD!A1219:C2474,3)</f>
        <v>233.54</v>
      </c>
      <c r="F1220" s="1">
        <f>VLOOKUP(A1220,AMZN!A1219:C2474,3)</f>
        <v>244.41</v>
      </c>
      <c r="G1220" s="1">
        <f>VLOOKUP(A1220,TSLA!A1219:C2474,3)</f>
        <v>429.52</v>
      </c>
      <c r="H1220" s="1">
        <f>VLOOKUP(A1220,GOOGL!A1219:C2474,3)</f>
        <v>278.83</v>
      </c>
      <c r="I1220" s="1">
        <f>VLOOKUP(A1220,META!A1219:C2474,3)</f>
        <v>621.71</v>
      </c>
      <c r="J1220" s="1">
        <f>VLOOKUP(A1220,Nasdaq!A1219:C2474,3)</f>
        <v>23004.54</v>
      </c>
    </row>
    <row r="1221" spans="1:10" x14ac:dyDescent="0.2">
      <c r="A1221" s="2">
        <v>45971</v>
      </c>
      <c r="B1221" s="1">
        <f>VLOOKUP(A1221,AAPL!A1220:C2475,3)</f>
        <v>269.43</v>
      </c>
      <c r="C1221" s="1">
        <f>VLOOKUP(A1221,MSFT!A1220:C2475,3)</f>
        <v>506</v>
      </c>
      <c r="D1221" s="1">
        <f>VLOOKUP(A1221,NVDA!A1220:C2475,3)</f>
        <v>199.05</v>
      </c>
      <c r="E1221" s="1">
        <f>VLOOKUP(A1221,AMD!A1220:C2475,3)</f>
        <v>243.98</v>
      </c>
      <c r="F1221" s="1">
        <f>VLOOKUP(A1221,AMZN!A1220:C2475,3)</f>
        <v>248.4</v>
      </c>
      <c r="G1221" s="1">
        <f>VLOOKUP(A1221,TSLA!A1220:C2475,3)</f>
        <v>445.23</v>
      </c>
      <c r="H1221" s="1">
        <f>VLOOKUP(A1221,GOOGL!A1220:C2475,3)</f>
        <v>290.10000000000002</v>
      </c>
      <c r="I1221" s="1">
        <f>VLOOKUP(A1221,META!A1220:C2475,3)</f>
        <v>631.76</v>
      </c>
      <c r="J1221" s="1">
        <f>VLOOKUP(A1221,Nasdaq!A1220:C2475,3)</f>
        <v>23527.17</v>
      </c>
    </row>
    <row r="1222" spans="1:10" x14ac:dyDescent="0.2">
      <c r="A1222" s="2">
        <v>45972</v>
      </c>
      <c r="B1222" s="1">
        <f>VLOOKUP(A1222,AAPL!A1221:C2476,3)</f>
        <v>275.25</v>
      </c>
      <c r="C1222" s="1">
        <f>VLOOKUP(A1222,MSFT!A1221:C2476,3)</f>
        <v>508.68</v>
      </c>
      <c r="D1222" s="1">
        <f>VLOOKUP(A1222,NVDA!A1221:C2476,3)</f>
        <v>193.16</v>
      </c>
      <c r="E1222" s="1">
        <f>VLOOKUP(A1222,AMD!A1221:C2476,3)</f>
        <v>237.52</v>
      </c>
      <c r="F1222" s="1">
        <f>VLOOKUP(A1222,AMZN!A1221:C2476,3)</f>
        <v>249.1</v>
      </c>
      <c r="G1222" s="1">
        <f>VLOOKUP(A1222,TSLA!A1221:C2476,3)</f>
        <v>439.62</v>
      </c>
      <c r="H1222" s="1">
        <f>VLOOKUP(A1222,GOOGL!A1221:C2476,3)</f>
        <v>291.31</v>
      </c>
      <c r="I1222" s="1">
        <f>VLOOKUP(A1222,META!A1221:C2476,3)</f>
        <v>627.08000000000004</v>
      </c>
      <c r="J1222" s="1">
        <f>VLOOKUP(A1222,Nasdaq!A1221:C2476,3)</f>
        <v>23468.3</v>
      </c>
    </row>
    <row r="1223" spans="1:10" x14ac:dyDescent="0.2">
      <c r="A1223" s="2">
        <v>45973</v>
      </c>
      <c r="B1223" s="1">
        <f>VLOOKUP(A1223,AAPL!A1222:C2477,3)</f>
        <v>273.47000000000003</v>
      </c>
      <c r="C1223" s="1">
        <f>VLOOKUP(A1223,MSFT!A1222:C2477,3)</f>
        <v>511.14</v>
      </c>
      <c r="D1223" s="1">
        <f>VLOOKUP(A1223,NVDA!A1222:C2477,3)</f>
        <v>193.8</v>
      </c>
      <c r="E1223" s="1">
        <f>VLOOKUP(A1223,AMD!A1222:C2477,3)</f>
        <v>258.89</v>
      </c>
      <c r="F1223" s="1">
        <f>VLOOKUP(A1223,AMZN!A1222:C2477,3)</f>
        <v>244.2</v>
      </c>
      <c r="G1223" s="1">
        <f>VLOOKUP(A1223,TSLA!A1222:C2477,3)</f>
        <v>430.6</v>
      </c>
      <c r="H1223" s="1">
        <f>VLOOKUP(A1223,GOOGL!A1222:C2477,3)</f>
        <v>286.70999999999998</v>
      </c>
      <c r="I1223" s="1">
        <f>VLOOKUP(A1223,META!A1222:C2477,3)</f>
        <v>609.01</v>
      </c>
      <c r="J1223" s="1">
        <f>VLOOKUP(A1223,Nasdaq!A1222:C2477,3)</f>
        <v>23406.46</v>
      </c>
    </row>
    <row r="1224" spans="1:10" x14ac:dyDescent="0.2">
      <c r="A1224" s="2">
        <v>45974</v>
      </c>
      <c r="B1224" s="1">
        <f>VLOOKUP(A1224,AAPL!A1223:C2478,3)</f>
        <v>272.95</v>
      </c>
      <c r="C1224" s="1">
        <f>VLOOKUP(A1224,MSFT!A1223:C2478,3)</f>
        <v>503.29</v>
      </c>
      <c r="D1224" s="1">
        <f>VLOOKUP(A1224,NVDA!A1223:C2478,3)</f>
        <v>186.86</v>
      </c>
      <c r="E1224" s="1">
        <f>VLOOKUP(A1224,AMD!A1223:C2478,3)</f>
        <v>247.96</v>
      </c>
      <c r="F1224" s="1">
        <f>VLOOKUP(A1224,AMZN!A1223:C2478,3)</f>
        <v>237.58</v>
      </c>
      <c r="G1224" s="1">
        <f>VLOOKUP(A1224,TSLA!A1223:C2478,3)</f>
        <v>401.99</v>
      </c>
      <c r="H1224" s="1">
        <f>VLOOKUP(A1224,GOOGL!A1223:C2478,3)</f>
        <v>278.57</v>
      </c>
      <c r="I1224" s="1">
        <f>VLOOKUP(A1224,META!A1223:C2478,3)</f>
        <v>609.89</v>
      </c>
      <c r="J1224" s="1">
        <f>VLOOKUP(A1224,Nasdaq!A1223:C2478,3)</f>
        <v>22870.36</v>
      </c>
    </row>
    <row r="1225" spans="1:10" x14ac:dyDescent="0.2">
      <c r="A1225" s="2">
        <v>45975</v>
      </c>
      <c r="B1225" s="1">
        <f>VLOOKUP(A1225,AAPL!A1224:C2479,3)</f>
        <v>272.41000000000003</v>
      </c>
      <c r="C1225" s="1">
        <f>VLOOKUP(A1225,MSFT!A1224:C2479,3)</f>
        <v>510.18</v>
      </c>
      <c r="D1225" s="1">
        <f>VLOOKUP(A1225,NVDA!A1224:C2479,3)</f>
        <v>190.17</v>
      </c>
      <c r="E1225" s="1">
        <f>VLOOKUP(A1225,AMD!A1224:C2479,3)</f>
        <v>246.81</v>
      </c>
      <c r="F1225" s="1">
        <f>VLOOKUP(A1225,AMZN!A1224:C2479,3)</f>
        <v>234.69</v>
      </c>
      <c r="G1225" s="1">
        <f>VLOOKUP(A1225,TSLA!A1224:C2479,3)</f>
        <v>404.35</v>
      </c>
      <c r="H1225" s="1">
        <f>VLOOKUP(A1225,GOOGL!A1224:C2479,3)</f>
        <v>276.41000000000003</v>
      </c>
      <c r="I1225" s="1">
        <f>VLOOKUP(A1225,META!A1224:C2479,3)</f>
        <v>609.46</v>
      </c>
      <c r="J1225" s="1">
        <f>VLOOKUP(A1225,Nasdaq!A1224:C2479,3)</f>
        <v>22900.59</v>
      </c>
    </row>
    <row r="1226" spans="1:10" x14ac:dyDescent="0.2">
      <c r="A1226" s="2">
        <v>45978</v>
      </c>
      <c r="B1226" s="1">
        <f>VLOOKUP(A1226,AAPL!A1225:C2480,3)</f>
        <v>267.45999999999998</v>
      </c>
      <c r="C1226" s="1">
        <f>VLOOKUP(A1226,MSFT!A1225:C2480,3)</f>
        <v>507.49</v>
      </c>
      <c r="D1226" s="1">
        <f>VLOOKUP(A1226,NVDA!A1225:C2480,3)</f>
        <v>186.6</v>
      </c>
      <c r="E1226" s="1">
        <f>VLOOKUP(A1226,AMD!A1225:C2480,3)</f>
        <v>240.52</v>
      </c>
      <c r="F1226" s="1">
        <f>VLOOKUP(A1226,AMZN!A1225:C2480,3)</f>
        <v>232.87</v>
      </c>
      <c r="G1226" s="1">
        <f>VLOOKUP(A1226,TSLA!A1225:C2480,3)</f>
        <v>408.92</v>
      </c>
      <c r="H1226" s="1">
        <f>VLOOKUP(A1226,GOOGL!A1225:C2480,3)</f>
        <v>285.02</v>
      </c>
      <c r="I1226" s="1">
        <f>VLOOKUP(A1226,META!A1225:C2480,3)</f>
        <v>602.01</v>
      </c>
      <c r="J1226" s="1">
        <f>VLOOKUP(A1226,Nasdaq!A1225:C2480,3)</f>
        <v>22708.07</v>
      </c>
    </row>
    <row r="1227" spans="1:10" x14ac:dyDescent="0.2">
      <c r="A1227" s="2">
        <v>45979</v>
      </c>
      <c r="B1227" s="1">
        <f>VLOOKUP(A1227,AAPL!A1226:C2481,3)</f>
        <v>267.44</v>
      </c>
      <c r="C1227" s="1">
        <f>VLOOKUP(A1227,MSFT!A1226:C2481,3)</f>
        <v>493.79</v>
      </c>
      <c r="D1227" s="1">
        <f>VLOOKUP(A1227,NVDA!A1226:C2481,3)</f>
        <v>181.36</v>
      </c>
      <c r="E1227" s="1">
        <f>VLOOKUP(A1227,AMD!A1226:C2481,3)</f>
        <v>230.29</v>
      </c>
      <c r="F1227" s="1">
        <f>VLOOKUP(A1227,AMZN!A1226:C2481,3)</f>
        <v>222.55</v>
      </c>
      <c r="G1227" s="1">
        <f>VLOOKUP(A1227,TSLA!A1226:C2481,3)</f>
        <v>401.25</v>
      </c>
      <c r="H1227" s="1">
        <f>VLOOKUP(A1227,GOOGL!A1226:C2481,3)</f>
        <v>284.27999999999997</v>
      </c>
      <c r="I1227" s="1">
        <f>VLOOKUP(A1227,META!A1226:C2481,3)</f>
        <v>597.69000000000005</v>
      </c>
      <c r="J1227" s="1">
        <f>VLOOKUP(A1227,Nasdaq!A1226:C2481,3)</f>
        <v>22432.85</v>
      </c>
    </row>
    <row r="1228" spans="1:10" x14ac:dyDescent="0.2">
      <c r="A1228" s="2">
        <v>45980</v>
      </c>
      <c r="B1228" s="1">
        <f>VLOOKUP(A1228,AAPL!A1227:C2482,3)</f>
        <v>268.56</v>
      </c>
      <c r="C1228" s="1">
        <f>VLOOKUP(A1228,MSFT!A1227:C2482,3)</f>
        <v>487.12</v>
      </c>
      <c r="D1228" s="1">
        <f>VLOOKUP(A1228,NVDA!A1227:C2482,3)</f>
        <v>186.52</v>
      </c>
      <c r="E1228" s="1">
        <f>VLOOKUP(A1228,AMD!A1227:C2482,3)</f>
        <v>223.55</v>
      </c>
      <c r="F1228" s="1">
        <f>VLOOKUP(A1228,AMZN!A1227:C2482,3)</f>
        <v>222.69</v>
      </c>
      <c r="G1228" s="1">
        <f>VLOOKUP(A1228,TSLA!A1227:C2482,3)</f>
        <v>403.99</v>
      </c>
      <c r="H1228" s="1">
        <f>VLOOKUP(A1228,GOOGL!A1227:C2482,3)</f>
        <v>292.81</v>
      </c>
      <c r="I1228" s="1">
        <f>VLOOKUP(A1228,META!A1227:C2482,3)</f>
        <v>590.32000000000005</v>
      </c>
      <c r="J1228" s="1">
        <f>VLOOKUP(A1228,Nasdaq!A1227:C2482,3)</f>
        <v>22564.23</v>
      </c>
    </row>
    <row r="1229" spans="1:10" x14ac:dyDescent="0.2">
      <c r="A1229" s="2">
        <v>45981</v>
      </c>
      <c r="B1229" s="1">
        <f>VLOOKUP(A1229,AAPL!A1228:C2483,3)</f>
        <v>266.25</v>
      </c>
      <c r="C1229" s="1">
        <f>VLOOKUP(A1229,MSFT!A1228:C2483,3)</f>
        <v>478.43</v>
      </c>
      <c r="D1229" s="1">
        <f>VLOOKUP(A1229,NVDA!A1228:C2483,3)</f>
        <v>180.64</v>
      </c>
      <c r="E1229" s="1">
        <f>VLOOKUP(A1229,AMD!A1228:C2483,3)</f>
        <v>206.02</v>
      </c>
      <c r="F1229" s="1">
        <f>VLOOKUP(A1229,AMZN!A1228:C2483,3)</f>
        <v>217.14</v>
      </c>
      <c r="G1229" s="1">
        <f>VLOOKUP(A1229,TSLA!A1228:C2483,3)</f>
        <v>395.23</v>
      </c>
      <c r="H1229" s="1">
        <f>VLOOKUP(A1229,GOOGL!A1228:C2483,3)</f>
        <v>289.45</v>
      </c>
      <c r="I1229" s="1">
        <f>VLOOKUP(A1229,META!A1228:C2483,3)</f>
        <v>589.15</v>
      </c>
      <c r="J1229" s="1">
        <f>VLOOKUP(A1229,Nasdaq!A1228:C2483,3)</f>
        <v>22078.05</v>
      </c>
    </row>
    <row r="1230" spans="1:10" x14ac:dyDescent="0.2">
      <c r="A1230" s="2">
        <v>45982</v>
      </c>
      <c r="B1230" s="1">
        <f>VLOOKUP(A1230,AAPL!A1229:C2484,3)</f>
        <v>271.49</v>
      </c>
      <c r="C1230" s="1">
        <f>VLOOKUP(A1230,MSFT!A1229:C2484,3)</f>
        <v>472.12</v>
      </c>
      <c r="D1230" s="1">
        <f>VLOOKUP(A1230,NVDA!A1229:C2484,3)</f>
        <v>178.88</v>
      </c>
      <c r="E1230" s="1">
        <f>VLOOKUP(A1230,AMD!A1229:C2484,3)</f>
        <v>203.78</v>
      </c>
      <c r="F1230" s="1">
        <f>VLOOKUP(A1230,AMZN!A1229:C2484,3)</f>
        <v>220.69</v>
      </c>
      <c r="G1230" s="1">
        <f>VLOOKUP(A1230,TSLA!A1229:C2484,3)</f>
        <v>391.09</v>
      </c>
      <c r="H1230" s="1">
        <f>VLOOKUP(A1230,GOOGL!A1229:C2484,3)</f>
        <v>299.66000000000003</v>
      </c>
      <c r="I1230" s="1">
        <f>VLOOKUP(A1230,META!A1229:C2484,3)</f>
        <v>594.25</v>
      </c>
      <c r="J1230" s="1">
        <f>VLOOKUP(A1230,Nasdaq!A1229:C2484,3)</f>
        <v>22273.08</v>
      </c>
    </row>
    <row r="1231" spans="1:10" x14ac:dyDescent="0.2">
      <c r="A1231" s="2">
        <v>45985</v>
      </c>
      <c r="B1231" s="1">
        <f>VLOOKUP(A1231,AAPL!A1230:C2485,3)</f>
        <v>275.92</v>
      </c>
      <c r="C1231" s="1">
        <f>VLOOKUP(A1231,MSFT!A1230:C2485,3)</f>
        <v>474</v>
      </c>
      <c r="D1231" s="1">
        <f>VLOOKUP(A1231,NVDA!A1230:C2485,3)</f>
        <v>182.55</v>
      </c>
      <c r="E1231" s="1">
        <f>VLOOKUP(A1231,AMD!A1230:C2485,3)</f>
        <v>215.05</v>
      </c>
      <c r="F1231" s="1">
        <f>VLOOKUP(A1231,AMZN!A1230:C2485,3)</f>
        <v>226.28</v>
      </c>
      <c r="G1231" s="1">
        <f>VLOOKUP(A1231,TSLA!A1230:C2485,3)</f>
        <v>417.78</v>
      </c>
      <c r="H1231" s="1">
        <f>VLOOKUP(A1231,GOOGL!A1230:C2485,3)</f>
        <v>318.58</v>
      </c>
      <c r="I1231" s="1">
        <f>VLOOKUP(A1231,META!A1230:C2485,3)</f>
        <v>613.04999999999995</v>
      </c>
      <c r="J1231" s="1">
        <f>VLOOKUP(A1231,Nasdaq!A1230:C2485,3)</f>
        <v>22872.01</v>
      </c>
    </row>
    <row r="1232" spans="1:10" x14ac:dyDescent="0.2">
      <c r="A1232" s="2">
        <v>45986</v>
      </c>
      <c r="B1232" s="1">
        <f>VLOOKUP(A1232,AAPL!A1231:C2486,3)</f>
        <v>276.97000000000003</v>
      </c>
      <c r="C1232" s="1">
        <f>VLOOKUP(A1232,MSFT!A1231:C2486,3)</f>
        <v>476.99</v>
      </c>
      <c r="D1232" s="1">
        <f>VLOOKUP(A1232,NVDA!A1231:C2486,3)</f>
        <v>177.82</v>
      </c>
      <c r="E1232" s="1">
        <f>VLOOKUP(A1232,AMD!A1231:C2486,3)</f>
        <v>206.13</v>
      </c>
      <c r="F1232" s="1">
        <f>VLOOKUP(A1232,AMZN!A1231:C2486,3)</f>
        <v>229.67</v>
      </c>
      <c r="G1232" s="1">
        <f>VLOOKUP(A1232,TSLA!A1231:C2486,3)</f>
        <v>419.4</v>
      </c>
      <c r="H1232" s="1">
        <f>VLOOKUP(A1232,GOOGL!A1231:C2486,3)</f>
        <v>323.44</v>
      </c>
      <c r="I1232" s="1">
        <f>VLOOKUP(A1232,META!A1231:C2486,3)</f>
        <v>636.22</v>
      </c>
      <c r="J1232" s="1">
        <f>VLOOKUP(A1232,Nasdaq!A1231:C2486,3)</f>
        <v>23025.59</v>
      </c>
    </row>
    <row r="1233" spans="1:10" x14ac:dyDescent="0.2">
      <c r="A1233" s="2">
        <v>45987</v>
      </c>
      <c r="B1233" s="1">
        <f>VLOOKUP(A1233,AAPL!A1232:C2487,3)</f>
        <v>277.55</v>
      </c>
      <c r="C1233" s="1">
        <f>VLOOKUP(A1233,MSFT!A1232:C2487,3)</f>
        <v>485.5</v>
      </c>
      <c r="D1233" s="1">
        <f>VLOOKUP(A1233,NVDA!A1232:C2487,3)</f>
        <v>180.26</v>
      </c>
      <c r="E1233" s="1">
        <f>VLOOKUP(A1233,AMD!A1232:C2487,3)</f>
        <v>214.24</v>
      </c>
      <c r="F1233" s="1">
        <f>VLOOKUP(A1233,AMZN!A1232:C2487,3)</f>
        <v>229.16</v>
      </c>
      <c r="G1233" s="1">
        <f>VLOOKUP(A1233,TSLA!A1232:C2487,3)</f>
        <v>426.58</v>
      </c>
      <c r="H1233" s="1">
        <f>VLOOKUP(A1233,GOOGL!A1232:C2487,3)</f>
        <v>319.95</v>
      </c>
      <c r="I1233" s="1">
        <f>VLOOKUP(A1233,META!A1232:C2487,3)</f>
        <v>633.61</v>
      </c>
      <c r="J1233" s="1">
        <f>VLOOKUP(A1233,Nasdaq!A1232:C2487,3)</f>
        <v>23214.69</v>
      </c>
    </row>
    <row r="1234" spans="1:10" x14ac:dyDescent="0.2">
      <c r="A1234" s="2">
        <v>45989</v>
      </c>
      <c r="B1234" s="1">
        <f>VLOOKUP(A1234,AAPL!A1233:C2488,3)</f>
        <v>278.85000000000002</v>
      </c>
      <c r="C1234" s="1">
        <f>VLOOKUP(A1234,MSFT!A1233:C2488,3)</f>
        <v>492.01</v>
      </c>
      <c r="D1234" s="1">
        <f>VLOOKUP(A1234,NVDA!A1233:C2488,3)</f>
        <v>177</v>
      </c>
      <c r="E1234" s="1">
        <f>VLOOKUP(A1234,AMD!A1233:C2488,3)</f>
        <v>217.53</v>
      </c>
      <c r="F1234" s="1">
        <f>VLOOKUP(A1234,AMZN!A1233:C2488,3)</f>
        <v>233.22</v>
      </c>
      <c r="G1234" s="1">
        <f>VLOOKUP(A1234,TSLA!A1233:C2488,3)</f>
        <v>430.17</v>
      </c>
      <c r="H1234" s="1">
        <f>VLOOKUP(A1234,GOOGL!A1233:C2488,3)</f>
        <v>320.18</v>
      </c>
      <c r="I1234" s="1">
        <f>VLOOKUP(A1234,META!A1233:C2488,3)</f>
        <v>647.95000000000005</v>
      </c>
      <c r="J1234" s="1">
        <f>VLOOKUP(A1234,Nasdaq!A1233:C2488,3)</f>
        <v>23365.69</v>
      </c>
    </row>
    <row r="1235" spans="1:10" x14ac:dyDescent="0.2">
      <c r="A1235" s="2">
        <v>45992</v>
      </c>
      <c r="B1235" s="1">
        <f>VLOOKUP(A1235,AAPL!A1234:C2489,3)</f>
        <v>283.10000000000002</v>
      </c>
      <c r="C1235" s="1">
        <f>VLOOKUP(A1235,MSFT!A1234:C2489,3)</f>
        <v>486.74</v>
      </c>
      <c r="D1235" s="1">
        <f>VLOOKUP(A1235,NVDA!A1234:C2489,3)</f>
        <v>179.92</v>
      </c>
      <c r="E1235" s="1">
        <f>VLOOKUP(A1235,AMD!A1234:C2489,3)</f>
        <v>219.76</v>
      </c>
      <c r="F1235" s="1">
        <f>VLOOKUP(A1235,AMZN!A1234:C2489,3)</f>
        <v>233.88</v>
      </c>
      <c r="G1235" s="1">
        <f>VLOOKUP(A1235,TSLA!A1234:C2489,3)</f>
        <v>430.14</v>
      </c>
      <c r="H1235" s="1">
        <f>VLOOKUP(A1235,GOOGL!A1234:C2489,3)</f>
        <v>314.89</v>
      </c>
      <c r="I1235" s="1">
        <f>VLOOKUP(A1235,META!A1234:C2489,3)</f>
        <v>640.87</v>
      </c>
      <c r="J1235" s="1">
        <f>VLOOKUP(A1235,Nasdaq!A1234:C2489,3)</f>
        <v>23275.919999999998</v>
      </c>
    </row>
    <row r="1236" spans="1:10" x14ac:dyDescent="0.2">
      <c r="A1236" s="2">
        <v>45993</v>
      </c>
      <c r="B1236" s="1">
        <f>VLOOKUP(A1236,AAPL!A1235:C2490,3)</f>
        <v>286.19</v>
      </c>
      <c r="C1236" s="1">
        <f>VLOOKUP(A1236,MSFT!A1235:C2490,3)</f>
        <v>490</v>
      </c>
      <c r="D1236" s="1">
        <f>VLOOKUP(A1236,NVDA!A1235:C2490,3)</f>
        <v>181.46</v>
      </c>
      <c r="E1236" s="1">
        <f>VLOOKUP(A1236,AMD!A1235:C2490,3)</f>
        <v>215.24</v>
      </c>
      <c r="F1236" s="1">
        <f>VLOOKUP(A1236,AMZN!A1235:C2490,3)</f>
        <v>234.42</v>
      </c>
      <c r="G1236" s="1">
        <f>VLOOKUP(A1236,TSLA!A1235:C2490,3)</f>
        <v>429.24</v>
      </c>
      <c r="H1236" s="1">
        <f>VLOOKUP(A1236,GOOGL!A1235:C2490,3)</f>
        <v>315.81</v>
      </c>
      <c r="I1236" s="1">
        <f>VLOOKUP(A1236,META!A1235:C2490,3)</f>
        <v>647.1</v>
      </c>
      <c r="J1236" s="1">
        <f>VLOOKUP(A1236,Nasdaq!A1235:C2490,3)</f>
        <v>23413.67</v>
      </c>
    </row>
    <row r="1237" spans="1:10" x14ac:dyDescent="0.2">
      <c r="A1237" s="2">
        <v>45994</v>
      </c>
      <c r="B1237" s="1">
        <f>VLOOKUP(A1237,AAPL!A1236:C2491,3)</f>
        <v>284.14999999999998</v>
      </c>
      <c r="C1237" s="1">
        <f>VLOOKUP(A1237,MSFT!A1236:C2491,3)</f>
        <v>477.73</v>
      </c>
      <c r="D1237" s="1">
        <f>VLOOKUP(A1237,NVDA!A1236:C2491,3)</f>
        <v>179.59</v>
      </c>
      <c r="E1237" s="1">
        <f>VLOOKUP(A1237,AMD!A1236:C2491,3)</f>
        <v>217.6</v>
      </c>
      <c r="F1237" s="1">
        <f>VLOOKUP(A1237,AMZN!A1236:C2491,3)</f>
        <v>232.38</v>
      </c>
      <c r="G1237" s="1">
        <f>VLOOKUP(A1237,TSLA!A1236:C2491,3)</f>
        <v>446.74</v>
      </c>
      <c r="H1237" s="1">
        <f>VLOOKUP(A1237,GOOGL!A1236:C2491,3)</f>
        <v>319.63</v>
      </c>
      <c r="I1237" s="1">
        <f>VLOOKUP(A1237,META!A1236:C2491,3)</f>
        <v>639.6</v>
      </c>
      <c r="J1237" s="1">
        <f>VLOOKUP(A1237,Nasdaq!A1236:C2491,3)</f>
        <v>23454.09</v>
      </c>
    </row>
    <row r="1238" spans="1:10" x14ac:dyDescent="0.2">
      <c r="A1238" s="2">
        <v>45995</v>
      </c>
      <c r="B1238" s="1">
        <f>VLOOKUP(A1238,AAPL!A1237:C2492,3)</f>
        <v>280.7</v>
      </c>
      <c r="C1238" s="1">
        <f>VLOOKUP(A1238,MSFT!A1237:C2492,3)</f>
        <v>480.84</v>
      </c>
      <c r="D1238" s="1">
        <f>VLOOKUP(A1238,NVDA!A1237:C2492,3)</f>
        <v>183.38</v>
      </c>
      <c r="E1238" s="1">
        <f>VLOOKUP(A1238,AMD!A1237:C2492,3)</f>
        <v>215.98</v>
      </c>
      <c r="F1238" s="1">
        <f>VLOOKUP(A1238,AMZN!A1237:C2492,3)</f>
        <v>229.11</v>
      </c>
      <c r="G1238" s="1">
        <f>VLOOKUP(A1238,TSLA!A1237:C2492,3)</f>
        <v>454.53</v>
      </c>
      <c r="H1238" s="1">
        <f>VLOOKUP(A1238,GOOGL!A1237:C2492,3)</f>
        <v>317.62</v>
      </c>
      <c r="I1238" s="1">
        <f>VLOOKUP(A1238,META!A1237:C2492,3)</f>
        <v>661.53</v>
      </c>
      <c r="J1238" s="1">
        <f>VLOOKUP(A1238,Nasdaq!A1237:C2492,3)</f>
        <v>23505.14</v>
      </c>
    </row>
    <row r="1239" spans="1:10" x14ac:dyDescent="0.2">
      <c r="A1239" s="2">
        <v>45996</v>
      </c>
      <c r="B1239" s="1">
        <f>VLOOKUP(A1239,AAPL!A1238:C2493,3)</f>
        <v>278.77999999999997</v>
      </c>
      <c r="C1239" s="1">
        <f>VLOOKUP(A1239,MSFT!A1238:C2493,3)</f>
        <v>483.16</v>
      </c>
      <c r="D1239" s="1">
        <f>VLOOKUP(A1239,NVDA!A1238:C2493,3)</f>
        <v>182.41</v>
      </c>
      <c r="E1239" s="1">
        <f>VLOOKUP(A1239,AMD!A1238:C2493,3)</f>
        <v>217.97</v>
      </c>
      <c r="F1239" s="1">
        <f>VLOOKUP(A1239,AMZN!A1238:C2493,3)</f>
        <v>229.53</v>
      </c>
      <c r="G1239" s="1">
        <f>VLOOKUP(A1239,TSLA!A1238:C2493,3)</f>
        <v>455</v>
      </c>
      <c r="H1239" s="1">
        <f>VLOOKUP(A1239,GOOGL!A1238:C2493,3)</f>
        <v>321.27</v>
      </c>
      <c r="I1239" s="1">
        <f>VLOOKUP(A1239,META!A1238:C2493,3)</f>
        <v>673.42</v>
      </c>
      <c r="J1239" s="1">
        <f>VLOOKUP(A1239,Nasdaq!A1238:C2493,3)</f>
        <v>23578.13</v>
      </c>
    </row>
    <row r="1240" spans="1:10" x14ac:dyDescent="0.2">
      <c r="A1240" s="2">
        <v>45999</v>
      </c>
      <c r="B1240" s="1">
        <f>VLOOKUP(A1240,AAPL!A1239:C2494,3)</f>
        <v>277.89</v>
      </c>
      <c r="C1240" s="1">
        <f>VLOOKUP(A1240,MSFT!A1239:C2494,3)</f>
        <v>491.02</v>
      </c>
      <c r="D1240" s="1">
        <f>VLOOKUP(A1240,NVDA!A1239:C2494,3)</f>
        <v>185.55</v>
      </c>
      <c r="E1240" s="1">
        <f>VLOOKUP(A1240,AMD!A1239:C2494,3)</f>
        <v>221.11</v>
      </c>
      <c r="F1240" s="1">
        <f>VLOOKUP(A1240,AMZN!A1239:C2494,3)</f>
        <v>226.89</v>
      </c>
      <c r="G1240" s="1">
        <f>VLOOKUP(A1240,TSLA!A1239:C2494,3)</f>
        <v>439.58</v>
      </c>
      <c r="H1240" s="1">
        <f>VLOOKUP(A1240,GOOGL!A1239:C2494,3)</f>
        <v>313.72000000000003</v>
      </c>
      <c r="I1240" s="1">
        <f>VLOOKUP(A1240,META!A1239:C2494,3)</f>
        <v>666.8</v>
      </c>
      <c r="J1240" s="1">
        <f>VLOOKUP(A1240,Nasdaq!A1239:C2494,3)</f>
        <v>23545.9</v>
      </c>
    </row>
    <row r="1241" spans="1:10" x14ac:dyDescent="0.2">
      <c r="A1241" s="2">
        <v>46000</v>
      </c>
      <c r="B1241" s="1">
        <f>VLOOKUP(A1241,AAPL!A1240:C2495,3)</f>
        <v>277.18</v>
      </c>
      <c r="C1241" s="1">
        <f>VLOOKUP(A1241,MSFT!A1240:C2495,3)</f>
        <v>492.02</v>
      </c>
      <c r="D1241" s="1">
        <f>VLOOKUP(A1241,NVDA!A1240:C2495,3)</f>
        <v>184.97</v>
      </c>
      <c r="E1241" s="1">
        <f>VLOOKUP(A1241,AMD!A1240:C2495,3)</f>
        <v>221.62</v>
      </c>
      <c r="F1241" s="1">
        <f>VLOOKUP(A1241,AMZN!A1240:C2495,3)</f>
        <v>227.92</v>
      </c>
      <c r="G1241" s="1">
        <f>VLOOKUP(A1241,TSLA!A1240:C2495,3)</f>
        <v>445.17</v>
      </c>
      <c r="H1241" s="1">
        <f>VLOOKUP(A1241,GOOGL!A1240:C2495,3)</f>
        <v>317.08</v>
      </c>
      <c r="I1241" s="1">
        <f>VLOOKUP(A1241,META!A1240:C2495,3)</f>
        <v>656.96</v>
      </c>
      <c r="J1241" s="1">
        <f>VLOOKUP(A1241,Nasdaq!A1240:C2495,3)</f>
        <v>23576.49</v>
      </c>
    </row>
    <row r="1242" spans="1:10" x14ac:dyDescent="0.2">
      <c r="A1242" s="2">
        <v>46001</v>
      </c>
      <c r="B1242" s="1">
        <f>VLOOKUP(A1242,AAPL!A1241:C2496,3)</f>
        <v>278.77999999999997</v>
      </c>
      <c r="C1242" s="1">
        <f>VLOOKUP(A1242,MSFT!A1241:C2496,3)</f>
        <v>478.56</v>
      </c>
      <c r="D1242" s="1">
        <f>VLOOKUP(A1242,NVDA!A1241:C2496,3)</f>
        <v>183.78</v>
      </c>
      <c r="E1242" s="1">
        <f>VLOOKUP(A1242,AMD!A1241:C2496,3)</f>
        <v>221.42</v>
      </c>
      <c r="F1242" s="1">
        <f>VLOOKUP(A1242,AMZN!A1241:C2496,3)</f>
        <v>231.78</v>
      </c>
      <c r="G1242" s="1">
        <f>VLOOKUP(A1242,TSLA!A1241:C2496,3)</f>
        <v>451.45</v>
      </c>
      <c r="H1242" s="1">
        <f>VLOOKUP(A1242,GOOGL!A1241:C2496,3)</f>
        <v>320.20999999999998</v>
      </c>
      <c r="I1242" s="1">
        <f>VLOOKUP(A1242,META!A1241:C2496,3)</f>
        <v>650.13</v>
      </c>
      <c r="J1242" s="1">
        <f>VLOOKUP(A1242,Nasdaq!A1241:C2496,3)</f>
        <v>23654.15</v>
      </c>
    </row>
    <row r="1243" spans="1:10" x14ac:dyDescent="0.2">
      <c r="A1243" s="2">
        <v>46002</v>
      </c>
      <c r="B1243" s="1">
        <f>VLOOKUP(A1243,AAPL!A1242:C2497,3)</f>
        <v>278.02999999999997</v>
      </c>
      <c r="C1243" s="1">
        <f>VLOOKUP(A1243,MSFT!A1242:C2497,3)</f>
        <v>483.47</v>
      </c>
      <c r="D1243" s="1">
        <f>VLOOKUP(A1243,NVDA!A1242:C2497,3)</f>
        <v>180.93</v>
      </c>
      <c r="E1243" s="1">
        <f>VLOOKUP(A1243,AMD!A1242:C2497,3)</f>
        <v>221.43</v>
      </c>
      <c r="F1243" s="1">
        <f>VLOOKUP(A1243,AMZN!A1242:C2497,3)</f>
        <v>230.28</v>
      </c>
      <c r="G1243" s="1">
        <f>VLOOKUP(A1243,TSLA!A1242:C2497,3)</f>
        <v>446.89</v>
      </c>
      <c r="H1243" s="1">
        <f>VLOOKUP(A1243,GOOGL!A1242:C2497,3)</f>
        <v>312.43</v>
      </c>
      <c r="I1243" s="1">
        <f>VLOOKUP(A1243,META!A1242:C2497,3)</f>
        <v>652.71</v>
      </c>
      <c r="J1243" s="1">
        <f>VLOOKUP(A1243,Nasdaq!A1242:C2497,3)</f>
        <v>23593.86</v>
      </c>
    </row>
    <row r="1244" spans="1:10" x14ac:dyDescent="0.2">
      <c r="A1244" s="2">
        <v>46003</v>
      </c>
      <c r="B1244" s="1">
        <f>VLOOKUP(A1244,AAPL!A1243:C2498,3)</f>
        <v>278.27999999999997</v>
      </c>
      <c r="C1244" s="1">
        <f>VLOOKUP(A1244,MSFT!A1243:C2498,3)</f>
        <v>478.53</v>
      </c>
      <c r="D1244" s="1">
        <f>VLOOKUP(A1244,NVDA!A1243:C2498,3)</f>
        <v>175.02</v>
      </c>
      <c r="E1244" s="1">
        <f>VLOOKUP(A1244,AMD!A1243:C2498,3)</f>
        <v>210.78</v>
      </c>
      <c r="F1244" s="1">
        <f>VLOOKUP(A1244,AMZN!A1243:C2498,3)</f>
        <v>226.19</v>
      </c>
      <c r="G1244" s="1">
        <f>VLOOKUP(A1244,TSLA!A1243:C2498,3)</f>
        <v>458.96</v>
      </c>
      <c r="H1244" s="1">
        <f>VLOOKUP(A1244,GOOGL!A1243:C2498,3)</f>
        <v>309.29000000000002</v>
      </c>
      <c r="I1244" s="1">
        <f>VLOOKUP(A1244,META!A1243:C2498,3)</f>
        <v>644.23</v>
      </c>
      <c r="J1244" s="1">
        <f>VLOOKUP(A1244,Nasdaq!A1243:C2498,3)</f>
        <v>23195.17</v>
      </c>
    </row>
    <row r="1245" spans="1:10" x14ac:dyDescent="0.2">
      <c r="A1245" s="2">
        <v>46006</v>
      </c>
      <c r="B1245" s="1">
        <f>VLOOKUP(A1245,AAPL!A1244:C2499,3)</f>
        <v>274.11</v>
      </c>
      <c r="C1245" s="1">
        <f>VLOOKUP(A1245,MSFT!A1244:C2499,3)</f>
        <v>474.82</v>
      </c>
      <c r="D1245" s="1">
        <f>VLOOKUP(A1245,NVDA!A1244:C2499,3)</f>
        <v>176.29</v>
      </c>
      <c r="E1245" s="1">
        <f>VLOOKUP(A1245,AMD!A1244:C2499,3)</f>
        <v>207.58</v>
      </c>
      <c r="F1245" s="1">
        <f>VLOOKUP(A1245,AMZN!A1244:C2499,3)</f>
        <v>222.54</v>
      </c>
      <c r="G1245" s="1">
        <f>VLOOKUP(A1245,TSLA!A1244:C2499,3)</f>
        <v>475.31</v>
      </c>
      <c r="H1245" s="1">
        <f>VLOOKUP(A1245,GOOGL!A1244:C2499,3)</f>
        <v>308.22000000000003</v>
      </c>
      <c r="I1245" s="1">
        <f>VLOOKUP(A1245,META!A1244:C2499,3)</f>
        <v>647.51</v>
      </c>
      <c r="J1245" s="1">
        <f>VLOOKUP(A1245,Nasdaq!A1244:C2499,3)</f>
        <v>23057.41</v>
      </c>
    </row>
    <row r="1246" spans="1:10" x14ac:dyDescent="0.2">
      <c r="A1246" s="2">
        <v>46007</v>
      </c>
      <c r="B1246" s="1">
        <f>VLOOKUP(A1246,AAPL!A1245:C2500,3)</f>
        <v>274.61</v>
      </c>
      <c r="C1246" s="1">
        <f>VLOOKUP(A1246,MSFT!A1245:C2500,3)</f>
        <v>476.39</v>
      </c>
      <c r="D1246" s="1">
        <f>VLOOKUP(A1246,NVDA!A1245:C2500,3)</f>
        <v>177.72</v>
      </c>
      <c r="E1246" s="1">
        <f>VLOOKUP(A1246,AMD!A1245:C2500,3)</f>
        <v>209.17</v>
      </c>
      <c r="F1246" s="1">
        <f>VLOOKUP(A1246,AMZN!A1245:C2500,3)</f>
        <v>222.56</v>
      </c>
      <c r="G1246" s="1">
        <f>VLOOKUP(A1246,TSLA!A1245:C2500,3)</f>
        <v>489.88</v>
      </c>
      <c r="H1246" s="1">
        <f>VLOOKUP(A1246,GOOGL!A1245:C2500,3)</f>
        <v>306.57</v>
      </c>
      <c r="I1246" s="1">
        <f>VLOOKUP(A1246,META!A1245:C2500,3)</f>
        <v>657.15</v>
      </c>
      <c r="J1246" s="1">
        <f>VLOOKUP(A1246,Nasdaq!A1245:C2500,3)</f>
        <v>23111.46</v>
      </c>
    </row>
    <row r="1247" spans="1:10" x14ac:dyDescent="0.2">
      <c r="A1247" s="2">
        <v>46008</v>
      </c>
      <c r="B1247" s="1">
        <f>VLOOKUP(A1247,AAPL!A1246:C2501,3)</f>
        <v>271.83999999999997</v>
      </c>
      <c r="C1247" s="1">
        <f>VLOOKUP(A1247,MSFT!A1246:C2501,3)</f>
        <v>476.12</v>
      </c>
      <c r="D1247" s="1">
        <f>VLOOKUP(A1247,NVDA!A1246:C2501,3)</f>
        <v>170.94</v>
      </c>
      <c r="E1247" s="1">
        <f>VLOOKUP(A1247,AMD!A1246:C2501,3)</f>
        <v>198.11</v>
      </c>
      <c r="F1247" s="1">
        <f>VLOOKUP(A1247,AMZN!A1246:C2501,3)</f>
        <v>221.27</v>
      </c>
      <c r="G1247" s="1">
        <f>VLOOKUP(A1247,TSLA!A1246:C2501,3)</f>
        <v>467.26</v>
      </c>
      <c r="H1247" s="1">
        <f>VLOOKUP(A1247,GOOGL!A1246:C2501,3)</f>
        <v>296.72000000000003</v>
      </c>
      <c r="I1247" s="1">
        <f>VLOOKUP(A1247,META!A1246:C2501,3)</f>
        <v>649.5</v>
      </c>
      <c r="J1247" s="1">
        <f>VLOOKUP(A1247,Nasdaq!A1246:C2501,3)</f>
        <v>22693.32</v>
      </c>
    </row>
    <row r="1248" spans="1:10" x14ac:dyDescent="0.2">
      <c r="A1248" s="2">
        <v>46009</v>
      </c>
      <c r="B1248" s="1">
        <f>VLOOKUP(A1248,AAPL!A1247:C2502,3)</f>
        <v>272.19</v>
      </c>
      <c r="C1248" s="1">
        <f>VLOOKUP(A1248,MSFT!A1247:C2502,3)</f>
        <v>483.98</v>
      </c>
      <c r="D1248" s="1">
        <f>VLOOKUP(A1248,NVDA!A1247:C2502,3)</f>
        <v>174.14</v>
      </c>
      <c r="E1248" s="1">
        <f>VLOOKUP(A1248,AMD!A1247:C2502,3)</f>
        <v>201.06</v>
      </c>
      <c r="F1248" s="1">
        <f>VLOOKUP(A1248,AMZN!A1247:C2502,3)</f>
        <v>226.76</v>
      </c>
      <c r="G1248" s="1">
        <f>VLOOKUP(A1248,TSLA!A1247:C2502,3)</f>
        <v>483.37</v>
      </c>
      <c r="H1248" s="1">
        <f>VLOOKUP(A1248,GOOGL!A1247:C2502,3)</f>
        <v>302.45999999999998</v>
      </c>
      <c r="I1248" s="1">
        <f>VLOOKUP(A1248,META!A1247:C2502,3)</f>
        <v>664.45</v>
      </c>
      <c r="J1248" s="1">
        <f>VLOOKUP(A1248,Nasdaq!A1247:C2502,3)</f>
        <v>23006.36</v>
      </c>
    </row>
    <row r="1249" spans="1:10" x14ac:dyDescent="0.2">
      <c r="A1249" s="2">
        <v>46010</v>
      </c>
      <c r="B1249" s="1">
        <f>VLOOKUP(A1249,AAPL!A1248:C2503,3)</f>
        <v>273.67</v>
      </c>
      <c r="C1249" s="1">
        <f>VLOOKUP(A1249,MSFT!A1248:C2503,3)</f>
        <v>485.92</v>
      </c>
      <c r="D1249" s="1">
        <f>VLOOKUP(A1249,NVDA!A1248:C2503,3)</f>
        <v>180.99</v>
      </c>
      <c r="E1249" s="1">
        <f>VLOOKUP(A1249,AMD!A1248:C2503,3)</f>
        <v>213.43</v>
      </c>
      <c r="F1249" s="1">
        <f>VLOOKUP(A1249,AMZN!A1248:C2503,3)</f>
        <v>227.35</v>
      </c>
      <c r="G1249" s="1">
        <f>VLOOKUP(A1249,TSLA!A1248:C2503,3)</f>
        <v>481.2</v>
      </c>
      <c r="H1249" s="1">
        <f>VLOOKUP(A1249,GOOGL!A1248:C2503,3)</f>
        <v>307.16000000000003</v>
      </c>
      <c r="I1249" s="1">
        <f>VLOOKUP(A1249,META!A1248:C2503,3)</f>
        <v>658.77</v>
      </c>
      <c r="J1249" s="1">
        <f>VLOOKUP(A1249,Nasdaq!A1248:C2503,3)</f>
        <v>23307.62</v>
      </c>
    </row>
    <row r="1250" spans="1:10" x14ac:dyDescent="0.2">
      <c r="A1250" s="2">
        <v>46013</v>
      </c>
      <c r="B1250" s="1">
        <f>VLOOKUP(A1250,AAPL!A1249:C2504,3)</f>
        <v>270.97000000000003</v>
      </c>
      <c r="C1250" s="1">
        <f>VLOOKUP(A1250,MSFT!A1249:C2504,3)</f>
        <v>484.92</v>
      </c>
      <c r="D1250" s="1">
        <f>VLOOKUP(A1250,NVDA!A1249:C2504,3)</f>
        <v>183.69</v>
      </c>
      <c r="E1250" s="1">
        <f>VLOOKUP(A1250,AMD!A1249:C2504,3)</f>
        <v>214.95</v>
      </c>
      <c r="F1250" s="1">
        <f>VLOOKUP(A1250,AMZN!A1249:C2504,3)</f>
        <v>228.43</v>
      </c>
      <c r="G1250" s="1">
        <f>VLOOKUP(A1250,TSLA!A1249:C2504,3)</f>
        <v>488.73</v>
      </c>
      <c r="H1250" s="1">
        <f>VLOOKUP(A1250,GOOGL!A1249:C2504,3)</f>
        <v>309.77999999999997</v>
      </c>
      <c r="I1250" s="1">
        <f>VLOOKUP(A1250,META!A1249:C2504,3)</f>
        <v>661.5</v>
      </c>
      <c r="J1250" s="1">
        <f>VLOOKUP(A1250,Nasdaq!A1249:C2504,3)</f>
        <v>23428.83</v>
      </c>
    </row>
    <row r="1251" spans="1:10" x14ac:dyDescent="0.2">
      <c r="A1251" s="2">
        <v>46014</v>
      </c>
      <c r="B1251" s="1">
        <f>VLOOKUP(A1251,AAPL!A1250:C2505,3)</f>
        <v>272.36</v>
      </c>
      <c r="C1251" s="1">
        <f>VLOOKUP(A1251,MSFT!A1250:C2505,3)</f>
        <v>486.85</v>
      </c>
      <c r="D1251" s="1">
        <f>VLOOKUP(A1251,NVDA!A1250:C2505,3)</f>
        <v>189.21</v>
      </c>
      <c r="E1251" s="1">
        <f>VLOOKUP(A1251,AMD!A1250:C2505,3)</f>
        <v>214.9</v>
      </c>
      <c r="F1251" s="1">
        <f>VLOOKUP(A1251,AMZN!A1250:C2505,3)</f>
        <v>232.14</v>
      </c>
      <c r="G1251" s="1">
        <f>VLOOKUP(A1251,TSLA!A1250:C2505,3)</f>
        <v>485.56</v>
      </c>
      <c r="H1251" s="1">
        <f>VLOOKUP(A1251,GOOGL!A1250:C2505,3)</f>
        <v>314.35000000000002</v>
      </c>
      <c r="I1251" s="1">
        <f>VLOOKUP(A1251,META!A1250:C2505,3)</f>
        <v>664.94</v>
      </c>
      <c r="J1251" s="1">
        <f>VLOOKUP(A1251,Nasdaq!A1250:C2505,3)</f>
        <v>23561.84</v>
      </c>
    </row>
    <row r="1252" spans="1:10" x14ac:dyDescent="0.2">
      <c r="A1252" s="2">
        <v>46015</v>
      </c>
      <c r="B1252" s="1">
        <f>VLOOKUP(A1252,AAPL!A1251:C2506,3)</f>
        <v>273.81</v>
      </c>
      <c r="C1252" s="1">
        <f>VLOOKUP(A1252,MSFT!A1251:C2506,3)</f>
        <v>488.02</v>
      </c>
      <c r="D1252" s="1">
        <f>VLOOKUP(A1252,NVDA!A1251:C2506,3)</f>
        <v>188.61</v>
      </c>
      <c r="E1252" s="1">
        <f>VLOOKUP(A1252,AMD!A1251:C2506,3)</f>
        <v>215.04</v>
      </c>
      <c r="F1252" s="1">
        <f>VLOOKUP(A1252,AMZN!A1251:C2506,3)</f>
        <v>232.38</v>
      </c>
      <c r="G1252" s="1">
        <f>VLOOKUP(A1252,TSLA!A1251:C2506,3)</f>
        <v>485.4</v>
      </c>
      <c r="H1252" s="1">
        <f>VLOOKUP(A1252,GOOGL!A1251:C2506,3)</f>
        <v>314.08999999999997</v>
      </c>
      <c r="I1252" s="1">
        <f>VLOOKUP(A1252,META!A1251:C2506,3)</f>
        <v>667.55</v>
      </c>
      <c r="J1252" s="1">
        <f>VLOOKUP(A1252,Nasdaq!A1251:C2506,3)</f>
        <v>23613.31</v>
      </c>
    </row>
    <row r="1253" spans="1:10" x14ac:dyDescent="0.2">
      <c r="A1253" s="2">
        <v>46017</v>
      </c>
      <c r="B1253" s="1">
        <f>VLOOKUP(A1253,AAPL!A1252:C2507,3)</f>
        <v>273.39999999999998</v>
      </c>
      <c r="C1253" s="1">
        <f>VLOOKUP(A1253,MSFT!A1252:C2507,3)</f>
        <v>487.71</v>
      </c>
      <c r="D1253" s="1">
        <f>VLOOKUP(A1253,NVDA!A1252:C2507,3)</f>
        <v>190.53</v>
      </c>
      <c r="E1253" s="1">
        <f>VLOOKUP(A1253,AMD!A1252:C2507,3)</f>
        <v>214.99</v>
      </c>
      <c r="F1253" s="1">
        <f>VLOOKUP(A1253,AMZN!A1252:C2507,3)</f>
        <v>232.52</v>
      </c>
      <c r="G1253" s="1">
        <f>VLOOKUP(A1253,TSLA!A1252:C2507,3)</f>
        <v>475.19</v>
      </c>
      <c r="H1253" s="1">
        <f>VLOOKUP(A1253,GOOGL!A1252:C2507,3)</f>
        <v>313.51</v>
      </c>
      <c r="I1253" s="1">
        <f>VLOOKUP(A1253,META!A1252:C2507,3)</f>
        <v>663.29</v>
      </c>
      <c r="J1253" s="1">
        <f>VLOOKUP(A1253,Nasdaq!A1252:C2507,3)</f>
        <v>23593.1</v>
      </c>
    </row>
    <row r="1254" spans="1:10" x14ac:dyDescent="0.2">
      <c r="A1254" s="2">
        <v>46020</v>
      </c>
      <c r="B1254" s="1">
        <f>VLOOKUP(A1254,AAPL!A1253:C2508,3)</f>
        <v>273.76</v>
      </c>
      <c r="C1254" s="1">
        <f>VLOOKUP(A1254,MSFT!A1253:C2508,3)</f>
        <v>487.1</v>
      </c>
      <c r="D1254" s="1">
        <f>VLOOKUP(A1254,NVDA!A1253:C2508,3)</f>
        <v>188.22</v>
      </c>
      <c r="E1254" s="1">
        <f>VLOOKUP(A1254,AMD!A1253:C2508,3)</f>
        <v>215.61</v>
      </c>
      <c r="F1254" s="1">
        <f>VLOOKUP(A1254,AMZN!A1253:C2508,3)</f>
        <v>232.07</v>
      </c>
      <c r="G1254" s="1">
        <f>VLOOKUP(A1254,TSLA!A1253:C2508,3)</f>
        <v>459.64</v>
      </c>
      <c r="H1254" s="1">
        <f>VLOOKUP(A1254,GOOGL!A1253:C2508,3)</f>
        <v>313.56</v>
      </c>
      <c r="I1254" s="1">
        <f>VLOOKUP(A1254,META!A1253:C2508,3)</f>
        <v>658.69</v>
      </c>
      <c r="J1254" s="1">
        <f>VLOOKUP(A1254,Nasdaq!A1253:C2508,3)</f>
        <v>23474.35</v>
      </c>
    </row>
    <row r="1255" spans="1:10" x14ac:dyDescent="0.2">
      <c r="A1255" s="2">
        <v>46021</v>
      </c>
      <c r="B1255" s="1">
        <f>VLOOKUP(A1255,AAPL!A1254:C2509,3)</f>
        <v>273.08</v>
      </c>
      <c r="C1255" s="1">
        <f>VLOOKUP(A1255,MSFT!A1254:C2509,3)</f>
        <v>487.48</v>
      </c>
      <c r="D1255" s="1">
        <f>VLOOKUP(A1255,NVDA!A1254:C2509,3)</f>
        <v>187.54</v>
      </c>
      <c r="E1255" s="1">
        <f>VLOOKUP(A1255,AMD!A1254:C2509,3)</f>
        <v>215.34</v>
      </c>
      <c r="F1255" s="1">
        <f>VLOOKUP(A1255,AMZN!A1254:C2509,3)</f>
        <v>232.53</v>
      </c>
      <c r="G1255" s="1">
        <f>VLOOKUP(A1255,TSLA!A1254:C2509,3)</f>
        <v>454.43</v>
      </c>
      <c r="H1255" s="1">
        <f>VLOOKUP(A1255,GOOGL!A1254:C2509,3)</f>
        <v>313.85000000000002</v>
      </c>
      <c r="I1255" s="1">
        <f>VLOOKUP(A1255,META!A1254:C2509,3)</f>
        <v>665.95</v>
      </c>
      <c r="J1255" s="1">
        <f>VLOOKUP(A1255,Nasdaq!A1254:C2509,3)</f>
        <v>23419.08</v>
      </c>
    </row>
    <row r="1256" spans="1:10" x14ac:dyDescent="0.2">
      <c r="A1256" s="2">
        <v>46022</v>
      </c>
      <c r="B1256" s="1">
        <f>VLOOKUP(A1256,AAPL!A1255:C2510,3)</f>
        <v>271.86</v>
      </c>
      <c r="C1256" s="1">
        <f>VLOOKUP(A1256,MSFT!A1255:C2510,3)</f>
        <v>483.62</v>
      </c>
      <c r="D1256" s="1">
        <f>VLOOKUP(A1256,NVDA!A1255:C2510,3)</f>
        <v>186.5</v>
      </c>
      <c r="E1256" s="1">
        <f>VLOOKUP(A1256,AMD!A1255:C2510,3)</f>
        <v>214.16</v>
      </c>
      <c r="F1256" s="1">
        <f>VLOOKUP(A1256,AMZN!A1255:C2510,3)</f>
        <v>230.82</v>
      </c>
      <c r="G1256" s="1">
        <f>VLOOKUP(A1256,TSLA!A1255:C2510,3)</f>
        <v>449.72</v>
      </c>
      <c r="H1256" s="1">
        <f>VLOOKUP(A1256,GOOGL!A1255:C2510,3)</f>
        <v>313</v>
      </c>
      <c r="I1256" s="1">
        <f>VLOOKUP(A1256,META!A1255:C2510,3)</f>
        <v>660.09</v>
      </c>
      <c r="J1256" s="1">
        <f>VLOOKUP(A1256,Nasdaq!A1255:C2510,3)</f>
        <v>23241.99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C831-C8EA-4164-A091-8C16589BDA7B}">
  <dimension ref="A1:J1256"/>
  <sheetViews>
    <sheetView workbookViewId="0">
      <selection sqref="A1:XFD1048576"/>
    </sheetView>
  </sheetViews>
  <sheetFormatPr defaultRowHeight="11.4" x14ac:dyDescent="0.2"/>
  <cols>
    <col min="1" max="1" width="10.33203125" style="1" bestFit="1" customWidth="1"/>
    <col min="2" max="16384" width="8.88671875" style="1"/>
  </cols>
  <sheetData>
    <row r="1" spans="1:10" x14ac:dyDescent="0.2">
      <c r="A1" s="1" t="s">
        <v>1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</row>
    <row r="2" spans="1:10" x14ac:dyDescent="0.2">
      <c r="A2" s="2">
        <v>44200</v>
      </c>
    </row>
    <row r="3" spans="1:10" x14ac:dyDescent="0.2">
      <c r="A3" s="2">
        <v>44201</v>
      </c>
      <c r="B3" s="4">
        <f>(Raw_Stock_Data!B3/Raw_Stock_Data!B2)-1</f>
        <v>1.2232197429730363E-2</v>
      </c>
      <c r="C3" s="4">
        <f>(Raw_Stock_Data!C3/Raw_Stock_Data!C2)-1</f>
        <v>9.2192616036768094E-4</v>
      </c>
      <c r="D3" s="4">
        <f>(Raw_Stock_Data!D3/Raw_Stock_Data!D2)-1</f>
        <v>2.2224091006391333E-2</v>
      </c>
      <c r="E3" s="4">
        <f>(Raw_Stock_Data!E3/Raw_Stock_Data!E2)-1</f>
        <v>5.0920910075840098E-3</v>
      </c>
      <c r="F3" s="4">
        <f>(Raw_Stock_Data!F3/Raw_Stock_Data!F2)-1</f>
        <v>1.0004267818140677E-2</v>
      </c>
      <c r="G3" s="4">
        <f>(Raw_Stock_Data!G3/Raw_Stock_Data!G2)-1</f>
        <v>7.3173639401948876E-3</v>
      </c>
      <c r="H3" s="4">
        <f>(Raw_Stock_Data!H3/Raw_Stock_Data!H2)-1</f>
        <v>8.0632782447309648E-3</v>
      </c>
      <c r="I3" s="4">
        <f>(Raw_Stock_Data!I3/Raw_Stock_Data!I2)-1</f>
        <v>7.5481520041646988E-3</v>
      </c>
      <c r="J3" s="4">
        <f>(Raw_Stock_Data!J3/Raw_Stock_Data!J2)-1</f>
        <v>9.490134622729407E-3</v>
      </c>
    </row>
    <row r="4" spans="1:10" x14ac:dyDescent="0.2">
      <c r="A4" s="2">
        <v>44202</v>
      </c>
      <c r="B4" s="4">
        <f>(Raw_Stock_Data!B4/Raw_Stock_Data!B3)-1</f>
        <v>-3.3492785445420337E-2</v>
      </c>
      <c r="C4" s="4">
        <f>(Raw_Stock_Data!C4/Raw_Stock_Data!C3)-1</f>
        <v>-2.5932590457832139E-2</v>
      </c>
      <c r="D4" s="4">
        <f>(Raw_Stock_Data!D4/Raw_Stock_Data!D3)-1</f>
        <v>-5.8992902603375974E-2</v>
      </c>
      <c r="E4" s="4">
        <f>(Raw_Stock_Data!E4/Raw_Stock_Data!E3)-1</f>
        <v>-2.6301606122668963E-2</v>
      </c>
      <c r="F4" s="4">
        <f>(Raw_Stock_Data!F4/Raw_Stock_Data!F3)-1</f>
        <v>-2.4899643314318265E-2</v>
      </c>
      <c r="G4" s="4">
        <f>(Raw_Stock_Data!G4/Raw_Stock_Data!G3)-1</f>
        <v>2.8387549635361164E-2</v>
      </c>
      <c r="H4" s="4">
        <f>(Raw_Stock_Data!H4/Raw_Stock_Data!H3)-1</f>
        <v>-9.8675482937700121E-3</v>
      </c>
      <c r="I4" s="4">
        <f>(Raw_Stock_Data!I4/Raw_Stock_Data!I3)-1</f>
        <v>-2.8268812045614045E-2</v>
      </c>
      <c r="J4" s="4">
        <f>(Raw_Stock_Data!J4/Raw_Stock_Data!J3)-1</f>
        <v>-6.0979985895890376E-3</v>
      </c>
    </row>
    <row r="5" spans="1:10" x14ac:dyDescent="0.2">
      <c r="A5" s="2">
        <v>44203</v>
      </c>
      <c r="B5" s="4">
        <f>(Raw_Stock_Data!B5/Raw_Stock_Data!B4)-1</f>
        <v>3.3947537099692671E-2</v>
      </c>
      <c r="C5" s="4">
        <f>(Raw_Stock_Data!C5/Raw_Stock_Data!C4)-1</f>
        <v>2.8441077982657603E-2</v>
      </c>
      <c r="D5" s="4">
        <f>(Raw_Stock_Data!D5/Raw_Stock_Data!D4)-1</f>
        <v>5.7922637355650286E-2</v>
      </c>
      <c r="E5" s="4">
        <f>(Raw_Stock_Data!E5/Raw_Stock_Data!E4)-1</f>
        <v>5.3470607771504364E-2</v>
      </c>
      <c r="F5" s="4">
        <f>(Raw_Stock_Data!F5/Raw_Stock_Data!F4)-1</f>
        <v>7.5771576418406372E-3</v>
      </c>
      <c r="G5" s="4">
        <f>(Raw_Stock_Data!G5/Raw_Stock_Data!G4)-1</f>
        <v>7.9446651295869364E-2</v>
      </c>
      <c r="H5" s="4">
        <f>(Raw_Stock_Data!H5/Raw_Stock_Data!H4)-1</f>
        <v>2.9869700161243795E-2</v>
      </c>
      <c r="I5" s="4">
        <f>(Raw_Stock_Data!I5/Raw_Stock_Data!I4)-1</f>
        <v>2.062208043750724E-2</v>
      </c>
      <c r="J5" s="4">
        <f>(Raw_Stock_Data!J5/Raw_Stock_Data!J4)-1</f>
        <v>2.5641267142775259E-2</v>
      </c>
    </row>
    <row r="6" spans="1:10" x14ac:dyDescent="0.2">
      <c r="A6" s="2">
        <v>44204</v>
      </c>
      <c r="B6" s="4">
        <f>(Raw_Stock_Data!B6/Raw_Stock_Data!B5)-1</f>
        <v>8.7026123531581678E-3</v>
      </c>
      <c r="C6" s="4">
        <f>(Raw_Stock_Data!C6/Raw_Stock_Data!C5)-1</f>
        <v>6.1517753891069393E-3</v>
      </c>
      <c r="D6" s="4">
        <f>(Raw_Stock_Data!D6/Raw_Stock_Data!D5)-1</f>
        <v>-5.1010059273839392E-3</v>
      </c>
      <c r="E6" s="4">
        <f>(Raw_Stock_Data!E6/Raw_Stock_Data!E5)-1</f>
        <v>-6.0949978982766106E-3</v>
      </c>
      <c r="F6" s="4">
        <f>(Raw_Stock_Data!F6/Raw_Stock_Data!F5)-1</f>
        <v>6.495559996964051E-3</v>
      </c>
      <c r="G6" s="4">
        <f>(Raw_Stock_Data!G6/Raw_Stock_Data!G5)-1</f>
        <v>7.8404340968997843E-2</v>
      </c>
      <c r="H6" s="4">
        <f>(Raw_Stock_Data!H6/Raw_Stock_Data!H5)-1</f>
        <v>1.3238065717459557E-2</v>
      </c>
      <c r="I6" s="4">
        <f>(Raw_Stock_Data!I6/Raw_Stock_Data!I5)-1</f>
        <v>-4.3536503683858641E-3</v>
      </c>
      <c r="J6" s="4">
        <f>(Raw_Stock_Data!J6/Raw_Stock_Data!J5)-1</f>
        <v>1.0292726677217034E-2</v>
      </c>
    </row>
    <row r="7" spans="1:10" x14ac:dyDescent="0.2">
      <c r="A7" s="2">
        <v>44207</v>
      </c>
      <c r="B7" s="4">
        <f>(Raw_Stock_Data!B7/Raw_Stock_Data!B6)-1</f>
        <v>-2.3221981920306223E-2</v>
      </c>
      <c r="C7" s="4">
        <f>(Raw_Stock_Data!C7/Raw_Stock_Data!C6)-1</f>
        <v>-9.7129452551650841E-3</v>
      </c>
      <c r="D7" s="4">
        <f>(Raw_Stock_Data!D7/Raw_Stock_Data!D6)-1</f>
        <v>2.6020901292738818E-2</v>
      </c>
      <c r="E7" s="4">
        <f>(Raw_Stock_Data!E7/Raw_Stock_Data!E6)-1</f>
        <v>2.8230069782194889E-2</v>
      </c>
      <c r="F7" s="4">
        <f>(Raw_Stock_Data!F7/Raw_Stock_Data!F6)-1</f>
        <v>-2.1522606591887317E-2</v>
      </c>
      <c r="G7" s="4">
        <f>(Raw_Stock_Data!G7/Raw_Stock_Data!G6)-1</f>
        <v>-7.8212995159200882E-2</v>
      </c>
      <c r="H7" s="4">
        <f>(Raw_Stock_Data!H7/Raw_Stock_Data!H6)-1</f>
        <v>-2.3105659686401658E-2</v>
      </c>
      <c r="I7" s="4">
        <f>(Raw_Stock_Data!I7/Raw_Stock_Data!I6)-1</f>
        <v>-4.0101655641514466E-2</v>
      </c>
      <c r="J7" s="4">
        <f>(Raw_Stock_Data!J7/Raw_Stock_Data!J6)-1</f>
        <v>-1.2539785698811756E-2</v>
      </c>
    </row>
    <row r="8" spans="1:10" x14ac:dyDescent="0.2">
      <c r="A8" s="2">
        <v>44208</v>
      </c>
      <c r="B8" s="4">
        <f>(Raw_Stock_Data!B8/Raw_Stock_Data!B7)-1</f>
        <v>-1.4097182952762521E-3</v>
      </c>
      <c r="C8" s="4">
        <f>(Raw_Stock_Data!C8/Raw_Stock_Data!C7)-1</f>
        <v>-1.1748924997145971E-2</v>
      </c>
      <c r="D8" s="4">
        <f>(Raw_Stock_Data!D8/Raw_Stock_Data!D7)-1</f>
        <v>-1.0067854987562352E-2</v>
      </c>
      <c r="E8" s="4">
        <f>(Raw_Stock_Data!E8/Raw_Stock_Data!E7)-1</f>
        <v>-1.9485861182519271E-2</v>
      </c>
      <c r="F8" s="4">
        <f>(Raw_Stock_Data!F8/Raw_Stock_Data!F7)-1</f>
        <v>2.1257465801809428E-3</v>
      </c>
      <c r="G8" s="4">
        <f>(Raw_Stock_Data!G8/Raw_Stock_Data!G7)-1</f>
        <v>4.7152890009874326E-2</v>
      </c>
      <c r="H8" s="4">
        <f>(Raw_Stock_Data!H8/Raw_Stock_Data!H7)-1</f>
        <v>-1.0738617077326928E-2</v>
      </c>
      <c r="I8" s="4">
        <f>(Raw_Stock_Data!I8/Raw_Stock_Data!I7)-1</f>
        <v>-2.2387478585889964E-2</v>
      </c>
      <c r="J8" s="4">
        <f>(Raw_Stock_Data!J8/Raw_Stock_Data!J7)-1</f>
        <v>2.7614922183449853E-3</v>
      </c>
    </row>
    <row r="9" spans="1:10" x14ac:dyDescent="0.2">
      <c r="A9" s="2">
        <v>44209</v>
      </c>
      <c r="B9" s="4">
        <f>(Raw_Stock_Data!B9/Raw_Stock_Data!B8)-1</f>
        <v>1.6134949752751648E-2</v>
      </c>
      <c r="C9" s="4">
        <f>(Raw_Stock_Data!C9/Raw_Stock_Data!C8)-1</f>
        <v>6.5315120185596154E-3</v>
      </c>
      <c r="D9" s="4">
        <f>(Raw_Stock_Data!D9/Raw_Stock_Data!D8)-1</f>
        <v>3.4792952196862625E-3</v>
      </c>
      <c r="E9" s="4">
        <f>(Raw_Stock_Data!E9/Raw_Stock_Data!E8)-1</f>
        <v>-3.7491479209270651E-2</v>
      </c>
      <c r="F9" s="4">
        <f>(Raw_Stock_Data!F9/Raw_Stock_Data!F8)-1</f>
        <v>1.4438512954928706E-2</v>
      </c>
      <c r="G9" s="4">
        <f>(Raw_Stock_Data!G9/Raw_Stock_Data!G8)-1</f>
        <v>5.8485521654829675E-3</v>
      </c>
      <c r="H9" s="4">
        <f>(Raw_Stock_Data!H9/Raw_Stock_Data!H8)-1</f>
        <v>5.6517213373274977E-3</v>
      </c>
      <c r="I9" s="4">
        <f>(Raw_Stock_Data!I9/Raw_Stock_Data!I8)-1</f>
        <v>2.1904496395714901E-3</v>
      </c>
      <c r="J9" s="4">
        <f>(Raw_Stock_Data!J9/Raw_Stock_Data!J8)-1</f>
        <v>4.3236031862476931E-3</v>
      </c>
    </row>
    <row r="10" spans="1:10" x14ac:dyDescent="0.2">
      <c r="A10" s="2">
        <v>44210</v>
      </c>
      <c r="B10" s="4">
        <f>(Raw_Stock_Data!B10/Raw_Stock_Data!B9)-1</f>
        <v>-1.5023194116308147E-2</v>
      </c>
      <c r="C10" s="4">
        <f>(Raw_Stock_Data!C10/Raw_Stock_Data!C9)-1</f>
        <v>-1.5412277220147486E-2</v>
      </c>
      <c r="D10" s="4">
        <f>(Raw_Stock_Data!D10/Raw_Stock_Data!D9)-1</f>
        <v>-2.4485471706500395E-2</v>
      </c>
      <c r="E10" s="4">
        <f>(Raw_Stock_Data!E10/Raw_Stock_Data!E9)-1</f>
        <v>-1.0786663761167992E-2</v>
      </c>
      <c r="F10" s="4">
        <f>(Raw_Stock_Data!F10/Raw_Stock_Data!F9)-1</f>
        <v>-1.2135646328982896E-2</v>
      </c>
      <c r="G10" s="4">
        <f>(Raw_Stock_Data!G10/Raw_Stock_Data!G9)-1</f>
        <v>-1.1011119967135219E-2</v>
      </c>
      <c r="H10" s="4">
        <f>(Raw_Stock_Data!H10/Raw_Stock_Data!H9)-1</f>
        <v>-9.3455367164136938E-3</v>
      </c>
      <c r="I10" s="4">
        <f>(Raw_Stock_Data!I10/Raw_Stock_Data!I9)-1</f>
        <v>-2.3843586075345757E-2</v>
      </c>
      <c r="J10" s="4">
        <f>(Raw_Stock_Data!J10/Raw_Stock_Data!J9)-1</f>
        <v>-1.2422927956921015E-3</v>
      </c>
    </row>
    <row r="11" spans="1:10" x14ac:dyDescent="0.2">
      <c r="A11" s="2">
        <v>44211</v>
      </c>
      <c r="B11" s="4">
        <f>(Raw_Stock_Data!B11/Raw_Stock_Data!B10)-1</f>
        <v>-1.3794037724422115E-2</v>
      </c>
      <c r="C11" s="4">
        <f>(Raw_Stock_Data!C11/Raw_Stock_Data!C10)-1</f>
        <v>-1.704744142673964E-3</v>
      </c>
      <c r="D11" s="4">
        <f>(Raw_Stock_Data!D11/Raw_Stock_Data!D10)-1</f>
        <v>-2.5859515618235962E-2</v>
      </c>
      <c r="E11" s="4">
        <f>(Raw_Stock_Data!E11/Raw_Stock_Data!E10)-1</f>
        <v>-2.8417226566802678E-2</v>
      </c>
      <c r="F11" s="4">
        <f>(Raw_Stock_Data!F11/Raw_Stock_Data!F10)-1</f>
        <v>-7.4245553899969785E-3</v>
      </c>
      <c r="G11" s="4">
        <f>(Raw_Stock_Data!G11/Raw_Stock_Data!G10)-1</f>
        <v>-2.2295831602566096E-2</v>
      </c>
      <c r="H11" s="4">
        <f>(Raw_Stock_Data!H11/Raw_Stock_Data!H10)-1</f>
        <v>-1.9052942363398939E-3</v>
      </c>
      <c r="I11" s="4">
        <f>(Raw_Stock_Data!I11/Raw_Stock_Data!I10)-1</f>
        <v>2.3286109754111717E-2</v>
      </c>
      <c r="J11" s="4">
        <f>(Raw_Stock_Data!J11/Raw_Stock_Data!J10)-1</f>
        <v>-8.7045781780022979E-3</v>
      </c>
    </row>
    <row r="12" spans="1:10" x14ac:dyDescent="0.2">
      <c r="A12" s="2">
        <v>44215</v>
      </c>
      <c r="B12" s="4">
        <f>(Raw_Stock_Data!B12/Raw_Stock_Data!B11)-1</f>
        <v>5.3976308602272649E-3</v>
      </c>
      <c r="C12" s="4">
        <f>(Raw_Stock_Data!C12/Raw_Stock_Data!C11)-1</f>
        <v>1.7859836045634792E-2</v>
      </c>
      <c r="D12" s="4">
        <f>(Raw_Stock_Data!D12/Raw_Stock_Data!D11)-1</f>
        <v>1.2926061059656213E-2</v>
      </c>
      <c r="E12" s="4">
        <f>(Raw_Stock_Data!E12/Raw_Stock_Data!E11)-1</f>
        <v>1.4057363110758558E-2</v>
      </c>
      <c r="F12" s="4">
        <f>(Raw_Stock_Data!F12/Raw_Stock_Data!F11)-1</f>
        <v>5.3217534726697213E-3</v>
      </c>
      <c r="G12" s="4">
        <f>(Raw_Stock_Data!G12/Raw_Stock_Data!G11)-1</f>
        <v>2.22595837857269E-2</v>
      </c>
      <c r="H12" s="4">
        <f>(Raw_Stock_Data!H12/Raw_Stock_Data!H11)-1</f>
        <v>3.2904956598825752E-2</v>
      </c>
      <c r="I12" s="4">
        <f>(Raw_Stock_Data!I12/Raw_Stock_Data!I11)-1</f>
        <v>3.8749204328453191E-2</v>
      </c>
      <c r="J12" s="4">
        <f>(Raw_Stock_Data!J12/Raw_Stock_Data!J11)-1</f>
        <v>1.5284840558525969E-2</v>
      </c>
    </row>
    <row r="13" spans="1:10" x14ac:dyDescent="0.2">
      <c r="A13" s="2">
        <v>44216</v>
      </c>
      <c r="B13" s="4">
        <f>(Raw_Stock_Data!B13/Raw_Stock_Data!B12)-1</f>
        <v>3.2919164804783518E-2</v>
      </c>
      <c r="C13" s="4">
        <f>(Raw_Stock_Data!C13/Raw_Stock_Data!C12)-1</f>
        <v>3.6416908840624096E-2</v>
      </c>
      <c r="D13" s="4">
        <f>(Raw_Stock_Data!D13/Raw_Stock_Data!D12)-1</f>
        <v>2.6130258762680381E-2</v>
      </c>
      <c r="E13" s="4">
        <f>(Raw_Stock_Data!E13/Raw_Stock_Data!E12)-1</f>
        <v>-7.8256008943544675E-3</v>
      </c>
      <c r="F13" s="4">
        <f>(Raw_Stock_Data!F13/Raw_Stock_Data!F12)-1</f>
        <v>4.5700406311283137E-2</v>
      </c>
      <c r="G13" s="4">
        <f>(Raw_Stock_Data!G13/Raw_Stock_Data!G12)-1</f>
        <v>6.9835924651087122E-3</v>
      </c>
      <c r="H13" s="4">
        <f>(Raw_Stock_Data!H13/Raw_Stock_Data!H12)-1</f>
        <v>5.3574079989921364E-2</v>
      </c>
      <c r="I13" s="4">
        <f>(Raw_Stock_Data!I13/Raw_Stock_Data!I12)-1</f>
        <v>2.4435082343929437E-2</v>
      </c>
      <c r="J13" s="4">
        <f>(Raw_Stock_Data!J13/Raw_Stock_Data!J12)-1</f>
        <v>1.9706482748587106E-2</v>
      </c>
    </row>
    <row r="14" spans="1:10" x14ac:dyDescent="0.2">
      <c r="A14" s="2">
        <v>44217</v>
      </c>
      <c r="B14" s="4">
        <f>(Raw_Stock_Data!B14/Raw_Stock_Data!B13)-1</f>
        <v>3.677969530508407E-2</v>
      </c>
      <c r="C14" s="4">
        <f>(Raw_Stock_Data!C14/Raw_Stock_Data!C13)-1</f>
        <v>2.8408697857817966E-3</v>
      </c>
      <c r="D14" s="4">
        <f>(Raw_Stock_Data!D14/Raw_Stock_Data!D13)-1</f>
        <v>3.7608478784287636E-2</v>
      </c>
      <c r="E14" s="4">
        <f>(Raw_Stock_Data!E14/Raw_Stock_Data!E13)-1</f>
        <v>3.1323943661971887E-2</v>
      </c>
      <c r="F14" s="4">
        <f>(Raw_Stock_Data!F14/Raw_Stock_Data!F13)-1</f>
        <v>1.3360380954715589E-2</v>
      </c>
      <c r="G14" s="4">
        <f>(Raw_Stock_Data!G14/Raw_Stock_Data!G13)-1</f>
        <v>-6.4201380682439302E-3</v>
      </c>
      <c r="H14" s="4">
        <f>(Raw_Stock_Data!H14/Raw_Stock_Data!H13)-1</f>
        <v>2.1694567816876731E-3</v>
      </c>
      <c r="I14" s="4">
        <f>(Raw_Stock_Data!I14/Raw_Stock_Data!I13)-1</f>
        <v>2.0151039330043252E-2</v>
      </c>
      <c r="J14" s="4">
        <f>(Raw_Stock_Data!J14/Raw_Stock_Data!J13)-1</f>
        <v>5.4743725501122942E-3</v>
      </c>
    </row>
    <row r="15" spans="1:10" x14ac:dyDescent="0.2">
      <c r="A15" s="2">
        <v>44218</v>
      </c>
      <c r="B15" s="4">
        <f>(Raw_Stock_Data!B15/Raw_Stock_Data!B14)-1</f>
        <v>1.5902558368167785E-2</v>
      </c>
      <c r="C15" s="4">
        <f>(Raw_Stock_Data!C15/Raw_Stock_Data!C14)-1</f>
        <v>4.3963927505508149E-3</v>
      </c>
      <c r="D15" s="4">
        <f>(Raw_Stock_Data!D15/Raw_Stock_Data!D14)-1</f>
        <v>-1.1190226623775779E-2</v>
      </c>
      <c r="E15" s="4">
        <f>(Raw_Stock_Data!E15/Raw_Stock_Data!E14)-1</f>
        <v>1.3765978367748399E-2</v>
      </c>
      <c r="F15" s="4">
        <f>(Raw_Stock_Data!F15/Raw_Stock_Data!F14)-1</f>
        <v>-4.457238930988372E-3</v>
      </c>
      <c r="G15" s="4">
        <f>(Raw_Stock_Data!G15/Raw_Stock_Data!G14)-1</f>
        <v>1.9526881415024011E-3</v>
      </c>
      <c r="H15" s="4">
        <f>(Raw_Stock_Data!H15/Raw_Stock_Data!H14)-1</f>
        <v>4.4626877120017561E-3</v>
      </c>
      <c r="I15" s="4">
        <f>(Raw_Stock_Data!I15/Raw_Stock_Data!I14)-1</f>
        <v>5.973540513797726E-3</v>
      </c>
      <c r="J15" s="4">
        <f>(Raw_Stock_Data!J15/Raw_Stock_Data!J14)-1</f>
        <v>8.9720432904782932E-4</v>
      </c>
    </row>
    <row r="16" spans="1:10" x14ac:dyDescent="0.2">
      <c r="A16" s="2">
        <v>44221</v>
      </c>
      <c r="B16" s="4">
        <f>(Raw_Stock_Data!B16/Raw_Stock_Data!B15)-1</f>
        <v>2.7790910702677252E-2</v>
      </c>
      <c r="C16" s="4">
        <f>(Raw_Stock_Data!C16/Raw_Stock_Data!C15)-1</f>
        <v>1.578703979268048E-2</v>
      </c>
      <c r="D16" s="4">
        <f>(Raw_Stock_Data!D16/Raw_Stock_Data!D15)-1</f>
        <v>-4.3132753843566629E-3</v>
      </c>
      <c r="E16" s="4">
        <f>(Raw_Stock_Data!E16/Raw_Stock_Data!E15)-1</f>
        <v>1.4441211337428594E-2</v>
      </c>
      <c r="F16" s="4">
        <f>(Raw_Stock_Data!F16/Raw_Stock_Data!F15)-1</f>
        <v>5.3459043083114999E-4</v>
      </c>
      <c r="G16" s="4">
        <f>(Raw_Stock_Data!G16/Raw_Stock_Data!G15)-1</f>
        <v>4.034895628479207E-2</v>
      </c>
      <c r="H16" s="4">
        <f>(Raw_Stock_Data!H16/Raw_Stock_Data!H15)-1</f>
        <v>9.0893567556604715E-4</v>
      </c>
      <c r="I16" s="4">
        <f>(Raw_Stock_Data!I16/Raw_Stock_Data!I15)-1</f>
        <v>1.2786885245901658E-2</v>
      </c>
      <c r="J16" s="4">
        <f>(Raw_Stock_Data!J16/Raw_Stock_Data!J15)-1</f>
        <v>6.8618170487320107E-3</v>
      </c>
    </row>
    <row r="17" spans="1:10" x14ac:dyDescent="0.2">
      <c r="A17" s="2">
        <v>44222</v>
      </c>
      <c r="B17" s="4">
        <f>(Raw_Stock_Data!B17/Raw_Stock_Data!B16)-1</f>
        <v>1.7034428232587384E-3</v>
      </c>
      <c r="C17" s="4">
        <f>(Raw_Stock_Data!C17/Raw_Stock_Data!C16)-1</f>
        <v>1.2282797322575645E-2</v>
      </c>
      <c r="D17" s="4">
        <f>(Raw_Stock_Data!D17/Raw_Stock_Data!D16)-1</f>
        <v>-1.6050280108959813E-2</v>
      </c>
      <c r="E17" s="4">
        <f>(Raw_Stock_Data!E17/Raw_Stock_Data!E16)-1</f>
        <v>6.1616912780197985E-3</v>
      </c>
      <c r="F17" s="4">
        <f>(Raw_Stock_Data!F17/Raw_Stock_Data!F16)-1</f>
        <v>9.7510625379479965E-3</v>
      </c>
      <c r="G17" s="4">
        <f>(Raw_Stock_Data!G17/Raw_Stock_Data!G16)-1</f>
        <v>2.5987738419617212E-3</v>
      </c>
      <c r="H17" s="4">
        <f>(Raw_Stock_Data!H17/Raw_Stock_Data!H16)-1</f>
        <v>7.2171983579840671E-3</v>
      </c>
      <c r="I17" s="4">
        <f>(Raw_Stock_Data!I17/Raw_Stock_Data!I16)-1</f>
        <v>1.4531851372252769E-2</v>
      </c>
      <c r="J17" s="4">
        <f>(Raw_Stock_Data!J17/Raw_Stock_Data!J16)-1</f>
        <v>-7.2821995322669419E-4</v>
      </c>
    </row>
    <row r="18" spans="1:10" x14ac:dyDescent="0.2">
      <c r="A18" s="2">
        <v>44223</v>
      </c>
      <c r="B18" s="4">
        <f>(Raw_Stock_Data!B18/Raw_Stock_Data!B17)-1</f>
        <v>-7.7708496272431704E-3</v>
      </c>
      <c r="C18" s="4">
        <f>(Raw_Stock_Data!C18/Raw_Stock_Data!C17)-1</f>
        <v>2.3866773532816854E-3</v>
      </c>
      <c r="D18" s="4">
        <f>(Raw_Stock_Data!D18/Raw_Stock_Data!D17)-1</f>
        <v>-3.8526688107692553E-2</v>
      </c>
      <c r="E18" s="4">
        <f>(Raw_Stock_Data!E18/Raw_Stock_Data!E17)-1</f>
        <v>-6.1978671734769231E-2</v>
      </c>
      <c r="F18" s="4">
        <f>(Raw_Stock_Data!F18/Raw_Stock_Data!F17)-1</f>
        <v>-2.8122857864418704E-2</v>
      </c>
      <c r="G18" s="4">
        <f>(Raw_Stock_Data!G18/Raw_Stock_Data!G17)-1</f>
        <v>-2.1436117990372483E-2</v>
      </c>
      <c r="H18" s="4">
        <f>(Raw_Stock_Data!H18/Raw_Stock_Data!H17)-1</f>
        <v>-4.6652969030929081E-2</v>
      </c>
      <c r="I18" s="4">
        <f>(Raw_Stock_Data!I18/Raw_Stock_Data!I17)-1</f>
        <v>-3.5135614252792102E-2</v>
      </c>
      <c r="J18" s="4">
        <f>(Raw_Stock_Data!J18/Raw_Stock_Data!J17)-1</f>
        <v>-2.6086777835999442E-2</v>
      </c>
    </row>
    <row r="19" spans="1:10" x14ac:dyDescent="0.2">
      <c r="A19" s="2">
        <v>44224</v>
      </c>
      <c r="B19" s="4">
        <f>(Raw_Stock_Data!B19/Raw_Stock_Data!B18)-1</f>
        <v>-3.4855803997570156E-2</v>
      </c>
      <c r="C19" s="4">
        <f>(Raw_Stock_Data!C19/Raw_Stock_Data!C18)-1</f>
        <v>2.5955507382860343E-2</v>
      </c>
      <c r="D19" s="4">
        <f>(Raw_Stock_Data!D19/Raw_Stock_Data!D18)-1</f>
        <v>1.0306717993294301E-2</v>
      </c>
      <c r="E19" s="4">
        <f>(Raw_Stock_Data!E19/Raw_Stock_Data!E18)-1</f>
        <v>-1.4858171994597158E-2</v>
      </c>
      <c r="F19" s="4">
        <f>(Raw_Stock_Data!F19/Raw_Stock_Data!F18)-1</f>
        <v>1.5591261469167783E-3</v>
      </c>
      <c r="G19" s="4">
        <f>(Raw_Stock_Data!G19/Raw_Stock_Data!G18)-1</f>
        <v>-3.3243882202233732E-2</v>
      </c>
      <c r="H19" s="4">
        <f>(Raw_Stock_Data!H19/Raw_Stock_Data!H18)-1</f>
        <v>1.883613041060106E-2</v>
      </c>
      <c r="I19" s="4">
        <f>(Raw_Stock_Data!I19/Raw_Stock_Data!I18)-1</f>
        <v>-2.6236495921217018E-2</v>
      </c>
      <c r="J19" s="4">
        <f>(Raw_Stock_Data!J19/Raw_Stock_Data!J18)-1</f>
        <v>5.0155983904269785E-3</v>
      </c>
    </row>
    <row r="20" spans="1:10" x14ac:dyDescent="0.2">
      <c r="A20" s="2">
        <v>44225</v>
      </c>
      <c r="B20" s="4">
        <f>(Raw_Stock_Data!B20/Raw_Stock_Data!B19)-1</f>
        <v>-3.7538212551699313E-2</v>
      </c>
      <c r="C20" s="4">
        <f>(Raw_Stock_Data!C20/Raw_Stock_Data!C19)-1</f>
        <v>-2.9135041284383822E-2</v>
      </c>
      <c r="D20" s="4">
        <f>(Raw_Stock_Data!D20/Raw_Stock_Data!D19)-1</f>
        <v>-4.6782817109144448E-3</v>
      </c>
      <c r="E20" s="4">
        <f>(Raw_Stock_Data!E20/Raw_Stock_Data!E19)-1</f>
        <v>-2.1480804387568497E-2</v>
      </c>
      <c r="F20" s="4">
        <f>(Raw_Stock_Data!F20/Raw_Stock_Data!F19)-1</f>
        <v>-9.7046595956288284E-3</v>
      </c>
      <c r="G20" s="4">
        <f>(Raw_Stock_Data!G20/Raw_Stock_Data!G19)-1</f>
        <v>-5.0154949959960726E-2</v>
      </c>
      <c r="H20" s="4">
        <f>(Raw_Stock_Data!H20/Raw_Stock_Data!H19)-1</f>
        <v>-1.3942007228787801E-2</v>
      </c>
      <c r="I20" s="4">
        <f>(Raw_Stock_Data!I20/Raw_Stock_Data!I19)-1</f>
        <v>-2.5169811320754798E-2</v>
      </c>
      <c r="J20" s="4">
        <f>(Raw_Stock_Data!J20/Raw_Stock_Data!J19)-1</f>
        <v>-1.9979515878942644E-2</v>
      </c>
    </row>
    <row r="21" spans="1:10" x14ac:dyDescent="0.2">
      <c r="A21" s="2">
        <v>44228</v>
      </c>
      <c r="B21" s="4">
        <f>(Raw_Stock_Data!B21/Raw_Stock_Data!B20)-1</f>
        <v>1.6519532283930216E-2</v>
      </c>
      <c r="C21" s="4">
        <f>(Raw_Stock_Data!C21/Raw_Stock_Data!C20)-1</f>
        <v>3.3104401730366106E-2</v>
      </c>
      <c r="D21" s="4">
        <f>(Raw_Stock_Data!D21/Raw_Stock_Data!D20)-1</f>
        <v>1.9032624047790048E-2</v>
      </c>
      <c r="E21" s="4">
        <f>(Raw_Stock_Data!E21/Raw_Stock_Data!E20)-1</f>
        <v>2.3587108827650693E-2</v>
      </c>
      <c r="F21" s="4">
        <f>(Raw_Stock_Data!F21/Raw_Stock_Data!F20)-1</f>
        <v>4.2629904559915222E-2</v>
      </c>
      <c r="G21" s="4">
        <f>(Raw_Stock_Data!G21/Raw_Stock_Data!G20)-1</f>
        <v>5.8322936750973664E-2</v>
      </c>
      <c r="H21" s="4">
        <f>(Raw_Stock_Data!H21/Raw_Stock_Data!H20)-1</f>
        <v>3.5957472750419939E-2</v>
      </c>
      <c r="I21" s="4">
        <f>(Raw_Stock_Data!I21/Raw_Stock_Data!I20)-1</f>
        <v>1.4245345101227214E-2</v>
      </c>
      <c r="J21" s="4">
        <f>(Raw_Stock_Data!J21/Raw_Stock_Data!J20)-1</f>
        <v>2.5453897231133116E-2</v>
      </c>
    </row>
    <row r="22" spans="1:10" x14ac:dyDescent="0.2">
      <c r="A22" s="2">
        <v>44229</v>
      </c>
      <c r="B22" s="4">
        <f>(Raw_Stock_Data!B22/Raw_Stock_Data!B21)-1</f>
        <v>6.3258179144711768E-3</v>
      </c>
      <c r="C22" s="4">
        <f>(Raw_Stock_Data!C22/Raw_Stock_Data!C21)-1</f>
        <v>-5.9140179492600531E-4</v>
      </c>
      <c r="D22" s="4">
        <f>(Raw_Stock_Data!D22/Raw_Stock_Data!D21)-1</f>
        <v>2.4198495830587863E-2</v>
      </c>
      <c r="E22" s="4">
        <f>(Raw_Stock_Data!E22/Raw_Stock_Data!E21)-1</f>
        <v>1.3689253935660561E-2</v>
      </c>
      <c r="F22" s="4">
        <f>(Raw_Stock_Data!F22/Raw_Stock_Data!F21)-1</f>
        <v>1.1104197578136077E-2</v>
      </c>
      <c r="G22" s="4">
        <f>(Raw_Stock_Data!G22/Raw_Stock_Data!G21)-1</f>
        <v>3.9269549934449532E-2</v>
      </c>
      <c r="H22" s="4">
        <f>(Raw_Stock_Data!H22/Raw_Stock_Data!H21)-1</f>
        <v>1.3760767498377735E-2</v>
      </c>
      <c r="I22" s="4">
        <f>(Raw_Stock_Data!I22/Raw_Stock_Data!I21)-1</f>
        <v>1.9350406473035431E-2</v>
      </c>
      <c r="J22" s="4">
        <f>(Raw_Stock_Data!J22/Raw_Stock_Data!J21)-1</f>
        <v>1.5622167227843153E-2</v>
      </c>
    </row>
    <row r="23" spans="1:10" x14ac:dyDescent="0.2">
      <c r="A23" s="2">
        <v>44230</v>
      </c>
      <c r="B23" s="4">
        <f>(Raw_Stock_Data!B23/Raw_Stock_Data!B22)-1</f>
        <v>-7.7852696305992231E-3</v>
      </c>
      <c r="C23" s="4">
        <f>(Raw_Stock_Data!C23/Raw_Stock_Data!C22)-1</f>
        <v>1.4560548730973233E-2</v>
      </c>
      <c r="D23" s="4">
        <f>(Raw_Stock_Data!D23/Raw_Stock_Data!D22)-1</f>
        <v>-1.9226787351731556E-3</v>
      </c>
      <c r="E23" s="4">
        <f>(Raw_Stock_Data!E23/Raw_Stock_Data!E22)-1</f>
        <v>-1.0916047715507582E-2</v>
      </c>
      <c r="F23" s="4">
        <f>(Raw_Stock_Data!F23/Raw_Stock_Data!F22)-1</f>
        <v>-1.9958579881656724E-2</v>
      </c>
      <c r="G23" s="4">
        <f>(Raw_Stock_Data!G23/Raw_Stock_Data!G22)-1</f>
        <v>-2.0736947031932185E-2</v>
      </c>
      <c r="H23" s="4">
        <f>(Raw_Stock_Data!H23/Raw_Stock_Data!H22)-1</f>
        <v>7.2823383474846626E-2</v>
      </c>
      <c r="I23" s="4">
        <f>(Raw_Stock_Data!I23/Raw_Stock_Data!I22)-1</f>
        <v>-1.6100044930358326E-3</v>
      </c>
      <c r="J23" s="4">
        <f>(Raw_Stock_Data!J23/Raw_Stock_Data!J22)-1</f>
        <v>-1.6455125257297532E-4</v>
      </c>
    </row>
    <row r="24" spans="1:10" x14ac:dyDescent="0.2">
      <c r="A24" s="2">
        <v>44231</v>
      </c>
      <c r="B24" s="4">
        <f>(Raw_Stock_Data!B24/Raw_Stock_Data!B23)-1</f>
        <v>2.5824711034752701E-2</v>
      </c>
      <c r="C24" s="4">
        <f>(Raw_Stock_Data!C24/Raw_Stock_Data!C23)-1</f>
        <v>-4.1168732198887392E-3</v>
      </c>
      <c r="D24" s="4">
        <f>(Raw_Stock_Data!D24/Raw_Stock_Data!D23)-1</f>
        <v>9.9208701321793491E-3</v>
      </c>
      <c r="E24" s="4">
        <f>(Raw_Stock_Data!E24/Raw_Stock_Data!E23)-1</f>
        <v>-5.6889293434969623E-4</v>
      </c>
      <c r="F24" s="4">
        <f>(Raw_Stock_Data!F24/Raw_Stock_Data!F23)-1</f>
        <v>5.5727628949386876E-3</v>
      </c>
      <c r="G24" s="4">
        <f>(Raw_Stock_Data!G24/Raw_Stock_Data!G23)-1</f>
        <v>-5.500233417691347E-3</v>
      </c>
      <c r="H24" s="4">
        <f>(Raw_Stock_Data!H24/Raw_Stock_Data!H23)-1</f>
        <v>-2.5445540693366242E-3</v>
      </c>
      <c r="I24" s="4">
        <f>(Raw_Stock_Data!I24/Raw_Stock_Data!I23)-1</f>
        <v>-6.0003750234383091E-4</v>
      </c>
      <c r="J24" s="4">
        <f>(Raw_Stock_Data!J24/Raw_Stock_Data!J23)-1</f>
        <v>1.2284597084318394E-2</v>
      </c>
    </row>
    <row r="25" spans="1:10" x14ac:dyDescent="0.2">
      <c r="A25" s="2">
        <v>44232</v>
      </c>
      <c r="B25" s="4">
        <f>(Raw_Stock_Data!B25/Raw_Stock_Data!B24)-1</f>
        <v>-3.0580353804975369E-3</v>
      </c>
      <c r="C25" s="4">
        <f>(Raw_Stock_Data!C25/Raw_Stock_Data!C24)-1</f>
        <v>7.8659370725042699E-4</v>
      </c>
      <c r="D25" s="4">
        <f>(Raw_Stock_Data!D25/Raw_Stock_Data!D24)-1</f>
        <v>-5.4215850983440061E-3</v>
      </c>
      <c r="E25" s="4">
        <f>(Raw_Stock_Data!E25/Raw_Stock_Data!E24)-1</f>
        <v>6.8306010928953498E-4</v>
      </c>
      <c r="F25" s="4">
        <f>(Raw_Stock_Data!F25/Raw_Stock_Data!F24)-1</f>
        <v>6.3524467126987449E-3</v>
      </c>
      <c r="G25" s="4">
        <f>(Raw_Stock_Data!G25/Raw_Stock_Data!G24)-1</f>
        <v>2.6365016059013424E-3</v>
      </c>
      <c r="H25" s="4">
        <f>(Raw_Stock_Data!H25/Raw_Stock_Data!H24)-1</f>
        <v>1.7134032508723251E-2</v>
      </c>
      <c r="I25" s="4">
        <f>(Raw_Stock_Data!I25/Raw_Stock_Data!I24)-1</f>
        <v>6.0415024954032504E-3</v>
      </c>
      <c r="J25" s="4">
        <f>(Raw_Stock_Data!J25/Raw_Stock_Data!J24)-1</f>
        <v>5.7019511182530014E-3</v>
      </c>
    </row>
    <row r="26" spans="1:10" x14ac:dyDescent="0.2">
      <c r="A26" s="2">
        <v>44235</v>
      </c>
      <c r="B26" s="4">
        <f>(Raw_Stock_Data!B26/Raw_Stock_Data!B25)-1</f>
        <v>1.0874700945724403E-3</v>
      </c>
      <c r="C26" s="4">
        <f>(Raw_Stock_Data!C26/Raw_Stock_Data!C25)-1</f>
        <v>1.131975532242091E-3</v>
      </c>
      <c r="D26" s="4">
        <f>(Raw_Stock_Data!D26/Raw_Stock_Data!D25)-1</f>
        <v>6.2381978047916897E-2</v>
      </c>
      <c r="E26" s="4">
        <f>(Raw_Stock_Data!E26/Raw_Stock_Data!E25)-1</f>
        <v>4.0614334470989721E-2</v>
      </c>
      <c r="F26" s="4">
        <f>(Raw_Stock_Data!F26/Raw_Stock_Data!F25)-1</f>
        <v>-8.7167676960527851E-3</v>
      </c>
      <c r="G26" s="4">
        <f>(Raw_Stock_Data!G26/Raw_Stock_Data!G25)-1</f>
        <v>1.3130242856690399E-2</v>
      </c>
      <c r="H26" s="4">
        <f>(Raw_Stock_Data!H26/Raw_Stock_Data!H25)-1</f>
        <v>-2.0564268142680975E-3</v>
      </c>
      <c r="I26" s="4">
        <f>(Raw_Stock_Data!I26/Raw_Stock_Data!I25)-1</f>
        <v>-5.6695262961582449E-3</v>
      </c>
      <c r="J26" s="4">
        <f>(Raw_Stock_Data!J26/Raw_Stock_Data!J25)-1</f>
        <v>9.4787208706508252E-3</v>
      </c>
    </row>
    <row r="27" spans="1:10" x14ac:dyDescent="0.2">
      <c r="A27" s="2">
        <v>44236</v>
      </c>
      <c r="B27" s="4">
        <f>(Raw_Stock_Data!B27/Raw_Stock_Data!B26)-1</f>
        <v>-6.6151241365878244E-3</v>
      </c>
      <c r="C27" s="4">
        <f>(Raw_Stock_Data!C27/Raw_Stock_Data!C26)-1</f>
        <v>5.4060050603961241E-3</v>
      </c>
      <c r="D27" s="4">
        <f>(Raw_Stock_Data!D27/Raw_Stock_Data!D26)-1</f>
        <v>-1.220621419892387E-2</v>
      </c>
      <c r="E27" s="4">
        <f>(Raw_Stock_Data!E27/Raw_Stock_Data!E26)-1</f>
        <v>-6.1222258664043183E-3</v>
      </c>
      <c r="F27" s="4">
        <f>(Raw_Stock_Data!F27/Raw_Stock_Data!F26)-1</f>
        <v>-5.3988335630494877E-3</v>
      </c>
      <c r="G27" s="4">
        <f>(Raw_Stock_Data!G27/Raw_Stock_Data!G26)-1</f>
        <v>-1.6170558742490626E-2</v>
      </c>
      <c r="H27" s="4">
        <f>(Raw_Stock_Data!H27/Raw_Stock_Data!H26)-1</f>
        <v>-4.3716899374096618E-3</v>
      </c>
      <c r="I27" s="4">
        <f>(Raw_Stock_Data!I27/Raw_Stock_Data!I26)-1</f>
        <v>1.0765998949658684E-2</v>
      </c>
      <c r="J27" s="4">
        <f>(Raw_Stock_Data!J27/Raw_Stock_Data!J26)-1</f>
        <v>1.4341232688288574E-3</v>
      </c>
    </row>
    <row r="28" spans="1:10" x14ac:dyDescent="0.2">
      <c r="A28" s="2">
        <v>44237</v>
      </c>
      <c r="B28" s="4">
        <f>(Raw_Stock_Data!B28/Raw_Stock_Data!B27)-1</f>
        <v>-4.5927948174570021E-3</v>
      </c>
      <c r="C28" s="4">
        <f>(Raw_Stock_Data!C28/Raw_Stock_Data!C27)-1</f>
        <v>-3.929790015107959E-3</v>
      </c>
      <c r="D28" s="4">
        <f>(Raw_Stock_Data!D28/Raw_Stock_Data!D27)-1</f>
        <v>3.5095981499574824E-2</v>
      </c>
      <c r="E28" s="4">
        <f>(Raw_Stock_Data!E28/Raw_Stock_Data!E27)-1</f>
        <v>1.5839841601583915E-2</v>
      </c>
      <c r="F28" s="4">
        <f>(Raw_Stock_Data!F28/Raw_Stock_Data!F27)-1</f>
        <v>-5.5733736762481056E-3</v>
      </c>
      <c r="G28" s="4">
        <f>(Raw_Stock_Data!G28/Raw_Stock_Data!G27)-1</f>
        <v>-5.2551094284715272E-2</v>
      </c>
      <c r="H28" s="4">
        <f>(Raw_Stock_Data!H28/Raw_Stock_Data!H27)-1</f>
        <v>5.3290262679408507E-3</v>
      </c>
      <c r="I28" s="4">
        <f>(Raw_Stock_Data!I28/Raw_Stock_Data!I27)-1</f>
        <v>8.9812581183894569E-3</v>
      </c>
      <c r="J28" s="4">
        <f>(Raw_Stock_Data!J28/Raw_Stock_Data!J27)-1</f>
        <v>-2.5107619380768664E-3</v>
      </c>
    </row>
    <row r="29" spans="1:10" x14ac:dyDescent="0.2">
      <c r="A29" s="2">
        <v>44238</v>
      </c>
      <c r="B29" s="4">
        <f>(Raw_Stock_Data!B29/Raw_Stock_Data!B28)-1</f>
        <v>-1.9319645427683385E-3</v>
      </c>
      <c r="C29" s="4">
        <f>(Raw_Stock_Data!C29/Raw_Stock_Data!C28)-1</f>
        <v>6.9106557027820426E-3</v>
      </c>
      <c r="D29" s="4">
        <f>(Raw_Stock_Data!D29/Raw_Stock_Data!D28)-1</f>
        <v>3.3030014939562591E-2</v>
      </c>
      <c r="E29" s="4">
        <f>(Raw_Stock_Data!E29/Raw_Stock_Data!E28)-1</f>
        <v>3.356794802382268E-3</v>
      </c>
      <c r="F29" s="4">
        <f>(Raw_Stock_Data!F29/Raw_Stock_Data!F28)-1</f>
        <v>-7.4423869189249592E-3</v>
      </c>
      <c r="G29" s="4">
        <f>(Raw_Stock_Data!G29/Raw_Stock_Data!G28)-1</f>
        <v>8.4988053214447579E-3</v>
      </c>
      <c r="H29" s="4">
        <f>(Raw_Stock_Data!H29/Raw_Stock_Data!H28)-1</f>
        <v>1.0967127478427319E-3</v>
      </c>
      <c r="I29" s="4">
        <f>(Raw_Stock_Data!I29/Raw_Stock_Data!I28)-1</f>
        <v>-5.4437782763822051E-3</v>
      </c>
      <c r="J29" s="4">
        <f>(Raw_Stock_Data!J29/Raw_Stock_Data!J28)-1</f>
        <v>3.8103335616384015E-3</v>
      </c>
    </row>
    <row r="30" spans="1:10" x14ac:dyDescent="0.2">
      <c r="A30" s="2">
        <v>44239</v>
      </c>
      <c r="B30" s="4">
        <f>(Raw_Stock_Data!B30/Raw_Stock_Data!B29)-1</f>
        <v>1.7838843132045312E-3</v>
      </c>
      <c r="C30" s="4">
        <f>(Raw_Stock_Data!C30/Raw_Stock_Data!C29)-1</f>
        <v>2.069123098014769E-3</v>
      </c>
      <c r="D30" s="4">
        <f>(Raw_Stock_Data!D30/Raw_Stock_Data!D29)-1</f>
        <v>-1.9030527727380342E-2</v>
      </c>
      <c r="E30" s="4">
        <f>(Raw_Stock_Data!E30/Raw_Stock_Data!E29)-1</f>
        <v>1.1979279084826322E-2</v>
      </c>
      <c r="F30" s="4">
        <f>(Raw_Stock_Data!F30/Raw_Stock_Data!F29)-1</f>
        <v>4.7821661986684472E-3</v>
      </c>
      <c r="G30" s="4">
        <f>(Raw_Stock_Data!G30/Raw_Stock_Data!G29)-1</f>
        <v>5.4961504769861502E-3</v>
      </c>
      <c r="H30" s="4">
        <f>(Raw_Stock_Data!H30/Raw_Stock_Data!H29)-1</f>
        <v>2.9982414160925064E-3</v>
      </c>
      <c r="I30" s="4">
        <f>(Raw_Stock_Data!I30/Raw_Stock_Data!I29)-1</f>
        <v>4.0681977883805231E-4</v>
      </c>
      <c r="J30" s="4">
        <f>(Raw_Stock_Data!J30/Raw_Stock_Data!J29)-1</f>
        <v>4.9694241385678239E-3</v>
      </c>
    </row>
    <row r="31" spans="1:10" x14ac:dyDescent="0.2">
      <c r="A31" s="2">
        <v>44243</v>
      </c>
      <c r="B31" s="4">
        <f>(Raw_Stock_Data!B31/Raw_Stock_Data!B30)-1</f>
        <v>-1.6079411987572789E-2</v>
      </c>
      <c r="C31" s="4">
        <f>(Raw_Stock_Data!C31/Raw_Stock_Data!C30)-1</f>
        <v>-5.2866933253385984E-3</v>
      </c>
      <c r="D31" s="4">
        <f>(Raw_Stock_Data!D31/Raw_Stock_Data!D30)-1</f>
        <v>2.4613178403661395E-2</v>
      </c>
      <c r="E31" s="4">
        <f>(Raw_Stock_Data!E31/Raw_Stock_Data!E30)-1</f>
        <v>-2.4634744587821333E-2</v>
      </c>
      <c r="F31" s="4">
        <f>(Raw_Stock_Data!F31/Raw_Stock_Data!F30)-1</f>
        <v>-2.6725894829331409E-3</v>
      </c>
      <c r="G31" s="4">
        <f>(Raw_Stock_Data!G31/Raw_Stock_Data!G30)-1</f>
        <v>-2.4382443758271033E-2</v>
      </c>
      <c r="H31" s="4">
        <f>(Raw_Stock_Data!H31/Raw_Stock_Data!H30)-1</f>
        <v>7.4731970912018664E-3</v>
      </c>
      <c r="I31" s="4">
        <f>(Raw_Stock_Data!I31/Raw_Stock_Data!I30)-1</f>
        <v>1.2828096118299603E-2</v>
      </c>
      <c r="J31" s="4">
        <f>(Raw_Stock_Data!J31/Raw_Stock_Data!J30)-1</f>
        <v>-3.4032210348430292E-3</v>
      </c>
    </row>
    <row r="32" spans="1:10" x14ac:dyDescent="0.2">
      <c r="A32" s="2">
        <v>44244</v>
      </c>
      <c r="B32" s="4">
        <f>(Raw_Stock_Data!B32/Raw_Stock_Data!B31)-1</f>
        <v>-1.7697615673710976E-2</v>
      </c>
      <c r="C32" s="4">
        <f>(Raw_Stock_Data!C32/Raw_Stock_Data!C31)-1</f>
        <v>4.3511667494449124E-3</v>
      </c>
      <c r="D32" s="4">
        <f>(Raw_Stock_Data!D32/Raw_Stock_Data!D31)-1</f>
        <v>-2.7612457652614109E-2</v>
      </c>
      <c r="E32" s="4">
        <f>(Raw_Stock_Data!E32/Raw_Stock_Data!E31)-1</f>
        <v>-1.6619287120052451E-2</v>
      </c>
      <c r="F32" s="4">
        <f>(Raw_Stock_Data!F32/Raw_Stock_Data!F31)-1</f>
        <v>1.2138417111252409E-2</v>
      </c>
      <c r="G32" s="4">
        <f>(Raw_Stock_Data!G32/Raw_Stock_Data!G31)-1</f>
        <v>2.4226942017355757E-3</v>
      </c>
      <c r="H32" s="4">
        <f>(Raw_Stock_Data!H32/Raw_Stock_Data!H31)-1</f>
        <v>3.7659410573165353E-3</v>
      </c>
      <c r="I32" s="4">
        <f>(Raw_Stock_Data!I32/Raw_Stock_Data!I31)-1</f>
        <v>-1.4600138701318377E-3</v>
      </c>
      <c r="J32" s="4">
        <f>(Raw_Stock_Data!J32/Raw_Stock_Data!J31)-1</f>
        <v>-5.8373376045559588E-3</v>
      </c>
    </row>
    <row r="33" spans="1:10" x14ac:dyDescent="0.2">
      <c r="A33" s="2">
        <v>44245</v>
      </c>
      <c r="B33" s="4">
        <f>(Raw_Stock_Data!B33/Raw_Stock_Data!B32)-1</f>
        <v>-8.5613484907879345E-3</v>
      </c>
      <c r="C33" s="4">
        <f>(Raw_Stock_Data!C33/Raw_Stock_Data!C32)-1</f>
        <v>-1.6526201002561303E-3</v>
      </c>
      <c r="D33" s="4">
        <f>(Raw_Stock_Data!D33/Raw_Stock_Data!D32)-1</f>
        <v>-5.1789077212806012E-3</v>
      </c>
      <c r="E33" s="4">
        <f>(Raw_Stock_Data!E33/Raw_Stock_Data!E32)-1</f>
        <v>-1.4454080498109811E-2</v>
      </c>
      <c r="F33" s="4">
        <f>(Raw_Stock_Data!F33/Raw_Stock_Data!F32)-1</f>
        <v>5.9238841336621828E-3</v>
      </c>
      <c r="G33" s="4">
        <f>(Raw_Stock_Data!G33/Raw_Stock_Data!G32)-1</f>
        <v>-1.3493704190941647E-2</v>
      </c>
      <c r="H33" s="4">
        <f>(Raw_Stock_Data!H33/Raw_Stock_Data!H32)-1</f>
        <v>-6.054060199528255E-3</v>
      </c>
      <c r="I33" s="4">
        <f>(Raw_Stock_Data!I33/Raw_Stock_Data!I32)-1</f>
        <v>-1.5279453156413325E-2</v>
      </c>
      <c r="J33" s="4">
        <f>(Raw_Stock_Data!J33/Raw_Stock_Data!J32)-1</f>
        <v>-7.1705273710214179E-3</v>
      </c>
    </row>
    <row r="34" spans="1:10" x14ac:dyDescent="0.2">
      <c r="A34" s="2">
        <v>44246</v>
      </c>
      <c r="B34" s="4">
        <f>(Raw_Stock_Data!B34/Raw_Stock_Data!B33)-1</f>
        <v>1.2652422148065057E-3</v>
      </c>
      <c r="C34" s="4">
        <f>(Raw_Stock_Data!C34/Raw_Stock_Data!C33)-1</f>
        <v>-1.1612892300267075E-2</v>
      </c>
      <c r="D34" s="4">
        <f>(Raw_Stock_Data!D34/Raw_Stock_Data!D33)-1</f>
        <v>6.5512811845040986E-3</v>
      </c>
      <c r="E34" s="4">
        <f>(Raw_Stock_Data!E34/Raw_Stock_Data!E33)-1</f>
        <v>1.0604693140794152E-2</v>
      </c>
      <c r="F34" s="4">
        <f>(Raw_Stock_Data!F34/Raw_Stock_Data!F33)-1</f>
        <v>-2.353796601206648E-2</v>
      </c>
      <c r="G34" s="4">
        <f>(Raw_Stock_Data!G34/Raw_Stock_Data!G33)-1</f>
        <v>-7.7230816124361779E-3</v>
      </c>
      <c r="H34" s="4">
        <f>(Raw_Stock_Data!H34/Raw_Stock_Data!H33)-1</f>
        <v>-8.0735868839957314E-3</v>
      </c>
      <c r="I34" s="4">
        <f>(Raw_Stock_Data!I34/Raw_Stock_Data!I33)-1</f>
        <v>-2.9065666877018392E-2</v>
      </c>
      <c r="J34" s="4">
        <f>(Raw_Stock_Data!J34/Raw_Stock_Data!J33)-1</f>
        <v>6.5631184476977467E-4</v>
      </c>
    </row>
    <row r="35" spans="1:10" x14ac:dyDescent="0.2">
      <c r="A35" s="2">
        <v>44249</v>
      </c>
      <c r="B35" s="4">
        <f>(Raw_Stock_Data!B35/Raw_Stock_Data!B34)-1</f>
        <v>-2.9798290922301685E-2</v>
      </c>
      <c r="C35" s="4">
        <f>(Raw_Stock_Data!C35/Raw_Stock_Data!C34)-1</f>
        <v>-2.6826865415917056E-2</v>
      </c>
      <c r="D35" s="4">
        <f>(Raw_Stock_Data!D35/Raw_Stock_Data!D34)-1</f>
        <v>-3.817865514948382E-2</v>
      </c>
      <c r="E35" s="4">
        <f>(Raw_Stock_Data!E35/Raw_Stock_Data!E34)-1</f>
        <v>-4.6997097566421009E-2</v>
      </c>
      <c r="F35" s="4">
        <f>(Raw_Stock_Data!F35/Raw_Stock_Data!F34)-1</f>
        <v>-2.1280654789378128E-2</v>
      </c>
      <c r="G35" s="4">
        <f>(Raw_Stock_Data!G35/Raw_Stock_Data!G34)-1</f>
        <v>-8.5496077686007532E-2</v>
      </c>
      <c r="H35" s="4">
        <f>(Raw_Stock_Data!H35/Raw_Stock_Data!H34)-1</f>
        <v>-1.6538058675994338E-2</v>
      </c>
      <c r="I35" s="4">
        <f>(Raw_Stock_Data!I35/Raw_Stock_Data!I34)-1</f>
        <v>-4.7025539073253242E-3</v>
      </c>
      <c r="J35" s="4">
        <f>(Raw_Stock_Data!J35/Raw_Stock_Data!J34)-1</f>
        <v>-2.4607083807225649E-2</v>
      </c>
    </row>
    <row r="36" spans="1:10" x14ac:dyDescent="0.2">
      <c r="A36" s="2">
        <v>44250</v>
      </c>
      <c r="B36" s="4">
        <f>(Raw_Stock_Data!B36/Raw_Stock_Data!B35)-1</f>
        <v>-1.1070861654930431E-3</v>
      </c>
      <c r="C36" s="4">
        <f>(Raw_Stock_Data!C36/Raw_Stock_Data!C35)-1</f>
        <v>-5.2333437501375091E-3</v>
      </c>
      <c r="D36" s="4">
        <f>(Raw_Stock_Data!D36/Raw_Stock_Data!D35)-1</f>
        <v>-1.4853870596040375E-2</v>
      </c>
      <c r="E36" s="4">
        <f>(Raw_Stock_Data!E36/Raw_Stock_Data!E35)-1</f>
        <v>-7.3796415602671583E-3</v>
      </c>
      <c r="F36" s="4">
        <f>(Raw_Stock_Data!F36/Raw_Stock_Data!F35)-1</f>
        <v>4.3260373372233651E-3</v>
      </c>
      <c r="G36" s="4">
        <f>(Raw_Stock_Data!G36/Raw_Stock_Data!G35)-1</f>
        <v>-2.1917394097418996E-2</v>
      </c>
      <c r="H36" s="4">
        <f>(Raw_Stock_Data!H36/Raw_Stock_Data!H35)-1</f>
        <v>2.8531785581678015E-3</v>
      </c>
      <c r="I36" s="4">
        <f>(Raw_Stock_Data!I36/Raw_Stock_Data!I35)-1</f>
        <v>2.1223063035378242E-2</v>
      </c>
      <c r="J36" s="4">
        <f>(Raw_Stock_Data!J36/Raw_Stock_Data!J35)-1</f>
        <v>-5.0136517636452105E-3</v>
      </c>
    </row>
    <row r="37" spans="1:10" x14ac:dyDescent="0.2">
      <c r="A37" s="2">
        <v>44251</v>
      </c>
      <c r="B37" s="4">
        <f>(Raw_Stock_Data!B37/Raw_Stock_Data!B36)-1</f>
        <v>-4.0909794717585157E-3</v>
      </c>
      <c r="C37" s="4">
        <f>(Raw_Stock_Data!C37/Raw_Stock_Data!C36)-1</f>
        <v>5.4334359845669145E-3</v>
      </c>
      <c r="D37" s="4">
        <f>(Raw_Stock_Data!D37/Raw_Stock_Data!D36)-1</f>
        <v>2.5200612470581696E-2</v>
      </c>
      <c r="E37" s="4">
        <f>(Raw_Stock_Data!E37/Raw_Stock_Data!E36)-1</f>
        <v>2.5961765400047243E-2</v>
      </c>
      <c r="F37" s="4">
        <f>(Raw_Stock_Data!F37/Raw_Stock_Data!F36)-1</f>
        <v>-1.0943809672875227E-2</v>
      </c>
      <c r="G37" s="4">
        <f>(Raw_Stock_Data!G37/Raw_Stock_Data!G36)-1</f>
        <v>6.1786586648465036E-2</v>
      </c>
      <c r="H37" s="4">
        <f>(Raw_Stock_Data!H37/Raw_Stock_Data!H36)-1</f>
        <v>1.1497164682269023E-2</v>
      </c>
      <c r="I37" s="4">
        <f>(Raw_Stock_Data!I37/Raw_Stock_Data!I36)-1</f>
        <v>-5.8114385661357515E-3</v>
      </c>
      <c r="J37" s="4">
        <f>(Raw_Stock_Data!J37/Raw_Stock_Data!J36)-1</f>
        <v>9.8602323025278604E-3</v>
      </c>
    </row>
    <row r="38" spans="1:10" x14ac:dyDescent="0.2">
      <c r="A38" s="2">
        <v>44252</v>
      </c>
      <c r="B38" s="4">
        <f>(Raw_Stock_Data!B38/Raw_Stock_Data!B37)-1</f>
        <v>-3.4875252645102162E-2</v>
      </c>
      <c r="C38" s="4">
        <f>(Raw_Stock_Data!C38/Raw_Stock_Data!C37)-1</f>
        <v>-2.3724233836187936E-2</v>
      </c>
      <c r="D38" s="4">
        <f>(Raw_Stock_Data!D38/Raw_Stock_Data!D37)-1</f>
        <v>-8.2151524999481418E-2</v>
      </c>
      <c r="E38" s="4">
        <f>(Raw_Stock_Data!E38/Raw_Stock_Data!E37)-1</f>
        <v>-5.1989878076834528E-2</v>
      </c>
      <c r="F38" s="4">
        <f>(Raw_Stock_Data!F38/Raw_Stock_Data!F37)-1</f>
        <v>-3.2403451135291861E-2</v>
      </c>
      <c r="G38" s="4">
        <f>(Raw_Stock_Data!G38/Raw_Stock_Data!G37)-1</f>
        <v>-8.0589471981887262E-2</v>
      </c>
      <c r="H38" s="4">
        <f>(Raw_Stock_Data!H38/Raw_Stock_Data!H37)-1</f>
        <v>-3.2558229140578265E-2</v>
      </c>
      <c r="I38" s="4">
        <f>(Raw_Stock_Data!I38/Raw_Stock_Data!I37)-1</f>
        <v>-3.6396655442472836E-2</v>
      </c>
      <c r="J38" s="4">
        <f>(Raw_Stock_Data!J38/Raw_Stock_Data!J37)-1</f>
        <v>-3.5192017632043493E-2</v>
      </c>
    </row>
    <row r="39" spans="1:10" x14ac:dyDescent="0.2">
      <c r="A39" s="2">
        <v>44253</v>
      </c>
      <c r="B39" s="4">
        <f>(Raw_Stock_Data!B39/Raw_Stock_Data!B38)-1</f>
        <v>2.2637670100471574E-3</v>
      </c>
      <c r="C39" s="4">
        <f>(Raw_Stock_Data!C39/Raw_Stock_Data!C38)-1</f>
        <v>1.4834681872478495E-2</v>
      </c>
      <c r="D39" s="4">
        <f>(Raw_Stock_Data!D39/Raw_Stock_Data!D38)-1</f>
        <v>3.0623314399361057E-2</v>
      </c>
      <c r="E39" s="4">
        <f>(Raw_Stock_Data!E39/Raw_Stock_Data!E38)-1</f>
        <v>2.5357922834263524E-2</v>
      </c>
      <c r="F39" s="4">
        <f>(Raw_Stock_Data!F39/Raw_Stock_Data!F38)-1</f>
        <v>1.1697130670295097E-2</v>
      </c>
      <c r="G39" s="4">
        <f>(Raw_Stock_Data!G39/Raw_Stock_Data!G38)-1</f>
        <v>-9.8501805133527354E-3</v>
      </c>
      <c r="H39" s="4">
        <f>(Raw_Stock_Data!H39/Raw_Stock_Data!H38)-1</f>
        <v>2.9571658999940631E-3</v>
      </c>
      <c r="I39" s="4">
        <f>(Raw_Stock_Data!I39/Raw_Stock_Data!I38)-1</f>
        <v>1.15041815540462E-2</v>
      </c>
      <c r="J39" s="4">
        <f>(Raw_Stock_Data!J39/Raw_Stock_Data!J38)-1</f>
        <v>5.5581683045680119E-3</v>
      </c>
    </row>
    <row r="40" spans="1:10" x14ac:dyDescent="0.2">
      <c r="A40" s="2">
        <v>44256</v>
      </c>
      <c r="B40" s="4">
        <f>(Raw_Stock_Data!B40/Raw_Stock_Data!B39)-1</f>
        <v>5.381856325922918E-2</v>
      </c>
      <c r="C40" s="4">
        <f>(Raw_Stock_Data!C40/Raw_Stock_Data!C39)-1</f>
        <v>1.9610368843721027E-2</v>
      </c>
      <c r="D40" s="4">
        <f>(Raw_Stock_Data!D40/Raw_Stock_Data!D39)-1</f>
        <v>9.2758411484792358E-3</v>
      </c>
      <c r="E40" s="4">
        <f>(Raw_Stock_Data!E40/Raw_Stock_Data!E39)-1</f>
        <v>2.2245888060584473E-2</v>
      </c>
      <c r="F40" s="4">
        <f>(Raw_Stock_Data!F40/Raw_Stock_Data!F39)-1</f>
        <v>1.7207040595941692E-2</v>
      </c>
      <c r="G40" s="4">
        <f>(Raw_Stock_Data!G40/Raw_Stock_Data!G39)-1</f>
        <v>6.3552829677528289E-2</v>
      </c>
      <c r="H40" s="4">
        <f>(Raw_Stock_Data!H40/Raw_Stock_Data!H39)-1</f>
        <v>2.3607429688973669E-2</v>
      </c>
      <c r="I40" s="4">
        <f>(Raw_Stock_Data!I40/Raw_Stock_Data!I39)-1</f>
        <v>2.8297492430712001E-2</v>
      </c>
      <c r="J40" s="4">
        <f>(Raw_Stock_Data!J40/Raw_Stock_Data!J39)-1</f>
        <v>3.0053781168631888E-2</v>
      </c>
    </row>
    <row r="41" spans="1:10" x14ac:dyDescent="0.2">
      <c r="A41" s="2">
        <v>44257</v>
      </c>
      <c r="B41" s="4">
        <f>(Raw_Stock_Data!B41/Raw_Stock_Data!B40)-1</f>
        <v>-2.08069099491065E-2</v>
      </c>
      <c r="C41" s="4">
        <f>(Raw_Stock_Data!C41/Raw_Stock_Data!C40)-1</f>
        <v>-1.2964439274932404E-2</v>
      </c>
      <c r="D41" s="4">
        <f>(Raw_Stock_Data!D41/Raw_Stock_Data!D40)-1</f>
        <v>-3.1540600828529275E-2</v>
      </c>
      <c r="E41" s="4">
        <f>(Raw_Stock_Data!E41/Raw_Stock_Data!E40)-1</f>
        <v>-2.6160435235559776E-2</v>
      </c>
      <c r="F41" s="4">
        <f>(Raw_Stock_Data!F41/Raw_Stock_Data!F40)-1</f>
        <v>-1.640105017577087E-2</v>
      </c>
      <c r="G41" s="4">
        <f>(Raw_Stock_Data!G41/Raw_Stock_Data!G40)-1</f>
        <v>-4.4530372436601517E-2</v>
      </c>
      <c r="H41" s="4">
        <f>(Raw_Stock_Data!H41/Raw_Stock_Data!H40)-1</f>
        <v>-2.5022064029327495E-3</v>
      </c>
      <c r="I41" s="4">
        <f>(Raw_Stock_Data!I41/Raw_Stock_Data!I40)-1</f>
        <v>-2.2309463591408507E-2</v>
      </c>
      <c r="J41" s="4">
        <f>(Raw_Stock_Data!J41/Raw_Stock_Data!J40)-1</f>
        <v>-1.6928609747859036E-2</v>
      </c>
    </row>
    <row r="42" spans="1:10" x14ac:dyDescent="0.2">
      <c r="A42" s="2">
        <v>44258</v>
      </c>
      <c r="B42" s="4">
        <f>(Raw_Stock_Data!B42/Raw_Stock_Data!B41)-1</f>
        <v>-2.4462625633290158E-2</v>
      </c>
      <c r="C42" s="4">
        <f>(Raw_Stock_Data!C42/Raw_Stock_Data!C41)-1</f>
        <v>-2.6909411894516122E-2</v>
      </c>
      <c r="D42" s="4">
        <f>(Raw_Stock_Data!D42/Raw_Stock_Data!D41)-1</f>
        <v>-4.4884498321131283E-2</v>
      </c>
      <c r="E42" s="4">
        <f>(Raw_Stock_Data!E42/Raw_Stock_Data!E41)-1</f>
        <v>-3.8868417924640353E-2</v>
      </c>
      <c r="F42" s="4">
        <f>(Raw_Stock_Data!F42/Raw_Stock_Data!F41)-1</f>
        <v>-2.8934833610165023E-2</v>
      </c>
      <c r="G42" s="4">
        <f>(Raw_Stock_Data!G42/Raw_Stock_Data!G41)-1</f>
        <v>-4.8423822073046519E-2</v>
      </c>
      <c r="H42" s="4">
        <f>(Raw_Stock_Data!H42/Raw_Stock_Data!H41)-1</f>
        <v>-2.5697368037257751E-2</v>
      </c>
      <c r="I42" s="4">
        <f>(Raw_Stock_Data!I42/Raw_Stock_Data!I41)-1</f>
        <v>-1.3861003861003862E-2</v>
      </c>
      <c r="J42" s="4">
        <f>(Raw_Stock_Data!J42/Raw_Stock_Data!J41)-1</f>
        <v>-2.7026399846093896E-2</v>
      </c>
    </row>
    <row r="43" spans="1:10" x14ac:dyDescent="0.2">
      <c r="A43" s="2">
        <v>44259</v>
      </c>
      <c r="B43" s="4">
        <f>(Raw_Stock_Data!B43/Raw_Stock_Data!B42)-1</f>
        <v>-1.5773374342425983E-2</v>
      </c>
      <c r="C43" s="4">
        <f>(Raw_Stock_Data!C43/Raw_Stock_Data!C42)-1</f>
        <v>-3.6829071381272449E-3</v>
      </c>
      <c r="D43" s="4">
        <f>(Raw_Stock_Data!D43/Raw_Stock_Data!D42)-1</f>
        <v>-3.3941700138585551E-2</v>
      </c>
      <c r="E43" s="4">
        <f>(Raw_Stock_Data!E43/Raw_Stock_Data!E42)-1</f>
        <v>-3.8461538461538436E-2</v>
      </c>
      <c r="F43" s="4">
        <f>(Raw_Stock_Data!F43/Raw_Stock_Data!F42)-1</f>
        <v>-9.1314475873545131E-3</v>
      </c>
      <c r="G43" s="4">
        <f>(Raw_Stock_Data!G43/Raw_Stock_Data!G42)-1</f>
        <v>-4.8619180372290849E-2</v>
      </c>
      <c r="H43" s="4">
        <f>(Raw_Stock_Data!H43/Raw_Stock_Data!H42)-1</f>
        <v>1.1176752355101405E-2</v>
      </c>
      <c r="I43" s="4">
        <f>(Raw_Stock_Data!I43/Raw_Stock_Data!I42)-1</f>
        <v>8.7310598645315984E-3</v>
      </c>
      <c r="J43" s="4">
        <f>(Raw_Stock_Data!J43/Raw_Stock_Data!J42)-1</f>
        <v>-2.1102113827393243E-2</v>
      </c>
    </row>
    <row r="44" spans="1:10" x14ac:dyDescent="0.2">
      <c r="A44" s="2">
        <v>44260</v>
      </c>
      <c r="B44" s="4">
        <f>(Raw_Stock_Data!B44/Raw_Stock_Data!B43)-1</f>
        <v>1.0638570367397904E-2</v>
      </c>
      <c r="C44" s="4">
        <f>(Raw_Stock_Data!C44/Raw_Stock_Data!C43)-1</f>
        <v>2.1487166880627795E-2</v>
      </c>
      <c r="D44" s="4">
        <f>(Raw_Stock_Data!D44/Raw_Stock_Data!D43)-1</f>
        <v>7.3753485054788293E-3</v>
      </c>
      <c r="E44" s="4">
        <f>(Raw_Stock_Data!E44/Raw_Stock_Data!E43)-1</f>
        <v>9.9035369774918003E-3</v>
      </c>
      <c r="F44" s="4">
        <f>(Raw_Stock_Data!F44/Raw_Stock_Data!F43)-1</f>
        <v>7.6908609734145372E-3</v>
      </c>
      <c r="G44" s="4">
        <f>(Raw_Stock_Data!G44/Raw_Stock_Data!G43)-1</f>
        <v>-3.7799244015119582E-2</v>
      </c>
      <c r="H44" s="4">
        <f>(Raw_Stock_Data!H44/Raw_Stock_Data!H43)-1</f>
        <v>3.1057555660824132E-2</v>
      </c>
      <c r="I44" s="4">
        <f>(Raw_Stock_Data!I44/Raw_Stock_Data!I43)-1</f>
        <v>2.5772395590746733E-2</v>
      </c>
      <c r="J44" s="4">
        <f>(Raw_Stock_Data!J44/Raw_Stock_Data!J43)-1</f>
        <v>1.5458047215107129E-2</v>
      </c>
    </row>
    <row r="45" spans="1:10" x14ac:dyDescent="0.2">
      <c r="A45" s="2">
        <v>44263</v>
      </c>
      <c r="B45" s="4">
        <f>(Raw_Stock_Data!B45/Raw_Stock_Data!B44)-1</f>
        <v>-4.1650122077944052E-2</v>
      </c>
      <c r="C45" s="4">
        <f>(Raw_Stock_Data!C45/Raw_Stock_Data!C44)-1</f>
        <v>-1.8156212954462347E-2</v>
      </c>
      <c r="D45" s="4">
        <f>(Raw_Stock_Data!D45/Raw_Stock_Data!D44)-1</f>
        <v>-6.9641334255877152E-2</v>
      </c>
      <c r="E45" s="4">
        <f>(Raw_Stock_Data!E45/Raw_Stock_Data!E44)-1</f>
        <v>-5.8074375955170732E-2</v>
      </c>
      <c r="F45" s="4">
        <f>(Raw_Stock_Data!F45/Raw_Stock_Data!F44)-1</f>
        <v>-1.6164188157815729E-2</v>
      </c>
      <c r="G45" s="4">
        <f>(Raw_Stock_Data!G45/Raw_Stock_Data!G44)-1</f>
        <v>-5.8449605402449367E-2</v>
      </c>
      <c r="H45" s="4">
        <f>(Raw_Stock_Data!H45/Raw_Stock_Data!H44)-1</f>
        <v>-4.2718353673127485E-2</v>
      </c>
      <c r="I45" s="4">
        <f>(Raw_Stock_Data!I45/Raw_Stock_Data!I44)-1</f>
        <v>-3.3941274405932975E-2</v>
      </c>
      <c r="J45" s="4">
        <f>(Raw_Stock_Data!J45/Raw_Stock_Data!J44)-1</f>
        <v>-2.4070153984280362E-2</v>
      </c>
    </row>
    <row r="46" spans="1:10" x14ac:dyDescent="0.2">
      <c r="A46" s="2">
        <v>44264</v>
      </c>
      <c r="B46" s="4">
        <f>(Raw_Stock_Data!B46/Raw_Stock_Data!B45)-1</f>
        <v>4.0621666651974309E-2</v>
      </c>
      <c r="C46" s="4">
        <f>(Raw_Stock_Data!C46/Raw_Stock_Data!C45)-1</f>
        <v>2.8023893387559395E-2</v>
      </c>
      <c r="D46" s="4">
        <f>(Raw_Stock_Data!D46/Raw_Stock_Data!D45)-1</f>
        <v>8.0302322765872791E-2</v>
      </c>
      <c r="E46" s="4">
        <f>(Raw_Stock_Data!E46/Raw_Stock_Data!E45)-1</f>
        <v>6.1790156841535993E-2</v>
      </c>
      <c r="F46" s="4">
        <f>(Raw_Stock_Data!F46/Raw_Stock_Data!F45)-1</f>
        <v>3.756148457296149E-2</v>
      </c>
      <c r="G46" s="4">
        <f>(Raw_Stock_Data!G46/Raw_Stock_Data!G45)-1</f>
        <v>0.1964117292864489</v>
      </c>
      <c r="H46" s="4">
        <f>(Raw_Stock_Data!H46/Raw_Stock_Data!H45)-1</f>
        <v>1.6378034635843752E-2</v>
      </c>
      <c r="I46" s="4">
        <f>(Raw_Stock_Data!I46/Raw_Stock_Data!I45)-1</f>
        <v>4.0852297207316646E-2</v>
      </c>
      <c r="J46" s="4">
        <f>(Raw_Stock_Data!J46/Raw_Stock_Data!J45)-1</f>
        <v>3.6850987694660109E-2</v>
      </c>
    </row>
    <row r="47" spans="1:10" x14ac:dyDescent="0.2">
      <c r="A47" s="2">
        <v>44265</v>
      </c>
      <c r="B47" s="4">
        <f>(Raw_Stock_Data!B47/Raw_Stock_Data!B46)-1</f>
        <v>-8.99656910500235E-3</v>
      </c>
      <c r="C47" s="4">
        <f>(Raw_Stock_Data!C47/Raw_Stock_Data!C46)-1</f>
        <v>-5.7840219704529128E-3</v>
      </c>
      <c r="D47" s="4">
        <f>(Raw_Stock_Data!D47/Raw_Stock_Data!D46)-1</f>
        <v>-4.1625308187377419E-3</v>
      </c>
      <c r="E47" s="4">
        <f>(Raw_Stock_Data!E47/Raw_Stock_Data!E46)-1</f>
        <v>-1.28613268814467E-2</v>
      </c>
      <c r="F47" s="4">
        <f>(Raw_Stock_Data!F47/Raw_Stock_Data!F46)-1</f>
        <v>-1.6977706964776962E-3</v>
      </c>
      <c r="G47" s="4">
        <f>(Raw_Stock_Data!G47/Raw_Stock_Data!G46)-1</f>
        <v>-8.1950055004519351E-3</v>
      </c>
      <c r="H47" s="4">
        <f>(Raw_Stock_Data!H47/Raw_Stock_Data!H46)-1</f>
        <v>-2.046237088047298E-3</v>
      </c>
      <c r="I47" s="4">
        <f>(Raw_Stock_Data!I47/Raw_Stock_Data!I46)-1</f>
        <v>-3.1609844208626559E-3</v>
      </c>
      <c r="J47" s="4">
        <f>(Raw_Stock_Data!J47/Raw_Stock_Data!J46)-1</f>
        <v>-3.8167880542949728E-4</v>
      </c>
    </row>
    <row r="48" spans="1:10" x14ac:dyDescent="0.2">
      <c r="A48" s="2">
        <v>44266</v>
      </c>
      <c r="B48" s="4">
        <f>(Raw_Stock_Data!B48/Raw_Stock_Data!B47)-1</f>
        <v>1.6395544651786942E-2</v>
      </c>
      <c r="C48" s="4">
        <f>(Raw_Stock_Data!C48/Raw_Stock_Data!C47)-1</f>
        <v>2.0259707961772122E-2</v>
      </c>
      <c r="D48" s="4">
        <f>(Raw_Stock_Data!D48/Raw_Stock_Data!D47)-1</f>
        <v>4.2225330375229131E-2</v>
      </c>
      <c r="E48" s="4">
        <f>(Raw_Stock_Data!E48/Raw_Stock_Data!E47)-1</f>
        <v>4.7858617131063097E-2</v>
      </c>
      <c r="F48" s="4">
        <f>(Raw_Stock_Data!F48/Raw_Stock_Data!F47)-1</f>
        <v>1.8301696733428408E-2</v>
      </c>
      <c r="G48" s="4">
        <f>(Raw_Stock_Data!G48/Raw_Stock_Data!G47)-1</f>
        <v>4.7209760785317467E-2</v>
      </c>
      <c r="H48" s="4">
        <f>(Raw_Stock_Data!H48/Raw_Stock_Data!H47)-1</f>
        <v>3.1604266477395893E-2</v>
      </c>
      <c r="I48" s="4">
        <f>(Raw_Stock_Data!I48/Raw_Stock_Data!I47)-1</f>
        <v>3.3899584748962042E-2</v>
      </c>
      <c r="J48" s="4">
        <f>(Raw_Stock_Data!J48/Raw_Stock_Data!J47)-1</f>
        <v>2.5238678596324338E-2</v>
      </c>
    </row>
    <row r="49" spans="1:10" x14ac:dyDescent="0.2">
      <c r="A49" s="2">
        <v>44267</v>
      </c>
      <c r="B49" s="4">
        <f>(Raw_Stock_Data!B49/Raw_Stock_Data!B48)-1</f>
        <v>-7.7038881085945699E-3</v>
      </c>
      <c r="C49" s="4">
        <f>(Raw_Stock_Data!C49/Raw_Stock_Data!C48)-1</f>
        <v>-5.780497784432681E-3</v>
      </c>
      <c r="D49" s="4">
        <f>(Raw_Stock_Data!D49/Raw_Stock_Data!D48)-1</f>
        <v>-1.0635754336441594E-2</v>
      </c>
      <c r="E49" s="4">
        <f>(Raw_Stock_Data!E49/Raw_Stock_Data!E48)-1</f>
        <v>-2.2159300750954625E-3</v>
      </c>
      <c r="F49" s="4">
        <f>(Raw_Stock_Data!F49/Raw_Stock_Data!F48)-1</f>
        <v>-7.7466598150052191E-3</v>
      </c>
      <c r="G49" s="4">
        <f>(Raw_Stock_Data!G49/Raw_Stock_Data!G48)-1</f>
        <v>-8.391938250428832E-3</v>
      </c>
      <c r="H49" s="4">
        <f>(Raw_Stock_Data!H49/Raw_Stock_Data!H48)-1</f>
        <v>-2.4071171928751522E-2</v>
      </c>
      <c r="I49" s="4">
        <f>(Raw_Stock_Data!I49/Raw_Stock_Data!I48)-1</f>
        <v>-2.0008762961881144E-2</v>
      </c>
      <c r="J49" s="4">
        <f>(Raw_Stock_Data!J49/Raw_Stock_Data!J48)-1</f>
        <v>-5.8819270867929152E-3</v>
      </c>
    </row>
    <row r="50" spans="1:10" x14ac:dyDescent="0.2">
      <c r="A50" s="2">
        <v>44270</v>
      </c>
      <c r="B50" s="4">
        <f>(Raw_Stock_Data!B50/Raw_Stock_Data!B49)-1</f>
        <v>2.4469212187989919E-2</v>
      </c>
      <c r="C50" s="4">
        <f>(Raw_Stock_Data!C50/Raw_Stock_Data!C49)-1</f>
        <v>-4.0190884812398853E-3</v>
      </c>
      <c r="D50" s="4">
        <f>(Raw_Stock_Data!D50/Raw_Stock_Data!D49)-1</f>
        <v>2.6076178300254105E-2</v>
      </c>
      <c r="E50" s="4">
        <f>(Raw_Stock_Data!E50/Raw_Stock_Data!E49)-1</f>
        <v>1.7890191239975373E-2</v>
      </c>
      <c r="F50" s="4">
        <f>(Raw_Stock_Data!F50/Raw_Stock_Data!F49)-1</f>
        <v>-2.5246967127152686E-3</v>
      </c>
      <c r="G50" s="4">
        <f>(Raw_Stock_Data!G50/Raw_Stock_Data!G49)-1</f>
        <v>2.0484944409127959E-2</v>
      </c>
      <c r="H50" s="4">
        <f>(Raw_Stock_Data!H50/Raw_Stock_Data!H49)-1</f>
        <v>2.1737214699055762E-3</v>
      </c>
      <c r="I50" s="4">
        <f>(Raw_Stock_Data!I50/Raw_Stock_Data!I49)-1</f>
        <v>1.9932935916542549E-2</v>
      </c>
      <c r="J50" s="4">
        <f>(Raw_Stock_Data!J50/Raw_Stock_Data!J49)-1</f>
        <v>1.0499359602878622E-2</v>
      </c>
    </row>
    <row r="51" spans="1:10" x14ac:dyDescent="0.2">
      <c r="A51" s="2">
        <v>44271</v>
      </c>
      <c r="B51" s="4">
        <f>(Raw_Stock_Data!B51/Raw_Stock_Data!B50)-1</f>
        <v>1.2848302336355699E-2</v>
      </c>
      <c r="C51" s="4">
        <f>(Raw_Stock_Data!C51/Raw_Stock_Data!C50)-1</f>
        <v>1.2365269987516081E-2</v>
      </c>
      <c r="D51" s="4">
        <f>(Raw_Stock_Data!D51/Raw_Stock_Data!D50)-1</f>
        <v>7.5898589152352258E-3</v>
      </c>
      <c r="E51" s="4">
        <f>(Raw_Stock_Data!E51/Raw_Stock_Data!E50)-1</f>
        <v>3.0303030303029388E-3</v>
      </c>
      <c r="F51" s="4">
        <f>(Raw_Stock_Data!F51/Raw_Stock_Data!F50)-1</f>
        <v>3.3033929544923346E-3</v>
      </c>
      <c r="G51" s="4">
        <f>(Raw_Stock_Data!G51/Raw_Stock_Data!G50)-1</f>
        <v>-4.3872362064581671E-2</v>
      </c>
      <c r="H51" s="4">
        <f>(Raw_Stock_Data!H51/Raw_Stock_Data!H50)-1</f>
        <v>1.4333030454025897E-2</v>
      </c>
      <c r="I51" s="4">
        <f>(Raw_Stock_Data!I51/Raw_Stock_Data!I50)-1</f>
        <v>2.0200913242009122E-2</v>
      </c>
      <c r="J51" s="4">
        <f>(Raw_Stock_Data!J51/Raw_Stock_Data!J50)-1</f>
        <v>8.8114825653762274E-4</v>
      </c>
    </row>
    <row r="52" spans="1:10" x14ac:dyDescent="0.2">
      <c r="A52" s="2">
        <v>44272</v>
      </c>
      <c r="B52" s="4">
        <f>(Raw_Stock_Data!B52/Raw_Stock_Data!B51)-1</f>
        <v>-6.5019399632427755E-3</v>
      </c>
      <c r="C52" s="4">
        <f>(Raw_Stock_Data!C52/Raw_Stock_Data!C51)-1</f>
        <v>-2.8483966913440684E-3</v>
      </c>
      <c r="D52" s="4">
        <f>(Raw_Stock_Data!D52/Raw_Stock_Data!D51)-1</f>
        <v>3.7625733287085517E-3</v>
      </c>
      <c r="E52" s="4">
        <f>(Raw_Stock_Data!E52/Raw_Stock_Data!E51)-1</f>
        <v>-1.4501510574018717E-3</v>
      </c>
      <c r="F52" s="4">
        <f>(Raw_Stock_Data!F52/Raw_Stock_Data!F51)-1</f>
        <v>1.4185635830859189E-2</v>
      </c>
      <c r="G52" s="4">
        <f>(Raw_Stock_Data!G52/Raw_Stock_Data!G51)-1</f>
        <v>3.6830698453642619E-2</v>
      </c>
      <c r="H52" s="4">
        <f>(Raw_Stock_Data!H52/Raw_Stock_Data!H51)-1</f>
        <v>-7.9947600608754055E-4</v>
      </c>
      <c r="I52" s="4">
        <f>(Raw_Stock_Data!I52/Raw_Stock_Data!I51)-1</f>
        <v>1.6936407906044115E-2</v>
      </c>
      <c r="J52" s="4">
        <f>(Raw_Stock_Data!J52/Raw_Stock_Data!J51)-1</f>
        <v>3.9809762336535659E-3</v>
      </c>
    </row>
    <row r="53" spans="1:10" x14ac:dyDescent="0.2">
      <c r="A53" s="2">
        <v>44273</v>
      </c>
      <c r="B53" s="4">
        <f>(Raw_Stock_Data!B53/Raw_Stock_Data!B52)-1</f>
        <v>-3.3914609180376365E-2</v>
      </c>
      <c r="C53" s="4">
        <f>(Raw_Stock_Data!C53/Raw_Stock_Data!C52)-1</f>
        <v>-2.6623238072014277E-2</v>
      </c>
      <c r="D53" s="4">
        <f>(Raw_Stock_Data!D53/Raw_Stock_Data!D52)-1</f>
        <v>-4.6423930108697942E-2</v>
      </c>
      <c r="E53" s="4">
        <f>(Raw_Stock_Data!E53/Raw_Stock_Data!E52)-1</f>
        <v>-5.4580660776957446E-2</v>
      </c>
      <c r="F53" s="4">
        <f>(Raw_Stock_Data!F53/Raw_Stock_Data!F52)-1</f>
        <v>-3.4352556988506588E-2</v>
      </c>
      <c r="G53" s="4">
        <f>(Raw_Stock_Data!G53/Raw_Stock_Data!G52)-1</f>
        <v>-6.9322082440999133E-2</v>
      </c>
      <c r="H53" s="4">
        <f>(Raw_Stock_Data!H53/Raw_Stock_Data!H52)-1</f>
        <v>-2.9237962115004623E-2</v>
      </c>
      <c r="I53" s="4">
        <f>(Raw_Stock_Data!I53/Raw_Stock_Data!I52)-1</f>
        <v>-1.8978204992781911E-2</v>
      </c>
      <c r="J53" s="4">
        <f>(Raw_Stock_Data!J53/Raw_Stock_Data!J52)-1</f>
        <v>-3.0242066660751799E-2</v>
      </c>
    </row>
    <row r="54" spans="1:10" x14ac:dyDescent="0.2">
      <c r="A54" s="2">
        <v>44274</v>
      </c>
      <c r="B54" s="4">
        <f>(Raw_Stock_Data!B54/Raw_Stock_Data!B53)-1</f>
        <v>-4.4338916122004246E-3</v>
      </c>
      <c r="C54" s="4">
        <f>(Raw_Stock_Data!C54/Raw_Stock_Data!C53)-1</f>
        <v>-1.6149596260093269E-3</v>
      </c>
      <c r="D54" s="4">
        <f>(Raw_Stock_Data!D54/Raw_Stock_Data!D53)-1</f>
        <v>9.7446845384863146E-3</v>
      </c>
      <c r="E54" s="4">
        <f>(Raw_Stock_Data!E54/Raw_Stock_Data!E53)-1</f>
        <v>1.2032770097286205E-2</v>
      </c>
      <c r="F54" s="4">
        <f>(Raw_Stock_Data!F54/Raw_Stock_Data!F53)-1</f>
        <v>1.5508586525759371E-2</v>
      </c>
      <c r="G54" s="4">
        <f>(Raw_Stock_Data!G54/Raw_Stock_Data!G53)-1</f>
        <v>2.6180415212198049E-3</v>
      </c>
      <c r="H54" s="4">
        <f>(Raw_Stock_Data!H54/Raw_Stock_Data!H53)-1</f>
        <v>2.7804810232170407E-3</v>
      </c>
      <c r="I54" s="4">
        <f>(Raw_Stock_Data!I54/Raw_Stock_Data!I53)-1</f>
        <v>4.1238963462780776E-2</v>
      </c>
      <c r="J54" s="4">
        <f>(Raw_Stock_Data!J54/Raw_Stock_Data!J53)-1</f>
        <v>7.5532720298685518E-3</v>
      </c>
    </row>
    <row r="55" spans="1:10" x14ac:dyDescent="0.2">
      <c r="A55" s="2">
        <v>44277</v>
      </c>
      <c r="B55" s="4">
        <f>(Raw_Stock_Data!B55/Raw_Stock_Data!B54)-1</f>
        <v>2.8286161237102814E-2</v>
      </c>
      <c r="C55" s="4">
        <f>(Raw_Stock_Data!C55/Raw_Stock_Data!C54)-1</f>
        <v>2.4501061951661018E-2</v>
      </c>
      <c r="D55" s="4">
        <f>(Raw_Stock_Data!D55/Raw_Stock_Data!D54)-1</f>
        <v>2.6486604565526095E-2</v>
      </c>
      <c r="E55" s="4">
        <f>(Raw_Stock_Data!E55/Raw_Stock_Data!E54)-1</f>
        <v>1.5684290412345092E-2</v>
      </c>
      <c r="F55" s="4">
        <f>(Raw_Stock_Data!F55/Raw_Stock_Data!F54)-1</f>
        <v>1.1681452766865386E-2</v>
      </c>
      <c r="G55" s="4">
        <f>(Raw_Stock_Data!G55/Raw_Stock_Data!G54)-1</f>
        <v>2.310229511200701E-2</v>
      </c>
      <c r="H55" s="4">
        <f>(Raw_Stock_Data!H55/Raw_Stock_Data!H54)-1</f>
        <v>1.8518151749815637E-3</v>
      </c>
      <c r="I55" s="4">
        <f>(Raw_Stock_Data!I55/Raw_Stock_Data!I54)-1</f>
        <v>1.1823101582158602E-2</v>
      </c>
      <c r="J55" s="4">
        <f>(Raw_Stock_Data!J55/Raw_Stock_Data!J54)-1</f>
        <v>1.2281275254933055E-2</v>
      </c>
    </row>
    <row r="56" spans="1:10" x14ac:dyDescent="0.2">
      <c r="A56" s="2">
        <v>44278</v>
      </c>
      <c r="B56" s="4">
        <f>(Raw_Stock_Data!B56/Raw_Stock_Data!B55)-1</f>
        <v>-6.9414424899412186E-3</v>
      </c>
      <c r="C56" s="4">
        <f>(Raw_Stock_Data!C56/Raw_Stock_Data!C55)-1</f>
        <v>6.7091785411252935E-3</v>
      </c>
      <c r="D56" s="4">
        <f>(Raw_Stock_Data!D56/Raw_Stock_Data!D55)-1</f>
        <v>-8.7251943787858277E-3</v>
      </c>
      <c r="E56" s="4">
        <f>(Raw_Stock_Data!E56/Raw_Stock_Data!E55)-1</f>
        <v>-2.3910336239103436E-2</v>
      </c>
      <c r="F56" s="4">
        <f>(Raw_Stock_Data!F56/Raw_Stock_Data!F55)-1</f>
        <v>8.5570642390577767E-3</v>
      </c>
      <c r="G56" s="4">
        <f>(Raw_Stock_Data!G56/Raw_Stock_Data!G55)-1</f>
        <v>-1.1700017462712653E-2</v>
      </c>
      <c r="H56" s="4">
        <f>(Raw_Stock_Data!H56/Raw_Stock_Data!H55)-1</f>
        <v>5.2189900068202455E-3</v>
      </c>
      <c r="I56" s="4">
        <f>(Raw_Stock_Data!I56/Raw_Stock_Data!I55)-1</f>
        <v>-9.9134700551885002E-3</v>
      </c>
      <c r="J56" s="4">
        <f>(Raw_Stock_Data!J56/Raw_Stock_Data!J55)-1</f>
        <v>-1.1200863536943273E-2</v>
      </c>
    </row>
    <row r="57" spans="1:10" x14ac:dyDescent="0.2">
      <c r="A57" s="2">
        <v>44279</v>
      </c>
      <c r="B57" s="4">
        <f>(Raw_Stock_Data!B57/Raw_Stock_Data!B56)-1</f>
        <v>-1.9881631047155013E-2</v>
      </c>
      <c r="C57" s="4">
        <f>(Raw_Stock_Data!C57/Raw_Stock_Data!C56)-1</f>
        <v>-8.9062282774918788E-3</v>
      </c>
      <c r="D57" s="4">
        <f>(Raw_Stock_Data!D57/Raw_Stock_Data!D56)-1</f>
        <v>-3.2762123825953671E-2</v>
      </c>
      <c r="E57" s="4">
        <f>(Raw_Stock_Data!E57/Raw_Stock_Data!E56)-1</f>
        <v>-2.4240877774942438E-2</v>
      </c>
      <c r="F57" s="4">
        <f>(Raw_Stock_Data!F57/Raw_Stock_Data!F56)-1</f>
        <v>-1.6070119521912285E-2</v>
      </c>
      <c r="G57" s="4">
        <f>(Raw_Stock_Data!G57/Raw_Stock_Data!G56)-1</f>
        <v>-4.8160565422254442E-2</v>
      </c>
      <c r="H57" s="4">
        <f>(Raw_Stock_Data!H57/Raw_Stock_Data!H56)-1</f>
        <v>-4.3167448400641684E-3</v>
      </c>
      <c r="I57" s="4">
        <f>(Raw_Stock_Data!I57/Raw_Stock_Data!I56)-1</f>
        <v>-2.9212400646870584E-2</v>
      </c>
      <c r="J57" s="4">
        <f>(Raw_Stock_Data!J57/Raw_Stock_Data!J56)-1</f>
        <v>-2.0094952259274157E-2</v>
      </c>
    </row>
    <row r="58" spans="1:10" x14ac:dyDescent="0.2">
      <c r="A58" s="2">
        <v>44280</v>
      </c>
      <c r="B58" s="4">
        <f>(Raw_Stock_Data!B58/Raw_Stock_Data!B57)-1</f>
        <v>4.0996908149844025E-3</v>
      </c>
      <c r="C58" s="4">
        <f>(Raw_Stock_Data!C58/Raw_Stock_Data!C57)-1</f>
        <v>-1.3282133557770748E-2</v>
      </c>
      <c r="D58" s="4">
        <f>(Raw_Stock_Data!D58/Raw_Stock_Data!D57)-1</f>
        <v>-8.5452470036145867E-3</v>
      </c>
      <c r="E58" s="4">
        <f>(Raw_Stock_Data!E58/Raw_Stock_Data!E57)-1</f>
        <v>-3.3995815899582338E-3</v>
      </c>
      <c r="F58" s="4">
        <f>(Raw_Stock_Data!F58/Raw_Stock_Data!F57)-1</f>
        <v>-1.3222851367635569E-2</v>
      </c>
      <c r="G58" s="4">
        <f>(Raw_Stock_Data!G58/Raw_Stock_Data!G57)-1</f>
        <v>1.60550240373174E-2</v>
      </c>
      <c r="H58" s="4">
        <f>(Raw_Stock_Data!H58/Raw_Stock_Data!H57)-1</f>
        <v>-2.9627288708033994E-5</v>
      </c>
      <c r="I58" s="4">
        <f>(Raw_Stock_Data!I58/Raw_Stock_Data!I57)-1</f>
        <v>-1.2050754944353814E-2</v>
      </c>
      <c r="J58" s="4">
        <f>(Raw_Stock_Data!J58/Raw_Stock_Data!J57)-1</f>
        <v>1.2181865453264606E-3</v>
      </c>
    </row>
    <row r="59" spans="1:10" x14ac:dyDescent="0.2">
      <c r="A59" s="2">
        <v>44281</v>
      </c>
      <c r="B59" s="4">
        <f>(Raw_Stock_Data!B59/Raw_Stock_Data!B58)-1</f>
        <v>5.1036899678469361E-3</v>
      </c>
      <c r="C59" s="4">
        <f>(Raw_Stock_Data!C59/Raw_Stock_Data!C58)-1</f>
        <v>1.7841276610868206E-2</v>
      </c>
      <c r="D59" s="4">
        <f>(Raw_Stock_Data!D59/Raw_Stock_Data!D58)-1</f>
        <v>2.4257639477429427E-2</v>
      </c>
      <c r="E59" s="4">
        <f>(Raw_Stock_Data!E59/Raw_Stock_Data!E58)-1</f>
        <v>1.5612700078719399E-2</v>
      </c>
      <c r="F59" s="4">
        <f>(Raw_Stock_Data!F59/Raw_Stock_Data!F58)-1</f>
        <v>1.8974086256591249E-3</v>
      </c>
      <c r="G59" s="4">
        <f>(Raw_Stock_Data!G59/Raw_Stock_Data!G58)-1</f>
        <v>-3.3851299756866515E-2</v>
      </c>
      <c r="H59" s="4">
        <f>(Raw_Stock_Data!H59/Raw_Stock_Data!H58)-1</f>
        <v>-3.8022813688212143E-3</v>
      </c>
      <c r="I59" s="4">
        <f>(Raw_Stock_Data!I59/Raw_Stock_Data!I58)-1</f>
        <v>1.5354810934921304E-2</v>
      </c>
      <c r="J59" s="4">
        <f>(Raw_Stock_Data!J59/Raw_Stock_Data!J58)-1</f>
        <v>1.2408997602036731E-2</v>
      </c>
    </row>
    <row r="60" spans="1:10" x14ac:dyDescent="0.2">
      <c r="A60" s="2">
        <v>44284</v>
      </c>
      <c r="B60" s="4">
        <f>(Raw_Stock_Data!B60/Raw_Stock_Data!B59)-1</f>
        <v>1.4810175860260344E-3</v>
      </c>
      <c r="C60" s="4">
        <f>(Raw_Stock_Data!C60/Raw_Stock_Data!C59)-1</f>
        <v>-5.2419777226858644E-3</v>
      </c>
      <c r="D60" s="4">
        <f>(Raw_Stock_Data!D60/Raw_Stock_Data!D59)-1</f>
        <v>8.5084459986886074E-3</v>
      </c>
      <c r="E60" s="4">
        <f>(Raw_Stock_Data!E60/Raw_Stock_Data!E59)-1</f>
        <v>-3.4879214571760242E-3</v>
      </c>
      <c r="F60" s="4">
        <f>(Raw_Stock_Data!F60/Raw_Stock_Data!F59)-1</f>
        <v>7.7587449705769362E-3</v>
      </c>
      <c r="G60" s="4">
        <f>(Raw_Stock_Data!G60/Raw_Stock_Data!G59)-1</f>
        <v>-1.1995907620843904E-2</v>
      </c>
      <c r="H60" s="4">
        <f>(Raw_Stock_Data!H60/Raw_Stock_Data!H59)-1</f>
        <v>1.0419351640725605E-2</v>
      </c>
      <c r="I60" s="4">
        <f>(Raw_Stock_Data!I60/Raw_Stock_Data!I59)-1</f>
        <v>2.7559889760440992E-2</v>
      </c>
      <c r="J60" s="4">
        <f>(Raw_Stock_Data!J60/Raw_Stock_Data!J59)-1</f>
        <v>-6.0180900422567296E-3</v>
      </c>
    </row>
    <row r="61" spans="1:10" x14ac:dyDescent="0.2">
      <c r="A61" s="2">
        <v>44285</v>
      </c>
      <c r="B61" s="4">
        <f>(Raw_Stock_Data!B61/Raw_Stock_Data!B60)-1</f>
        <v>-1.2109483931483922E-2</v>
      </c>
      <c r="C61" s="4">
        <f>(Raw_Stock_Data!C61/Raw_Stock_Data!C60)-1</f>
        <v>-1.4395970356849808E-2</v>
      </c>
      <c r="D61" s="4">
        <f>(Raw_Stock_Data!D61/Raw_Stock_Data!D60)-1</f>
        <v>-5.882444000681164E-3</v>
      </c>
      <c r="E61" s="4">
        <f>(Raw_Stock_Data!E61/Raw_Stock_Data!E60)-1</f>
        <v>-1.4778325123152691E-2</v>
      </c>
      <c r="F61" s="4">
        <f>(Raw_Stock_Data!F61/Raw_Stock_Data!F60)-1</f>
        <v>-6.6455984289857106E-3</v>
      </c>
      <c r="G61" s="4">
        <f>(Raw_Stock_Data!G61/Raw_Stock_Data!G60)-1</f>
        <v>3.9801141522258554E-2</v>
      </c>
      <c r="H61" s="4">
        <f>(Raw_Stock_Data!H61/Raw_Stock_Data!H60)-1</f>
        <v>3.3359170337798894E-4</v>
      </c>
      <c r="I61" s="4">
        <f>(Raw_Stock_Data!I61/Raw_Stock_Data!I60)-1</f>
        <v>-9.6967196203837647E-3</v>
      </c>
      <c r="J61" s="4">
        <f>(Raw_Stock_Data!J61/Raw_Stock_Data!J60)-1</f>
        <v>-1.0919128766850861E-3</v>
      </c>
    </row>
    <row r="62" spans="1:10" x14ac:dyDescent="0.2">
      <c r="A62" s="2">
        <v>44286</v>
      </c>
      <c r="B62" s="4">
        <f>(Raw_Stock_Data!B62/Raw_Stock_Data!B61)-1</f>
        <v>1.8656333401765535E-2</v>
      </c>
      <c r="C62" s="4">
        <f>(Raw_Stock_Data!C62/Raw_Stock_Data!C61)-1</f>
        <v>1.6916707474513792E-2</v>
      </c>
      <c r="D62" s="4">
        <f>(Raw_Stock_Data!D62/Raw_Stock_Data!D61)-1</f>
        <v>3.7006181971067864E-2</v>
      </c>
      <c r="E62" s="4">
        <f>(Raw_Stock_Data!E62/Raw_Stock_Data!E61)-1</f>
        <v>3.289473684210531E-2</v>
      </c>
      <c r="F62" s="4">
        <f>(Raw_Stock_Data!F62/Raw_Stock_Data!F61)-1</f>
        <v>1.2699327066586275E-2</v>
      </c>
      <c r="G62" s="4">
        <f>(Raw_Stock_Data!G62/Raw_Stock_Data!G61)-1</f>
        <v>5.0832338240361041E-2</v>
      </c>
      <c r="H62" s="4">
        <f>(Raw_Stock_Data!H62/Raw_Stock_Data!H61)-1</f>
        <v>7.8269824922760911E-3</v>
      </c>
      <c r="I62" s="4">
        <f>(Raw_Stock_Data!I62/Raw_Stock_Data!I61)-1</f>
        <v>2.2673611111110992E-2</v>
      </c>
      <c r="J62" s="4">
        <f>(Raw_Stock_Data!J62/Raw_Stock_Data!J61)-1</f>
        <v>1.5444536345789794E-2</v>
      </c>
    </row>
    <row r="63" spans="1:10" x14ac:dyDescent="0.2">
      <c r="A63" s="2">
        <v>44287</v>
      </c>
      <c r="B63" s="4">
        <f>(Raw_Stock_Data!B63/Raw_Stock_Data!B62)-1</f>
        <v>6.9194272998278628E-3</v>
      </c>
      <c r="C63" s="4">
        <f>(Raw_Stock_Data!C63/Raw_Stock_Data!C62)-1</f>
        <v>2.7872871339140959E-2</v>
      </c>
      <c r="D63" s="4">
        <f>(Raw_Stock_Data!D63/Raw_Stock_Data!D62)-1</f>
        <v>3.4807156639712789E-2</v>
      </c>
      <c r="E63" s="4">
        <f>(Raw_Stock_Data!E63/Raw_Stock_Data!E62)-1</f>
        <v>3.2993630573248556E-2</v>
      </c>
      <c r="F63" s="4">
        <f>(Raw_Stock_Data!F63/Raw_Stock_Data!F62)-1</f>
        <v>2.1628400041369344E-2</v>
      </c>
      <c r="G63" s="4">
        <f>(Raw_Stock_Data!G63/Raw_Stock_Data!G62)-1</f>
        <v>-9.2524804283090623E-3</v>
      </c>
      <c r="H63" s="4">
        <f>(Raw_Stock_Data!H63/Raw_Stock_Data!H62)-1</f>
        <v>3.2612186505503571E-2</v>
      </c>
      <c r="I63" s="4">
        <f>(Raw_Stock_Data!I63/Raw_Stock_Data!I62)-1</f>
        <v>1.402234067836905E-2</v>
      </c>
      <c r="J63" s="4">
        <f>(Raw_Stock_Data!J63/Raw_Stock_Data!J62)-1</f>
        <v>1.7607178148498548E-2</v>
      </c>
    </row>
    <row r="64" spans="1:10" x14ac:dyDescent="0.2">
      <c r="A64" s="2">
        <v>44291</v>
      </c>
      <c r="B64" s="4">
        <f>(Raw_Stock_Data!B64/Raw_Stock_Data!B63)-1</f>
        <v>2.3676287851620792E-2</v>
      </c>
      <c r="C64" s="4">
        <f>(Raw_Stock_Data!C64/Raw_Stock_Data!C63)-1</f>
        <v>2.7789963244845506E-2</v>
      </c>
      <c r="D64" s="4">
        <f>(Raw_Stock_Data!D64/Raw_Stock_Data!D63)-1</f>
        <v>1.2718843187474071E-2</v>
      </c>
      <c r="E64" s="4">
        <f>(Raw_Stock_Data!E64/Raw_Stock_Data!E63)-1</f>
        <v>4.1928721174004924E-3</v>
      </c>
      <c r="F64" s="4">
        <f>(Raw_Stock_Data!F64/Raw_Stock_Data!F63)-1</f>
        <v>2.0790888959190124E-2</v>
      </c>
      <c r="G64" s="4">
        <f>(Raw_Stock_Data!G64/Raw_Stock_Data!G63)-1</f>
        <v>4.4278117533989469E-2</v>
      </c>
      <c r="H64" s="4">
        <f>(Raw_Stock_Data!H64/Raw_Stock_Data!H63)-1</f>
        <v>4.1874010404885809E-2</v>
      </c>
      <c r="I64" s="4">
        <f>(Raw_Stock_Data!I64/Raw_Stock_Data!I63)-1</f>
        <v>3.4319962499163026E-2</v>
      </c>
      <c r="J64" s="4">
        <f>(Raw_Stock_Data!J64/Raw_Stock_Data!J63)-1</f>
        <v>1.672686647215782E-2</v>
      </c>
    </row>
    <row r="65" spans="1:10" x14ac:dyDescent="0.2">
      <c r="A65" s="2">
        <v>44292</v>
      </c>
      <c r="B65" s="4">
        <f>(Raw_Stock_Data!B65/Raw_Stock_Data!B64)-1</f>
        <v>2.4847655358946064E-3</v>
      </c>
      <c r="C65" s="4">
        <f>(Raw_Stock_Data!C65/Raw_Stock_Data!C64)-1</f>
        <v>-4.9021639137749595E-3</v>
      </c>
      <c r="D65" s="4">
        <f>(Raw_Stock_Data!D65/Raw_Stock_Data!D64)-1</f>
        <v>-8.9912594927640255E-3</v>
      </c>
      <c r="E65" s="4">
        <f>(Raw_Stock_Data!E65/Raw_Stock_Data!E64)-1</f>
        <v>1.2280486307236771E-4</v>
      </c>
      <c r="F65" s="4">
        <f>(Raw_Stock_Data!F65/Raw_Stock_Data!F64)-1</f>
        <v>-8.9874547528145943E-4</v>
      </c>
      <c r="G65" s="4">
        <f>(Raw_Stock_Data!G65/Raw_Stock_Data!G64)-1</f>
        <v>8.2483177772951777E-4</v>
      </c>
      <c r="H65" s="4">
        <f>(Raw_Stock_Data!H65/Raw_Stock_Data!H64)-1</f>
        <v>-4.3691823387337347E-3</v>
      </c>
      <c r="I65" s="4">
        <f>(Raw_Stock_Data!I65/Raw_Stock_Data!I64)-1</f>
        <v>-8.5785503868441859E-3</v>
      </c>
      <c r="J65" s="4">
        <f>(Raw_Stock_Data!J65/Raw_Stock_Data!J64)-1</f>
        <v>-5.2606272331223725E-4</v>
      </c>
    </row>
    <row r="66" spans="1:10" x14ac:dyDescent="0.2">
      <c r="A66" s="2">
        <v>44293</v>
      </c>
      <c r="B66" s="4">
        <f>(Raw_Stock_Data!B66/Raw_Stock_Data!B65)-1</f>
        <v>1.3238198174770233E-2</v>
      </c>
      <c r="C66" s="4">
        <f>(Raw_Stock_Data!C66/Raw_Stock_Data!C65)-1</f>
        <v>8.2244033663836369E-3</v>
      </c>
      <c r="D66" s="4">
        <f>(Raw_Stock_Data!D66/Raw_Stock_Data!D65)-1</f>
        <v>2.0336164829206638E-2</v>
      </c>
      <c r="E66" s="4">
        <f>(Raw_Stock_Data!E66/Raw_Stock_Data!E65)-1</f>
        <v>9.3320235756386705E-3</v>
      </c>
      <c r="F66" s="4">
        <f>(Raw_Stock_Data!F66/Raw_Stock_Data!F65)-1</f>
        <v>1.7234212828259654E-2</v>
      </c>
      <c r="G66" s="4">
        <f>(Raw_Stock_Data!G66/Raw_Stock_Data!G65)-1</f>
        <v>-2.9855990283681688E-2</v>
      </c>
      <c r="H66" s="4">
        <f>(Raw_Stock_Data!H66/Raw_Stock_Data!H65)-1</f>
        <v>1.3483064398895239E-2</v>
      </c>
      <c r="I66" s="4">
        <f>(Raw_Stock_Data!I66/Raw_Stock_Data!I65)-1</f>
        <v>2.2301312610200519E-2</v>
      </c>
      <c r="J66" s="4">
        <f>(Raw_Stock_Data!J66/Raw_Stock_Data!J65)-1</f>
        <v>-6.9643271686137265E-4</v>
      </c>
    </row>
    <row r="67" spans="1:10" x14ac:dyDescent="0.2">
      <c r="A67" s="2">
        <v>44294</v>
      </c>
      <c r="B67" s="4">
        <f>(Raw_Stock_Data!B67/Raw_Stock_Data!B66)-1</f>
        <v>1.9321153013265757E-2</v>
      </c>
      <c r="C67" s="4">
        <f>(Raw_Stock_Data!C67/Raw_Stock_Data!C66)-1</f>
        <v>1.343168920425919E-2</v>
      </c>
      <c r="D67" s="4">
        <f>(Raw_Stock_Data!D67/Raw_Stock_Data!D66)-1</f>
        <v>1.2172483668466461E-2</v>
      </c>
      <c r="E67" s="4">
        <f>(Raw_Stock_Data!E67/Raw_Stock_Data!E66)-1</f>
        <v>1.3990267639902632E-2</v>
      </c>
      <c r="F67" s="4">
        <f>(Raw_Stock_Data!F67/Raw_Stock_Data!F66)-1</f>
        <v>6.0743189261385222E-3</v>
      </c>
      <c r="G67" s="4">
        <f>(Raw_Stock_Data!G67/Raw_Stock_Data!G66)-1</f>
        <v>1.9118561010833535E-2</v>
      </c>
      <c r="H67" s="4">
        <f>(Raw_Stock_Data!H67/Raw_Stock_Data!H66)-1</f>
        <v>5.0830135905619578E-3</v>
      </c>
      <c r="I67" s="4">
        <f>(Raw_Stock_Data!I67/Raw_Stock_Data!I66)-1</f>
        <v>-2.2357788495319664E-4</v>
      </c>
      <c r="J67" s="4">
        <f>(Raw_Stock_Data!J67/Raw_Stock_Data!J66)-1</f>
        <v>1.0261643791585007E-2</v>
      </c>
    </row>
    <row r="68" spans="1:10" x14ac:dyDescent="0.2">
      <c r="A68" s="2">
        <v>44295</v>
      </c>
      <c r="B68" s="4">
        <f>(Raw_Stock_Data!B68/Raw_Stock_Data!B67)-1</f>
        <v>2.0237467641296636E-2</v>
      </c>
      <c r="C68" s="4">
        <f>(Raw_Stock_Data!C68/Raw_Stock_Data!C67)-1</f>
        <v>1.0229616165238875E-2</v>
      </c>
      <c r="D68" s="4">
        <f>(Raw_Stock_Data!D68/Raw_Stock_Data!D67)-1</f>
        <v>5.8030464243712387E-3</v>
      </c>
      <c r="E68" s="4">
        <f>(Raw_Stock_Data!E68/Raw_Stock_Data!E67)-1</f>
        <v>-7.07858428314323E-3</v>
      </c>
      <c r="F68" s="4">
        <f>(Raw_Stock_Data!F68/Raw_Stock_Data!F67)-1</f>
        <v>2.2095596035522691E-2</v>
      </c>
      <c r="G68" s="4">
        <f>(Raw_Stock_Data!G68/Raw_Stock_Data!G67)-1</f>
        <v>-9.9151943772950446E-3</v>
      </c>
      <c r="H68" s="4">
        <f>(Raw_Stock_Data!H68/Raw_Stock_Data!H67)-1</f>
        <v>8.999687820541391E-3</v>
      </c>
      <c r="I68" s="4">
        <f>(Raw_Stock_Data!I68/Raw_Stock_Data!I67)-1</f>
        <v>-1.7890230656187889E-3</v>
      </c>
      <c r="J68" s="4">
        <f>(Raw_Stock_Data!J68/Raw_Stock_Data!J67)-1</f>
        <v>5.1253460946352192E-3</v>
      </c>
    </row>
    <row r="69" spans="1:10" x14ac:dyDescent="0.2">
      <c r="A69" s="2">
        <v>44298</v>
      </c>
      <c r="B69" s="4">
        <f>(Raw_Stock_Data!B69/Raw_Stock_Data!B68)-1</f>
        <v>-1.3257444297910759E-2</v>
      </c>
      <c r="C69" s="4">
        <f>(Raw_Stock_Data!C69/Raw_Stock_Data!C68)-1</f>
        <v>2.3802223692492852E-4</v>
      </c>
      <c r="D69" s="4">
        <f>(Raw_Stock_Data!D69/Raw_Stock_Data!D68)-1</f>
        <v>5.6157566899815548E-2</v>
      </c>
      <c r="E69" s="4">
        <f>(Raw_Stock_Data!E69/Raw_Stock_Data!E68)-1</f>
        <v>-5.050749154180767E-2</v>
      </c>
      <c r="F69" s="4">
        <f>(Raw_Stock_Data!F69/Raw_Stock_Data!F68)-1</f>
        <v>2.1291738331059573E-3</v>
      </c>
      <c r="G69" s="4">
        <f>(Raw_Stock_Data!G69/Raw_Stock_Data!G68)-1</f>
        <v>3.6867502979975431E-2</v>
      </c>
      <c r="H69" s="4">
        <f>(Raw_Stock_Data!H69/Raw_Stock_Data!H68)-1</f>
        <v>-1.148297443513302E-2</v>
      </c>
      <c r="I69" s="4">
        <f>(Raw_Stock_Data!I69/Raw_Stock_Data!I68)-1</f>
        <v>-2.9443768802405179E-3</v>
      </c>
      <c r="J69" s="4">
        <f>(Raw_Stock_Data!J69/Raw_Stock_Data!J68)-1</f>
        <v>-3.6107420114401823E-3</v>
      </c>
    </row>
    <row r="70" spans="1:10" x14ac:dyDescent="0.2">
      <c r="A70" s="2">
        <v>44299</v>
      </c>
      <c r="B70" s="4">
        <f>(Raw_Stock_Data!B70/Raw_Stock_Data!B69)-1</f>
        <v>2.42449821797035E-2</v>
      </c>
      <c r="C70" s="4">
        <f>(Raw_Stock_Data!C70/Raw_Stock_Data!C69)-1</f>
        <v>1.0087321273720917E-2</v>
      </c>
      <c r="D70" s="4">
        <f>(Raw_Stock_Data!D70/Raw_Stock_Data!D69)-1</f>
        <v>3.0852564018081896E-2</v>
      </c>
      <c r="E70" s="4">
        <f>(Raw_Stock_Data!E70/Raw_Stock_Data!E69)-1</f>
        <v>2.0488673962840487E-2</v>
      </c>
      <c r="F70" s="4">
        <f>(Raw_Stock_Data!F70/Raw_Stock_Data!F69)-1</f>
        <v>6.1017109647332202E-3</v>
      </c>
      <c r="G70" s="4">
        <f>(Raw_Stock_Data!G70/Raw_Stock_Data!G69)-1</f>
        <v>8.5959836405362644E-2</v>
      </c>
      <c r="H70" s="4">
        <f>(Raw_Stock_Data!H70/Raw_Stock_Data!H69)-1</f>
        <v>4.3729040912139361E-3</v>
      </c>
      <c r="I70" s="4">
        <f>(Raw_Stock_Data!I70/Raw_Stock_Data!I69)-1</f>
        <v>-5.7135520318418731E-3</v>
      </c>
      <c r="J70" s="4">
        <f>(Raw_Stock_Data!J70/Raw_Stock_Data!J69)-1</f>
        <v>1.0548736462093977E-2</v>
      </c>
    </row>
    <row r="71" spans="1:10" x14ac:dyDescent="0.2">
      <c r="A71" s="2">
        <v>44300</v>
      </c>
      <c r="B71" s="4">
        <f>(Raw_Stock_Data!B71/Raw_Stock_Data!B70)-1</f>
        <v>-1.7757123452833312E-2</v>
      </c>
      <c r="C71" s="4">
        <f>(Raw_Stock_Data!C71/Raw_Stock_Data!C70)-1</f>
        <v>-1.1196473350476799E-2</v>
      </c>
      <c r="D71" s="4">
        <f>(Raw_Stock_Data!D71/Raw_Stock_Data!D70)-1</f>
        <v>-2.5659055460379943E-2</v>
      </c>
      <c r="E71" s="4">
        <f>(Raw_Stock_Data!E71/Raw_Stock_Data!E70)-1</f>
        <v>-2.0451427858835247E-2</v>
      </c>
      <c r="F71" s="4">
        <f>(Raw_Stock_Data!F71/Raw_Stock_Data!F70)-1</f>
        <v>-1.9705882352941129E-2</v>
      </c>
      <c r="G71" s="4">
        <f>(Raw_Stock_Data!G71/Raw_Stock_Data!G70)-1</f>
        <v>-3.9471561192725879E-2</v>
      </c>
      <c r="H71" s="4">
        <f>(Raw_Stock_Data!H71/Raw_Stock_Data!H70)-1</f>
        <v>-5.5558523425396356E-3</v>
      </c>
      <c r="I71" s="4">
        <f>(Raw_Stock_Data!I71/Raw_Stock_Data!I70)-1</f>
        <v>-2.2404442148760362E-2</v>
      </c>
      <c r="J71" s="4">
        <f>(Raw_Stock_Data!J71/Raw_Stock_Data!J70)-1</f>
        <v>-9.8784661441401189E-3</v>
      </c>
    </row>
    <row r="72" spans="1:10" x14ac:dyDescent="0.2">
      <c r="A72" s="2">
        <v>44301</v>
      </c>
      <c r="B72" s="4">
        <f>(Raw_Stock_Data!B72/Raw_Stock_Data!B71)-1</f>
        <v>1.8614190601232261E-2</v>
      </c>
      <c r="C72" s="4">
        <f>(Raw_Stock_Data!C72/Raw_Stock_Data!C71)-1</f>
        <v>1.5309006913484469E-2</v>
      </c>
      <c r="D72" s="4">
        <f>(Raw_Stock_Data!D72/Raw_Stock_Data!D71)-1</f>
        <v>5.6343572450171076E-2</v>
      </c>
      <c r="E72" s="4">
        <f>(Raw_Stock_Data!E72/Raw_Stock_Data!E71)-1</f>
        <v>5.6779121578612424E-2</v>
      </c>
      <c r="F72" s="4">
        <f>(Raw_Stock_Data!F72/Raw_Stock_Data!F71)-1</f>
        <v>1.3825382538253939E-2</v>
      </c>
      <c r="G72" s="4">
        <f>(Raw_Stock_Data!G72/Raw_Stock_Data!G71)-1</f>
        <v>9.0381314093503917E-3</v>
      </c>
      <c r="H72" s="4">
        <f>(Raw_Stock_Data!H72/Raw_Stock_Data!H71)-1</f>
        <v>1.9339242546333679E-2</v>
      </c>
      <c r="I72" s="4">
        <f>(Raw_Stock_Data!I72/Raw_Stock_Data!I71)-1</f>
        <v>1.6511458952513047E-2</v>
      </c>
      <c r="J72" s="4">
        <f>(Raw_Stock_Data!J72/Raw_Stock_Data!J71)-1</f>
        <v>1.305542566518314E-2</v>
      </c>
    </row>
    <row r="73" spans="1:10" x14ac:dyDescent="0.2">
      <c r="A73" s="2">
        <v>44302</v>
      </c>
      <c r="B73" s="4">
        <f>(Raw_Stock_Data!B73/Raw_Stock_Data!B72)-1</f>
        <v>-2.4711131449491885E-3</v>
      </c>
      <c r="C73" s="4">
        <f>(Raw_Stock_Data!C73/Raw_Stock_Data!C72)-1</f>
        <v>4.7648783126443828E-3</v>
      </c>
      <c r="D73" s="4">
        <f>(Raw_Stock_Data!D73/Raw_Stock_Data!D72)-1</f>
        <v>-1.3955654928265226E-2</v>
      </c>
      <c r="E73" s="4">
        <f>(Raw_Stock_Data!E73/Raw_Stock_Data!E72)-1</f>
        <v>-1.036019756655826E-2</v>
      </c>
      <c r="F73" s="4">
        <f>(Raw_Stock_Data!F73/Raw_Stock_Data!F72)-1</f>
        <v>6.0253086638966113E-3</v>
      </c>
      <c r="G73" s="4">
        <f>(Raw_Stock_Data!G73/Raw_Stock_Data!G72)-1</f>
        <v>1.2587145681999257E-3</v>
      </c>
      <c r="H73" s="4">
        <f>(Raw_Stock_Data!H73/Raw_Stock_Data!H72)-1</f>
        <v>-1.089152393500159E-3</v>
      </c>
      <c r="I73" s="4">
        <f>(Raw_Stock_Data!I73/Raw_Stock_Data!I72)-1</f>
        <v>-5.3277889675784618E-3</v>
      </c>
      <c r="J73" s="4">
        <f>(Raw_Stock_Data!J73/Raw_Stock_Data!J72)-1</f>
        <v>9.6732190022486009E-4</v>
      </c>
    </row>
    <row r="74" spans="1:10" x14ac:dyDescent="0.2">
      <c r="A74" s="2">
        <v>44305</v>
      </c>
      <c r="B74" s="4">
        <f>(Raw_Stock_Data!B74/Raw_Stock_Data!B73)-1</f>
        <v>5.0462187765212274E-3</v>
      </c>
      <c r="C74" s="4">
        <f>(Raw_Stock_Data!C74/Raw_Stock_Data!C73)-1</f>
        <v>-7.687405243427925E-3</v>
      </c>
      <c r="D74" s="4">
        <f>(Raw_Stock_Data!D74/Raw_Stock_Data!D73)-1</f>
        <v>-3.4592442823579872E-2</v>
      </c>
      <c r="E74" s="4">
        <f>(Raw_Stock_Data!E74/Raw_Stock_Data!E73)-1</f>
        <v>-1.2659768715763908E-2</v>
      </c>
      <c r="F74" s="4">
        <f>(Raw_Stock_Data!F74/Raw_Stock_Data!F73)-1</f>
        <v>-8.0719177276258325E-3</v>
      </c>
      <c r="G74" s="4">
        <f>(Raw_Stock_Data!G74/Raw_Stock_Data!G73)-1</f>
        <v>-3.3995287781891537E-2</v>
      </c>
      <c r="H74" s="4">
        <f>(Raw_Stock_Data!H74/Raw_Stock_Data!H73)-1</f>
        <v>3.0599862828200042E-3</v>
      </c>
      <c r="I74" s="4">
        <f>(Raw_Stock_Data!I74/Raw_Stock_Data!I73)-1</f>
        <v>-1.2868247436148672E-2</v>
      </c>
      <c r="J74" s="4">
        <f>(Raw_Stock_Data!J74/Raw_Stock_Data!J73)-1</f>
        <v>-9.7898285979416411E-3</v>
      </c>
    </row>
    <row r="75" spans="1:10" x14ac:dyDescent="0.2">
      <c r="A75" s="2">
        <v>44306</v>
      </c>
      <c r="B75" s="4">
        <f>(Raw_Stock_Data!B75/Raw_Stock_Data!B74)-1</f>
        <v>-1.2788035085316785E-2</v>
      </c>
      <c r="C75" s="4">
        <f>(Raw_Stock_Data!C75/Raw_Stock_Data!C74)-1</f>
        <v>-1.8270377654291403E-3</v>
      </c>
      <c r="D75" s="4">
        <f>(Raw_Stock_Data!D75/Raw_Stock_Data!D74)-1</f>
        <v>-1.2370246165288923E-2</v>
      </c>
      <c r="E75" s="4">
        <f>(Raw_Stock_Data!E75/Raw_Stock_Data!E74)-1</f>
        <v>-2.2685242263592698E-2</v>
      </c>
      <c r="F75" s="4">
        <f>(Raw_Stock_Data!F75/Raw_Stock_Data!F74)-1</f>
        <v>-1.1067615658362895E-2</v>
      </c>
      <c r="G75" s="4">
        <f>(Raw_Stock_Data!G75/Raw_Stock_Data!G74)-1</f>
        <v>6.0996599638973859E-3</v>
      </c>
      <c r="H75" s="4">
        <f>(Raw_Stock_Data!H75/Raw_Stock_Data!H74)-1</f>
        <v>-4.6987043498080139E-3</v>
      </c>
      <c r="I75" s="4">
        <f>(Raw_Stock_Data!I75/Raw_Stock_Data!I74)-1</f>
        <v>1.3565378507145454E-3</v>
      </c>
      <c r="J75" s="4">
        <f>(Raw_Stock_Data!J75/Raw_Stock_Data!J74)-1</f>
        <v>-9.234791520089769E-3</v>
      </c>
    </row>
    <row r="76" spans="1:10" x14ac:dyDescent="0.2">
      <c r="A76" s="2">
        <v>44307</v>
      </c>
      <c r="B76" s="4">
        <f>(Raw_Stock_Data!B76/Raw_Stock_Data!B75)-1</f>
        <v>2.9590814517992392E-3</v>
      </c>
      <c r="C76" s="4">
        <f>(Raw_Stock_Data!C76/Raw_Stock_Data!C75)-1</f>
        <v>8.9800616255228949E-3</v>
      </c>
      <c r="D76" s="4">
        <f>(Raw_Stock_Data!D76/Raw_Stock_Data!D75)-1</f>
        <v>1.23930635838152E-2</v>
      </c>
      <c r="E76" s="4">
        <f>(Raw_Stock_Data!E76/Raw_Stock_Data!E75)-1</f>
        <v>2.9519364198309583E-2</v>
      </c>
      <c r="F76" s="4">
        <f>(Raw_Stock_Data!F76/Raw_Stock_Data!F75)-1</f>
        <v>8.1986877301569727E-3</v>
      </c>
      <c r="G76" s="4">
        <f>(Raw_Stock_Data!G76/Raw_Stock_Data!G75)-1</f>
        <v>3.4953246850786268E-2</v>
      </c>
      <c r="H76" s="4">
        <f>(Raw_Stock_Data!H76/Raw_Stock_Data!H75)-1</f>
        <v>-2.9065158801455659E-4</v>
      </c>
      <c r="I76" s="4">
        <f>(Raw_Stock_Data!I76/Raw_Stock_Data!I75)-1</f>
        <v>-3.898893110854007E-3</v>
      </c>
      <c r="J76" s="4">
        <f>(Raw_Stock_Data!J76/Raw_Stock_Data!J75)-1</f>
        <v>1.1892266726242662E-2</v>
      </c>
    </row>
    <row r="77" spans="1:10" x14ac:dyDescent="0.2">
      <c r="A77" s="2">
        <v>44308</v>
      </c>
      <c r="B77" s="4">
        <f>(Raw_Stock_Data!B77/Raw_Stock_Data!B76)-1</f>
        <v>-1.1709206017487039E-2</v>
      </c>
      <c r="C77" s="4">
        <f>(Raw_Stock_Data!C77/Raw_Stock_Data!C76)-1</f>
        <v>-1.3122455123025456E-2</v>
      </c>
      <c r="D77" s="4">
        <f>(Raw_Stock_Data!D77/Raw_Stock_Data!D76)-1</f>
        <v>-3.3154759185910709E-2</v>
      </c>
      <c r="E77" s="4">
        <f>(Raw_Stock_Data!E77/Raw_Stock_Data!E76)-1</f>
        <v>-3.1246170812400442E-2</v>
      </c>
      <c r="F77" s="4">
        <f>(Raw_Stock_Data!F77/Raw_Stock_Data!F76)-1</f>
        <v>-1.5758383352865279E-2</v>
      </c>
      <c r="G77" s="4">
        <f>(Raw_Stock_Data!G77/Raw_Stock_Data!G76)-1</f>
        <v>-3.2829382357684289E-2</v>
      </c>
      <c r="H77" s="4">
        <f>(Raw_Stock_Data!H77/Raw_Stock_Data!H76)-1</f>
        <v>-1.1329897361349706E-2</v>
      </c>
      <c r="I77" s="4">
        <f>(Raw_Stock_Data!I77/Raw_Stock_Data!I76)-1</f>
        <v>-1.6419544233257199E-2</v>
      </c>
      <c r="J77" s="4">
        <f>(Raw_Stock_Data!J77/Raw_Stock_Data!J76)-1</f>
        <v>-9.4485965095890689E-3</v>
      </c>
    </row>
    <row r="78" spans="1:10" x14ac:dyDescent="0.2">
      <c r="A78" s="2">
        <v>44309</v>
      </c>
      <c r="B78" s="4">
        <f>(Raw_Stock_Data!B78/Raw_Stock_Data!B77)-1</f>
        <v>1.7958485578791983E-2</v>
      </c>
      <c r="C78" s="4">
        <f>(Raw_Stock_Data!C78/Raw_Stock_Data!C77)-1</f>
        <v>1.5484337059260334E-2</v>
      </c>
      <c r="D78" s="4">
        <f>(Raw_Stock_Data!D78/Raw_Stock_Data!D77)-1</f>
        <v>2.7961125733954262E-2</v>
      </c>
      <c r="E78" s="4">
        <f>(Raw_Stock_Data!E78/Raw_Stock_Data!E77)-1</f>
        <v>4.6799898811029639E-2</v>
      </c>
      <c r="F78" s="4">
        <f>(Raw_Stock_Data!F78/Raw_Stock_Data!F77)-1</f>
        <v>9.6221260546867082E-3</v>
      </c>
      <c r="G78" s="4">
        <f>(Raw_Stock_Data!G78/Raw_Stock_Data!G77)-1</f>
        <v>1.3489122415036636E-2</v>
      </c>
      <c r="H78" s="4">
        <f>(Raw_Stock_Data!H78/Raw_Stock_Data!H77)-1</f>
        <v>2.1048129104697111E-2</v>
      </c>
      <c r="I78" s="4">
        <f>(Raw_Stock_Data!I78/Raw_Stock_Data!I77)-1</f>
        <v>1.5547012005935557E-2</v>
      </c>
      <c r="J78" s="4">
        <f>(Raw_Stock_Data!J78/Raw_Stock_Data!J77)-1</f>
        <v>1.4357657646574262E-2</v>
      </c>
    </row>
    <row r="79" spans="1:10" x14ac:dyDescent="0.2">
      <c r="A79" s="2">
        <v>44312</v>
      </c>
      <c r="B79" s="4">
        <f>(Raw_Stock_Data!B79/Raw_Stock_Data!B78)-1</f>
        <v>3.0013746754238291E-3</v>
      </c>
      <c r="C79" s="4">
        <f>(Raw_Stock_Data!C79/Raw_Stock_Data!C78)-1</f>
        <v>1.5098038440712891E-3</v>
      </c>
      <c r="D79" s="4">
        <f>(Raw_Stock_Data!D79/Raw_Stock_Data!D78)-1</f>
        <v>1.3885879734494067E-2</v>
      </c>
      <c r="E79" s="4">
        <f>(Raw_Stock_Data!E79/Raw_Stock_Data!E78)-1</f>
        <v>3.2020299661672302E-2</v>
      </c>
      <c r="F79" s="4">
        <f>(Raw_Stock_Data!F79/Raw_Stock_Data!F78)-1</f>
        <v>2.0389837408107958E-2</v>
      </c>
      <c r="G79" s="4">
        <f>(Raw_Stock_Data!G79/Raw_Stock_Data!G78)-1</f>
        <v>1.2067469245227835E-2</v>
      </c>
      <c r="H79" s="4">
        <f>(Raw_Stock_Data!H79/Raw_Stock_Data!H78)-1</f>
        <v>4.3462703240502165E-3</v>
      </c>
      <c r="I79" s="4">
        <f>(Raw_Stock_Data!I79/Raw_Stock_Data!I78)-1</f>
        <v>6.3427755454454893E-3</v>
      </c>
      <c r="J79" s="4">
        <f>(Raw_Stock_Data!J79/Raw_Stock_Data!J78)-1</f>
        <v>8.7016946081170943E-3</v>
      </c>
    </row>
    <row r="80" spans="1:10" x14ac:dyDescent="0.2">
      <c r="A80" s="2">
        <v>44313</v>
      </c>
      <c r="B80" s="4">
        <f>(Raw_Stock_Data!B80/Raw_Stock_Data!B79)-1</f>
        <v>-2.4822398026390635E-3</v>
      </c>
      <c r="C80" s="4">
        <f>(Raw_Stock_Data!C80/Raw_Stock_Data!C79)-1</f>
        <v>1.6180271907495491E-3</v>
      </c>
      <c r="D80" s="4">
        <f>(Raw_Stock_Data!D80/Raw_Stock_Data!D79)-1</f>
        <v>-6.1970627088352437E-3</v>
      </c>
      <c r="E80" s="4">
        <f>(Raw_Stock_Data!E80/Raw_Stock_Data!E79)-1</f>
        <v>-2.341646177262624E-3</v>
      </c>
      <c r="F80" s="4">
        <f>(Raw_Stock_Data!F80/Raw_Stock_Data!F79)-1</f>
        <v>2.4757993546495882E-3</v>
      </c>
      <c r="G80" s="4">
        <f>(Raw_Stock_Data!G80/Raw_Stock_Data!G79)-1</f>
        <v>-4.5329117679331232E-2</v>
      </c>
      <c r="H80" s="4">
        <f>(Raw_Stock_Data!H80/Raw_Stock_Data!H79)-1</f>
        <v>-8.2030605062608508E-3</v>
      </c>
      <c r="I80" s="4">
        <f>(Raw_Stock_Data!I80/Raw_Stock_Data!I79)-1</f>
        <v>1.748944033790778E-3</v>
      </c>
      <c r="J80" s="4">
        <f>(Raw_Stock_Data!J80/Raw_Stock_Data!J79)-1</f>
        <v>-3.4345254682512927E-3</v>
      </c>
    </row>
    <row r="81" spans="1:10" x14ac:dyDescent="0.2">
      <c r="A81" s="2">
        <v>44314</v>
      </c>
      <c r="B81" s="4">
        <f>(Raw_Stock_Data!B81/Raw_Stock_Data!B80)-1</f>
        <v>-5.9233476073798919E-3</v>
      </c>
      <c r="C81" s="4">
        <f>(Raw_Stock_Data!C81/Raw_Stock_Data!C80)-1</f>
        <v>-2.8285494769606623E-2</v>
      </c>
      <c r="D81" s="4">
        <f>(Raw_Stock_Data!D81/Raw_Stock_Data!D80)-1</f>
        <v>-6.8351675560854863E-3</v>
      </c>
      <c r="E81" s="4">
        <f>(Raw_Stock_Data!E81/Raw_Stock_Data!E80)-1</f>
        <v>-1.3965497007393468E-2</v>
      </c>
      <c r="F81" s="4">
        <f>(Raw_Stock_Data!F81/Raw_Stock_Data!F80)-1</f>
        <v>1.2014841518797725E-2</v>
      </c>
      <c r="G81" s="4">
        <f>(Raw_Stock_Data!G81/Raw_Stock_Data!G80)-1</f>
        <v>-1.466926053475115E-2</v>
      </c>
      <c r="H81" s="4">
        <f>(Raw_Stock_Data!H81/Raw_Stock_Data!H80)-1</f>
        <v>2.9710430630393692E-2</v>
      </c>
      <c r="I81" s="4">
        <f>(Raw_Stock_Data!I81/Raw_Stock_Data!I80)-1</f>
        <v>1.162829001548249E-2</v>
      </c>
      <c r="J81" s="4">
        <f>(Raw_Stock_Data!J81/Raw_Stock_Data!J80)-1</f>
        <v>-2.7813618240168925E-3</v>
      </c>
    </row>
    <row r="82" spans="1:10" x14ac:dyDescent="0.2">
      <c r="A82" s="2">
        <v>44315</v>
      </c>
      <c r="B82" s="4">
        <f>(Raw_Stock_Data!B82/Raw_Stock_Data!B81)-1</f>
        <v>-7.4483033993444359E-4</v>
      </c>
      <c r="C82" s="4">
        <f>(Raw_Stock_Data!C82/Raw_Stock_Data!C81)-1</f>
        <v>-8.0405147875730609E-3</v>
      </c>
      <c r="D82" s="4">
        <f>(Raw_Stock_Data!D82/Raw_Stock_Data!D81)-1</f>
        <v>3.1491516972614875E-3</v>
      </c>
      <c r="E82" s="4">
        <f>(Raw_Stock_Data!E82/Raw_Stock_Data!E81)-1</f>
        <v>-1.3092120923589023E-3</v>
      </c>
      <c r="F82" s="4">
        <f>(Raw_Stock_Data!F82/Raw_Stock_Data!F81)-1</f>
        <v>3.7068093103946875E-3</v>
      </c>
      <c r="G82" s="4">
        <f>(Raw_Stock_Data!G82/Raw_Stock_Data!G81)-1</f>
        <v>-2.5057567601429187E-2</v>
      </c>
      <c r="H82" s="4">
        <f>(Raw_Stock_Data!H82/Raw_Stock_Data!H81)-1</f>
        <v>1.4294709255824323E-2</v>
      </c>
      <c r="I82" s="4">
        <f>(Raw_Stock_Data!I82/Raw_Stock_Data!I81)-1</f>
        <v>7.2972972972972894E-2</v>
      </c>
      <c r="J82" s="4">
        <f>(Raw_Stock_Data!J82/Raw_Stock_Data!J81)-1</f>
        <v>2.2432519181867505E-3</v>
      </c>
    </row>
    <row r="83" spans="1:10" x14ac:dyDescent="0.2">
      <c r="A83" s="2">
        <v>44316</v>
      </c>
      <c r="B83" s="4">
        <f>(Raw_Stock_Data!B83/Raw_Stock_Data!B82)-1</f>
        <v>-1.5161295280249454E-2</v>
      </c>
      <c r="C83" s="4">
        <f>(Raw_Stock_Data!C83/Raw_Stock_Data!C82)-1</f>
        <v>-1.3121160221220007E-3</v>
      </c>
      <c r="D83" s="4">
        <f>(Raw_Stock_Data!D83/Raw_Stock_Data!D82)-1</f>
        <v>-2.050332892964124E-2</v>
      </c>
      <c r="E83" s="4">
        <f>(Raw_Stock_Data!E83/Raw_Stock_Data!E82)-1</f>
        <v>-2.7291145274699002E-2</v>
      </c>
      <c r="F83" s="4">
        <f>(Raw_Stock_Data!F83/Raw_Stock_Data!F82)-1</f>
        <v>-1.1234919281425393E-3</v>
      </c>
      <c r="G83" s="4">
        <f>(Raw_Stock_Data!G83/Raw_Stock_Data!G82)-1</f>
        <v>4.7915734245591812E-2</v>
      </c>
      <c r="H83" s="4">
        <f>(Raw_Stock_Data!H83/Raw_Stock_Data!H82)-1</f>
        <v>-1.6408570038420889E-2</v>
      </c>
      <c r="I83" s="4">
        <f>(Raw_Stock_Data!I83/Raw_Stock_Data!I82)-1</f>
        <v>-1.344420503171373E-2</v>
      </c>
      <c r="J83" s="4">
        <f>(Raw_Stock_Data!J83/Raw_Stock_Data!J82)-1</f>
        <v>-8.5119527358326064E-3</v>
      </c>
    </row>
    <row r="84" spans="1:10" x14ac:dyDescent="0.2">
      <c r="A84" s="2">
        <v>44319</v>
      </c>
      <c r="B84" s="4">
        <f>(Raw_Stock_Data!B84/Raw_Stock_Data!B83)-1</f>
        <v>8.2630441397928411E-3</v>
      </c>
      <c r="C84" s="4">
        <f>(Raw_Stock_Data!C84/Raw_Stock_Data!C83)-1</f>
        <v>-1.2892821767994667E-3</v>
      </c>
      <c r="D84" s="4">
        <f>(Raw_Stock_Data!D84/Raw_Stock_Data!D83)-1</f>
        <v>-1.153124520087867E-2</v>
      </c>
      <c r="E84" s="4">
        <f>(Raw_Stock_Data!E84/Raw_Stock_Data!E83)-1</f>
        <v>-3.76133300661603E-2</v>
      </c>
      <c r="F84" s="4">
        <f>(Raw_Stock_Data!F84/Raw_Stock_Data!F83)-1</f>
        <v>-2.3343004308679083E-2</v>
      </c>
      <c r="G84" s="4">
        <f>(Raw_Stock_Data!G84/Raw_Stock_Data!G83)-1</f>
        <v>-3.4590663058186699E-2</v>
      </c>
      <c r="H84" s="4">
        <f>(Raw_Stock_Data!H84/Raw_Stock_Data!H83)-1</f>
        <v>-4.4264392324093738E-3</v>
      </c>
      <c r="I84" s="4">
        <f>(Raw_Stock_Data!I84/Raw_Stock_Data!I83)-1</f>
        <v>-7.6904146671588069E-3</v>
      </c>
      <c r="J84" s="4">
        <f>(Raw_Stock_Data!J84/Raw_Stock_Data!J83)-1</f>
        <v>-4.8386126445638666E-3</v>
      </c>
    </row>
    <row r="85" spans="1:10" x14ac:dyDescent="0.2">
      <c r="A85" s="2">
        <v>44320</v>
      </c>
      <c r="B85" s="4">
        <f>(Raw_Stock_Data!B85/Raw_Stock_Data!B84)-1</f>
        <v>-3.5497600990558764E-2</v>
      </c>
      <c r="C85" s="4">
        <f>(Raw_Stock_Data!C85/Raw_Stock_Data!C84)-1</f>
        <v>-1.6130684775436777E-2</v>
      </c>
      <c r="D85" s="4">
        <f>(Raw_Stock_Data!D85/Raw_Stock_Data!D84)-1</f>
        <v>-3.2727641178060041E-2</v>
      </c>
      <c r="E85" s="4">
        <f>(Raw_Stock_Data!E85/Raw_Stock_Data!E84)-1</f>
        <v>7.6384468491408342E-4</v>
      </c>
      <c r="F85" s="4">
        <f>(Raw_Stock_Data!F85/Raw_Stock_Data!F84)-1</f>
        <v>-2.2028773239469945E-2</v>
      </c>
      <c r="G85" s="4">
        <f>(Raw_Stock_Data!G85/Raw_Stock_Data!G84)-1</f>
        <v>-1.650021901007459E-2</v>
      </c>
      <c r="H85" s="4">
        <f>(Raw_Stock_Data!H85/Raw_Stock_Data!H84)-1</f>
        <v>-1.547146859017734E-2</v>
      </c>
      <c r="I85" s="4">
        <f>(Raw_Stock_Data!I85/Raw_Stock_Data!I84)-1</f>
        <v>-1.3082026164052185E-2</v>
      </c>
      <c r="J85" s="4">
        <f>(Raw_Stock_Data!J85/Raw_Stock_Data!J84)-1</f>
        <v>-1.8828192919528641E-2</v>
      </c>
    </row>
    <row r="86" spans="1:10" x14ac:dyDescent="0.2">
      <c r="A86" s="2">
        <v>44321</v>
      </c>
      <c r="B86" s="4">
        <f>(Raw_Stock_Data!B86/Raw_Stock_Data!B85)-1</f>
        <v>1.9818186194666687E-3</v>
      </c>
      <c r="C86" s="4">
        <f>(Raw_Stock_Data!C86/Raw_Stock_Data!C85)-1</f>
        <v>-5.3609140629230501E-3</v>
      </c>
      <c r="D86" s="4">
        <f>(Raw_Stock_Data!D86/Raw_Stock_Data!D85)-1</f>
        <v>7.4583609762910452E-3</v>
      </c>
      <c r="E86" s="4">
        <f>(Raw_Stock_Data!E86/Raw_Stock_Data!E85)-1</f>
        <v>-9.92240173005976E-3</v>
      </c>
      <c r="F86" s="4">
        <f>(Raw_Stock_Data!F86/Raw_Stock_Data!F85)-1</f>
        <v>-1.2482336316533282E-2</v>
      </c>
      <c r="G86" s="4">
        <f>(Raw_Stock_Data!G86/Raw_Stock_Data!G85)-1</f>
        <v>-3.9459678532777209E-3</v>
      </c>
      <c r="H86" s="4">
        <f>(Raw_Stock_Data!H86/Raw_Stock_Data!H85)-1</f>
        <v>3.4370241461822992E-3</v>
      </c>
      <c r="I86" s="4">
        <f>(Raw_Stock_Data!I86/Raw_Stock_Data!I85)-1</f>
        <v>-1.0491267747204547E-2</v>
      </c>
      <c r="J86" s="4">
        <f>(Raw_Stock_Data!J86/Raw_Stock_Data!J85)-1</f>
        <v>-3.746653463894134E-3</v>
      </c>
    </row>
    <row r="87" spans="1:10" x14ac:dyDescent="0.2">
      <c r="A87" s="2">
        <v>44322</v>
      </c>
      <c r="B87" s="4">
        <f>(Raw_Stock_Data!B87/Raw_Stock_Data!B86)-1</f>
        <v>1.2876361306854545E-2</v>
      </c>
      <c r="C87" s="4">
        <f>(Raw_Stock_Data!C87/Raw_Stock_Data!C86)-1</f>
        <v>1.325046904315208E-2</v>
      </c>
      <c r="D87" s="4">
        <f>(Raw_Stock_Data!D87/Raw_Stock_Data!D86)-1</f>
        <v>4.505659801889772E-3</v>
      </c>
      <c r="E87" s="4">
        <f>(Raw_Stock_Data!E87/Raw_Stock_Data!E86)-1</f>
        <v>7.7091095978421009E-4</v>
      </c>
      <c r="F87" s="4">
        <f>(Raw_Stock_Data!F87/Raw_Stock_Data!F86)-1</f>
        <v>1.0952319800400012E-2</v>
      </c>
      <c r="G87" s="4">
        <f>(Raw_Stock_Data!G87/Raw_Stock_Data!G86)-1</f>
        <v>-1.1030776178531321E-2</v>
      </c>
      <c r="H87" s="4">
        <f>(Raw_Stock_Data!H87/Raw_Stock_Data!H86)-1</f>
        <v>9.7554630593132963E-3</v>
      </c>
      <c r="I87" s="4">
        <f>(Raw_Stock_Data!I87/Raw_Stock_Data!I86)-1</f>
        <v>1.5872008126468051E-2</v>
      </c>
      <c r="J87" s="4">
        <f>(Raw_Stock_Data!J87/Raw_Stock_Data!J86)-1</f>
        <v>3.7121514428208879E-3</v>
      </c>
    </row>
    <row r="88" spans="1:10" x14ac:dyDescent="0.2">
      <c r="A88" s="2">
        <v>44323</v>
      </c>
      <c r="B88" s="4">
        <f>(Raw_Stock_Data!B88/Raw_Stock_Data!B87)-1</f>
        <v>5.289039276453078E-3</v>
      </c>
      <c r="C88" s="4">
        <f>(Raw_Stock_Data!C88/Raw_Stock_Data!C87)-1</f>
        <v>1.0932101112635761E-2</v>
      </c>
      <c r="D88" s="4">
        <f>(Raw_Stock_Data!D88/Raw_Stock_Data!D87)-1</f>
        <v>1.9853291285115926E-2</v>
      </c>
      <c r="E88" s="4">
        <f>(Raw_Stock_Data!E88/Raw_Stock_Data!E87)-1</f>
        <v>1.1811529079471139E-2</v>
      </c>
      <c r="F88" s="4">
        <f>(Raw_Stock_Data!F88/Raw_Stock_Data!F87)-1</f>
        <v>-4.4641236888904867E-3</v>
      </c>
      <c r="G88" s="4">
        <f>(Raw_Stock_Data!G88/Raw_Stock_Data!G87)-1</f>
        <v>1.3305904693010184E-2</v>
      </c>
      <c r="H88" s="4">
        <f>(Raw_Stock_Data!H88/Raw_Stock_Data!H87)-1</f>
        <v>6.2347030787068825E-3</v>
      </c>
      <c r="I88" s="4">
        <f>(Raw_Stock_Data!I88/Raw_Stock_Data!I87)-1</f>
        <v>-2.9373164177238786E-3</v>
      </c>
      <c r="J88" s="4">
        <f>(Raw_Stock_Data!J88/Raw_Stock_Data!J87)-1</f>
        <v>8.758263135194122E-3</v>
      </c>
    </row>
    <row r="89" spans="1:10" x14ac:dyDescent="0.2">
      <c r="A89" s="2">
        <v>44326</v>
      </c>
      <c r="B89" s="4">
        <f>(Raw_Stock_Data!B89/Raw_Stock_Data!B88)-1</f>
        <v>-2.5794883490488196E-2</v>
      </c>
      <c r="C89" s="4">
        <f>(Raw_Stock_Data!C89/Raw_Stock_Data!C88)-1</f>
        <v>-2.0920467879293358E-2</v>
      </c>
      <c r="D89" s="4">
        <f>(Raw_Stock_Data!D89/Raw_Stock_Data!D88)-1</f>
        <v>-3.6829284795994344E-2</v>
      </c>
      <c r="E89" s="4">
        <f>(Raw_Stock_Data!E89/Raw_Stock_Data!E88)-1</f>
        <v>-3.5782261134373883E-2</v>
      </c>
      <c r="F89" s="4">
        <f>(Raw_Stock_Data!F89/Raw_Stock_Data!F88)-1</f>
        <v>-3.0720622189816527E-2</v>
      </c>
      <c r="G89" s="4">
        <f>(Raw_Stock_Data!G89/Raw_Stock_Data!G88)-1</f>
        <v>-6.4442292848123528E-2</v>
      </c>
      <c r="H89" s="4">
        <f>(Raw_Stock_Data!H89/Raw_Stock_Data!H88)-1</f>
        <v>-2.5578001382594695E-2</v>
      </c>
      <c r="I89" s="4">
        <f>(Raw_Stock_Data!I89/Raw_Stock_Data!I88)-1</f>
        <v>-4.10868747649491E-2</v>
      </c>
      <c r="J89" s="4">
        <f>(Raw_Stock_Data!J89/Raw_Stock_Data!J88)-1</f>
        <v>-2.5478031215278363E-2</v>
      </c>
    </row>
    <row r="90" spans="1:10" x14ac:dyDescent="0.2">
      <c r="A90" s="2">
        <v>44327</v>
      </c>
      <c r="B90" s="4">
        <f>(Raw_Stock_Data!B90/Raw_Stock_Data!B89)-1</f>
        <v>-7.3782865261509123E-3</v>
      </c>
      <c r="C90" s="4">
        <f>(Raw_Stock_Data!C90/Raw_Stock_Data!C89)-1</f>
        <v>-3.8793031452003524E-3</v>
      </c>
      <c r="D90" s="4">
        <f>(Raw_Stock_Data!D90/Raw_Stock_Data!D89)-1</f>
        <v>2.8030095470925609E-3</v>
      </c>
      <c r="E90" s="4">
        <f>(Raw_Stock_Data!E90/Raw_Stock_Data!E89)-1</f>
        <v>1.1054086063955859E-2</v>
      </c>
      <c r="F90" s="4">
        <f>(Raw_Stock_Data!F90/Raw_Stock_Data!F89)-1</f>
        <v>1.0474912865775732E-2</v>
      </c>
      <c r="G90" s="4">
        <f>(Raw_Stock_Data!G90/Raw_Stock_Data!G89)-1</f>
        <v>-1.8823922167111817E-2</v>
      </c>
      <c r="H90" s="4">
        <f>(Raw_Stock_Data!H90/Raw_Stock_Data!H89)-1</f>
        <v>-9.468004974862998E-3</v>
      </c>
      <c r="I90" s="4">
        <f>(Raw_Stock_Data!I90/Raw_Stock_Data!I89)-1</f>
        <v>1.8302447952411871E-3</v>
      </c>
      <c r="J90" s="4">
        <f>(Raw_Stock_Data!J90/Raw_Stock_Data!J89)-1</f>
        <v>-9.2748320009317098E-4</v>
      </c>
    </row>
    <row r="91" spans="1:10" x14ac:dyDescent="0.2">
      <c r="A91" s="2">
        <v>44328</v>
      </c>
      <c r="B91" s="4">
        <f>(Raw_Stock_Data!B91/Raw_Stock_Data!B90)-1</f>
        <v>-2.4991257532753663E-2</v>
      </c>
      <c r="C91" s="4">
        <f>(Raw_Stock_Data!C91/Raw_Stock_Data!C90)-1</f>
        <v>-2.9306593669172099E-2</v>
      </c>
      <c r="D91" s="4">
        <f>(Raw_Stock_Data!D91/Raw_Stock_Data!D90)-1</f>
        <v>-3.8242752861726403E-2</v>
      </c>
      <c r="E91" s="4">
        <f>(Raw_Stock_Data!E91/Raw_Stock_Data!E90)-1</f>
        <v>-2.8504490433424401E-2</v>
      </c>
      <c r="F91" s="4">
        <f>(Raw_Stock_Data!F91/Raw_Stock_Data!F90)-1</f>
        <v>-2.2320791587828293E-2</v>
      </c>
      <c r="G91" s="4">
        <f>(Raw_Stock_Data!G91/Raw_Stock_Data!G90)-1</f>
        <v>-4.4246669226619018E-2</v>
      </c>
      <c r="H91" s="4">
        <f>(Raw_Stock_Data!H91/Raw_Stock_Data!H90)-1</f>
        <v>-3.0762292980113681E-2</v>
      </c>
      <c r="I91" s="4">
        <f>(Raw_Stock_Data!I91/Raw_Stock_Data!I90)-1</f>
        <v>-1.2984047238443042E-2</v>
      </c>
      <c r="J91" s="4">
        <f>(Raw_Stock_Data!J91/Raw_Stock_Data!J90)-1</f>
        <v>-2.6718837172306831E-2</v>
      </c>
    </row>
    <row r="92" spans="1:10" x14ac:dyDescent="0.2">
      <c r="A92" s="2">
        <v>44329</v>
      </c>
      <c r="B92" s="4">
        <f>(Raw_Stock_Data!B92/Raw_Stock_Data!B91)-1</f>
        <v>1.7933105346567668E-2</v>
      </c>
      <c r="C92" s="4">
        <f>(Raw_Stock_Data!C92/Raw_Stock_Data!C91)-1</f>
        <v>1.6877126915303409E-2</v>
      </c>
      <c r="D92" s="4">
        <f>(Raw_Stock_Data!D92/Raw_Stock_Data!D91)-1</f>
        <v>-6.7741301070021187E-3</v>
      </c>
      <c r="E92" s="4">
        <f>(Raw_Stock_Data!E92/Raw_Stock_Data!E91)-1</f>
        <v>-2.0766345123258256E-2</v>
      </c>
      <c r="F92" s="4">
        <f>(Raw_Stock_Data!F92/Raw_Stock_Data!F91)-1</f>
        <v>3.0267073611807138E-3</v>
      </c>
      <c r="G92" s="4">
        <f>(Raw_Stock_Data!G92/Raw_Stock_Data!G91)-1</f>
        <v>-3.0854905151807999E-2</v>
      </c>
      <c r="H92" s="4">
        <f>(Raw_Stock_Data!H92/Raw_Stock_Data!H91)-1</f>
        <v>1.3091393435145093E-2</v>
      </c>
      <c r="I92" s="4">
        <f>(Raw_Stock_Data!I92/Raw_Stock_Data!I91)-1</f>
        <v>8.9571971574946563E-3</v>
      </c>
      <c r="J92" s="4">
        <f>(Raw_Stock_Data!J92/Raw_Stock_Data!J91)-1</f>
        <v>7.1602433454474035E-3</v>
      </c>
    </row>
    <row r="93" spans="1:10" x14ac:dyDescent="0.2">
      <c r="A93" s="2">
        <v>44330</v>
      </c>
      <c r="B93" s="4">
        <f>(Raw_Stock_Data!B93/Raw_Stock_Data!B92)-1</f>
        <v>1.9788593903638185E-2</v>
      </c>
      <c r="C93" s="4">
        <f>(Raw_Stock_Data!C93/Raw_Stock_Data!C92)-1</f>
        <v>2.1060544287024863E-2</v>
      </c>
      <c r="D93" s="4">
        <f>(Raw_Stock_Data!D93/Raw_Stock_Data!D92)-1</f>
        <v>4.2249389470287557E-2</v>
      </c>
      <c r="E93" s="4">
        <f>(Raw_Stock_Data!E93/Raw_Stock_Data!E92)-1</f>
        <v>2.0522643316459144E-2</v>
      </c>
      <c r="F93" s="4">
        <f>(Raw_Stock_Data!F93/Raw_Stock_Data!F92)-1</f>
        <v>1.9427609853612804E-2</v>
      </c>
      <c r="G93" s="4">
        <f>(Raw_Stock_Data!G93/Raw_Stock_Data!G92)-1</f>
        <v>3.1574859757665497E-2</v>
      </c>
      <c r="H93" s="4">
        <f>(Raw_Stock_Data!H93/Raw_Stock_Data!H92)-1</f>
        <v>2.2134373114571115E-2</v>
      </c>
      <c r="I93" s="4">
        <f>(Raw_Stock_Data!I93/Raw_Stock_Data!I92)-1</f>
        <v>3.4986568826574027E-2</v>
      </c>
      <c r="J93" s="4">
        <f>(Raw_Stock_Data!J93/Raw_Stock_Data!J92)-1</f>
        <v>2.3237351037981746E-2</v>
      </c>
    </row>
    <row r="94" spans="1:10" x14ac:dyDescent="0.2">
      <c r="A94" s="2">
        <v>44333</v>
      </c>
      <c r="B94" s="4">
        <f>(Raw_Stock_Data!B94/Raw_Stock_Data!B93)-1</f>
        <v>-9.1438672612591532E-3</v>
      </c>
      <c r="C94" s="4">
        <f>(Raw_Stock_Data!C94/Raw_Stock_Data!C93)-1</f>
        <v>-1.1978887211290035E-2</v>
      </c>
      <c r="D94" s="4">
        <f>(Raw_Stock_Data!D94/Raw_Stock_Data!D93)-1</f>
        <v>-5.3476688385708515E-3</v>
      </c>
      <c r="E94" s="4">
        <f>(Raw_Stock_Data!E94/Raw_Stock_Data!E93)-1</f>
        <v>8.0439737230197927E-4</v>
      </c>
      <c r="F94" s="4">
        <f>(Raw_Stock_Data!F94/Raw_Stock_Data!F93)-1</f>
        <v>1.4738279189549841E-2</v>
      </c>
      <c r="G94" s="4">
        <f>(Raw_Stock_Data!G94/Raw_Stock_Data!G93)-1</f>
        <v>-2.1889307152304527E-2</v>
      </c>
      <c r="H94" s="4">
        <f>(Raw_Stock_Data!H94/Raw_Stock_Data!H93)-1</f>
        <v>4.6340754314710964E-3</v>
      </c>
      <c r="I94" s="4">
        <f>(Raw_Stock_Data!I94/Raw_Stock_Data!I93)-1</f>
        <v>-1.5192758118630634E-3</v>
      </c>
      <c r="J94" s="4">
        <f>(Raw_Stock_Data!J94/Raw_Stock_Data!J93)-1</f>
        <v>-3.7922617904122546E-3</v>
      </c>
    </row>
    <row r="95" spans="1:10" x14ac:dyDescent="0.2">
      <c r="A95" s="2">
        <v>44334</v>
      </c>
      <c r="B95" s="4">
        <f>(Raw_Stock_Data!B95/Raw_Stock_Data!B94)-1</f>
        <v>-1.1304199745371668E-2</v>
      </c>
      <c r="C95" s="4">
        <f>(Raw_Stock_Data!C95/Raw_Stock_Data!C94)-1</f>
        <v>-8.554240705893279E-3</v>
      </c>
      <c r="D95" s="4">
        <f>(Raw_Stock_Data!D95/Raw_Stock_Data!D94)-1</f>
        <v>-1.0597207091215144E-2</v>
      </c>
      <c r="E95" s="4">
        <f>(Raw_Stock_Data!E95/Raw_Stock_Data!E94)-1</f>
        <v>-2.8131279303417189E-3</v>
      </c>
      <c r="F95" s="4">
        <f>(Raw_Stock_Data!F95/Raw_Stock_Data!F94)-1</f>
        <v>-1.1656066536203546E-2</v>
      </c>
      <c r="G95" s="4">
        <f>(Raw_Stock_Data!G95/Raw_Stock_Data!G94)-1</f>
        <v>1.7994871981568128E-3</v>
      </c>
      <c r="H95" s="4">
        <f>(Raw_Stock_Data!H95/Raw_Stock_Data!H94)-1</f>
        <v>-1.1558057755211237E-2</v>
      </c>
      <c r="I95" s="4">
        <f>(Raw_Stock_Data!I95/Raw_Stock_Data!I94)-1</f>
        <v>-1.7434857034172357E-2</v>
      </c>
      <c r="J95" s="4">
        <f>(Raw_Stock_Data!J95/Raw_Stock_Data!J94)-1</f>
        <v>-5.6364241108299851E-3</v>
      </c>
    </row>
    <row r="96" spans="1:10" x14ac:dyDescent="0.2">
      <c r="A96" s="2">
        <v>44335</v>
      </c>
      <c r="B96" s="4">
        <f>(Raw_Stock_Data!B96/Raw_Stock_Data!B95)-1</f>
        <v>-1.279496075391906E-3</v>
      </c>
      <c r="C96" s="4">
        <f>(Raw_Stock_Data!C96/Raw_Stock_Data!C95)-1</f>
        <v>2.4839604094926138E-3</v>
      </c>
      <c r="D96" s="4">
        <f>(Raw_Stock_Data!D96/Raw_Stock_Data!D95)-1</f>
        <v>3.560703560703482E-3</v>
      </c>
      <c r="E96" s="4">
        <f>(Raw_Stock_Data!E96/Raw_Stock_Data!E95)-1</f>
        <v>2.4046211714132237E-2</v>
      </c>
      <c r="F96" s="4">
        <f>(Raw_Stock_Data!F96/Raw_Stock_Data!F95)-1</f>
        <v>-1.4850198621407795E-4</v>
      </c>
      <c r="G96" s="4">
        <f>(Raw_Stock_Data!G96/Raw_Stock_Data!G95)-1</f>
        <v>-2.4934717037944587E-2</v>
      </c>
      <c r="H96" s="4">
        <f>(Raw_Stock_Data!H96/Raw_Stock_Data!H95)-1</f>
        <v>3.9923701370714326E-3</v>
      </c>
      <c r="I96" s="4">
        <f>(Raw_Stock_Data!I96/Raw_Stock_Data!I95)-1</f>
        <v>1.1711188540456829E-2</v>
      </c>
      <c r="J96" s="4">
        <f>(Raw_Stock_Data!J96/Raw_Stock_Data!J95)-1</f>
        <v>-2.9315285140008029E-4</v>
      </c>
    </row>
    <row r="97" spans="1:10" x14ac:dyDescent="0.2">
      <c r="A97" s="2">
        <v>44336</v>
      </c>
      <c r="B97" s="4">
        <f>(Raw_Stock_Data!B97/Raw_Stock_Data!B96)-1</f>
        <v>2.0966271649954349E-2</v>
      </c>
      <c r="C97" s="4">
        <f>(Raw_Stock_Data!C97/Raw_Stock_Data!C96)-1</f>
        <v>1.378252914068856E-2</v>
      </c>
      <c r="D97" s="4">
        <f>(Raw_Stock_Data!D97/Raw_Stock_Data!D96)-1</f>
        <v>3.8793656221946637E-2</v>
      </c>
      <c r="E97" s="4">
        <f>(Raw_Stock_Data!E97/Raw_Stock_Data!E96)-1</f>
        <v>2.4006296733569465E-2</v>
      </c>
      <c r="F97" s="4">
        <f>(Raw_Stock_Data!F97/Raw_Stock_Data!F96)-1</f>
        <v>4.9136704003960308E-3</v>
      </c>
      <c r="G97" s="4">
        <f>(Raw_Stock_Data!G97/Raw_Stock_Data!G96)-1</f>
        <v>4.138536897029077E-2</v>
      </c>
      <c r="H97" s="4">
        <f>(Raw_Stock_Data!H97/Raw_Stock_Data!H96)-1</f>
        <v>1.5605531745680912E-2</v>
      </c>
      <c r="I97" s="4">
        <f>(Raw_Stock_Data!I97/Raw_Stock_Data!I96)-1</f>
        <v>1.6008163525622843E-2</v>
      </c>
      <c r="J97" s="4">
        <f>(Raw_Stock_Data!J97/Raw_Stock_Data!J96)-1</f>
        <v>1.7744707791280234E-2</v>
      </c>
    </row>
    <row r="98" spans="1:10" x14ac:dyDescent="0.2">
      <c r="A98" s="2">
        <v>44337</v>
      </c>
      <c r="B98" s="4">
        <f>(Raw_Stock_Data!B98/Raw_Stock_Data!B97)-1</f>
        <v>-1.4695945945945921E-2</v>
      </c>
      <c r="C98" s="4">
        <f>(Raw_Stock_Data!C98/Raw_Stock_Data!C97)-1</f>
        <v>-5.314393148109442E-3</v>
      </c>
      <c r="D98" s="4">
        <f>(Raw_Stock_Data!D98/Raw_Stock_Data!D97)-1</f>
        <v>2.5966543898273686E-2</v>
      </c>
      <c r="E98" s="4">
        <f>(Raw_Stock_Data!E98/Raw_Stock_Data!E97)-1</f>
        <v>-1.1401486036382247E-2</v>
      </c>
      <c r="F98" s="4">
        <f>(Raw_Stock_Data!F98/Raw_Stock_Data!F97)-1</f>
        <v>-1.3732880086708033E-2</v>
      </c>
      <c r="G98" s="4">
        <f>(Raw_Stock_Data!G98/Raw_Stock_Data!G97)-1</f>
        <v>-1.0051484460077753E-2</v>
      </c>
      <c r="H98" s="4">
        <f>(Raw_Stock_Data!H98/Raw_Stock_Data!H97)-1</f>
        <v>-5.5598576537225775E-3</v>
      </c>
      <c r="I98" s="4">
        <f>(Raw_Stock_Data!I98/Raw_Stock_Data!I97)-1</f>
        <v>-7.4699475848215569E-3</v>
      </c>
      <c r="J98" s="4">
        <f>(Raw_Stock_Data!J98/Raw_Stock_Data!J97)-1</f>
        <v>-4.7836320733111171E-3</v>
      </c>
    </row>
    <row r="99" spans="1:10" x14ac:dyDescent="0.2">
      <c r="A99" s="2">
        <v>44340</v>
      </c>
      <c r="B99" s="4">
        <f>(Raw_Stock_Data!B99/Raw_Stock_Data!B98)-1</f>
        <v>1.3323210305895117E-2</v>
      </c>
      <c r="C99" s="4">
        <f>(Raw_Stock_Data!C99/Raw_Stock_Data!C98)-1</f>
        <v>2.2858054923176496E-2</v>
      </c>
      <c r="D99" s="4">
        <f>(Raw_Stock_Data!D99/Raw_Stock_Data!D98)-1</f>
        <v>4.1306513179445004E-2</v>
      </c>
      <c r="E99" s="4">
        <f>(Raw_Stock_Data!E99/Raw_Stock_Data!E98)-1</f>
        <v>3.49876895166501E-3</v>
      </c>
      <c r="F99" s="4">
        <f>(Raw_Stock_Data!F99/Raw_Stock_Data!F98)-1</f>
        <v>1.3081159384092711E-2</v>
      </c>
      <c r="G99" s="4">
        <f>(Raw_Stock_Data!G99/Raw_Stock_Data!G98)-1</f>
        <v>4.4002127802424074E-2</v>
      </c>
      <c r="H99" s="4">
        <f>(Raw_Stock_Data!H99/Raw_Stock_Data!H98)-1</f>
        <v>2.9170895600741931E-2</v>
      </c>
      <c r="I99" s="4">
        <f>(Raw_Stock_Data!I99/Raw_Stock_Data!I98)-1</f>
        <v>2.6562944692154478E-2</v>
      </c>
      <c r="J99" s="4">
        <f>(Raw_Stock_Data!J99/Raw_Stock_Data!J98)-1</f>
        <v>1.411774487250006E-2</v>
      </c>
    </row>
    <row r="100" spans="1:10" x14ac:dyDescent="0.2">
      <c r="A100" s="2">
        <v>44341</v>
      </c>
      <c r="B100" s="4">
        <f>(Raw_Stock_Data!B100/Raw_Stock_Data!B99)-1</f>
        <v>-1.5951661631419256E-3</v>
      </c>
      <c r="C100" s="4">
        <f>(Raw_Stock_Data!C100/Raw_Stock_Data!C99)-1</f>
        <v>3.7656044678056055E-3</v>
      </c>
      <c r="D100" s="4">
        <f>(Raw_Stock_Data!D100/Raw_Stock_Data!D99)-1</f>
        <v>2.3047095680754914E-3</v>
      </c>
      <c r="E100" s="4">
        <f>(Raw_Stock_Data!E100/Raw_Stock_Data!E99)-1</f>
        <v>5.4235537190083782E-3</v>
      </c>
      <c r="F100" s="4">
        <f>(Raw_Stock_Data!F100/Raw_Stock_Data!F99)-1</f>
        <v>4.3390097935889216E-3</v>
      </c>
      <c r="G100" s="4">
        <f>(Raw_Stock_Data!G100/Raw_Stock_Data!G99)-1</f>
        <v>-2.8889867274805026E-3</v>
      </c>
      <c r="H100" s="4">
        <f>(Raw_Stock_Data!H100/Raw_Stock_Data!H99)-1</f>
        <v>7.736384812881969E-4</v>
      </c>
      <c r="I100" s="4">
        <f>(Raw_Stock_Data!I100/Raw_Stock_Data!I99)-1</f>
        <v>9.7341588885808683E-3</v>
      </c>
      <c r="J100" s="4">
        <f>(Raw_Stock_Data!J100/Raw_Stock_Data!J99)-1</f>
        <v>-2.9280068983839058E-4</v>
      </c>
    </row>
    <row r="101" spans="1:10" x14ac:dyDescent="0.2">
      <c r="A101" s="2">
        <v>44342</v>
      </c>
      <c r="B101" s="4">
        <f>(Raw_Stock_Data!B101/Raw_Stock_Data!B100)-1</f>
        <v>-4.0346332921814554E-4</v>
      </c>
      <c r="C101" s="4">
        <f>(Raw_Stock_Data!C101/Raw_Stock_Data!C100)-1</f>
        <v>-9.1230051097013209E-4</v>
      </c>
      <c r="D101" s="4">
        <f>(Raw_Stock_Data!D101/Raw_Stock_Data!D100)-1</f>
        <v>3.3242168234834946E-3</v>
      </c>
      <c r="E101" s="4">
        <f>(Raw_Stock_Data!E101/Raw_Stock_Data!E100)-1</f>
        <v>6.1649113793988963E-3</v>
      </c>
      <c r="F101" s="4">
        <f>(Raw_Stock_Data!F101/Raw_Stock_Data!F100)-1</f>
        <v>1.8717053383492388E-3</v>
      </c>
      <c r="G101" s="4">
        <f>(Raw_Stock_Data!G101/Raw_Stock_Data!G100)-1</f>
        <v>2.3883351607189907E-2</v>
      </c>
      <c r="H101" s="4">
        <f>(Raw_Stock_Data!H101/Raw_Stock_Data!H100)-1</f>
        <v>7.3821113348113698E-3</v>
      </c>
      <c r="I101" s="4">
        <f>(Raw_Stock_Data!I101/Raw_Stock_Data!I100)-1</f>
        <v>-3.9659538118919091E-4</v>
      </c>
      <c r="J101" s="4">
        <f>(Raw_Stock_Data!J101/Raw_Stock_Data!J100)-1</f>
        <v>5.9185028816364227E-3</v>
      </c>
    </row>
    <row r="102" spans="1:10" x14ac:dyDescent="0.2">
      <c r="A102" s="2">
        <v>44343</v>
      </c>
      <c r="B102" s="4">
        <f>(Raw_Stock_Data!B102/Raw_Stock_Data!B101)-1</f>
        <v>-1.2359033557480359E-2</v>
      </c>
      <c r="C102" s="4">
        <f>(Raw_Stock_Data!C102/Raw_Stock_Data!C101)-1</f>
        <v>-8.6358685415250935E-3</v>
      </c>
      <c r="D102" s="4">
        <f>(Raw_Stock_Data!D102/Raw_Stock_Data!D101)-1</f>
        <v>-1.3520932548549025E-2</v>
      </c>
      <c r="E102" s="4">
        <f>(Raw_Stock_Data!E102/Raw_Stock_Data!E101)-1</f>
        <v>1.0211896859841918E-3</v>
      </c>
      <c r="F102" s="4">
        <f>(Raw_Stock_Data!F102/Raw_Stock_Data!F101)-1</f>
        <v>-1.0731480233740487E-2</v>
      </c>
      <c r="G102" s="4">
        <f>(Raw_Stock_Data!G102/Raw_Stock_Data!G101)-1</f>
        <v>1.8926527665388937E-2</v>
      </c>
      <c r="H102" s="4">
        <f>(Raw_Stock_Data!H102/Raw_Stock_Data!H101)-1</f>
        <v>-7.4039093990858618E-3</v>
      </c>
      <c r="I102" s="4">
        <f>(Raw_Stock_Data!I102/Raw_Stock_Data!I101)-1</f>
        <v>1.5534395409876112E-2</v>
      </c>
      <c r="J102" s="4">
        <f>(Raw_Stock_Data!J102/Raw_Stock_Data!J101)-1</f>
        <v>-1.2520017469785927E-4</v>
      </c>
    </row>
    <row r="103" spans="1:10" x14ac:dyDescent="0.2">
      <c r="A103" s="2">
        <v>44344</v>
      </c>
      <c r="B103" s="4">
        <f>(Raw_Stock_Data!B103/Raw_Stock_Data!B102)-1</f>
        <v>-5.3781897242247689E-3</v>
      </c>
      <c r="C103" s="4">
        <f>(Raw_Stock_Data!C103/Raw_Stock_Data!C102)-1</f>
        <v>1.4456537452758322E-3</v>
      </c>
      <c r="D103" s="4">
        <f>(Raw_Stock_Data!D103/Raw_Stock_Data!D102)-1</f>
        <v>4.8864930627459113E-2</v>
      </c>
      <c r="E103" s="4">
        <f>(Raw_Stock_Data!E103/Raw_Stock_Data!E102)-1</f>
        <v>2.1168069370058662E-2</v>
      </c>
      <c r="F103" s="4">
        <f>(Raw_Stock_Data!F103/Raw_Stock_Data!F102)-1</f>
        <v>-2.1794855918665368E-3</v>
      </c>
      <c r="G103" s="4">
        <f>(Raw_Stock_Data!G103/Raw_Stock_Data!G102)-1</f>
        <v>-8.9213108049627232E-3</v>
      </c>
      <c r="H103" s="4">
        <f>(Raw_Stock_Data!H103/Raw_Stock_Data!H102)-1</f>
        <v>-2.4807149896354241E-3</v>
      </c>
      <c r="I103" s="4">
        <f>(Raw_Stock_Data!I103/Raw_Stock_Data!I102)-1</f>
        <v>-1.2081141998497302E-2</v>
      </c>
      <c r="J103" s="4">
        <f>(Raw_Stock_Data!J103/Raw_Stock_Data!J102)-1</f>
        <v>9.0708692600904861E-4</v>
      </c>
    </row>
    <row r="104" spans="1:10" x14ac:dyDescent="0.2">
      <c r="A104" s="2">
        <v>44348</v>
      </c>
      <c r="B104" s="4">
        <f>(Raw_Stock_Data!B104/Raw_Stock_Data!B103)-1</f>
        <v>-2.6625468411017872E-3</v>
      </c>
      <c r="C104" s="4">
        <f>(Raw_Stock_Data!C104/Raw_Stock_Data!C103)-1</f>
        <v>-9.1027200923883278E-3</v>
      </c>
      <c r="D104" s="4">
        <f>(Raw_Stock_Data!D104/Raw_Stock_Data!D103)-1</f>
        <v>1.289494629162391E-3</v>
      </c>
      <c r="E104" s="4">
        <f>(Raw_Stock_Data!E104/Raw_Stock_Data!E103)-1</f>
        <v>9.1158841158842652E-3</v>
      </c>
      <c r="F104" s="4">
        <f>(Raw_Stock_Data!F104/Raw_Stock_Data!F103)-1</f>
        <v>-1.3775643173611352E-3</v>
      </c>
      <c r="G104" s="4">
        <f>(Raw_Stock_Data!G104/Raw_Stock_Data!G103)-1</f>
        <v>-2.1112534607762301E-3</v>
      </c>
      <c r="H104" s="4">
        <f>(Raw_Stock_Data!H104/Raw_Stock_Data!H103)-1</f>
        <v>1.033078967091372E-2</v>
      </c>
      <c r="I104" s="4">
        <f>(Raw_Stock_Data!I104/Raw_Stock_Data!I103)-1</f>
        <v>1.2168040641256095E-3</v>
      </c>
      <c r="J104" s="4">
        <f>(Raw_Stock_Data!J104/Raw_Stock_Data!J103)-1</f>
        <v>-8.9171807743837483E-4</v>
      </c>
    </row>
    <row r="105" spans="1:10" x14ac:dyDescent="0.2">
      <c r="A105" s="2">
        <v>44349</v>
      </c>
      <c r="B105" s="4">
        <f>(Raw_Stock_Data!B105/Raw_Stock_Data!B104)-1</f>
        <v>6.3115915757554486E-3</v>
      </c>
      <c r="C105" s="4">
        <f>(Raw_Stock_Data!C105/Raw_Stock_Data!C104)-1</f>
        <v>-4.1207419000366396E-4</v>
      </c>
      <c r="D105" s="4">
        <f>(Raw_Stock_Data!D105/Raw_Stock_Data!D104)-1</f>
        <v>3.1561175194715574E-2</v>
      </c>
      <c r="E105" s="4">
        <f>(Raw_Stock_Data!E105/Raw_Stock_Data!E104)-1</f>
        <v>1.4354659076846854E-2</v>
      </c>
      <c r="F105" s="4">
        <f>(Raw_Stock_Data!F105/Raw_Stock_Data!F104)-1</f>
        <v>4.7722019237939062E-3</v>
      </c>
      <c r="G105" s="4">
        <f>(Raw_Stock_Data!G105/Raw_Stock_Data!G104)-1</f>
        <v>-3.0100929474387805E-2</v>
      </c>
      <c r="H105" s="4">
        <f>(Raw_Stock_Data!H105/Raw_Stock_Data!H104)-1</f>
        <v>-4.4424213303660975E-3</v>
      </c>
      <c r="I105" s="4">
        <f>(Raw_Stock_Data!I105/Raw_Stock_Data!I104)-1</f>
        <v>6.0766262570899343E-5</v>
      </c>
      <c r="J105" s="4">
        <f>(Raw_Stock_Data!J105/Raw_Stock_Data!J104)-1</f>
        <v>1.4450572490187774E-3</v>
      </c>
    </row>
    <row r="106" spans="1:10" x14ac:dyDescent="0.2">
      <c r="A106" s="2">
        <v>44350</v>
      </c>
      <c r="B106" s="4">
        <f>(Raw_Stock_Data!B106/Raw_Stock_Data!B105)-1</f>
        <v>-1.2142798657168496E-2</v>
      </c>
      <c r="C106" s="4">
        <f>(Raw_Stock_Data!C106/Raw_Stock_Data!C105)-1</f>
        <v>-6.4668185168375025E-3</v>
      </c>
      <c r="D106" s="4">
        <f>(Raw_Stock_Data!D106/Raw_Stock_Data!D105)-1</f>
        <v>1.1450928857296594E-2</v>
      </c>
      <c r="E106" s="4">
        <f>(Raw_Stock_Data!E106/Raw_Stock_Data!E105)-1</f>
        <v>-2.0617299011833623E-2</v>
      </c>
      <c r="F106" s="4">
        <f>(Raw_Stock_Data!F106/Raw_Stock_Data!F105)-1</f>
        <v>-1.4533085961657366E-2</v>
      </c>
      <c r="G106" s="4">
        <f>(Raw_Stock_Data!G106/Raw_Stock_Data!G105)-1</f>
        <v>-5.3344702960234303E-2</v>
      </c>
      <c r="H106" s="4">
        <f>(Raw_Stock_Data!H106/Raw_Stock_Data!H105)-1</f>
        <v>-9.7119439128888763E-3</v>
      </c>
      <c r="I106" s="4">
        <f>(Raw_Stock_Data!I106/Raw_Stock_Data!I105)-1</f>
        <v>-9.4485796749200768E-3</v>
      </c>
      <c r="J106" s="4">
        <f>(Raw_Stock_Data!J106/Raw_Stock_Data!J105)-1</f>
        <v>-1.0309435728860783E-2</v>
      </c>
    </row>
    <row r="107" spans="1:10" x14ac:dyDescent="0.2">
      <c r="A107" s="2">
        <v>44351</v>
      </c>
      <c r="B107" s="4">
        <f>(Raw_Stock_Data!B107/Raw_Stock_Data!B106)-1</f>
        <v>1.9030726002304155E-2</v>
      </c>
      <c r="C107" s="4">
        <f>(Raw_Stock_Data!C107/Raw_Stock_Data!C106)-1</f>
        <v>2.0675116095827173E-2</v>
      </c>
      <c r="D107" s="4">
        <f>(Raw_Stock_Data!D107/Raw_Stock_Data!D106)-1</f>
        <v>3.5865514655075703E-2</v>
      </c>
      <c r="E107" s="4">
        <f>(Raw_Stock_Data!E107/Raw_Stock_Data!E106)-1</f>
        <v>1.6193323368211221E-2</v>
      </c>
      <c r="F107" s="4">
        <f>(Raw_Stock_Data!F107/Raw_Stock_Data!F106)-1</f>
        <v>6.0307499215563887E-3</v>
      </c>
      <c r="G107" s="4">
        <f>(Raw_Stock_Data!G107/Raw_Stock_Data!G106)-1</f>
        <v>4.5750915175415185E-2</v>
      </c>
      <c r="H107" s="4">
        <f>(Raw_Stock_Data!H107/Raw_Stock_Data!H106)-1</f>
        <v>1.9597281005514944E-2</v>
      </c>
      <c r="I107" s="4">
        <f>(Raw_Stock_Data!I107/Raw_Stock_Data!I106)-1</f>
        <v>1.3219236903447396E-2</v>
      </c>
      <c r="J107" s="4">
        <f>(Raw_Stock_Data!J107/Raw_Stock_Data!J106)-1</f>
        <v>1.4688740175004433E-2</v>
      </c>
    </row>
    <row r="108" spans="1:10" x14ac:dyDescent="0.2">
      <c r="A108" s="2">
        <v>44354</v>
      </c>
      <c r="B108" s="4">
        <f>(Raw_Stock_Data!B108/Raw_Stock_Data!B107)-1</f>
        <v>8.1338506462413918E-5</v>
      </c>
      <c r="C108" s="4">
        <f>(Raw_Stock_Data!C108/Raw_Stock_Data!C107)-1</f>
        <v>1.2121759626163575E-2</v>
      </c>
      <c r="D108" s="4">
        <f>(Raw_Stock_Data!D108/Raw_Stock_Data!D107)-1</f>
        <v>2.3375142531356641E-3</v>
      </c>
      <c r="E108" s="4">
        <f>(Raw_Stock_Data!E108/Raw_Stock_Data!E107)-1</f>
        <v>-2.8193184604070609E-3</v>
      </c>
      <c r="F108" s="4">
        <f>(Raw_Stock_Data!F108/Raw_Stock_Data!F107)-1</f>
        <v>-2.5575288033884425E-3</v>
      </c>
      <c r="G108" s="4">
        <f>(Raw_Stock_Data!G108/Raw_Stock_Data!G107)-1</f>
        <v>1.0151089476820863E-2</v>
      </c>
      <c r="H108" s="4">
        <f>(Raw_Stock_Data!H108/Raw_Stock_Data!H107)-1</f>
        <v>3.6395045577666263E-3</v>
      </c>
      <c r="I108" s="4">
        <f>(Raw_Stock_Data!I108/Raw_Stock_Data!I107)-1</f>
        <v>1.8858786135916406E-2</v>
      </c>
      <c r="J108" s="4">
        <f>(Raw_Stock_Data!J108/Raw_Stock_Data!J107)-1</f>
        <v>4.8666291698065134E-3</v>
      </c>
    </row>
    <row r="109" spans="1:10" x14ac:dyDescent="0.2">
      <c r="A109" s="2">
        <v>44355</v>
      </c>
      <c r="B109" s="4">
        <f>(Raw_Stock_Data!B109/Raw_Stock_Data!B108)-1</f>
        <v>6.628549120395677E-3</v>
      </c>
      <c r="C109" s="4">
        <f>(Raw_Stock_Data!C109/Raw_Stock_Data!C108)-1</f>
        <v>-4.9212718221688379E-3</v>
      </c>
      <c r="D109" s="4">
        <f>(Raw_Stock_Data!D109/Raw_Stock_Data!D108)-1</f>
        <v>-9.2144929184915236E-3</v>
      </c>
      <c r="E109" s="4">
        <f>(Raw_Stock_Data!E109/Raw_Stock_Data!E108)-1</f>
        <v>-5.6545789797172175E-3</v>
      </c>
      <c r="F109" s="4">
        <f>(Raw_Stock_Data!F109/Raw_Stock_Data!F108)-1</f>
        <v>2.0669038967861209E-2</v>
      </c>
      <c r="G109" s="4">
        <f>(Raw_Stock_Data!G109/Raw_Stock_Data!G108)-1</f>
        <v>-2.5432551683109983E-3</v>
      </c>
      <c r="H109" s="4">
        <f>(Raw_Stock_Data!H109/Raw_Stock_Data!H108)-1</f>
        <v>-1.6042646702483232E-3</v>
      </c>
      <c r="I109" s="4">
        <f>(Raw_Stock_Data!I109/Raw_Stock_Data!I108)-1</f>
        <v>-8.6160793867727792E-3</v>
      </c>
      <c r="J109" s="4">
        <f>(Raw_Stock_Data!J109/Raw_Stock_Data!J108)-1</f>
        <v>3.1112859213411337E-3</v>
      </c>
    </row>
    <row r="110" spans="1:10" x14ac:dyDescent="0.2">
      <c r="A110" s="2">
        <v>44356</v>
      </c>
      <c r="B110" s="4">
        <f>(Raw_Stock_Data!B110/Raw_Stock_Data!B109)-1</f>
        <v>3.1106586516709278E-3</v>
      </c>
      <c r="C110" s="4">
        <f>(Raw_Stock_Data!C110/Raw_Stock_Data!C109)-1</f>
        <v>4.0608640344439451E-3</v>
      </c>
      <c r="D110" s="4">
        <f>(Raw_Stock_Data!D110/Raw_Stock_Data!D109)-1</f>
        <v>-5.4423330845627671E-3</v>
      </c>
      <c r="E110" s="4">
        <f>(Raw_Stock_Data!E110/Raw_Stock_Data!E109)-1</f>
        <v>-1.1497094820126175E-2</v>
      </c>
      <c r="F110" s="4">
        <f>(Raw_Stock_Data!F110/Raw_Stock_Data!F109)-1</f>
        <v>5.2203963089592076E-3</v>
      </c>
      <c r="G110" s="4">
        <f>(Raw_Stock_Data!G110/Raw_Stock_Data!G109)-1</f>
        <v>-7.9722858690736143E-3</v>
      </c>
      <c r="H110" s="4">
        <f>(Raw_Stock_Data!H110/Raw_Stock_Data!H109)-1</f>
        <v>3.9668923499234232E-3</v>
      </c>
      <c r="I110" s="4">
        <f>(Raw_Stock_Data!I110/Raw_Stock_Data!I109)-1</f>
        <v>-1.0279309518101187E-2</v>
      </c>
      <c r="J110" s="4">
        <f>(Raw_Stock_Data!J110/Raw_Stock_Data!J109)-1</f>
        <v>-9.4506894479029491E-4</v>
      </c>
    </row>
    <row r="111" spans="1:10" x14ac:dyDescent="0.2">
      <c r="A111" s="2">
        <v>44357</v>
      </c>
      <c r="B111" s="4">
        <f>(Raw_Stock_Data!B111/Raw_Stock_Data!B110)-1</f>
        <v>-7.9820866189298512E-3</v>
      </c>
      <c r="C111" s="4">
        <f>(Raw_Stock_Data!C111/Raw_Stock_Data!C110)-1</f>
        <v>1.4362635220738662E-2</v>
      </c>
      <c r="D111" s="4">
        <f>(Raw_Stock_Data!D111/Raw_Stock_Data!D110)-1</f>
        <v>3.8558779048958325E-3</v>
      </c>
      <c r="E111" s="4">
        <f>(Raw_Stock_Data!E111/Raw_Stock_Data!E110)-1</f>
        <v>2.0010005002501385E-2</v>
      </c>
      <c r="F111" s="4">
        <f>(Raw_Stock_Data!F111/Raw_Stock_Data!F110)-1</f>
        <v>2.0876763095978301E-2</v>
      </c>
      <c r="G111" s="4">
        <f>(Raw_Stock_Data!G111/Raw_Stock_Data!G110)-1</f>
        <v>1.8938539928754938E-2</v>
      </c>
      <c r="H111" s="4">
        <f>(Raw_Stock_Data!H111/Raw_Stock_Data!H110)-1</f>
        <v>1.1278477530572095E-2</v>
      </c>
      <c r="I111" s="4">
        <f>(Raw_Stock_Data!I111/Raw_Stock_Data!I110)-1</f>
        <v>6.6919000757001967E-3</v>
      </c>
      <c r="J111" s="4">
        <f>(Raw_Stock_Data!J111/Raw_Stock_Data!J110)-1</f>
        <v>7.8049131130160099E-3</v>
      </c>
    </row>
    <row r="112" spans="1:10" x14ac:dyDescent="0.2">
      <c r="A112" s="2">
        <v>44358</v>
      </c>
      <c r="B112" s="4">
        <f>(Raw_Stock_Data!B112/Raw_Stock_Data!B111)-1</f>
        <v>9.7270261931439173E-3</v>
      </c>
      <c r="C112" s="4">
        <f>(Raw_Stock_Data!C112/Raw_Stock_Data!C111)-1</f>
        <v>2.542023450666786E-3</v>
      </c>
      <c r="D112" s="4">
        <f>(Raw_Stock_Data!D112/Raw_Stock_Data!D111)-1</f>
        <v>2.2965901903283514E-2</v>
      </c>
      <c r="E112" s="4">
        <f>(Raw_Stock_Data!E112/Raw_Stock_Data!E111)-1</f>
        <v>-3.0652280529671616E-3</v>
      </c>
      <c r="F112" s="4">
        <f>(Raw_Stock_Data!F112/Raw_Stock_Data!F111)-1</f>
        <v>-8.4187648895706069E-4</v>
      </c>
      <c r="G112" s="4">
        <f>(Raw_Stock_Data!G112/Raw_Stock_Data!G111)-1</f>
        <v>-3.7369759014216353E-4</v>
      </c>
      <c r="H112" s="4">
        <f>(Raw_Stock_Data!H112/Raw_Stock_Data!H111)-1</f>
        <v>-2.0195192719839605E-3</v>
      </c>
      <c r="I112" s="4">
        <f>(Raw_Stock_Data!I112/Raw_Stock_Data!I111)-1</f>
        <v>-3.60945677675506E-3</v>
      </c>
      <c r="J112" s="4">
        <f>(Raw_Stock_Data!J112/Raw_Stock_Data!J111)-1</f>
        <v>3.5013441195750339E-3</v>
      </c>
    </row>
    <row r="113" spans="1:10" x14ac:dyDescent="0.2">
      <c r="A113" s="2">
        <v>44361</v>
      </c>
      <c r="B113" s="4">
        <f>(Raw_Stock_Data!B113/Raw_Stock_Data!B112)-1</f>
        <v>2.4549694435509695E-2</v>
      </c>
      <c r="C113" s="4">
        <f>(Raw_Stock_Data!C113/Raw_Stock_Data!C112)-1</f>
        <v>7.7624622658083453E-3</v>
      </c>
      <c r="D113" s="4">
        <f>(Raw_Stock_Data!D113/Raw_Stock_Data!D112)-1</f>
        <v>1.0893515603921156E-2</v>
      </c>
      <c r="E113" s="4">
        <f>(Raw_Stock_Data!E113/Raw_Stock_Data!E112)-1</f>
        <v>2.9516664616897614E-3</v>
      </c>
      <c r="F113" s="4">
        <f>(Raw_Stock_Data!F113/Raw_Stock_Data!F112)-1</f>
        <v>1.1067155884356472E-2</v>
      </c>
      <c r="G113" s="4">
        <f>(Raw_Stock_Data!G113/Raw_Stock_Data!G112)-1</f>
        <v>1.2789170523913151E-2</v>
      </c>
      <c r="H113" s="4">
        <f>(Raw_Stock_Data!H113/Raw_Stock_Data!H112)-1</f>
        <v>7.7062219689274514E-3</v>
      </c>
      <c r="I113" s="4">
        <f>(Raw_Stock_Data!I113/Raw_Stock_Data!I112)-1</f>
        <v>1.6633460121958654E-2</v>
      </c>
      <c r="J113" s="4">
        <f>(Raw_Stock_Data!J113/Raw_Stock_Data!J112)-1</f>
        <v>7.4430928922442074E-3</v>
      </c>
    </row>
    <row r="114" spans="1:10" x14ac:dyDescent="0.2">
      <c r="A114" s="2">
        <v>44362</v>
      </c>
      <c r="B114" s="4">
        <f>(Raw_Stock_Data!B114/Raw_Stock_Data!B113)-1</f>
        <v>-6.3180366210668915E-3</v>
      </c>
      <c r="C114" s="4">
        <f>(Raw_Stock_Data!C114/Raw_Stock_Data!C113)-1</f>
        <v>-5.8879467469687974E-3</v>
      </c>
      <c r="D114" s="4">
        <f>(Raw_Stock_Data!D114/Raw_Stock_Data!D113)-1</f>
        <v>-1.2827926735690331E-2</v>
      </c>
      <c r="E114" s="4">
        <f>(Raw_Stock_Data!E114/Raw_Stock_Data!E113)-1</f>
        <v>-1.3243408951563396E-2</v>
      </c>
      <c r="F114" s="4">
        <f>(Raw_Stock_Data!F114/Raw_Stock_Data!F113)-1</f>
        <v>-2.2459425275123124E-4</v>
      </c>
      <c r="G114" s="4">
        <f>(Raw_Stock_Data!G114/Raw_Stock_Data!G113)-1</f>
        <v>-2.9675031690602482E-2</v>
      </c>
      <c r="H114" s="4">
        <f>(Raw_Stock_Data!H114/Raw_Stock_Data!H113)-1</f>
        <v>-8.3849709845579268E-3</v>
      </c>
      <c r="I114" s="4">
        <f>(Raw_Stock_Data!I114/Raw_Stock_Data!I113)-1</f>
        <v>-5.9387712682212879E-5</v>
      </c>
      <c r="J114" s="4">
        <f>(Raw_Stock_Data!J114/Raw_Stock_Data!J113)-1</f>
        <v>-7.1454070582058771E-3</v>
      </c>
    </row>
    <row r="115" spans="1:10" x14ac:dyDescent="0.2">
      <c r="A115" s="2">
        <v>44363</v>
      </c>
      <c r="B115" s="4">
        <f>(Raw_Stock_Data!B115/Raw_Stock_Data!B114)-1</f>
        <v>3.8781119676480902E-3</v>
      </c>
      <c r="C115" s="4">
        <f>(Raw_Stock_Data!C115/Raw_Stock_Data!C114)-1</f>
        <v>-3.8183455961481316E-3</v>
      </c>
      <c r="D115" s="4">
        <f>(Raw_Stock_Data!D115/Raw_Stock_Data!D114)-1</f>
        <v>1.2335595798012022E-3</v>
      </c>
      <c r="E115" s="4">
        <f>(Raw_Stock_Data!E115/Raw_Stock_Data!E114)-1</f>
        <v>-4.4737169131353616E-3</v>
      </c>
      <c r="F115" s="4">
        <f>(Raw_Stock_Data!F115/Raw_Stock_Data!F114)-1</f>
        <v>9.4941947078435174E-3</v>
      </c>
      <c r="G115" s="4">
        <f>(Raw_Stock_Data!G115/Raw_Stock_Data!G114)-1</f>
        <v>9.1897871232862194E-3</v>
      </c>
      <c r="H115" s="4">
        <f>(Raw_Stock_Data!H115/Raw_Stock_Data!H114)-1</f>
        <v>-5.3314156768418108E-3</v>
      </c>
      <c r="I115" s="4">
        <f>(Raw_Stock_Data!I115/Raw_Stock_Data!I114)-1</f>
        <v>-1.6837416481069067E-2</v>
      </c>
      <c r="J115" s="4">
        <f>(Raw_Stock_Data!J115/Raw_Stock_Data!J114)-1</f>
        <v>-2.3577297009990117E-3</v>
      </c>
    </row>
    <row r="116" spans="1:10" x14ac:dyDescent="0.2">
      <c r="A116" s="2">
        <v>44364</v>
      </c>
      <c r="B116" s="4">
        <f>(Raw_Stock_Data!B116/Raw_Stock_Data!B115)-1</f>
        <v>1.2588612026845247E-2</v>
      </c>
      <c r="C116" s="4">
        <f>(Raw_Stock_Data!C116/Raw_Stock_Data!C115)-1</f>
        <v>1.3643492734140006E-2</v>
      </c>
      <c r="D116" s="4">
        <f>(Raw_Stock_Data!D116/Raw_Stock_Data!D115)-1</f>
        <v>4.7588239927090159E-2</v>
      </c>
      <c r="E116" s="4">
        <f>(Raw_Stock_Data!E116/Raw_Stock_Data!E115)-1</f>
        <v>5.5548620646610924E-2</v>
      </c>
      <c r="F116" s="4">
        <f>(Raw_Stock_Data!F116/Raw_Stock_Data!F115)-1</f>
        <v>2.1667584122931238E-2</v>
      </c>
      <c r="G116" s="4">
        <f>(Raw_Stock_Data!G116/Raw_Stock_Data!G115)-1</f>
        <v>1.9392628817148871E-2</v>
      </c>
      <c r="H116" s="4">
        <f>(Raw_Stock_Data!H116/Raw_Stock_Data!H115)-1</f>
        <v>8.0441430660815882E-3</v>
      </c>
      <c r="I116" s="4">
        <f>(Raw_Stock_Data!I116/Raw_Stock_Data!I115)-1</f>
        <v>1.6400869880391467E-2</v>
      </c>
      <c r="J116" s="4">
        <f>(Raw_Stock_Data!J116/Raw_Stock_Data!J115)-1</f>
        <v>8.6661519350867966E-3</v>
      </c>
    </row>
    <row r="117" spans="1:10" x14ac:dyDescent="0.2">
      <c r="A117" s="2">
        <v>44365</v>
      </c>
      <c r="B117" s="4">
        <f>(Raw_Stock_Data!B117/Raw_Stock_Data!B116)-1</f>
        <v>-1.0139938927264391E-2</v>
      </c>
      <c r="C117" s="4">
        <f>(Raw_Stock_Data!C117/Raw_Stock_Data!C116)-1</f>
        <v>-5.5852470534367704E-3</v>
      </c>
      <c r="D117" s="4">
        <f>(Raw_Stock_Data!D117/Raw_Stock_Data!D116)-1</f>
        <v>-9.6663498252003155E-4</v>
      </c>
      <c r="E117" s="4">
        <f>(Raw_Stock_Data!E117/Raw_Stock_Data!E116)-1</f>
        <v>1.0643330179753718E-3</v>
      </c>
      <c r="F117" s="4">
        <f>(Raw_Stock_Data!F117/Raw_Stock_Data!F116)-1</f>
        <v>-6.7063314647308747E-4</v>
      </c>
      <c r="G117" s="4">
        <f>(Raw_Stock_Data!G117/Raw_Stock_Data!G116)-1</f>
        <v>1.0883896989777986E-2</v>
      </c>
      <c r="H117" s="4">
        <f>(Raw_Stock_Data!H117/Raw_Stock_Data!H116)-1</f>
        <v>-1.3412583261887434E-2</v>
      </c>
      <c r="I117" s="4">
        <f>(Raw_Stock_Data!I117/Raw_Stock_Data!I116)-1</f>
        <v>-2.0356007250898811E-2</v>
      </c>
      <c r="J117" s="4">
        <f>(Raw_Stock_Data!J117/Raw_Stock_Data!J116)-1</f>
        <v>-9.2484120511110435E-3</v>
      </c>
    </row>
    <row r="118" spans="1:10" x14ac:dyDescent="0.2">
      <c r="A118" s="2">
        <v>44368</v>
      </c>
      <c r="B118" s="4">
        <f>(Raw_Stock_Data!B118/Raw_Stock_Data!B117)-1</f>
        <v>1.4184341491749963E-2</v>
      </c>
      <c r="C118" s="4">
        <f>(Raw_Stock_Data!C118/Raw_Stock_Data!C117)-1</f>
        <v>1.2316864538306049E-2</v>
      </c>
      <c r="D118" s="4">
        <f>(Raw_Stock_Data!D118/Raw_Stock_Data!D117)-1</f>
        <v>-1.1385076841205599E-2</v>
      </c>
      <c r="E118" s="4">
        <f>(Raw_Stock_Data!E118/Raw_Stock_Data!E117)-1</f>
        <v>-2.4335499113998793E-2</v>
      </c>
      <c r="F118" s="4">
        <f>(Raw_Stock_Data!F118/Raw_Stock_Data!F117)-1</f>
        <v>-9.4467865439215037E-3</v>
      </c>
      <c r="G118" s="4">
        <f>(Raw_Stock_Data!G118/Raw_Stock_Data!G117)-1</f>
        <v>-3.9803629012851172E-3</v>
      </c>
      <c r="H118" s="4">
        <f>(Raw_Stock_Data!H118/Raw_Stock_Data!H117)-1</f>
        <v>1.4163122404472039E-2</v>
      </c>
      <c r="I118" s="4">
        <f>(Raw_Stock_Data!I118/Raw_Stock_Data!I117)-1</f>
        <v>7.9779166413880276E-3</v>
      </c>
      <c r="J118" s="4">
        <f>(Raw_Stock_Data!J118/Raw_Stock_Data!J117)-1</f>
        <v>7.9185310732852177E-3</v>
      </c>
    </row>
    <row r="119" spans="1:10" x14ac:dyDescent="0.2">
      <c r="A119" s="2">
        <v>44369</v>
      </c>
      <c r="B119" s="4">
        <f>(Raw_Stock_Data!B119/Raw_Stock_Data!B118)-1</f>
        <v>1.2693400205880945E-2</v>
      </c>
      <c r="C119" s="4">
        <f>(Raw_Stock_Data!C119/Raw_Stock_Data!C118)-1</f>
        <v>1.0959323070649507E-2</v>
      </c>
      <c r="D119" s="4">
        <f>(Raw_Stock_Data!D119/Raw_Stock_Data!D118)-1</f>
        <v>2.4973493189788698E-2</v>
      </c>
      <c r="E119" s="4">
        <f>(Raw_Stock_Data!E119/Raw_Stock_Data!E118)-1</f>
        <v>1.1986923356338552E-2</v>
      </c>
      <c r="F119" s="4">
        <f>(Raw_Stock_Data!F119/Raw_Stock_Data!F118)-1</f>
        <v>1.4904631205920005E-2</v>
      </c>
      <c r="G119" s="4">
        <f>(Raw_Stock_Data!G119/Raw_Stock_Data!G118)-1</f>
        <v>4.6389585538044731E-3</v>
      </c>
      <c r="H119" s="4">
        <f>(Raw_Stock_Data!H119/Raw_Stock_Data!H118)-1</f>
        <v>4.2513924134066627E-3</v>
      </c>
      <c r="I119" s="4">
        <f>(Raw_Stock_Data!I119/Raw_Stock_Data!I118)-1</f>
        <v>2.0283487315296833E-2</v>
      </c>
      <c r="J119" s="4">
        <f>(Raw_Stock_Data!J119/Raw_Stock_Data!J118)-1</f>
        <v>7.9051131847587275E-3</v>
      </c>
    </row>
    <row r="120" spans="1:10" x14ac:dyDescent="0.2">
      <c r="A120" s="2">
        <v>44370</v>
      </c>
      <c r="B120" s="4">
        <f>(Raw_Stock_Data!B120/Raw_Stock_Data!B119)-1</f>
        <v>-2.1017876659457091E-3</v>
      </c>
      <c r="C120" s="4">
        <f>(Raw_Stock_Data!C120/Raw_Stock_Data!C119)-1</f>
        <v>-8.7267142175639911E-4</v>
      </c>
      <c r="D120" s="4">
        <f>(Raw_Stock_Data!D120/Raw_Stock_Data!D119)-1</f>
        <v>9.0022704606700366E-3</v>
      </c>
      <c r="E120" s="4">
        <f>(Raw_Stock_Data!E120/Raw_Stock_Data!E119)-1</f>
        <v>2.8715003589374621E-3</v>
      </c>
      <c r="F120" s="4">
        <f>(Raw_Stock_Data!F120/Raw_Stock_Data!F119)-1</f>
        <v>-4.6213884704904284E-4</v>
      </c>
      <c r="G120" s="4">
        <f>(Raw_Stock_Data!G120/Raw_Stock_Data!G119)-1</f>
        <v>5.2688032399724971E-2</v>
      </c>
      <c r="H120" s="4">
        <f>(Raw_Stock_Data!H120/Raw_Stock_Data!H119)-1</f>
        <v>-1.6572591231294176E-3</v>
      </c>
      <c r="I120" s="4">
        <f>(Raw_Stock_Data!I120/Raw_Stock_Data!I119)-1</f>
        <v>4.601362711264434E-3</v>
      </c>
      <c r="J120" s="4">
        <f>(Raw_Stock_Data!J120/Raw_Stock_Data!J119)-1</f>
        <v>1.2951413956234781E-3</v>
      </c>
    </row>
    <row r="121" spans="1:10" x14ac:dyDescent="0.2">
      <c r="A121" s="2">
        <v>44371</v>
      </c>
      <c r="B121" s="4">
        <f>(Raw_Stock_Data!B121/Raw_Stock_Data!B120)-1</f>
        <v>-2.1062144815648942E-3</v>
      </c>
      <c r="C121" s="4">
        <f>(Raw_Stock_Data!C121/Raw_Stock_Data!C120)-1</f>
        <v>5.3027126907969624E-3</v>
      </c>
      <c r="D121" s="4">
        <f>(Raw_Stock_Data!D121/Raw_Stock_Data!D120)-1</f>
        <v>7.8231381930022881E-3</v>
      </c>
      <c r="E121" s="4">
        <f>(Raw_Stock_Data!E121/Raw_Stock_Data!E120)-1</f>
        <v>2.7201145311381625E-2</v>
      </c>
      <c r="F121" s="4">
        <f>(Raw_Stock_Data!F121/Raw_Stock_Data!F120)-1</f>
        <v>-1.5622948667454395E-2</v>
      </c>
      <c r="G121" s="4">
        <f>(Raw_Stock_Data!G121/Raw_Stock_Data!G120)-1</f>
        <v>3.5411250268440053E-2</v>
      </c>
      <c r="H121" s="4">
        <f>(Raw_Stock_Data!H121/Raw_Stock_Data!H120)-1</f>
        <v>3.0570484690104482E-3</v>
      </c>
      <c r="I121" s="4">
        <f>(Raw_Stock_Data!I121/Raw_Stock_Data!I120)-1</f>
        <v>7.604451099562537E-3</v>
      </c>
      <c r="J121" s="4">
        <f>(Raw_Stock_Data!J121/Raw_Stock_Data!J120)-1</f>
        <v>6.8653204622004527E-3</v>
      </c>
    </row>
    <row r="122" spans="1:10" x14ac:dyDescent="0.2">
      <c r="A122" s="2">
        <v>44372</v>
      </c>
      <c r="B122" s="4">
        <f>(Raw_Stock_Data!B122/Raw_Stock_Data!B121)-1</f>
        <v>-2.2641625284938183E-3</v>
      </c>
      <c r="C122" s="4">
        <f>(Raw_Stock_Data!C122/Raw_Stock_Data!C121)-1</f>
        <v>-6.2169363246709075E-3</v>
      </c>
      <c r="D122" s="4">
        <f>(Raw_Stock_Data!D122/Raw_Stock_Data!D121)-1</f>
        <v>-9.1135304888546598E-3</v>
      </c>
      <c r="E122" s="4">
        <f>(Raw_Stock_Data!E122/Raw_Stock_Data!E121)-1</f>
        <v>-5.5749128919859725E-3</v>
      </c>
      <c r="F122" s="4">
        <f>(Raw_Stock_Data!F122/Raw_Stock_Data!F121)-1</f>
        <v>-1.3806580305472771E-2</v>
      </c>
      <c r="G122" s="4">
        <f>(Raw_Stock_Data!G122/Raw_Stock_Data!G121)-1</f>
        <v>-1.1694254811193017E-2</v>
      </c>
      <c r="H122" s="4">
        <f>(Raw_Stock_Data!H122/Raw_Stock_Data!H121)-1</f>
        <v>6.5542610889979258E-5</v>
      </c>
      <c r="I122" s="4">
        <f>(Raw_Stock_Data!I122/Raw_Stock_Data!I121)-1</f>
        <v>-5.2742001282125583E-3</v>
      </c>
      <c r="J122" s="4">
        <f>(Raw_Stock_Data!J122/Raw_Stock_Data!J121)-1</f>
        <v>-6.4858650592114486E-4</v>
      </c>
    </row>
    <row r="123" spans="1:10" x14ac:dyDescent="0.2">
      <c r="A123" s="2">
        <v>44375</v>
      </c>
      <c r="B123" s="4">
        <f>(Raw_Stock_Data!B123/Raw_Stock_Data!B122)-1</f>
        <v>1.2461921905289497E-2</v>
      </c>
      <c r="C123" s="4">
        <f>(Raw_Stock_Data!C123/Raw_Stock_Data!C122)-1</f>
        <v>1.396875971401923E-2</v>
      </c>
      <c r="D123" s="4">
        <f>(Raw_Stock_Data!D123/Raw_Stock_Data!D122)-1</f>
        <v>5.0103713687048135E-2</v>
      </c>
      <c r="E123" s="4">
        <f>(Raw_Stock_Data!E123/Raw_Stock_Data!E122)-1</f>
        <v>1.7052090633029593E-2</v>
      </c>
      <c r="F123" s="4">
        <f>(Raw_Stock_Data!F123/Raw_Stock_Data!F122)-1</f>
        <v>1.2471115344587114E-2</v>
      </c>
      <c r="G123" s="4">
        <f>(Raw_Stock_Data!G123/Raw_Stock_Data!G122)-1</f>
        <v>2.5076242314372887E-2</v>
      </c>
      <c r="H123" s="4">
        <f>(Raw_Stock_Data!H123/Raw_Stock_Data!H122)-1</f>
        <v>2.2938410368156248E-4</v>
      </c>
      <c r="I123" s="4">
        <f>(Raw_Stock_Data!I123/Raw_Stock_Data!I122)-1</f>
        <v>4.180215015965083E-2</v>
      </c>
      <c r="J123" s="4">
        <f>(Raw_Stock_Data!J123/Raw_Stock_Data!J122)-1</f>
        <v>9.7573951682370375E-3</v>
      </c>
    </row>
    <row r="124" spans="1:10" x14ac:dyDescent="0.2">
      <c r="A124" s="2">
        <v>44376</v>
      </c>
      <c r="B124" s="4">
        <f>(Raw_Stock_Data!B124/Raw_Stock_Data!B123)-1</f>
        <v>1.1579139314368936E-2</v>
      </c>
      <c r="C124" s="4">
        <f>(Raw_Stock_Data!C124/Raw_Stock_Data!C123)-1</f>
        <v>9.9557394953153633E-3</v>
      </c>
      <c r="D124" s="4">
        <f>(Raw_Stock_Data!D124/Raw_Stock_Data!D123)-1</f>
        <v>2.1056536801311587E-3</v>
      </c>
      <c r="E124" s="4">
        <f>(Raw_Stock_Data!E124/Raw_Stock_Data!E123)-1</f>
        <v>2.8020211299954134E-2</v>
      </c>
      <c r="F124" s="4">
        <f>(Raw_Stock_Data!F124/Raw_Stock_Data!F123)-1</f>
        <v>1.236976898149944E-3</v>
      </c>
      <c r="G124" s="4">
        <f>(Raw_Stock_Data!G124/Raw_Stock_Data!G123)-1</f>
        <v>-1.15562370139346E-2</v>
      </c>
      <c r="H124" s="4">
        <f>(Raw_Stock_Data!H124/Raw_Stock_Data!H123)-1</f>
        <v>-2.1622684161383132E-3</v>
      </c>
      <c r="I124" s="4">
        <f>(Raw_Stock_Data!I124/Raw_Stock_Data!I123)-1</f>
        <v>-1.0544370711955908E-2</v>
      </c>
      <c r="J124" s="4">
        <f>(Raw_Stock_Data!J124/Raw_Stock_Data!J123)-1</f>
        <v>1.918553209507845E-3</v>
      </c>
    </row>
    <row r="125" spans="1:10" x14ac:dyDescent="0.2">
      <c r="A125" s="2">
        <v>44377</v>
      </c>
      <c r="B125" s="4">
        <f>(Raw_Stock_Data!B125/Raw_Stock_Data!B124)-1</f>
        <v>4.6267087276552488E-3</v>
      </c>
      <c r="C125" s="4">
        <f>(Raw_Stock_Data!C125/Raw_Stock_Data!C124)-1</f>
        <v>-1.8554142809984464E-3</v>
      </c>
      <c r="D125" s="4">
        <f>(Raw_Stock_Data!D125/Raw_Stock_Data!D124)-1</f>
        <v>-1.2507316780315803E-3</v>
      </c>
      <c r="E125" s="4">
        <f>(Raw_Stock_Data!E125/Raw_Stock_Data!E124)-1</f>
        <v>4.9262734584450518E-2</v>
      </c>
      <c r="F125" s="4">
        <f>(Raw_Stock_Data!F125/Raw_Stock_Data!F124)-1</f>
        <v>-2.314291183072581E-3</v>
      </c>
      <c r="G125" s="4">
        <f>(Raw_Stock_Data!G125/Raw_Stock_Data!G124)-1</f>
        <v>-1.555614313414333E-3</v>
      </c>
      <c r="H125" s="4">
        <f>(Raw_Stock_Data!H125/Raw_Stock_Data!H124)-1</f>
        <v>-1.4856767627020595E-3</v>
      </c>
      <c r="I125" s="4">
        <f>(Raw_Stock_Data!I125/Raw_Stock_Data!I124)-1</f>
        <v>-1.1878712097530553E-2</v>
      </c>
      <c r="J125" s="4">
        <f>(Raw_Stock_Data!J125/Raw_Stock_Data!J124)-1</f>
        <v>-1.6781006488700845E-3</v>
      </c>
    </row>
    <row r="126" spans="1:10" x14ac:dyDescent="0.2">
      <c r="A126" s="2">
        <v>44378</v>
      </c>
      <c r="B126" s="4">
        <f>(Raw_Stock_Data!B126/Raw_Stock_Data!B125)-1</f>
        <v>2.2279374383205042E-3</v>
      </c>
      <c r="C126" s="4">
        <f>(Raw_Stock_Data!C126/Raw_Stock_Data!C125)-1</f>
        <v>2.5659155186568139E-3</v>
      </c>
      <c r="D126" s="4">
        <f>(Raw_Stock_Data!D126/Raw_Stock_Data!D125)-1</f>
        <v>1.0494256961524284E-2</v>
      </c>
      <c r="E126" s="4">
        <f>(Raw_Stock_Data!E126/Raw_Stock_Data!E125)-1</f>
        <v>-6.6006600660066805E-3</v>
      </c>
      <c r="F126" s="4">
        <f>(Raw_Stock_Data!F126/Raw_Stock_Data!F125)-1</f>
        <v>-2.0929259104228715E-3</v>
      </c>
      <c r="G126" s="4">
        <f>(Raw_Stock_Data!G126/Raw_Stock_Data!G125)-1</f>
        <v>-2.6217410302471489E-3</v>
      </c>
      <c r="H126" s="4">
        <f>(Raw_Stock_Data!H126/Raw_Stock_Data!H125)-1</f>
        <v>2.901791218998806E-3</v>
      </c>
      <c r="I126" s="4">
        <f>(Raw_Stock_Data!I126/Raw_Stock_Data!I125)-1</f>
        <v>1.9211411808691237E-2</v>
      </c>
      <c r="J126" s="4">
        <f>(Raw_Stock_Data!J126/Raw_Stock_Data!J125)-1</f>
        <v>1.2706883297306515E-3</v>
      </c>
    </row>
    <row r="127" spans="1:10" x14ac:dyDescent="0.2">
      <c r="A127" s="2">
        <v>44379</v>
      </c>
      <c r="B127" s="4">
        <f>(Raw_Stock_Data!B127/Raw_Stock_Data!B126)-1</f>
        <v>1.9618959523773905E-2</v>
      </c>
      <c r="C127" s="4">
        <f>(Raw_Stock_Data!C127/Raw_Stock_Data!C126)-1</f>
        <v>2.2298560319103489E-2</v>
      </c>
      <c r="D127" s="4">
        <f>(Raw_Stock_Data!D127/Raw_Stock_Data!D126)-1</f>
        <v>1.3567774428934198E-2</v>
      </c>
      <c r="E127" s="4">
        <f>(Raw_Stock_Data!E127/Raw_Stock_Data!E126)-1</f>
        <v>1.4896581288179167E-2</v>
      </c>
      <c r="F127" s="4">
        <f>(Raw_Stock_Data!F127/Raw_Stock_Data!F126)-1</f>
        <v>2.2726743102162716E-2</v>
      </c>
      <c r="G127" s="4">
        <f>(Raw_Stock_Data!G127/Raw_Stock_Data!G126)-1</f>
        <v>1.4470755355728837E-3</v>
      </c>
      <c r="H127" s="4">
        <f>(Raw_Stock_Data!H127/Raw_Stock_Data!H126)-1</f>
        <v>2.2975033196177108E-2</v>
      </c>
      <c r="I127" s="4">
        <f>(Raw_Stock_Data!I127/Raw_Stock_Data!I126)-1</f>
        <v>8.7474251530794689E-4</v>
      </c>
      <c r="J127" s="4">
        <f>(Raw_Stock_Data!J127/Raw_Stock_Data!J126)-1</f>
        <v>8.0530877170270632E-3</v>
      </c>
    </row>
    <row r="128" spans="1:10" x14ac:dyDescent="0.2">
      <c r="A128" s="2">
        <v>44383</v>
      </c>
      <c r="B128" s="4">
        <f>(Raw_Stock_Data!B128/Raw_Stock_Data!B127)-1</f>
        <v>1.4676187410377128E-2</v>
      </c>
      <c r="C128" s="4">
        <f>(Raw_Stock_Data!C128/Raw_Stock_Data!C127)-1</f>
        <v>3.7089236703424788E-5</v>
      </c>
      <c r="D128" s="4">
        <f>(Raw_Stock_Data!D128/Raw_Stock_Data!D127)-1</f>
        <v>1.0256034040055706E-2</v>
      </c>
      <c r="E128" s="4">
        <f>(Raw_Stock_Data!E128/Raw_Stock_Data!E127)-1</f>
        <v>-2.4287222808870856E-3</v>
      </c>
      <c r="F128" s="4">
        <f>(Raw_Stock_Data!F128/Raw_Stock_Data!F127)-1</f>
        <v>4.692706879560693E-2</v>
      </c>
      <c r="G128" s="4">
        <f>(Raw_Stock_Data!G128/Raw_Stock_Data!G127)-1</f>
        <v>-2.8457799381352178E-2</v>
      </c>
      <c r="H128" s="4">
        <f>(Raw_Stock_Data!H128/Raw_Stock_Data!H127)-1</f>
        <v>7.4436120347740609E-3</v>
      </c>
      <c r="I128" s="4">
        <f>(Raw_Stock_Data!I128/Raw_Stock_Data!I127)-1</f>
        <v>-5.4130250916267775E-3</v>
      </c>
      <c r="J128" s="4">
        <f>(Raw_Stock_Data!J128/Raw_Stock_Data!J127)-1</f>
        <v>1.6605951228640947E-3</v>
      </c>
    </row>
    <row r="129" spans="1:10" x14ac:dyDescent="0.2">
      <c r="A129" s="2">
        <v>44384</v>
      </c>
      <c r="B129" s="4">
        <f>(Raw_Stock_Data!B129/Raw_Stock_Data!B128)-1</f>
        <v>1.7968130362679302E-2</v>
      </c>
      <c r="C129" s="4">
        <f>(Raw_Stock_Data!C129/Raw_Stock_Data!C128)-1</f>
        <v>8.1778733820419003E-3</v>
      </c>
      <c r="D129" s="4">
        <f>(Raw_Stock_Data!D129/Raw_Stock_Data!D128)-1</f>
        <v>-1.5665998586380847E-2</v>
      </c>
      <c r="E129" s="4">
        <f>(Raw_Stock_Data!E129/Raw_Stock_Data!E128)-1</f>
        <v>-4.1600508097808797E-2</v>
      </c>
      <c r="F129" s="4">
        <f>(Raw_Stock_Data!F129/Raw_Stock_Data!F128)-1</f>
        <v>5.6696066642363263E-3</v>
      </c>
      <c r="G129" s="4">
        <f>(Raw_Stock_Data!G129/Raw_Stock_Data!G128)-1</f>
        <v>-2.2637132720822351E-2</v>
      </c>
      <c r="H129" s="4">
        <f>(Raw_Stock_Data!H129/Raw_Stock_Data!H128)-1</f>
        <v>2.2587366981088319E-3</v>
      </c>
      <c r="I129" s="4">
        <f>(Raw_Stock_Data!I129/Raw_Stock_Data!I128)-1</f>
        <v>-6.4912976926128074E-3</v>
      </c>
      <c r="J129" s="4">
        <f>(Raw_Stock_Data!J129/Raw_Stock_Data!J128)-1</f>
        <v>9.683816569427961E-5</v>
      </c>
    </row>
    <row r="130" spans="1:10" x14ac:dyDescent="0.2">
      <c r="A130" s="2">
        <v>44385</v>
      </c>
      <c r="B130" s="4">
        <f>(Raw_Stock_Data!B130/Raw_Stock_Data!B129)-1</f>
        <v>-9.1867235199954989E-3</v>
      </c>
      <c r="C130" s="4">
        <f>(Raw_Stock_Data!C130/Raw_Stock_Data!C129)-1</f>
        <v>-8.9870693619290565E-3</v>
      </c>
      <c r="D130" s="4">
        <f>(Raw_Stock_Data!D130/Raw_Stock_Data!D129)-1</f>
        <v>-2.302705999232757E-2</v>
      </c>
      <c r="E130" s="4">
        <f>(Raw_Stock_Data!E130/Raw_Stock_Data!E129)-1</f>
        <v>-8.8358736470069976E-3</v>
      </c>
      <c r="F130" s="4">
        <f>(Raw_Stock_Data!F130/Raw_Stock_Data!F129)-1</f>
        <v>9.4195174999593956E-3</v>
      </c>
      <c r="G130" s="4">
        <f>(Raw_Stock_Data!G130/Raw_Stock_Data!G129)-1</f>
        <v>1.2658051125496117E-2</v>
      </c>
      <c r="H130" s="4">
        <f>(Raw_Stock_Data!H130/Raw_Stock_Data!H129)-1</f>
        <v>-1.1315843768350597E-2</v>
      </c>
      <c r="I130" s="4">
        <f>(Raw_Stock_Data!I130/Raw_Stock_Data!I129)-1</f>
        <v>-1.3809238494678966E-2</v>
      </c>
      <c r="J130" s="4">
        <f>(Raw_Stock_Data!J130/Raw_Stock_Data!J129)-1</f>
        <v>-7.1782863486408166E-3</v>
      </c>
    </row>
    <row r="131" spans="1:10" x14ac:dyDescent="0.2">
      <c r="A131" s="2">
        <v>44386</v>
      </c>
      <c r="B131" s="4">
        <f>(Raw_Stock_Data!B131/Raw_Stock_Data!B130)-1</f>
        <v>1.3082174643457289E-2</v>
      </c>
      <c r="C131" s="4">
        <f>(Raw_Stock_Data!C131/Raw_Stock_Data!C130)-1</f>
        <v>1.89315198669604E-3</v>
      </c>
      <c r="D131" s="4">
        <f>(Raw_Stock_Data!D131/Raw_Stock_Data!D130)-1</f>
        <v>7.3901049112985451E-3</v>
      </c>
      <c r="E131" s="4">
        <f>(Raw_Stock_Data!E131/Raw_Stock_Data!E130)-1</f>
        <v>1.2926231334967841E-2</v>
      </c>
      <c r="F131" s="4">
        <f>(Raw_Stock_Data!F131/Raw_Stock_Data!F130)-1</f>
        <v>-3.2320308731306202E-3</v>
      </c>
      <c r="G131" s="4">
        <f>(Raw_Stock_Data!G131/Raw_Stock_Data!G130)-1</f>
        <v>6.3418243314659062E-3</v>
      </c>
      <c r="H131" s="4">
        <f>(Raw_Stock_Data!H131/Raw_Stock_Data!H130)-1</f>
        <v>3.7963914216001537E-3</v>
      </c>
      <c r="I131" s="4">
        <f>(Raw_Stock_Data!I131/Raw_Stock_Data!I130)-1</f>
        <v>1.3800086792998822E-2</v>
      </c>
      <c r="J131" s="4">
        <f>(Raw_Stock_Data!J131/Raw_Stock_Data!J130)-1</f>
        <v>9.7618166196078437E-3</v>
      </c>
    </row>
    <row r="132" spans="1:10" x14ac:dyDescent="0.2">
      <c r="A132" s="2">
        <v>44389</v>
      </c>
      <c r="B132" s="4">
        <f>(Raw_Stock_Data!B132/Raw_Stock_Data!B131)-1</f>
        <v>-4.2479624598666943E-3</v>
      </c>
      <c r="C132" s="4">
        <f>(Raw_Stock_Data!C132/Raw_Stock_Data!C131)-1</f>
        <v>-2.2526694874436259E-3</v>
      </c>
      <c r="D132" s="4">
        <f>(Raw_Stock_Data!D132/Raw_Stock_Data!D131)-1</f>
        <v>2.2997121611897375E-2</v>
      </c>
      <c r="E132" s="4">
        <f>(Raw_Stock_Data!E132/Raw_Stock_Data!E131)-1</f>
        <v>-9.9009900990099098E-4</v>
      </c>
      <c r="F132" s="4">
        <f>(Raw_Stock_Data!F132/Raw_Stock_Data!F131)-1</f>
        <v>-2.0971462678875952E-4</v>
      </c>
      <c r="G132" s="4">
        <f>(Raw_Stock_Data!G132/Raw_Stock_Data!G131)-1</f>
        <v>4.3765954434819232E-2</v>
      </c>
      <c r="H132" s="4">
        <f>(Raw_Stock_Data!H132/Raw_Stock_Data!H131)-1</f>
        <v>1.1609962819334019E-2</v>
      </c>
      <c r="I132" s="4">
        <f>(Raw_Stock_Data!I132/Raw_Stock_Data!I131)-1</f>
        <v>7.8191884024885194E-3</v>
      </c>
      <c r="J132" s="4">
        <f>(Raw_Stock_Data!J132/Raw_Stock_Data!J131)-1</f>
        <v>2.1303339971920909E-3</v>
      </c>
    </row>
    <row r="133" spans="1:10" x14ac:dyDescent="0.2">
      <c r="A133" s="2">
        <v>44390</v>
      </c>
      <c r="B133" s="4">
        <f>(Raw_Stock_Data!B133/Raw_Stock_Data!B132)-1</f>
        <v>7.9369016320254282E-3</v>
      </c>
      <c r="C133" s="4">
        <f>(Raw_Stock_Data!C133/Raw_Stock_Data!C132)-1</f>
        <v>1.3212325562396376E-2</v>
      </c>
      <c r="D133" s="4">
        <f>(Raw_Stock_Data!D133/Raw_Stock_Data!D132)-1</f>
        <v>-1.2729954961556156E-2</v>
      </c>
      <c r="E133" s="4">
        <f>(Raw_Stock_Data!E133/Raw_Stock_Data!E132)-1</f>
        <v>-6.0566016958484292E-3</v>
      </c>
      <c r="F133" s="4">
        <f>(Raw_Stock_Data!F133/Raw_Stock_Data!F132)-1</f>
        <v>-1.1079557678241092E-2</v>
      </c>
      <c r="G133" s="4">
        <f>(Raw_Stock_Data!G133/Raw_Stock_Data!G132)-1</f>
        <v>-2.5025484868769321E-2</v>
      </c>
      <c r="H133" s="4">
        <f>(Raw_Stock_Data!H133/Raw_Stock_Data!H132)-1</f>
        <v>2.8849877882024533E-3</v>
      </c>
      <c r="I133" s="4">
        <f>(Raw_Stock_Data!I133/Raw_Stock_Data!I132)-1</f>
        <v>-3.0297881979840513E-3</v>
      </c>
      <c r="J133" s="4">
        <f>(Raw_Stock_Data!J133/Raw_Stock_Data!J132)-1</f>
        <v>-3.7731008250730946E-3</v>
      </c>
    </row>
    <row r="134" spans="1:10" x14ac:dyDescent="0.2">
      <c r="A134" s="2">
        <v>44391</v>
      </c>
      <c r="B134" s="4">
        <f>(Raw_Stock_Data!B134/Raw_Stock_Data!B133)-1</f>
        <v>2.403802211863626E-2</v>
      </c>
      <c r="C134" s="4">
        <f>(Raw_Stock_Data!C134/Raw_Stock_Data!C133)-1</f>
        <v>5.4718308826764428E-3</v>
      </c>
      <c r="D134" s="4">
        <f>(Raw_Stock_Data!D134/Raw_Stock_Data!D133)-1</f>
        <v>-2.0108061036673397E-2</v>
      </c>
      <c r="E134" s="4">
        <f>(Raw_Stock_Data!E134/Raw_Stock_Data!E133)-1</f>
        <v>-1.3405716818081226E-2</v>
      </c>
      <c r="F134" s="4">
        <f>(Raw_Stock_Data!F134/Raw_Stock_Data!F133)-1</f>
        <v>1.1747558030761329E-3</v>
      </c>
      <c r="G134" s="4">
        <f>(Raw_Stock_Data!G134/Raw_Stock_Data!G133)-1</f>
        <v>-2.2679237324262802E-2</v>
      </c>
      <c r="H134" s="4">
        <f>(Raw_Stock_Data!H134/Raw_Stock_Data!H133)-1</f>
        <v>7.0301540013555375E-3</v>
      </c>
      <c r="I134" s="4">
        <f>(Raw_Stock_Data!I134/Raw_Stock_Data!I133)-1</f>
        <v>-1.266721576869545E-2</v>
      </c>
      <c r="J134" s="4">
        <f>(Raw_Stock_Data!J134/Raw_Stock_Data!J133)-1</f>
        <v>-2.227877078415097E-3</v>
      </c>
    </row>
    <row r="135" spans="1:10" x14ac:dyDescent="0.2">
      <c r="A135" s="2">
        <v>44392</v>
      </c>
      <c r="B135" s="4">
        <f>(Raw_Stock_Data!B135/Raw_Stock_Data!B134)-1</f>
        <v>-4.5313486941476189E-3</v>
      </c>
      <c r="C135" s="4">
        <f>(Raw_Stock_Data!C135/Raw_Stock_Data!C134)-1</f>
        <v>-5.2634456614847336E-3</v>
      </c>
      <c r="D135" s="4">
        <f>(Raw_Stock_Data!D135/Raw_Stock_Data!D134)-1</f>
        <v>-4.416695279836802E-2</v>
      </c>
      <c r="E135" s="4">
        <f>(Raw_Stock_Data!E135/Raw_Stock_Data!E134)-1</f>
        <v>-2.3806850084222231E-2</v>
      </c>
      <c r="F135" s="4">
        <f>(Raw_Stock_Data!F135/Raw_Stock_Data!F134)-1</f>
        <v>-1.3711131874578952E-2</v>
      </c>
      <c r="G135" s="4">
        <f>(Raw_Stock_Data!G135/Raw_Stock_Data!G134)-1</f>
        <v>-4.2517436281239718E-3</v>
      </c>
      <c r="H135" s="4">
        <f>(Raw_Stock_Data!H135/Raw_Stock_Data!H134)-1</f>
        <v>-9.6107189256029457E-3</v>
      </c>
      <c r="I135" s="4">
        <f>(Raw_Stock_Data!I135/Raw_Stock_Data!I134)-1</f>
        <v>-9.1188907746743153E-3</v>
      </c>
      <c r="J135" s="4">
        <f>(Raw_Stock_Data!J135/Raw_Stock_Data!J134)-1</f>
        <v>-6.9525672672150485E-3</v>
      </c>
    </row>
    <row r="136" spans="1:10" x14ac:dyDescent="0.2">
      <c r="A136" s="2">
        <v>44393</v>
      </c>
      <c r="B136" s="4">
        <f>(Raw_Stock_Data!B136/Raw_Stock_Data!B135)-1</f>
        <v>-1.4007669388655719E-2</v>
      </c>
      <c r="C136" s="4">
        <f>(Raw_Stock_Data!C136/Raw_Stock_Data!C135)-1</f>
        <v>-1.0076914338901233E-3</v>
      </c>
      <c r="D136" s="4">
        <f>(Raw_Stock_Data!D136/Raw_Stock_Data!D135)-1</f>
        <v>-4.2462373941478115E-2</v>
      </c>
      <c r="E136" s="4">
        <f>(Raw_Stock_Data!E136/Raw_Stock_Data!E135)-1</f>
        <v>-1.1963648912918456E-2</v>
      </c>
      <c r="F136" s="4">
        <f>(Raw_Stock_Data!F136/Raw_Stock_Data!F135)-1</f>
        <v>-1.5851509142983167E-2</v>
      </c>
      <c r="G136" s="4">
        <f>(Raw_Stock_Data!G136/Raw_Stock_Data!G135)-1</f>
        <v>-9.8078545836848274E-3</v>
      </c>
      <c r="H136" s="4">
        <f>(Raw_Stock_Data!H136/Raw_Stock_Data!H135)-1</f>
        <v>-2.7657926761814888E-4</v>
      </c>
      <c r="I136" s="4">
        <f>(Raw_Stock_Data!I136/Raw_Stock_Data!I135)-1</f>
        <v>-9.5802125065318489E-3</v>
      </c>
      <c r="J136" s="4">
        <f>(Raw_Stock_Data!J136/Raw_Stock_Data!J135)-1</f>
        <v>-7.9687109996265937E-3</v>
      </c>
    </row>
    <row r="137" spans="1:10" x14ac:dyDescent="0.2">
      <c r="A137" s="2">
        <v>44396</v>
      </c>
      <c r="B137" s="4">
        <f>(Raw_Stock_Data!B137/Raw_Stock_Data!B136)-1</f>
        <v>-2.6930421583509001E-2</v>
      </c>
      <c r="C137" s="4">
        <f>(Raw_Stock_Data!C137/Raw_Stock_Data!C136)-1</f>
        <v>-1.3289268081547623E-2</v>
      </c>
      <c r="D137" s="4">
        <f>(Raw_Stock_Data!D137/Raw_Stock_Data!D136)-1</f>
        <v>3.4105892672915417E-2</v>
      </c>
      <c r="E137" s="4">
        <f>(Raw_Stock_Data!E137/Raw_Stock_Data!E136)-1</f>
        <v>8.0335312609149945E-3</v>
      </c>
      <c r="F137" s="4">
        <f>(Raw_Stock_Data!F137/Raw_Stock_Data!F136)-1</f>
        <v>-6.7270346201632192E-3</v>
      </c>
      <c r="G137" s="4">
        <f>(Raw_Stock_Data!G137/Raw_Stock_Data!G136)-1</f>
        <v>3.1060817733072899E-3</v>
      </c>
      <c r="H137" s="4">
        <f>(Raw_Stock_Data!H137/Raw_Stock_Data!H136)-1</f>
        <v>-1.8836306724316465E-2</v>
      </c>
      <c r="I137" s="4">
        <f>(Raw_Stock_Data!I137/Raw_Stock_Data!I136)-1</f>
        <v>-1.2340250908664641E-2</v>
      </c>
      <c r="J137" s="4">
        <f>(Raw_Stock_Data!J137/Raw_Stock_Data!J136)-1</f>
        <v>-1.0553647128626165E-2</v>
      </c>
    </row>
    <row r="138" spans="1:10" x14ac:dyDescent="0.2">
      <c r="A138" s="2">
        <v>44397</v>
      </c>
      <c r="B138" s="4">
        <f>(Raw_Stock_Data!B138/Raw_Stock_Data!B137)-1</f>
        <v>2.5972065472895656E-2</v>
      </c>
      <c r="C138" s="4">
        <f>(Raw_Stock_Data!C138/Raw_Stock_Data!C137)-1</f>
        <v>8.3493492637629618E-3</v>
      </c>
      <c r="D138" s="4">
        <f>(Raw_Stock_Data!D138/Raw_Stock_Data!D137)-1</f>
        <v>-8.9521502766203298E-3</v>
      </c>
      <c r="E138" s="4">
        <f>(Raw_Stock_Data!E138/Raw_Stock_Data!E137)-1</f>
        <v>6.1215061215060818E-3</v>
      </c>
      <c r="F138" s="4">
        <f>(Raw_Stock_Data!F138/Raw_Stock_Data!F137)-1</f>
        <v>6.6486364660807151E-3</v>
      </c>
      <c r="G138" s="4">
        <f>(Raw_Stock_Data!G138/Raw_Stock_Data!G137)-1</f>
        <v>2.2097703417252035E-2</v>
      </c>
      <c r="H138" s="4">
        <f>(Raw_Stock_Data!H138/Raw_Stock_Data!H137)-1</f>
        <v>1.3099381283836031E-2</v>
      </c>
      <c r="I138" s="4">
        <f>(Raw_Stock_Data!I138/Raw_Stock_Data!I137)-1</f>
        <v>1.3978335064549707E-2</v>
      </c>
      <c r="J138" s="4">
        <f>(Raw_Stock_Data!J138/Raw_Stock_Data!J137)-1</f>
        <v>1.5684785547860569E-2</v>
      </c>
    </row>
    <row r="139" spans="1:10" x14ac:dyDescent="0.2">
      <c r="A139" s="2">
        <v>44398</v>
      </c>
      <c r="B139" s="4">
        <f>(Raw_Stock_Data!B139/Raw_Stock_Data!B138)-1</f>
        <v>-5.1007539026370896E-3</v>
      </c>
      <c r="C139" s="4">
        <f>(Raw_Stock_Data!C139/Raw_Stock_Data!C138)-1</f>
        <v>7.4175388665027597E-3</v>
      </c>
      <c r="D139" s="4">
        <f>(Raw_Stock_Data!D139/Raw_Stock_Data!D138)-1</f>
        <v>4.2887980921927582E-2</v>
      </c>
      <c r="E139" s="4">
        <f>(Raw_Stock_Data!E139/Raw_Stock_Data!E138)-1</f>
        <v>2.6403398002525558E-2</v>
      </c>
      <c r="F139" s="4">
        <f>(Raw_Stock_Data!F139/Raw_Stock_Data!F138)-1</f>
        <v>3.3583342662040216E-3</v>
      </c>
      <c r="G139" s="4">
        <f>(Raw_Stock_Data!G139/Raw_Stock_Data!G138)-1</f>
        <v>-7.8894657237460475E-3</v>
      </c>
      <c r="H139" s="4">
        <f>(Raw_Stock_Data!H139/Raw_Stock_Data!H138)-1</f>
        <v>1.0608012468788175E-2</v>
      </c>
      <c r="I139" s="4">
        <f>(Raw_Stock_Data!I139/Raw_Stock_Data!I138)-1</f>
        <v>1.3375870748697505E-2</v>
      </c>
      <c r="J139" s="4">
        <f>(Raw_Stock_Data!J139/Raw_Stock_Data!J138)-1</f>
        <v>9.1779502968505344E-3</v>
      </c>
    </row>
    <row r="140" spans="1:10" x14ac:dyDescent="0.2">
      <c r="A140" s="2">
        <v>44399</v>
      </c>
      <c r="B140" s="4">
        <f>(Raw_Stock_Data!B140/Raw_Stock_Data!B139)-1</f>
        <v>9.6340741992730905E-3</v>
      </c>
      <c r="C140" s="4">
        <f>(Raw_Stock_Data!C140/Raw_Stock_Data!C139)-1</f>
        <v>1.6833723070617257E-2</v>
      </c>
      <c r="D140" s="4">
        <f>(Raw_Stock_Data!D140/Raw_Stock_Data!D139)-1</f>
        <v>9.4977546069270335E-3</v>
      </c>
      <c r="E140" s="4">
        <f>(Raw_Stock_Data!E140/Raw_Stock_Data!E139)-1</f>
        <v>2.013197628900576E-2</v>
      </c>
      <c r="F140" s="4">
        <f>(Raw_Stock_Data!F140/Raw_Stock_Data!F139)-1</f>
        <v>1.4738368849715577E-2</v>
      </c>
      <c r="G140" s="4">
        <f>(Raw_Stock_Data!G140/Raw_Stock_Data!G139)-1</f>
        <v>-9.2020326878177183E-3</v>
      </c>
      <c r="H140" s="4">
        <f>(Raw_Stock_Data!H140/Raw_Stock_Data!H139)-1</f>
        <v>6.8377816945739411E-3</v>
      </c>
      <c r="I140" s="4">
        <f>(Raw_Stock_Data!I140/Raw_Stock_Data!I139)-1</f>
        <v>1.4325737226698942E-2</v>
      </c>
      <c r="J140" s="4">
        <f>(Raw_Stock_Data!J140/Raw_Stock_Data!J139)-1</f>
        <v>3.5982900433639831E-3</v>
      </c>
    </row>
    <row r="141" spans="1:10" x14ac:dyDescent="0.2">
      <c r="A141" s="2">
        <v>44400</v>
      </c>
      <c r="B141" s="4">
        <f>(Raw_Stock_Data!B141/Raw_Stock_Data!B140)-1</f>
        <v>1.1913730085655994E-2</v>
      </c>
      <c r="C141" s="4">
        <f>(Raw_Stock_Data!C141/Raw_Stock_Data!C140)-1</f>
        <v>1.2344301647226441E-2</v>
      </c>
      <c r="D141" s="4">
        <f>(Raw_Stock_Data!D141/Raw_Stock_Data!D140)-1</f>
        <v>-1.8407731247123138E-3</v>
      </c>
      <c r="E141" s="4">
        <f>(Raw_Stock_Data!E141/Raw_Stock_Data!E140)-1</f>
        <v>1.03058875123343E-2</v>
      </c>
      <c r="F141" s="4">
        <f>(Raw_Stock_Data!F141/Raw_Stock_Data!F140)-1</f>
        <v>5.1126430715440208E-3</v>
      </c>
      <c r="G141" s="4">
        <f>(Raw_Stock_Data!G141/Raw_Stock_Data!G140)-1</f>
        <v>-9.0564642824136898E-3</v>
      </c>
      <c r="H141" s="4">
        <f>(Raw_Stock_Data!H141/Raw_Stock_Data!H140)-1</f>
        <v>3.5777644052298774E-2</v>
      </c>
      <c r="I141" s="4">
        <f>(Raw_Stock_Data!I141/Raw_Stock_Data!I140)-1</f>
        <v>5.2962783678350833E-2</v>
      </c>
      <c r="J141" s="4">
        <f>(Raw_Stock_Data!J141/Raw_Stock_Data!J140)-1</f>
        <v>1.0377538373534057E-2</v>
      </c>
    </row>
    <row r="142" spans="1:10" x14ac:dyDescent="0.2">
      <c r="A142" s="2">
        <v>44403</v>
      </c>
      <c r="B142" s="4">
        <f>(Raw_Stock_Data!B142/Raw_Stock_Data!B141)-1</f>
        <v>2.9157935370023313E-3</v>
      </c>
      <c r="C142" s="4">
        <f>(Raw_Stock_Data!C142/Raw_Stock_Data!C141)-1</f>
        <v>-2.1223572741395635E-3</v>
      </c>
      <c r="D142" s="4">
        <f>(Raw_Stock_Data!D142/Raw_Stock_Data!D141)-1</f>
        <v>-1.3508529276164083E-2</v>
      </c>
      <c r="E142" s="4">
        <f>(Raw_Stock_Data!E142/Raw_Stock_Data!E141)-1</f>
        <v>-3.5811177428107799E-3</v>
      </c>
      <c r="F142" s="4">
        <f>(Raw_Stock_Data!F142/Raw_Stock_Data!F141)-1</f>
        <v>1.1808654940054453E-2</v>
      </c>
      <c r="G142" s="4">
        <f>(Raw_Stock_Data!G142/Raw_Stock_Data!G141)-1</f>
        <v>2.2134663806770316E-2</v>
      </c>
      <c r="H142" s="4">
        <f>(Raw_Stock_Data!H142/Raw_Stock_Data!H141)-1</f>
        <v>7.6658995736973434E-3</v>
      </c>
      <c r="I142" s="4">
        <f>(Raw_Stock_Data!I142/Raw_Stock_Data!I141)-1</f>
        <v>7.220314232402103E-3</v>
      </c>
      <c r="J142" s="4">
        <f>(Raw_Stock_Data!J142/Raw_Stock_Data!J141)-1</f>
        <v>2.5072470898734878E-4</v>
      </c>
    </row>
    <row r="143" spans="1:10" x14ac:dyDescent="0.2">
      <c r="A143" s="2">
        <v>44404</v>
      </c>
      <c r="B143" s="4">
        <f>(Raw_Stock_Data!B143/Raw_Stock_Data!B142)-1</f>
        <v>-1.4852744080552593E-2</v>
      </c>
      <c r="C143" s="4">
        <f>(Raw_Stock_Data!C143/Raw_Stock_Data!C142)-1</f>
        <v>-8.6998653337798659E-3</v>
      </c>
      <c r="D143" s="4">
        <f>(Raw_Stock_Data!D143/Raw_Stock_Data!D142)-1</f>
        <v>-4.4658389286141853E-3</v>
      </c>
      <c r="E143" s="4">
        <f>(Raw_Stock_Data!E143/Raw_Stock_Data!E142)-1</f>
        <v>-8.6037900239598342E-3</v>
      </c>
      <c r="F143" s="4">
        <f>(Raw_Stock_Data!F143/Raw_Stock_Data!F142)-1</f>
        <v>-1.9844208637177063E-2</v>
      </c>
      <c r="G143" s="4">
        <f>(Raw_Stock_Data!G143/Raw_Stock_Data!G142)-1</f>
        <v>-1.9524923930348992E-2</v>
      </c>
      <c r="H143" s="4">
        <f>(Raw_Stock_Data!H143/Raw_Stock_Data!H142)-1</f>
        <v>-1.5933987764973567E-2</v>
      </c>
      <c r="I143" s="4">
        <f>(Raw_Stock_Data!I143/Raw_Stock_Data!I142)-1</f>
        <v>-1.2484562100628205E-2</v>
      </c>
      <c r="J143" s="4">
        <f>(Raw_Stock_Data!J143/Raw_Stock_Data!J142)-1</f>
        <v>-1.213755945638717E-2</v>
      </c>
    </row>
    <row r="144" spans="1:10" x14ac:dyDescent="0.2">
      <c r="A144" s="2">
        <v>44405</v>
      </c>
      <c r="B144" s="4">
        <f>(Raw_Stock_Data!B144/Raw_Stock_Data!B143)-1</f>
        <v>-1.2181338691447996E-2</v>
      </c>
      <c r="C144" s="4">
        <f>(Raw_Stock_Data!C144/Raw_Stock_Data!C143)-1</f>
        <v>-1.1176918764287391E-3</v>
      </c>
      <c r="D144" s="4">
        <f>(Raw_Stock_Data!D144/Raw_Stock_Data!D143)-1</f>
        <v>1.537193617542898E-2</v>
      </c>
      <c r="E144" s="4">
        <f>(Raw_Stock_Data!E144/Raw_Stock_Data!E143)-1</f>
        <v>7.5799187081182051E-2</v>
      </c>
      <c r="F144" s="4">
        <f>(Raw_Stock_Data!F144/Raw_Stock_Data!F143)-1</f>
        <v>1.0809618354290507E-3</v>
      </c>
      <c r="G144" s="4">
        <f>(Raw_Stock_Data!G144/Raw_Stock_Data!G143)-1</f>
        <v>3.4104602958213714E-3</v>
      </c>
      <c r="H144" s="4">
        <f>(Raw_Stock_Data!H144/Raw_Stock_Data!H143)-1</f>
        <v>3.1805696111030901E-2</v>
      </c>
      <c r="I144" s="4">
        <f>(Raw_Stock_Data!I144/Raw_Stock_Data!I143)-1</f>
        <v>1.4871808814333365E-2</v>
      </c>
      <c r="J144" s="4">
        <f>(Raw_Stock_Data!J144/Raw_Stock_Data!J143)-1</f>
        <v>6.9574327891530618E-3</v>
      </c>
    </row>
    <row r="145" spans="1:10" x14ac:dyDescent="0.2">
      <c r="A145" s="2">
        <v>44406</v>
      </c>
      <c r="B145" s="4">
        <f>(Raw_Stock_Data!B145/Raw_Stock_Data!B144)-1</f>
        <v>4.5554708026105395E-3</v>
      </c>
      <c r="C145" s="4">
        <f>(Raw_Stock_Data!C145/Raw_Stock_Data!C144)-1</f>
        <v>9.7862495997369514E-4</v>
      </c>
      <c r="D145" s="4">
        <f>(Raw_Stock_Data!D145/Raw_Stock_Data!D144)-1</f>
        <v>8.1578136237541177E-3</v>
      </c>
      <c r="E145" s="4">
        <f>(Raw_Stock_Data!E145/Raw_Stock_Data!E144)-1</f>
        <v>5.1261104870826024E-2</v>
      </c>
      <c r="F145" s="4">
        <f>(Raw_Stock_Data!F145/Raw_Stock_Data!F144)-1</f>
        <v>-8.3739174508031811E-3</v>
      </c>
      <c r="G145" s="4">
        <f>(Raw_Stock_Data!G145/Raw_Stock_Data!G144)-1</f>
        <v>4.6939627190948574E-2</v>
      </c>
      <c r="H145" s="4">
        <f>(Raw_Stock_Data!H145/Raw_Stock_Data!H144)-1</f>
        <v>-2.3303319248099141E-3</v>
      </c>
      <c r="I145" s="4">
        <f>(Raw_Stock_Data!I145/Raw_Stock_Data!I144)-1</f>
        <v>-4.0077153879125582E-2</v>
      </c>
      <c r="J145" s="4">
        <f>(Raw_Stock_Data!J145/Raw_Stock_Data!J144)-1</f>
        <v>1.0621449638206215E-3</v>
      </c>
    </row>
    <row r="146" spans="1:10" x14ac:dyDescent="0.2">
      <c r="A146" s="2">
        <v>44407</v>
      </c>
      <c r="B146" s="4">
        <f>(Raw_Stock_Data!B146/Raw_Stock_Data!B145)-1</f>
        <v>1.4694198955236271E-3</v>
      </c>
      <c r="C146" s="4">
        <f>(Raw_Stock_Data!C146/Raw_Stock_Data!C145)-1</f>
        <v>-5.5532990909843427E-3</v>
      </c>
      <c r="D146" s="4">
        <f>(Raw_Stock_Data!D146/Raw_Stock_Data!D145)-1</f>
        <v>-8.2956259426848478E-3</v>
      </c>
      <c r="E146" s="4">
        <f>(Raw_Stock_Data!E146/Raw_Stock_Data!E145)-1</f>
        <v>3.147158814958706E-2</v>
      </c>
      <c r="F146" s="4">
        <f>(Raw_Stock_Data!F146/Raw_Stock_Data!F145)-1</f>
        <v>-7.5646125469454928E-2</v>
      </c>
      <c r="G146" s="4">
        <f>(Raw_Stock_Data!G146/Raw_Stock_Data!G145)-1</f>
        <v>1.4544939167253634E-2</v>
      </c>
      <c r="H146" s="4">
        <f>(Raw_Stock_Data!H146/Raw_Stock_Data!H145)-1</f>
        <v>-7.7317111030623664E-3</v>
      </c>
      <c r="I146" s="4">
        <f>(Raw_Stock_Data!I146/Raw_Stock_Data!I145)-1</f>
        <v>-5.6374190667559665E-3</v>
      </c>
      <c r="J146" s="4">
        <f>(Raw_Stock_Data!J146/Raw_Stock_Data!J145)-1</f>
        <v>-7.1442781491189988E-3</v>
      </c>
    </row>
    <row r="147" spans="1:10" x14ac:dyDescent="0.2">
      <c r="A147" s="2">
        <v>44410</v>
      </c>
      <c r="B147" s="4">
        <f>(Raw_Stock_Data!B147/Raw_Stock_Data!B146)-1</f>
        <v>-2.2886508192807575E-3</v>
      </c>
      <c r="C147" s="4">
        <f>(Raw_Stock_Data!C147/Raw_Stock_Data!C146)-1</f>
        <v>-3.1084187546093212E-4</v>
      </c>
      <c r="D147" s="4">
        <f>(Raw_Stock_Data!D147/Raw_Stock_Data!D146)-1</f>
        <v>1.2876374473332675E-2</v>
      </c>
      <c r="E147" s="4">
        <f>(Raw_Stock_Data!E147/Raw_Stock_Data!E146)-1</f>
        <v>2.2977681514266823E-2</v>
      </c>
      <c r="F147" s="4">
        <f>(Raw_Stock_Data!F147/Raw_Stock_Data!F146)-1</f>
        <v>1.1660055295108496E-3</v>
      </c>
      <c r="G147" s="4">
        <f>(Raw_Stock_Data!G147/Raw_Stock_Data!G146)-1</f>
        <v>3.2697856958880944E-2</v>
      </c>
      <c r="H147" s="4">
        <f>(Raw_Stock_Data!H147/Raw_Stock_Data!H146)-1</f>
        <v>9.311611206710424E-4</v>
      </c>
      <c r="I147" s="4">
        <f>(Raw_Stock_Data!I147/Raw_Stock_Data!I146)-1</f>
        <v>-1.220881279820385E-2</v>
      </c>
      <c r="J147" s="4">
        <f>(Raw_Stock_Data!J147/Raw_Stock_Data!J146)-1</f>
        <v>5.7181101203052087E-4</v>
      </c>
    </row>
    <row r="148" spans="1:10" x14ac:dyDescent="0.2">
      <c r="A148" s="2">
        <v>44411</v>
      </c>
      <c r="B148" s="4">
        <f>(Raw_Stock_Data!B148/Raw_Stock_Data!B147)-1</f>
        <v>1.2588308142643889E-2</v>
      </c>
      <c r="C148" s="4">
        <f>(Raw_Stock_Data!C148/Raw_Stock_Data!C147)-1</f>
        <v>8.0844017325782946E-3</v>
      </c>
      <c r="D148" s="4">
        <f>(Raw_Stock_Data!D148/Raw_Stock_Data!D147)-1</f>
        <v>3.2923105019124765E-3</v>
      </c>
      <c r="E148" s="4">
        <f>(Raw_Stock_Data!E148/Raw_Stock_Data!E147)-1</f>
        <v>3.6177851422259044E-2</v>
      </c>
      <c r="F148" s="4">
        <f>(Raw_Stock_Data!F148/Raw_Stock_Data!F147)-1</f>
        <v>1.0433801193463488E-2</v>
      </c>
      <c r="G148" s="4">
        <f>(Raw_Stock_Data!G148/Raw_Stock_Data!G147)-1</f>
        <v>9.7228152200257156E-5</v>
      </c>
      <c r="H148" s="4">
        <f>(Raw_Stock_Data!H148/Raw_Stock_Data!H147)-1</f>
        <v>5.760385811886648E-3</v>
      </c>
      <c r="I148" s="4">
        <f>(Raw_Stock_Data!I148/Raw_Stock_Data!I147)-1</f>
        <v>-2.0173320073874068E-3</v>
      </c>
      <c r="J148" s="4">
        <f>(Raw_Stock_Data!J148/Raw_Stock_Data!J147)-1</f>
        <v>5.4641793820207063E-3</v>
      </c>
    </row>
    <row r="149" spans="1:10" x14ac:dyDescent="0.2">
      <c r="A149" s="2">
        <v>44412</v>
      </c>
      <c r="B149" s="4">
        <f>(Raw_Stock_Data!B149/Raw_Stock_Data!B148)-1</f>
        <v>-2.7518154337932144E-3</v>
      </c>
      <c r="C149" s="4">
        <f>(Raw_Stock_Data!C149/Raw_Stock_Data!C148)-1</f>
        <v>-2.1340085647266749E-3</v>
      </c>
      <c r="D149" s="4">
        <f>(Raw_Stock_Data!D149/Raw_Stock_Data!D148)-1</f>
        <v>2.3122234862849256E-2</v>
      </c>
      <c r="E149" s="4">
        <f>(Raw_Stock_Data!E149/Raw_Stock_Data!E148)-1</f>
        <v>5.5170575692963686E-2</v>
      </c>
      <c r="F149" s="4">
        <f>(Raw_Stock_Data!F149/Raw_Stock_Data!F148)-1</f>
        <v>-3.4222158847855288E-3</v>
      </c>
      <c r="G149" s="4">
        <f>(Raw_Stock_Data!G149/Raw_Stock_Data!G148)-1</f>
        <v>1.6611716966776768E-3</v>
      </c>
      <c r="H149" s="4">
        <f>(Raw_Stock_Data!H149/Raw_Stock_Data!H148)-1</f>
        <v>-3.714666272014111E-3</v>
      </c>
      <c r="I149" s="4">
        <f>(Raw_Stock_Data!I149/Raw_Stock_Data!I148)-1</f>
        <v>2.1865391185514227E-2</v>
      </c>
      <c r="J149" s="4">
        <f>(Raw_Stock_Data!J149/Raw_Stock_Data!J148)-1</f>
        <v>1.30340911939264E-3</v>
      </c>
    </row>
    <row r="150" spans="1:10" x14ac:dyDescent="0.2">
      <c r="A150" s="2">
        <v>44413</v>
      </c>
      <c r="B150" s="4">
        <f>(Raw_Stock_Data!B150/Raw_Stock_Data!B149)-1</f>
        <v>7.6650244932374711E-4</v>
      </c>
      <c r="C150" s="4">
        <f>(Raw_Stock_Data!C150/Raw_Stock_Data!C149)-1</f>
        <v>1.0495178328175481E-2</v>
      </c>
      <c r="D150" s="4">
        <f>(Raw_Stock_Data!D150/Raw_Stock_Data!D149)-1</f>
        <v>1.7810900033605304E-2</v>
      </c>
      <c r="E150" s="4">
        <f>(Raw_Stock_Data!E150/Raw_Stock_Data!E149)-1</f>
        <v>-5.4054054054054057E-2</v>
      </c>
      <c r="F150" s="4">
        <f>(Raw_Stock_Data!F150/Raw_Stock_Data!F149)-1</f>
        <v>6.3433013783567027E-3</v>
      </c>
      <c r="G150" s="4">
        <f>(Raw_Stock_Data!G150/Raw_Stock_Data!G149)-1</f>
        <v>5.2200039666965292E-3</v>
      </c>
      <c r="H150" s="4">
        <f>(Raw_Stock_Data!H150/Raw_Stock_Data!H149)-1</f>
        <v>8.3334571220605724E-3</v>
      </c>
      <c r="I150" s="4">
        <f>(Raw_Stock_Data!I150/Raw_Stock_Data!I149)-1</f>
        <v>1.1283851554664048E-2</v>
      </c>
      <c r="J150" s="4">
        <f>(Raw_Stock_Data!J150/Raw_Stock_Data!J149)-1</f>
        <v>7.7527666463923506E-3</v>
      </c>
    </row>
    <row r="151" spans="1:10" x14ac:dyDescent="0.2">
      <c r="A151" s="2">
        <v>44414</v>
      </c>
      <c r="B151" s="4">
        <f>(Raw_Stock_Data!B151/Raw_Stock_Data!B150)-1</f>
        <v>-4.7904525167281609E-3</v>
      </c>
      <c r="C151" s="4">
        <f>(Raw_Stock_Data!C151/Raw_Stock_Data!C150)-1</f>
        <v>-2.1341452570378117E-4</v>
      </c>
      <c r="D151" s="4">
        <f>(Raw_Stock_Data!D151/Raw_Stock_Data!D150)-1</f>
        <v>-1.3041873834679918E-2</v>
      </c>
      <c r="E151" s="4">
        <f>(Raw_Stock_Data!E151/Raw_Stock_Data!E150)-1</f>
        <v>-1.9937694704049824E-2</v>
      </c>
      <c r="F151" s="4">
        <f>(Raw_Stock_Data!F151/Raw_Stock_Data!F150)-1</f>
        <v>-9.2002369668245931E-3</v>
      </c>
      <c r="G151" s="4">
        <f>(Raw_Stock_Data!G151/Raw_Stock_Data!G150)-1</f>
        <v>-2.1732924730280101E-2</v>
      </c>
      <c r="H151" s="4">
        <f>(Raw_Stock_Data!H151/Raw_Stock_Data!H150)-1</f>
        <v>-3.7787271655861376E-3</v>
      </c>
      <c r="I151" s="4">
        <f>(Raw_Stock_Data!I151/Raw_Stock_Data!I150)-1</f>
        <v>1.4877262583683493E-3</v>
      </c>
      <c r="J151" s="4">
        <f>(Raw_Stock_Data!J151/Raw_Stock_Data!J150)-1</f>
        <v>-3.9851978366068908E-3</v>
      </c>
    </row>
    <row r="152" spans="1:10" x14ac:dyDescent="0.2">
      <c r="A152" s="2">
        <v>44417</v>
      </c>
      <c r="B152" s="4">
        <f>(Raw_Stock_Data!B152/Raw_Stock_Data!B151)-1</f>
        <v>-3.4981914350284971E-4</v>
      </c>
      <c r="C152" s="4">
        <f>(Raw_Stock_Data!C152/Raw_Stock_Data!C151)-1</f>
        <v>-3.8849734775850964E-3</v>
      </c>
      <c r="D152" s="4">
        <f>(Raw_Stock_Data!D152/Raw_Stock_Data!D151)-1</f>
        <v>-3.4880403018703321E-3</v>
      </c>
      <c r="E152" s="4">
        <f>(Raw_Stock_Data!E152/Raw_Stock_Data!E151)-1</f>
        <v>-2.2977022977022976E-2</v>
      </c>
      <c r="F152" s="4">
        <f>(Raw_Stock_Data!F152/Raw_Stock_Data!F151)-1</f>
        <v>-9.1481461550890764E-4</v>
      </c>
      <c r="G152" s="4">
        <f>(Raw_Stock_Data!G152/Raw_Stock_Data!G151)-1</f>
        <v>2.0971278745928634E-2</v>
      </c>
      <c r="H152" s="4">
        <f>(Raw_Stock_Data!H152/Raw_Stock_Data!H151)-1</f>
        <v>8.6656265943052535E-3</v>
      </c>
      <c r="I152" s="4">
        <f>(Raw_Stock_Data!I152/Raw_Stock_Data!I151)-1</f>
        <v>-5.2268163186707239E-3</v>
      </c>
      <c r="J152" s="4">
        <f>(Raw_Stock_Data!J152/Raw_Stock_Data!J151)-1</f>
        <v>1.6460228528905052E-3</v>
      </c>
    </row>
    <row r="153" spans="1:10" x14ac:dyDescent="0.2">
      <c r="A153" s="2">
        <v>44418</v>
      </c>
      <c r="B153" s="4">
        <f>(Raw_Stock_Data!B153/Raw_Stock_Data!B152)-1</f>
        <v>-3.27545299934906E-3</v>
      </c>
      <c r="C153" s="4">
        <f>(Raw_Stock_Data!C153/Raw_Stock_Data!C152)-1</f>
        <v>-6.560925172594767E-3</v>
      </c>
      <c r="D153" s="4">
        <f>(Raw_Stock_Data!D153/Raw_Stock_Data!D152)-1</f>
        <v>-1.7688848077331287E-2</v>
      </c>
      <c r="E153" s="4">
        <f>(Raw_Stock_Data!E153/Raw_Stock_Data!E152)-1</f>
        <v>-1.0224948875255602E-2</v>
      </c>
      <c r="F153" s="4">
        <f>(Raw_Stock_Data!F153/Raw_Stock_Data!F152)-1</f>
        <v>-6.3437346643206993E-3</v>
      </c>
      <c r="G153" s="4">
        <f>(Raw_Stock_Data!G153/Raw_Stock_Data!G152)-1</f>
        <v>-5.283288500336103E-3</v>
      </c>
      <c r="H153" s="4">
        <f>(Raw_Stock_Data!H153/Raw_Stock_Data!H152)-1</f>
        <v>-7.7701786408068685E-4</v>
      </c>
      <c r="I153" s="4">
        <f>(Raw_Stock_Data!I153/Raw_Stock_Data!I152)-1</f>
        <v>-1.3273969193330348E-3</v>
      </c>
      <c r="J153" s="4">
        <f>(Raw_Stock_Data!J153/Raw_Stock_Data!J152)-1</f>
        <v>-4.8512198371756243E-3</v>
      </c>
    </row>
    <row r="154" spans="1:10" x14ac:dyDescent="0.2">
      <c r="A154" s="2">
        <v>44419</v>
      </c>
      <c r="B154" s="4">
        <f>(Raw_Stock_Data!B154/Raw_Stock_Data!B153)-1</f>
        <v>1.7063049019401255E-3</v>
      </c>
      <c r="C154" s="4">
        <f>(Raw_Stock_Data!C154/Raw_Stock_Data!C153)-1</f>
        <v>1.7903751159429326E-3</v>
      </c>
      <c r="D154" s="4">
        <f>(Raw_Stock_Data!D154/Raw_Stock_Data!D153)-1</f>
        <v>-1.1840743011649835E-2</v>
      </c>
      <c r="E154" s="4">
        <f>(Raw_Stock_Data!E154/Raw_Stock_Data!E153)-1</f>
        <v>1.1269722013523609E-2</v>
      </c>
      <c r="F154" s="4">
        <f>(Raw_Stock_Data!F154/Raw_Stock_Data!F153)-1</f>
        <v>-8.6006480600359092E-3</v>
      </c>
      <c r="G154" s="4">
        <f>(Raw_Stock_Data!G154/Raw_Stock_Data!G153)-1</f>
        <v>-3.0549769080929767E-3</v>
      </c>
      <c r="H154" s="4">
        <f>(Raw_Stock_Data!H154/Raw_Stock_Data!H153)-1</f>
        <v>-3.8587662218568797E-3</v>
      </c>
      <c r="I154" s="4">
        <f>(Raw_Stock_Data!I154/Raw_Stock_Data!I153)-1</f>
        <v>-3.2398305319414344E-3</v>
      </c>
      <c r="J154" s="4">
        <f>(Raw_Stock_Data!J154/Raw_Stock_Data!J153)-1</f>
        <v>-1.5526007753537963E-3</v>
      </c>
    </row>
    <row r="155" spans="1:10" x14ac:dyDescent="0.2">
      <c r="A155" s="2">
        <v>44420</v>
      </c>
      <c r="B155" s="4">
        <f>(Raw_Stock_Data!B155/Raw_Stock_Data!B154)-1</f>
        <v>2.0728185284881073E-2</v>
      </c>
      <c r="C155" s="4">
        <f>(Raw_Stock_Data!C155/Raw_Stock_Data!C154)-1</f>
        <v>9.9586581111925643E-3</v>
      </c>
      <c r="D155" s="4">
        <f>(Raw_Stock_Data!D155/Raw_Stock_Data!D154)-1</f>
        <v>1.0405964865882078E-2</v>
      </c>
      <c r="E155" s="4">
        <f>(Raw_Stock_Data!E155/Raw_Stock_Data!E154)-1</f>
        <v>-1.0958395245170949E-2</v>
      </c>
      <c r="F155" s="4">
        <f>(Raw_Stock_Data!F155/Raw_Stock_Data!F154)-1</f>
        <v>3.4567391225108768E-3</v>
      </c>
      <c r="G155" s="4">
        <f>(Raw_Stock_Data!G155/Raw_Stock_Data!G154)-1</f>
        <v>2.0386538950580624E-2</v>
      </c>
      <c r="H155" s="4">
        <f>(Raw_Stock_Data!H155/Raw_Stock_Data!H154)-1</f>
        <v>6.709036947572411E-3</v>
      </c>
      <c r="I155" s="4">
        <f>(Raw_Stock_Data!I155/Raw_Stock_Data!I154)-1</f>
        <v>7.4730525613957433E-3</v>
      </c>
      <c r="J155" s="4">
        <f>(Raw_Stock_Data!J155/Raw_Stock_Data!J154)-1</f>
        <v>3.4628885759895311E-3</v>
      </c>
    </row>
    <row r="156" spans="1:10" x14ac:dyDescent="0.2">
      <c r="A156" s="2">
        <v>44421</v>
      </c>
      <c r="B156" s="4">
        <f>(Raw_Stock_Data!B156/Raw_Stock_Data!B155)-1</f>
        <v>1.400973814151163E-3</v>
      </c>
      <c r="C156" s="4">
        <f>(Raw_Stock_Data!C156/Raw_Stock_Data!C155)-1</f>
        <v>1.0510718587768642E-2</v>
      </c>
      <c r="D156" s="4">
        <f>(Raw_Stock_Data!D156/Raw_Stock_Data!D155)-1</f>
        <v>1.4214955905448523E-2</v>
      </c>
      <c r="E156" s="4">
        <f>(Raw_Stock_Data!E156/Raw_Stock_Data!E155)-1</f>
        <v>3.8028169014084456E-2</v>
      </c>
      <c r="F156" s="4">
        <f>(Raw_Stock_Data!F156/Raw_Stock_Data!F155)-1</f>
        <v>-2.8878462237021951E-3</v>
      </c>
      <c r="G156" s="4">
        <f>(Raw_Stock_Data!G156/Raw_Stock_Data!G155)-1</f>
        <v>-7.0321910695743117E-3</v>
      </c>
      <c r="H156" s="4">
        <f>(Raw_Stock_Data!H156/Raw_Stock_Data!H155)-1</f>
        <v>3.8991060586108794E-3</v>
      </c>
      <c r="I156" s="4">
        <f>(Raw_Stock_Data!I156/Raw_Stock_Data!I155)-1</f>
        <v>1.4614642217014584E-3</v>
      </c>
      <c r="J156" s="4">
        <f>(Raw_Stock_Data!J156/Raw_Stock_Data!J155)-1</f>
        <v>4.4815628235461702E-4</v>
      </c>
    </row>
    <row r="157" spans="1:10" x14ac:dyDescent="0.2">
      <c r="A157" s="2">
        <v>44424</v>
      </c>
      <c r="B157" s="4">
        <f>(Raw_Stock_Data!B157/Raw_Stock_Data!B156)-1</f>
        <v>1.3612953222189361E-2</v>
      </c>
      <c r="C157" s="4">
        <f>(Raw_Stock_Data!C157/Raw_Stock_Data!C156)-1</f>
        <v>5.9461645304781374E-3</v>
      </c>
      <c r="D157" s="4">
        <f>(Raw_Stock_Data!D157/Raw_Stock_Data!D156)-1</f>
        <v>-1.1787302469626004E-2</v>
      </c>
      <c r="E157" s="4">
        <f>(Raw_Stock_Data!E157/Raw_Stock_Data!E156)-1</f>
        <v>-2.7770239710538158E-2</v>
      </c>
      <c r="F157" s="4">
        <f>(Raw_Stock_Data!F157/Raw_Stock_Data!F156)-1</f>
        <v>1.5300732249328153E-3</v>
      </c>
      <c r="G157" s="4">
        <f>(Raw_Stock_Data!G157/Raw_Stock_Data!G156)-1</f>
        <v>-4.322818407325435E-2</v>
      </c>
      <c r="H157" s="4">
        <f>(Raw_Stock_Data!H157/Raw_Stock_Data!H156)-1</f>
        <v>4.2191633085819635E-3</v>
      </c>
      <c r="I157" s="4">
        <f>(Raw_Stock_Data!I157/Raw_Stock_Data!I156)-1</f>
        <v>9.3066798832535103E-3</v>
      </c>
      <c r="J157" s="4">
        <f>(Raw_Stock_Data!J157/Raw_Stock_Data!J156)-1</f>
        <v>-1.9658771225603555E-3</v>
      </c>
    </row>
    <row r="158" spans="1:10" x14ac:dyDescent="0.2">
      <c r="A158" s="2">
        <v>44425</v>
      </c>
      <c r="B158" s="4">
        <f>(Raw_Stock_Data!B158/Raw_Stock_Data!B157)-1</f>
        <v>-6.1636513714293795E-3</v>
      </c>
      <c r="C158" s="4">
        <f>(Raw_Stock_Data!C158/Raw_Stock_Data!C157)-1</f>
        <v>-5.1175212181377994E-3</v>
      </c>
      <c r="D158" s="4">
        <f>(Raw_Stock_Data!D158/Raw_Stock_Data!D157)-1</f>
        <v>-2.4624208364094846E-2</v>
      </c>
      <c r="E158" s="4">
        <f>(Raw_Stock_Data!E158/Raw_Stock_Data!E157)-1</f>
        <v>7.4432452549300088E-4</v>
      </c>
      <c r="F158" s="4">
        <f>(Raw_Stock_Data!F158/Raw_Stock_Data!F157)-1</f>
        <v>-1.7290087905425744E-2</v>
      </c>
      <c r="G158" s="4">
        <f>(Raw_Stock_Data!G158/Raw_Stock_Data!G157)-1</f>
        <v>-2.9817727119703874E-2</v>
      </c>
      <c r="H158" s="4">
        <f>(Raw_Stock_Data!H158/Raw_Stock_Data!H157)-1</f>
        <v>-1.1914955373340086E-2</v>
      </c>
      <c r="I158" s="4">
        <f>(Raw_Stock_Data!I158/Raw_Stock_Data!I157)-1</f>
        <v>-2.2124618070711533E-2</v>
      </c>
      <c r="J158" s="4">
        <f>(Raw_Stock_Data!J158/Raw_Stock_Data!J157)-1</f>
        <v>-9.2998669709390969E-3</v>
      </c>
    </row>
    <row r="159" spans="1:10" x14ac:dyDescent="0.2">
      <c r="A159" s="2">
        <v>44426</v>
      </c>
      <c r="B159" s="4">
        <f>(Raw_Stock_Data!B159/Raw_Stock_Data!B158)-1</f>
        <v>-2.5481479464364742E-2</v>
      </c>
      <c r="C159" s="4">
        <f>(Raw_Stock_Data!C159/Raw_Stock_Data!C158)-1</f>
        <v>-6.1452082132869013E-3</v>
      </c>
      <c r="D159" s="4">
        <f>(Raw_Stock_Data!D159/Raw_Stock_Data!D158)-1</f>
        <v>-2.149734823129601E-2</v>
      </c>
      <c r="E159" s="4">
        <f>(Raw_Stock_Data!E159/Raw_Stock_Data!E158)-1</f>
        <v>-3.8304202305689872E-2</v>
      </c>
      <c r="F159" s="4">
        <f>(Raw_Stock_Data!F159/Raw_Stock_Data!F158)-1</f>
        <v>-1.2566472134141082E-2</v>
      </c>
      <c r="G159" s="4">
        <f>(Raw_Stock_Data!G159/Raw_Stock_Data!G158)-1</f>
        <v>3.4970234742207174E-2</v>
      </c>
      <c r="H159" s="4">
        <f>(Raw_Stock_Data!H159/Raw_Stock_Data!H158)-1</f>
        <v>-8.8713941601551438E-3</v>
      </c>
      <c r="I159" s="4">
        <f>(Raw_Stock_Data!I159/Raw_Stock_Data!I158)-1</f>
        <v>-8.3693681127074981E-3</v>
      </c>
      <c r="J159" s="4">
        <f>(Raw_Stock_Data!J159/Raw_Stock_Data!J158)-1</f>
        <v>-8.8884006610181476E-3</v>
      </c>
    </row>
    <row r="160" spans="1:10" x14ac:dyDescent="0.2">
      <c r="A160" s="2">
        <v>44427</v>
      </c>
      <c r="B160" s="4">
        <f>(Raw_Stock_Data!B160/Raw_Stock_Data!B159)-1</f>
        <v>2.312292173135555E-3</v>
      </c>
      <c r="C160" s="4">
        <f>(Raw_Stock_Data!C160/Raw_Stock_Data!C159)-1</f>
        <v>2.0787448340716219E-2</v>
      </c>
      <c r="D160" s="4">
        <f>(Raw_Stock_Data!D160/Raw_Stock_Data!D159)-1</f>
        <v>3.9834767279711691E-2</v>
      </c>
      <c r="E160" s="4">
        <f>(Raw_Stock_Data!E160/Raw_Stock_Data!E159)-1</f>
        <v>2.5135344160867046E-3</v>
      </c>
      <c r="F160" s="4">
        <f>(Raw_Stock_Data!F160/Raw_Stock_Data!F159)-1</f>
        <v>-4.2046469783395546E-3</v>
      </c>
      <c r="G160" s="4">
        <f>(Raw_Stock_Data!G160/Raw_Stock_Data!G159)-1</f>
        <v>-2.2524307354689244E-2</v>
      </c>
      <c r="H160" s="4">
        <f>(Raw_Stock_Data!H160/Raw_Stock_Data!H159)-1</f>
        <v>1.6967990515708298E-3</v>
      </c>
      <c r="I160" s="4">
        <f>(Raw_Stock_Data!I160/Raw_Stock_Data!I159)-1</f>
        <v>-9.2840061893373349E-4</v>
      </c>
      <c r="J160" s="4">
        <f>(Raw_Stock_Data!J160/Raw_Stock_Data!J159)-1</f>
        <v>1.0932189446306584E-3</v>
      </c>
    </row>
    <row r="161" spans="1:10" x14ac:dyDescent="0.2">
      <c r="A161" s="2">
        <v>44428</v>
      </c>
      <c r="B161" s="4">
        <f>(Raw_Stock_Data!B161/Raw_Stock_Data!B160)-1</f>
        <v>1.007812990054302E-2</v>
      </c>
      <c r="C161" s="4">
        <f>(Raw_Stock_Data!C161/Raw_Stock_Data!C160)-1</f>
        <v>2.5534818160093842E-2</v>
      </c>
      <c r="D161" s="4">
        <f>(Raw_Stock_Data!D161/Raw_Stock_Data!D160)-1</f>
        <v>5.1289188026618859E-2</v>
      </c>
      <c r="E161" s="4">
        <f>(Raw_Stock_Data!E161/Raw_Stock_Data!E160)-1</f>
        <v>9.1610414657665729E-3</v>
      </c>
      <c r="F161" s="4">
        <f>(Raw_Stock_Data!F161/Raw_Stock_Data!F160)-1</f>
        <v>3.8271388059325506E-3</v>
      </c>
      <c r="G161" s="4">
        <f>(Raw_Stock_Data!G161/Raw_Stock_Data!G160)-1</f>
        <v>1.0080627199429815E-2</v>
      </c>
      <c r="H161" s="4">
        <f>(Raw_Stock_Data!H161/Raw_Stock_Data!H160)-1</f>
        <v>1.2900457877490057E-2</v>
      </c>
      <c r="I161" s="4">
        <f>(Raw_Stock_Data!I161/Raw_Stock_Data!I160)-1</f>
        <v>1.1967785537283282E-2</v>
      </c>
      <c r="J161" s="4">
        <f>(Raw_Stock_Data!J161/Raw_Stock_Data!J160)-1</f>
        <v>1.1887807484498136E-2</v>
      </c>
    </row>
    <row r="162" spans="1:10" x14ac:dyDescent="0.2">
      <c r="A162" s="2">
        <v>44431</v>
      </c>
      <c r="B162" s="4">
        <f>(Raw_Stock_Data!B162/Raw_Stock_Data!B161)-1</f>
        <v>1.02949801621528E-2</v>
      </c>
      <c r="C162" s="4">
        <f>(Raw_Stock_Data!C162/Raw_Stock_Data!C161)-1</f>
        <v>9.5908360237206836E-4</v>
      </c>
      <c r="D162" s="4">
        <f>(Raw_Stock_Data!D162/Raw_Stock_Data!D161)-1</f>
        <v>5.4895542505054351E-2</v>
      </c>
      <c r="E162" s="4">
        <f>(Raw_Stock_Data!E162/Raw_Stock_Data!E161)-1</f>
        <v>3.9369326325847886E-2</v>
      </c>
      <c r="F162" s="4">
        <f>(Raw_Stock_Data!F162/Raw_Stock_Data!F161)-1</f>
        <v>2.0600257503218922E-2</v>
      </c>
      <c r="G162" s="4">
        <f>(Raw_Stock_Data!G162/Raw_Stock_Data!G161)-1</f>
        <v>3.8279537646690454E-2</v>
      </c>
      <c r="H162" s="4">
        <f>(Raw_Stock_Data!H162/Raw_Stock_Data!H161)-1</f>
        <v>1.9001993675739293E-2</v>
      </c>
      <c r="I162" s="4">
        <f>(Raw_Stock_Data!I162/Raw_Stock_Data!I161)-1</f>
        <v>1.1074936694771553E-2</v>
      </c>
      <c r="J162" s="4">
        <f>(Raw_Stock_Data!J162/Raw_Stock_Data!J161)-1</f>
        <v>1.549407189836538E-2</v>
      </c>
    </row>
    <row r="163" spans="1:10" x14ac:dyDescent="0.2">
      <c r="A163" s="2">
        <v>44432</v>
      </c>
      <c r="B163" s="4">
        <f>(Raw_Stock_Data!B163/Raw_Stock_Data!B162)-1</f>
        <v>-5.9419329722631975E-4</v>
      </c>
      <c r="C163" s="4">
        <f>(Raw_Stock_Data!C163/Raw_Stock_Data!C162)-1</f>
        <v>-6.6194331983805421E-3</v>
      </c>
      <c r="D163" s="4">
        <f>(Raw_Stock_Data!D163/Raw_Stock_Data!D162)-1</f>
        <v>-7.529295805497771E-3</v>
      </c>
      <c r="E163" s="4">
        <f>(Raw_Stock_Data!E163/Raw_Stock_Data!E162)-1</f>
        <v>-1.0296956881493013E-2</v>
      </c>
      <c r="F163" s="4">
        <f>(Raw_Stock_Data!F163/Raw_Stock_Data!F162)-1</f>
        <v>1.221722782221013E-2</v>
      </c>
      <c r="G163" s="4">
        <f>(Raw_Stock_Data!G163/Raw_Stock_Data!G162)-1</f>
        <v>3.1006698296331958E-3</v>
      </c>
      <c r="H163" s="4">
        <f>(Raw_Stock_Data!H163/Raw_Stock_Data!H162)-1</f>
        <v>8.7218260651449331E-3</v>
      </c>
      <c r="I163" s="4">
        <f>(Raw_Stock_Data!I163/Raw_Stock_Data!I162)-1</f>
        <v>5.9446814366312939E-3</v>
      </c>
      <c r="J163" s="4">
        <f>(Raw_Stock_Data!J163/Raw_Stock_Data!J162)-1</f>
        <v>5.1630734842882386E-3</v>
      </c>
    </row>
    <row r="164" spans="1:10" x14ac:dyDescent="0.2">
      <c r="A164" s="2">
        <v>44433</v>
      </c>
      <c r="B164" s="4">
        <f>(Raw_Stock_Data!B164/Raw_Stock_Data!B163)-1</f>
        <v>-8.4671632611221792E-3</v>
      </c>
      <c r="C164" s="4">
        <f>(Raw_Stock_Data!C164/Raw_Stock_Data!C163)-1</f>
        <v>-2.0275915472866002E-3</v>
      </c>
      <c r="D164" s="4">
        <f>(Raw_Stock_Data!D164/Raw_Stock_Data!D163)-1</f>
        <v>1.929248622950519E-2</v>
      </c>
      <c r="E164" s="4">
        <f>(Raw_Stock_Data!E164/Raw_Stock_Data!E163)-1</f>
        <v>6.0380863910820537E-3</v>
      </c>
      <c r="F164" s="4">
        <f>(Raw_Stock_Data!F164/Raw_Stock_Data!F163)-1</f>
        <v>-1.9965030945796602E-3</v>
      </c>
      <c r="G164" s="4">
        <f>(Raw_Stock_Data!G164/Raw_Stock_Data!G163)-1</f>
        <v>3.8278646528033811E-3</v>
      </c>
      <c r="H164" s="4">
        <f>(Raw_Stock_Data!H164/Raw_Stock_Data!H163)-1</f>
        <v>5.7832215528019759E-3</v>
      </c>
      <c r="I164" s="4">
        <f>(Raw_Stock_Data!I164/Raw_Stock_Data!I163)-1</f>
        <v>7.8794013843670463E-3</v>
      </c>
      <c r="J164" s="4">
        <f>(Raw_Stock_Data!J164/Raw_Stock_Data!J163)-1</f>
        <v>1.4687279457783475E-3</v>
      </c>
    </row>
    <row r="165" spans="1:10" x14ac:dyDescent="0.2">
      <c r="A165" s="2">
        <v>44434</v>
      </c>
      <c r="B165" s="4">
        <f>(Raw_Stock_Data!B165/Raw_Stock_Data!B164)-1</f>
        <v>-5.5482421376928936E-3</v>
      </c>
      <c r="C165" s="4">
        <f>(Raw_Stock_Data!C165/Raw_Stock_Data!C164)-1</f>
        <v>-9.7093325982419154E-3</v>
      </c>
      <c r="D165" s="4">
        <f>(Raw_Stock_Data!D165/Raw_Stock_Data!D164)-1</f>
        <v>-6.5316432856691309E-3</v>
      </c>
      <c r="E165" s="4">
        <f>(Raw_Stock_Data!E165/Raw_Stock_Data!E164)-1</f>
        <v>-9.5106186518929547E-3</v>
      </c>
      <c r="F165" s="4">
        <f>(Raw_Stock_Data!F165/Raw_Stock_Data!F164)-1</f>
        <v>5.0982365315017653E-3</v>
      </c>
      <c r="G165" s="4">
        <f>(Raw_Stock_Data!G165/Raw_Stock_Data!G164)-1</f>
        <v>-1.4118371599590063E-2</v>
      </c>
      <c r="H165" s="4">
        <f>(Raw_Stock_Data!H165/Raw_Stock_Data!H164)-1</f>
        <v>-4.4996679993783983E-3</v>
      </c>
      <c r="I165" s="4">
        <f>(Raw_Stock_Data!I165/Raw_Stock_Data!I164)-1</f>
        <v>-1.0885203181410952E-2</v>
      </c>
      <c r="J165" s="4">
        <f>(Raw_Stock_Data!J165/Raw_Stock_Data!J164)-1</f>
        <v>-6.3855134936769975E-3</v>
      </c>
    </row>
    <row r="166" spans="1:10" x14ac:dyDescent="0.2">
      <c r="A166" s="2">
        <v>44435</v>
      </c>
      <c r="B166" s="4">
        <f>(Raw_Stock_Data!B166/Raw_Stock_Data!B165)-1</f>
        <v>7.2286985570326756E-3</v>
      </c>
      <c r="C166" s="4">
        <f>(Raw_Stock_Data!C166/Raw_Stock_Data!C165)-1</f>
        <v>2.1169257838811184E-3</v>
      </c>
      <c r="D166" s="4">
        <f>(Raw_Stock_Data!D166/Raw_Stock_Data!D165)-1</f>
        <v>2.5744408423461485E-2</v>
      </c>
      <c r="E166" s="4">
        <f>(Raw_Stock_Data!E166/Raw_Stock_Data!E165)-1</f>
        <v>3.8500978838445166E-2</v>
      </c>
      <c r="F166" s="4">
        <f>(Raw_Stock_Data!F166/Raw_Stock_Data!F165)-1</f>
        <v>1.0144752714113414E-2</v>
      </c>
      <c r="G166" s="4">
        <f>(Raw_Stock_Data!G166/Raw_Stock_Data!G165)-1</f>
        <v>1.5347424268355336E-2</v>
      </c>
      <c r="H166" s="4">
        <f>(Raw_Stock_Data!H166/Raw_Stock_Data!H165)-1</f>
        <v>1.8129696513847549E-2</v>
      </c>
      <c r="I166" s="4">
        <f>(Raw_Stock_Data!I166/Raw_Stock_Data!I165)-1</f>
        <v>2.2641198748559299E-2</v>
      </c>
      <c r="J166" s="4">
        <f>(Raw_Stock_Data!J166/Raw_Stock_Data!J165)-1</f>
        <v>1.2290401122455163E-2</v>
      </c>
    </row>
    <row r="167" spans="1:10" x14ac:dyDescent="0.2">
      <c r="A167" s="2">
        <v>44438</v>
      </c>
      <c r="B167" s="4">
        <f>(Raw_Stock_Data!B167/Raw_Stock_Data!B166)-1</f>
        <v>3.0530726833598143E-2</v>
      </c>
      <c r="C167" s="4">
        <f>(Raw_Stock_Data!C167/Raw_Stock_Data!C166)-1</f>
        <v>1.2935350681060553E-2</v>
      </c>
      <c r="D167" s="4">
        <f>(Raw_Stock_Data!D167/Raw_Stock_Data!D166)-1</f>
        <v>2.3017812245476055E-3</v>
      </c>
      <c r="E167" s="4">
        <f>(Raw_Stock_Data!E167/Raw_Stock_Data!E166)-1</f>
        <v>-7.1813285457822396E-4</v>
      </c>
      <c r="F167" s="4">
        <f>(Raw_Stock_Data!F167/Raw_Stock_Data!F166)-1</f>
        <v>2.1476934834788297E-2</v>
      </c>
      <c r="G167" s="4">
        <f>(Raw_Stock_Data!G167/Raw_Stock_Data!G166)-1</f>
        <v>2.6674307963945543E-2</v>
      </c>
      <c r="H167" s="4">
        <f>(Raw_Stock_Data!H167/Raw_Stock_Data!H166)-1</f>
        <v>4.0701402246940965E-3</v>
      </c>
      <c r="I167" s="4">
        <f>(Raw_Stock_Data!I167/Raw_Stock_Data!I166)-1</f>
        <v>2.1549526339800895E-2</v>
      </c>
      <c r="J167" s="4">
        <f>(Raw_Stock_Data!J167/Raw_Stock_Data!J166)-1</f>
        <v>9.0148385604282844E-3</v>
      </c>
    </row>
    <row r="168" spans="1:10" x14ac:dyDescent="0.2">
      <c r="A168" s="2">
        <v>44439</v>
      </c>
      <c r="B168" s="4">
        <f>(Raw_Stock_Data!B168/Raw_Stock_Data!B167)-1</f>
        <v>-8.4598640545917592E-3</v>
      </c>
      <c r="C168" s="4">
        <f>(Raw_Stock_Data!C168/Raw_Stock_Data!C167)-1</f>
        <v>-5.6267266128594562E-3</v>
      </c>
      <c r="D168" s="4">
        <f>(Raw_Stock_Data!D168/Raw_Stock_Data!D167)-1</f>
        <v>-1.3173933013001737E-2</v>
      </c>
      <c r="E168" s="4">
        <f>(Raw_Stock_Data!E168/Raw_Stock_Data!E167)-1</f>
        <v>-5.3898670499460399E-3</v>
      </c>
      <c r="F168" s="4">
        <f>(Raw_Stock_Data!F168/Raw_Stock_Data!F167)-1</f>
        <v>1.4385167086550465E-2</v>
      </c>
      <c r="G168" s="4">
        <f>(Raw_Stock_Data!G168/Raw_Stock_Data!G167)-1</f>
        <v>6.5794604267825907E-3</v>
      </c>
      <c r="H168" s="4">
        <f>(Raw_Stock_Data!H168/Raw_Stock_Data!H167)-1</f>
        <v>7.4270483382843366E-4</v>
      </c>
      <c r="I168" s="4">
        <f>(Raw_Stock_Data!I168/Raw_Stock_Data!I167)-1</f>
        <v>-3.362580780749358E-3</v>
      </c>
      <c r="J168" s="4">
        <f>(Raw_Stock_Data!J168/Raw_Stock_Data!J167)-1</f>
        <v>-4.3561168068151357E-4</v>
      </c>
    </row>
    <row r="169" spans="1:10" x14ac:dyDescent="0.2">
      <c r="A169" s="2">
        <v>44440</v>
      </c>
      <c r="B169" s="4">
        <f>(Raw_Stock_Data!B169/Raw_Stock_Data!B168)-1</f>
        <v>4.4916127381329218E-3</v>
      </c>
      <c r="C169" s="4">
        <f>(Raw_Stock_Data!C169/Raw_Stock_Data!C168)-1</f>
        <v>-1.6342428348670168E-4</v>
      </c>
      <c r="D169" s="4">
        <f>(Raw_Stock_Data!D169/Raw_Stock_Data!D168)-1</f>
        <v>2.4972141293986283E-3</v>
      </c>
      <c r="E169" s="4">
        <f>(Raw_Stock_Data!E169/Raw_Stock_Data!E168)-1</f>
        <v>-6.5932080924855363E-3</v>
      </c>
      <c r="F169" s="4">
        <f>(Raw_Stock_Data!F169/Raw_Stock_Data!F168)-1</f>
        <v>2.3625677077330209E-3</v>
      </c>
      <c r="G169" s="4">
        <f>(Raw_Stock_Data!G169/Raw_Stock_Data!G168)-1</f>
        <v>-2.2141575599412544E-3</v>
      </c>
      <c r="H169" s="4">
        <f>(Raw_Stock_Data!H169/Raw_Stock_Data!H168)-1</f>
        <v>3.585919889023792E-3</v>
      </c>
      <c r="I169" s="4">
        <f>(Raw_Stock_Data!I169/Raw_Stock_Data!I168)-1</f>
        <v>7.0377985133640575E-3</v>
      </c>
      <c r="J169" s="4">
        <f>(Raw_Stock_Data!J169/Raw_Stock_Data!J168)-1</f>
        <v>3.2858779336322197E-3</v>
      </c>
    </row>
    <row r="170" spans="1:10" x14ac:dyDescent="0.2">
      <c r="A170" s="2">
        <v>44441</v>
      </c>
      <c r="B170" s="4">
        <f>(Raw_Stock_Data!B170/Raw_Stock_Data!B169)-1</f>
        <v>7.4547819208130583E-3</v>
      </c>
      <c r="C170" s="4">
        <f>(Raw_Stock_Data!C170/Raw_Stock_Data!C169)-1</f>
        <v>-2.261072102320294E-3</v>
      </c>
      <c r="D170" s="4">
        <f>(Raw_Stock_Data!D170/Raw_Stock_Data!D169)-1</f>
        <v>-1.9999375019531529E-3</v>
      </c>
      <c r="E170" s="4">
        <f>(Raw_Stock_Data!E170/Raw_Stock_Data!E169)-1</f>
        <v>-7.1824711337393765E-3</v>
      </c>
      <c r="F170" s="4">
        <f>(Raw_Stock_Data!F170/Raw_Stock_Data!F169)-1</f>
        <v>-4.5645300373670095E-3</v>
      </c>
      <c r="G170" s="4">
        <f>(Raw_Stock_Data!G170/Raw_Stock_Data!G169)-1</f>
        <v>-2.3171514158326634E-3</v>
      </c>
      <c r="H170" s="4">
        <f>(Raw_Stock_Data!H170/Raw_Stock_Data!H169)-1</f>
        <v>-1.3290299394576044E-2</v>
      </c>
      <c r="I170" s="4">
        <f>(Raw_Stock_Data!I170/Raw_Stock_Data!I169)-1</f>
        <v>-1.7720193691925235E-2</v>
      </c>
      <c r="J170" s="4">
        <f>(Raw_Stock_Data!J170/Raw_Stock_Data!J169)-1</f>
        <v>1.4239636092383545E-3</v>
      </c>
    </row>
    <row r="171" spans="1:10" x14ac:dyDescent="0.2">
      <c r="A171" s="2">
        <v>44442</v>
      </c>
      <c r="B171" s="4">
        <f>(Raw_Stock_Data!B171/Raw_Stock_Data!B170)-1</f>
        <v>4.1855760656916985E-3</v>
      </c>
      <c r="C171" s="4">
        <f>(Raw_Stock_Data!C171/Raw_Stock_Data!C170)-1</f>
        <v>-3.0716513880535423E-5</v>
      </c>
      <c r="D171" s="4">
        <f>(Raw_Stock_Data!D171/Raw_Stock_Data!D170)-1</f>
        <v>1.9945517738046759E-2</v>
      </c>
      <c r="E171" s="4">
        <f>(Raw_Stock_Data!E171/Raw_Stock_Data!E170)-1</f>
        <v>6.59340659340657E-3</v>
      </c>
      <c r="F171" s="4">
        <f>(Raw_Stock_Data!F171/Raw_Stock_Data!F170)-1</f>
        <v>4.3082538289171968E-3</v>
      </c>
      <c r="G171" s="4">
        <f>(Raw_Stock_Data!G171/Raw_Stock_Data!G170)-1</f>
        <v>1.609798058411549E-3</v>
      </c>
      <c r="H171" s="4">
        <f>(Raw_Stock_Data!H171/Raw_Stock_Data!H170)-1</f>
        <v>3.165953393243548E-3</v>
      </c>
      <c r="I171" s="4">
        <f>(Raw_Stock_Data!I171/Raw_Stock_Data!I170)-1</f>
        <v>2.6113835003198638E-3</v>
      </c>
      <c r="J171" s="4">
        <f>(Raw_Stock_Data!J171/Raw_Stock_Data!J170)-1</f>
        <v>2.1094266716585874E-3</v>
      </c>
    </row>
    <row r="172" spans="1:10" x14ac:dyDescent="0.2">
      <c r="A172" s="2">
        <v>44446</v>
      </c>
      <c r="B172" s="4">
        <f>(Raw_Stock_Data!B172/Raw_Stock_Data!B171)-1</f>
        <v>1.549298574618807E-2</v>
      </c>
      <c r="C172" s="4">
        <f>(Raw_Stock_Data!C172/Raw_Stock_Data!C171)-1</f>
        <v>-3.2082677743153765E-3</v>
      </c>
      <c r="D172" s="4">
        <f>(Raw_Stock_Data!D172/Raw_Stock_Data!D171)-1</f>
        <v>-7.9204273346840104E-3</v>
      </c>
      <c r="E172" s="4">
        <f>(Raw_Stock_Data!E172/Raw_Stock_Data!E171)-1</f>
        <v>-7.0050946142649062E-3</v>
      </c>
      <c r="F172" s="4">
        <f>(Raw_Stock_Data!F172/Raw_Stock_Data!F171)-1</f>
        <v>8.9820703614680308E-3</v>
      </c>
      <c r="G172" s="4">
        <f>(Raw_Stock_Data!G172/Raw_Stock_Data!G171)-1</f>
        <v>2.6377886742760426E-2</v>
      </c>
      <c r="H172" s="4">
        <f>(Raw_Stock_Data!H172/Raw_Stock_Data!H171)-1</f>
        <v>3.7634145830569565E-3</v>
      </c>
      <c r="I172" s="4">
        <f>(Raw_Stock_Data!I172/Raw_Stock_Data!I171)-1</f>
        <v>1.5733801094987454E-2</v>
      </c>
      <c r="J172" s="4">
        <f>(Raw_Stock_Data!J172/Raw_Stock_Data!J171)-1</f>
        <v>7.0361479660907555E-4</v>
      </c>
    </row>
    <row r="173" spans="1:10" x14ac:dyDescent="0.2">
      <c r="A173" s="2">
        <v>44447</v>
      </c>
      <c r="B173" s="4">
        <f>(Raw_Stock_Data!B173/Raw_Stock_Data!B172)-1</f>
        <v>-1.0127573493425523E-2</v>
      </c>
      <c r="C173" s="4">
        <f>(Raw_Stock_Data!C173/Raw_Stock_Data!C172)-1</f>
        <v>9.9297045399238115E-5</v>
      </c>
      <c r="D173" s="4">
        <f>(Raw_Stock_Data!D173/Raw_Stock_Data!D172)-1</f>
        <v>-1.4247696850741898E-2</v>
      </c>
      <c r="E173" s="4">
        <f>(Raw_Stock_Data!E173/Raw_Stock_Data!E172)-1</f>
        <v>-2.7301878149335823E-2</v>
      </c>
      <c r="F173" s="4">
        <f>(Raw_Stock_Data!F173/Raw_Stock_Data!F172)-1</f>
        <v>4.6220307299502661E-3</v>
      </c>
      <c r="G173" s="4">
        <f>(Raw_Stock_Data!G173/Raw_Stock_Data!G172)-1</f>
        <v>1.2630840767731133E-3</v>
      </c>
      <c r="H173" s="4">
        <f>(Raw_Stock_Data!H173/Raw_Stock_Data!H172)-1</f>
        <v>-4.0901502504173681E-3</v>
      </c>
      <c r="I173" s="4">
        <f>(Raw_Stock_Data!I173/Raw_Stock_Data!I172)-1</f>
        <v>-1.2062378983724975E-2</v>
      </c>
      <c r="J173" s="4">
        <f>(Raw_Stock_Data!J173/Raw_Stock_Data!J172)-1</f>
        <v>-5.7036631840217122E-3</v>
      </c>
    </row>
    <row r="174" spans="1:10" x14ac:dyDescent="0.2">
      <c r="A174" s="2">
        <v>44448</v>
      </c>
      <c r="B174" s="4">
        <f>(Raw_Stock_Data!B174/Raw_Stock_Data!B173)-1</f>
        <v>-6.6779614088983141E-3</v>
      </c>
      <c r="C174" s="4">
        <f>(Raw_Stock_Data!C174/Raw_Stock_Data!C173)-1</f>
        <v>-9.8260077649426902E-3</v>
      </c>
      <c r="D174" s="4">
        <f>(Raw_Stock_Data!D174/Raw_Stock_Data!D173)-1</f>
        <v>-7.2604478247805249E-3</v>
      </c>
      <c r="E174" s="4">
        <f>(Raw_Stock_Data!E174/Raw_Stock_Data!E173)-1</f>
        <v>-1.8837713101627074E-4</v>
      </c>
      <c r="F174" s="4">
        <f>(Raw_Stock_Data!F174/Raw_Stock_Data!F173)-1</f>
        <v>-1.1725996312579867E-2</v>
      </c>
      <c r="G174" s="4">
        <f>(Raw_Stock_Data!G174/Raw_Stock_Data!G173)-1</f>
        <v>1.3132237653707968E-3</v>
      </c>
      <c r="H174" s="4">
        <f>(Raw_Stock_Data!H174/Raw_Stock_Data!H173)-1</f>
        <v>-1.0476908892800285E-3</v>
      </c>
      <c r="I174" s="4">
        <f>(Raw_Stock_Data!I174/Raw_Stock_Data!I173)-1</f>
        <v>1.1388616680350072E-3</v>
      </c>
      <c r="J174" s="4">
        <f>(Raw_Stock_Data!J174/Raw_Stock_Data!J173)-1</f>
        <v>-2.5113432382786183E-3</v>
      </c>
    </row>
    <row r="175" spans="1:10" x14ac:dyDescent="0.2">
      <c r="A175" s="2">
        <v>44449</v>
      </c>
      <c r="B175" s="4">
        <f>(Raw_Stock_Data!B175/Raw_Stock_Data!B174)-1</f>
        <v>-3.3109901778603734E-2</v>
      </c>
      <c r="C175" s="4">
        <f>(Raw_Stock_Data!C175/Raw_Stock_Data!C174)-1</f>
        <v>-5.2003374687079607E-3</v>
      </c>
      <c r="D175" s="4">
        <f>(Raw_Stock_Data!D175/Raw_Stock_Data!D174)-1</f>
        <v>1.3583593079459666E-2</v>
      </c>
      <c r="E175" s="4">
        <f>(Raw_Stock_Data!E175/Raw_Stock_Data!E174)-1</f>
        <v>-8.9495996231747643E-3</v>
      </c>
      <c r="F175" s="4">
        <f>(Raw_Stock_Data!F175/Raw_Stock_Data!F174)-1</f>
        <v>-4.3051983835414864E-3</v>
      </c>
      <c r="G175" s="4">
        <f>(Raw_Stock_Data!G175/Raw_Stock_Data!G174)-1</f>
        <v>-2.4628407916699846E-2</v>
      </c>
      <c r="H175" s="4">
        <f>(Raw_Stock_Data!H175/Raw_Stock_Data!H174)-1</f>
        <v>-1.8556585700102102E-2</v>
      </c>
      <c r="I175" s="4">
        <f>(Raw_Stock_Data!I175/Raw_Stock_Data!I174)-1</f>
        <v>1.8253968253967301E-3</v>
      </c>
      <c r="J175" s="4">
        <f>(Raw_Stock_Data!J175/Raw_Stock_Data!J174)-1</f>
        <v>-8.7065728854130997E-3</v>
      </c>
    </row>
    <row r="176" spans="1:10" x14ac:dyDescent="0.2">
      <c r="A176" s="2">
        <v>44452</v>
      </c>
      <c r="B176" s="4">
        <f>(Raw_Stock_Data!B176/Raw_Stock_Data!B175)-1</f>
        <v>3.9055260791673874E-3</v>
      </c>
      <c r="C176" s="4">
        <f>(Raw_Stock_Data!C176/Raw_Stock_Data!C175)-1</f>
        <v>4.3446828033979479E-3</v>
      </c>
      <c r="D176" s="4">
        <f>(Raw_Stock_Data!D176/Raw_Stock_Data!D175)-1</f>
        <v>-1.4515748049042543E-2</v>
      </c>
      <c r="E176" s="4">
        <f>(Raw_Stock_Data!E176/Raw_Stock_Data!E175)-1</f>
        <v>-3.8022813688213253E-3</v>
      </c>
      <c r="F176" s="4">
        <f>(Raw_Stock_Data!F176/Raw_Stock_Data!F175)-1</f>
        <v>-3.459050605910341E-3</v>
      </c>
      <c r="G176" s="4">
        <f>(Raw_Stock_Data!G176/Raw_Stock_Data!G175)-1</f>
        <v>9.1433973180998773E-3</v>
      </c>
      <c r="H176" s="4">
        <f>(Raw_Stock_Data!H176/Raw_Stock_Data!H175)-1</f>
        <v>1.0329989741251655E-2</v>
      </c>
      <c r="I176" s="4">
        <f>(Raw_Stock_Data!I176/Raw_Stock_Data!I175)-1</f>
        <v>-5.7566875280572471E-3</v>
      </c>
      <c r="J176" s="4">
        <f>(Raw_Stock_Data!J176/Raw_Stock_Data!J175)-1</f>
        <v>-6.5561883868803239E-4</v>
      </c>
    </row>
    <row r="177" spans="1:10" x14ac:dyDescent="0.2">
      <c r="A177" s="2">
        <v>44453</v>
      </c>
      <c r="B177" s="4">
        <f>(Raw_Stock_Data!B177/Raw_Stock_Data!B176)-1</f>
        <v>-9.6061807739641347E-3</v>
      </c>
      <c r="C177" s="4">
        <f>(Raw_Stock_Data!C177/Raw_Stock_Data!C176)-1</f>
        <v>9.3992898621944043E-3</v>
      </c>
      <c r="D177" s="4">
        <f>(Raw_Stock_Data!D177/Raw_Stock_Data!D176)-1</f>
        <v>4.0656657018813824E-3</v>
      </c>
      <c r="E177" s="4">
        <f>(Raw_Stock_Data!E177/Raw_Stock_Data!E176)-1</f>
        <v>8.874045801526842E-3</v>
      </c>
      <c r="F177" s="4">
        <f>(Raw_Stock_Data!F177/Raw_Stock_Data!F176)-1</f>
        <v>-2.071064110425902E-3</v>
      </c>
      <c r="G177" s="4">
        <f>(Raw_Stock_Data!G177/Raw_Stock_Data!G176)-1</f>
        <v>2.0026890946311937E-3</v>
      </c>
      <c r="H177" s="4">
        <f>(Raw_Stock_Data!H177/Raw_Stock_Data!H176)-1</f>
        <v>1.487822420285001E-3</v>
      </c>
      <c r="I177" s="4">
        <f>(Raw_Stock_Data!I177/Raw_Stock_Data!I176)-1</f>
        <v>5.3119439058724183E-5</v>
      </c>
      <c r="J177" s="4">
        <f>(Raw_Stock_Data!J177/Raw_Stock_Data!J176)-1</f>
        <v>-4.4897316091139228E-3</v>
      </c>
    </row>
    <row r="178" spans="1:10" x14ac:dyDescent="0.2">
      <c r="A178" s="2">
        <v>44454</v>
      </c>
      <c r="B178" s="4">
        <f>(Raw_Stock_Data!B178/Raw_Stock_Data!B177)-1</f>
        <v>6.1647854751303299E-3</v>
      </c>
      <c r="C178" s="4">
        <f>(Raw_Stock_Data!C178/Raw_Stock_Data!C177)-1</f>
        <v>1.6768721243580309E-2</v>
      </c>
      <c r="D178" s="4">
        <f>(Raw_Stock_Data!D178/Raw_Stock_Data!D177)-1</f>
        <v>4.4590778266724307E-3</v>
      </c>
      <c r="E178" s="4">
        <f>(Raw_Stock_Data!E178/Raw_Stock_Data!E177)-1</f>
        <v>-1.2295469592358277E-3</v>
      </c>
      <c r="F178" s="4">
        <f>(Raw_Stock_Data!F178/Raw_Stock_Data!F177)-1</f>
        <v>7.4782608695651565E-3</v>
      </c>
      <c r="G178" s="4">
        <f>(Raw_Stock_Data!G178/Raw_Stock_Data!G177)-1</f>
        <v>1.5231924178866318E-2</v>
      </c>
      <c r="H178" s="4">
        <f>(Raw_Stock_Data!H178/Raw_Stock_Data!H177)-1</f>
        <v>1.3229692527582326E-2</v>
      </c>
      <c r="I178" s="4">
        <f>(Raw_Stock_Data!I178/Raw_Stock_Data!I177)-1</f>
        <v>-6.9317185881602184E-3</v>
      </c>
      <c r="J178" s="4">
        <f>(Raw_Stock_Data!J178/Raw_Stock_Data!J177)-1</f>
        <v>8.2306141340200423E-3</v>
      </c>
    </row>
    <row r="179" spans="1:10" x14ac:dyDescent="0.2">
      <c r="A179" s="2">
        <v>44455</v>
      </c>
      <c r="B179" s="4">
        <f>(Raw_Stock_Data!B179/Raw_Stock_Data!B178)-1</f>
        <v>-1.6123720394103369E-3</v>
      </c>
      <c r="C179" s="4">
        <f>(Raw_Stock_Data!C179/Raw_Stock_Data!C178)-1</f>
        <v>1.3251732335239907E-3</v>
      </c>
      <c r="D179" s="4">
        <f>(Raw_Stock_Data!D179/Raw_Stock_Data!D178)-1</f>
        <v>-4.4392827195315343E-3</v>
      </c>
      <c r="E179" s="4">
        <f>(Raw_Stock_Data!E179/Raw_Stock_Data!E178)-1</f>
        <v>5.8712121212121104E-3</v>
      </c>
      <c r="F179" s="4">
        <f>(Raw_Stock_Data!F179/Raw_Stock_Data!F178)-1</f>
        <v>3.5790321652569013E-3</v>
      </c>
      <c r="G179" s="4">
        <f>(Raw_Stock_Data!G179/Raw_Stock_Data!G178)-1</f>
        <v>1.5360617282480504E-3</v>
      </c>
      <c r="H179" s="4">
        <f>(Raw_Stock_Data!H179/Raw_Stock_Data!H178)-1</f>
        <v>-5.6772382355392281E-3</v>
      </c>
      <c r="I179" s="4">
        <f>(Raw_Stock_Data!I179/Raw_Stock_Data!I178)-1</f>
        <v>-2.2999572100984578E-3</v>
      </c>
      <c r="J179" s="4">
        <f>(Raw_Stock_Data!J179/Raw_Stock_Data!J178)-1</f>
        <v>1.3448510803328872E-3</v>
      </c>
    </row>
    <row r="180" spans="1:10" x14ac:dyDescent="0.2">
      <c r="A180" s="2">
        <v>44456</v>
      </c>
      <c r="B180" s="4">
        <f>(Raw_Stock_Data!B180/Raw_Stock_Data!B179)-1</f>
        <v>-1.8287025901465803E-2</v>
      </c>
      <c r="C180" s="4">
        <f>(Raw_Stock_Data!C180/Raw_Stock_Data!C179)-1</f>
        <v>-1.7537833633039068E-2</v>
      </c>
      <c r="D180" s="4">
        <f>(Raw_Stock_Data!D180/Raw_Stock_Data!D179)-1</f>
        <v>-1.5381566442511652E-2</v>
      </c>
      <c r="E180" s="4">
        <f>(Raw_Stock_Data!E180/Raw_Stock_Data!E179)-1</f>
        <v>-2.2029749576350954E-2</v>
      </c>
      <c r="F180" s="4">
        <f>(Raw_Stock_Data!F180/Raw_Stock_Data!F179)-1</f>
        <v>-7.3733458706969346E-3</v>
      </c>
      <c r="G180" s="4">
        <f>(Raw_Stock_Data!G180/Raw_Stock_Data!G179)-1</f>
        <v>3.3012325129790909E-3</v>
      </c>
      <c r="H180" s="4">
        <f>(Raw_Stock_Data!H180/Raw_Stock_Data!H179)-1</f>
        <v>-1.9560978677904295E-2</v>
      </c>
      <c r="I180" s="4">
        <f>(Raw_Stock_Data!I180/Raw_Stock_Data!I179)-1</f>
        <v>-2.2355653246126539E-2</v>
      </c>
      <c r="J180" s="4">
        <f>(Raw_Stock_Data!J180/Raw_Stock_Data!J179)-1</f>
        <v>-9.0864660069346348E-3</v>
      </c>
    </row>
    <row r="181" spans="1:10" x14ac:dyDescent="0.2">
      <c r="A181" s="2">
        <v>44459</v>
      </c>
      <c r="B181" s="4">
        <f>(Raw_Stock_Data!B181/Raw_Stock_Data!B180)-1</f>
        <v>-2.1385769887716011E-2</v>
      </c>
      <c r="C181" s="4">
        <f>(Raw_Stock_Data!C181/Raw_Stock_Data!C180)-1</f>
        <v>-1.8570694087403639E-2</v>
      </c>
      <c r="D181" s="4">
        <f>(Raw_Stock_Data!D181/Raw_Stock_Data!D180)-1</f>
        <v>-3.5955426250205758E-2</v>
      </c>
      <c r="E181" s="4">
        <f>(Raw_Stock_Data!E181/Raw_Stock_Data!E180)-1</f>
        <v>-2.2429726607624212E-2</v>
      </c>
      <c r="F181" s="4">
        <f>(Raw_Stock_Data!F181/Raw_Stock_Data!F180)-1</f>
        <v>-3.0844587179279848E-2</v>
      </c>
      <c r="G181" s="4">
        <f>(Raw_Stock_Data!G181/Raw_Stock_Data!G180)-1</f>
        <v>-3.8603587412062712E-2</v>
      </c>
      <c r="H181" s="4">
        <f>(Raw_Stock_Data!H181/Raw_Stock_Data!H180)-1</f>
        <v>-1.478345165797057E-2</v>
      </c>
      <c r="I181" s="4">
        <f>(Raw_Stock_Data!I181/Raw_Stock_Data!I180)-1</f>
        <v>-2.4731300723842997E-2</v>
      </c>
      <c r="J181" s="4">
        <f>(Raw_Stock_Data!J181/Raw_Stock_Data!J180)-1</f>
        <v>-2.1940352180973455E-2</v>
      </c>
    </row>
    <row r="182" spans="1:10" x14ac:dyDescent="0.2">
      <c r="A182" s="2">
        <v>44460</v>
      </c>
      <c r="B182" s="4">
        <f>(Raw_Stock_Data!B182/Raw_Stock_Data!B181)-1</f>
        <v>3.462162993483453E-3</v>
      </c>
      <c r="C182" s="4">
        <f>(Raw_Stock_Data!C182/Raw_Stock_Data!C181)-1</f>
        <v>1.7043152703855036E-3</v>
      </c>
      <c r="D182" s="4">
        <f>(Raw_Stock_Data!D182/Raw_Stock_Data!D181)-1</f>
        <v>6.3109744524161293E-3</v>
      </c>
      <c r="E182" s="4">
        <f>(Raw_Stock_Data!E182/Raw_Stock_Data!E181)-1</f>
        <v>1.2506154603643571E-2</v>
      </c>
      <c r="F182" s="4">
        <f>(Raw_Stock_Data!F182/Raw_Stock_Data!F181)-1</f>
        <v>-3.5998235848044846E-3</v>
      </c>
      <c r="G182" s="4">
        <f>(Raw_Stock_Data!G182/Raw_Stock_Data!G181)-1</f>
        <v>1.2613500965528601E-2</v>
      </c>
      <c r="H182" s="4">
        <f>(Raw_Stock_Data!H182/Raw_Stock_Data!H181)-1</f>
        <v>2.2645386273858481E-3</v>
      </c>
      <c r="I182" s="4">
        <f>(Raw_Stock_Data!I182/Raw_Stock_Data!I181)-1</f>
        <v>5.0042170368289618E-3</v>
      </c>
      <c r="J182" s="4">
        <f>(Raw_Stock_Data!J182/Raw_Stock_Data!J181)-1</f>
        <v>2.2087957645491318E-3</v>
      </c>
    </row>
    <row r="183" spans="1:10" x14ac:dyDescent="0.2">
      <c r="A183" s="2">
        <v>44461</v>
      </c>
      <c r="B183" s="4">
        <f>(Raw_Stock_Data!B183/Raw_Stock_Data!B182)-1</f>
        <v>1.685901868392703E-2</v>
      </c>
      <c r="C183" s="4">
        <f>(Raw_Stock_Data!C183/Raw_Stock_Data!C182)-1</f>
        <v>1.2833833066034472E-2</v>
      </c>
      <c r="D183" s="4">
        <f>(Raw_Stock_Data!D183/Raw_Stock_Data!D182)-1</f>
        <v>3.2724426379471261E-2</v>
      </c>
      <c r="E183" s="4">
        <f>(Raw_Stock_Data!E183/Raw_Stock_Data!E182)-1</f>
        <v>1.517214549698509E-2</v>
      </c>
      <c r="F183" s="4">
        <f>(Raw_Stock_Data!F183/Raw_Stock_Data!F182)-1</f>
        <v>1.0886339438456405E-2</v>
      </c>
      <c r="G183" s="4">
        <f>(Raw_Stock_Data!G183/Raw_Stock_Data!G182)-1</f>
        <v>1.6988557981010954E-2</v>
      </c>
      <c r="H183" s="4">
        <f>(Raw_Stock_Data!H183/Raw_Stock_Data!H182)-1</f>
        <v>8.9943767099058824E-3</v>
      </c>
      <c r="I183" s="4">
        <f>(Raw_Stock_Data!I183/Raw_Stock_Data!I182)-1</f>
        <v>-3.991831710864957E-2</v>
      </c>
      <c r="J183" s="4">
        <f>(Raw_Stock_Data!J183/Raw_Stock_Data!J182)-1</f>
        <v>1.0202490099278538E-2</v>
      </c>
    </row>
    <row r="184" spans="1:10" x14ac:dyDescent="0.2">
      <c r="A184" s="2">
        <v>44462</v>
      </c>
      <c r="B184" s="4">
        <f>(Raw_Stock_Data!B184/Raw_Stock_Data!B183)-1</f>
        <v>6.750977945403358E-3</v>
      </c>
      <c r="C184" s="4">
        <f>(Raw_Stock_Data!C184/Raw_Stock_Data!C183)-1</f>
        <v>3.2598855081393818E-3</v>
      </c>
      <c r="D184" s="4">
        <f>(Raw_Stock_Data!D184/Raw_Stock_Data!D183)-1</f>
        <v>2.4665089902928594E-2</v>
      </c>
      <c r="E184" s="4">
        <f>(Raw_Stock_Data!E184/Raw_Stock_Data!E183)-1</f>
        <v>1.6957271507951788E-2</v>
      </c>
      <c r="F184" s="4">
        <f>(Raw_Stock_Data!F184/Raw_Stock_Data!F183)-1</f>
        <v>1.0638927349972294E-2</v>
      </c>
      <c r="G184" s="4">
        <f>(Raw_Stock_Data!G184/Raw_Stock_Data!G183)-1</f>
        <v>2.2581558925500733E-3</v>
      </c>
      <c r="H184" s="4">
        <f>(Raw_Stock_Data!H184/Raw_Stock_Data!H183)-1</f>
        <v>6.6463008935662149E-3</v>
      </c>
      <c r="I184" s="4">
        <f>(Raw_Stock_Data!I184/Raw_Stock_Data!I183)-1</f>
        <v>8.0125870458320758E-3</v>
      </c>
      <c r="J184" s="4">
        <f>(Raw_Stock_Data!J184/Raw_Stock_Data!J183)-1</f>
        <v>1.0431064285402636E-2</v>
      </c>
    </row>
    <row r="185" spans="1:10" x14ac:dyDescent="0.2">
      <c r="A185" s="2">
        <v>44463</v>
      </c>
      <c r="B185" s="4">
        <f>(Raw_Stock_Data!B185/Raw_Stock_Data!B184)-1</f>
        <v>6.1973831723638462E-4</v>
      </c>
      <c r="C185" s="4">
        <f>(Raw_Stock_Data!C185/Raw_Stock_Data!C184)-1</f>
        <v>-7.0338448025031308E-4</v>
      </c>
      <c r="D185" s="4">
        <f>(Raw_Stock_Data!D185/Raw_Stock_Data!D184)-1</f>
        <v>-1.7841865107657284E-2</v>
      </c>
      <c r="E185" s="4">
        <f>(Raw_Stock_Data!E185/Raw_Stock_Data!E184)-1</f>
        <v>-3.2972209138013575E-3</v>
      </c>
      <c r="F185" s="4">
        <f>(Raw_Stock_Data!F185/Raw_Stock_Data!F184)-1</f>
        <v>2.7868852459016491E-3</v>
      </c>
      <c r="G185" s="4">
        <f>(Raw_Stock_Data!G185/Raw_Stock_Data!G184)-1</f>
        <v>2.7534403076273861E-2</v>
      </c>
      <c r="H185" s="4">
        <f>(Raw_Stock_Data!H185/Raw_Stock_Data!H184)-1</f>
        <v>7.0785893991727189E-3</v>
      </c>
      <c r="I185" s="4">
        <f>(Raw_Stock_Data!I185/Raw_Stock_Data!I184)-1</f>
        <v>2.0233553011908878E-2</v>
      </c>
      <c r="J185" s="4">
        <f>(Raw_Stock_Data!J185/Raw_Stock_Data!J184)-1</f>
        <v>-3.0161623784896729E-4</v>
      </c>
    </row>
    <row r="186" spans="1:10" x14ac:dyDescent="0.2">
      <c r="A186" s="2">
        <v>44466</v>
      </c>
      <c r="B186" s="4">
        <f>(Raw_Stock_Data!B186/Raw_Stock_Data!B185)-1</f>
        <v>-1.0535985191164832E-2</v>
      </c>
      <c r="C186" s="4">
        <f>(Raw_Stock_Data!C186/Raw_Stock_Data!C185)-1</f>
        <v>-1.7305136947497468E-2</v>
      </c>
      <c r="D186" s="4">
        <f>(Raw_Stock_Data!D186/Raw_Stock_Data!D185)-1</f>
        <v>-1.9073371685752183E-2</v>
      </c>
      <c r="E186" s="4">
        <f>(Raw_Stock_Data!E186/Raw_Stock_Data!E185)-1</f>
        <v>2.2306238185255234E-2</v>
      </c>
      <c r="F186" s="4">
        <f>(Raw_Stock_Data!F186/Raw_Stock_Data!F185)-1</f>
        <v>-5.7567902099536772E-3</v>
      </c>
      <c r="G186" s="4">
        <f>(Raw_Stock_Data!G186/Raw_Stock_Data!G185)-1</f>
        <v>2.1915313989075313E-2</v>
      </c>
      <c r="H186" s="4">
        <f>(Raw_Stock_Data!H186/Raw_Stock_Data!H185)-1</f>
        <v>-8.0450522928398049E-3</v>
      </c>
      <c r="I186" s="4">
        <f>(Raw_Stock_Data!I186/Raw_Stock_Data!I185)-1</f>
        <v>1.7565729827742071E-3</v>
      </c>
      <c r="J186" s="4">
        <f>(Raw_Stock_Data!J186/Raw_Stock_Data!J185)-1</f>
        <v>-5.1655734763452754E-3</v>
      </c>
    </row>
    <row r="187" spans="1:10" x14ac:dyDescent="0.2">
      <c r="A187" s="2">
        <v>44467</v>
      </c>
      <c r="B187" s="4">
        <f>(Raw_Stock_Data!B187/Raw_Stock_Data!B186)-1</f>
        <v>-2.3905643391661568E-2</v>
      </c>
      <c r="C187" s="4">
        <f>(Raw_Stock_Data!C187/Raw_Stock_Data!C186)-1</f>
        <v>-3.617362501441268E-2</v>
      </c>
      <c r="D187" s="4">
        <f>(Raw_Stock_Data!D187/Raw_Stock_Data!D186)-1</f>
        <v>-4.4383186561089194E-2</v>
      </c>
      <c r="E187" s="4">
        <f>(Raw_Stock_Data!E187/Raw_Stock_Data!E186)-1</f>
        <v>-6.1390532544378651E-2</v>
      </c>
      <c r="F187" s="4">
        <f>(Raw_Stock_Data!F187/Raw_Stock_Data!F186)-1</f>
        <v>-2.6378530741675954E-2</v>
      </c>
      <c r="G187" s="4">
        <f>(Raw_Stock_Data!G187/Raw_Stock_Data!G186)-1</f>
        <v>-1.7438311971400999E-2</v>
      </c>
      <c r="H187" s="4">
        <f>(Raw_Stock_Data!H187/Raw_Stock_Data!H186)-1</f>
        <v>-3.7157980108421973E-2</v>
      </c>
      <c r="I187" s="4">
        <f>(Raw_Stock_Data!I187/Raw_Stock_Data!I186)-1</f>
        <v>-3.6568810453079914E-2</v>
      </c>
      <c r="J187" s="4">
        <f>(Raw_Stock_Data!J187/Raw_Stock_Data!J186)-1</f>
        <v>-2.8275941768754365E-2</v>
      </c>
    </row>
    <row r="188" spans="1:10" x14ac:dyDescent="0.2">
      <c r="A188" s="2">
        <v>44468</v>
      </c>
      <c r="B188" s="4">
        <f>(Raw_Stock_Data!B188/Raw_Stock_Data!B187)-1</f>
        <v>6.5136722268255287E-3</v>
      </c>
      <c r="C188" s="4">
        <f>(Raw_Stock_Data!C188/Raw_Stock_Data!C187)-1</f>
        <v>1.7001993837231222E-3</v>
      </c>
      <c r="D188" s="4">
        <f>(Raw_Stock_Data!D188/Raw_Stock_Data!D187)-1</f>
        <v>-8.7507017985403168E-3</v>
      </c>
      <c r="E188" s="4">
        <f>(Raw_Stock_Data!E188/Raw_Stock_Data!E187)-1</f>
        <v>-1.1524822695035519E-2</v>
      </c>
      <c r="F188" s="4">
        <f>(Raw_Stock_Data!F188/Raw_Stock_Data!F187)-1</f>
        <v>-4.4753253959637362E-3</v>
      </c>
      <c r="G188" s="4">
        <f>(Raw_Stock_Data!G188/Raw_Stock_Data!G187)-1</f>
        <v>4.8227727470899762E-3</v>
      </c>
      <c r="H188" s="4">
        <f>(Raw_Stock_Data!H188/Raw_Stock_Data!H187)-1</f>
        <v>-1.0861614168864886E-2</v>
      </c>
      <c r="I188" s="4">
        <f>(Raw_Stock_Data!I188/Raw_Stock_Data!I187)-1</f>
        <v>-3.0529869367384999E-3</v>
      </c>
      <c r="J188" s="4">
        <f>(Raw_Stock_Data!J188/Raw_Stock_Data!J187)-1</f>
        <v>-2.3538016922074467E-3</v>
      </c>
    </row>
    <row r="189" spans="1:10" x14ac:dyDescent="0.2">
      <c r="A189" s="2">
        <v>44469</v>
      </c>
      <c r="B189" s="4">
        <f>(Raw_Stock_Data!B189/Raw_Stock_Data!B188)-1</f>
        <v>-9.3421815604665115E-3</v>
      </c>
      <c r="C189" s="4">
        <f>(Raw_Stock_Data!C189/Raw_Stock_Data!C188)-1</f>
        <v>-7.3212482674012147E-3</v>
      </c>
      <c r="D189" s="4">
        <f>(Raw_Stock_Data!D189/Raw_Stock_Data!D188)-1</f>
        <v>9.6531317747701184E-3</v>
      </c>
      <c r="E189" s="4">
        <f>(Raw_Stock_Data!E189/Raw_Stock_Data!E188)-1</f>
        <v>2.5411061285500969E-2</v>
      </c>
      <c r="F189" s="4">
        <f>(Raw_Stock_Data!F189/Raw_Stock_Data!F188)-1</f>
        <v>-4.8710740597130986E-3</v>
      </c>
      <c r="G189" s="4">
        <f>(Raw_Stock_Data!G189/Raw_Stock_Data!G188)-1</f>
        <v>-7.4643771814297821E-3</v>
      </c>
      <c r="H189" s="4">
        <f>(Raw_Stock_Data!H189/Raw_Stock_Data!H188)-1</f>
        <v>-5.0497127789106422E-3</v>
      </c>
      <c r="I189" s="4">
        <f>(Raw_Stock_Data!I189/Raw_Stock_Data!I188)-1</f>
        <v>-6.4780189040380964E-4</v>
      </c>
      <c r="J189" s="4">
        <f>(Raw_Stock_Data!J189/Raw_Stock_Data!J188)-1</f>
        <v>-4.4003627232912512E-3</v>
      </c>
    </row>
    <row r="190" spans="1:10" x14ac:dyDescent="0.2">
      <c r="A190" s="2">
        <v>44470</v>
      </c>
      <c r="B190" s="4">
        <f>(Raw_Stock_Data!B190/Raw_Stock_Data!B189)-1</f>
        <v>8.1729101630245715E-3</v>
      </c>
      <c r="C190" s="4">
        <f>(Raw_Stock_Data!C190/Raw_Stock_Data!C189)-1</f>
        <v>2.5428733922477909E-2</v>
      </c>
      <c r="D190" s="4">
        <f>(Raw_Stock_Data!D190/Raw_Stock_Data!D189)-1</f>
        <v>1.257368907201295E-3</v>
      </c>
      <c r="E190" s="4">
        <f>(Raw_Stock_Data!E190/Raw_Stock_Data!E189)-1</f>
        <v>-4.3731778425656342E-3</v>
      </c>
      <c r="F190" s="4">
        <f>(Raw_Stock_Data!F190/Raw_Stock_Data!F189)-1</f>
        <v>-5.4185032754550111E-4</v>
      </c>
      <c r="G190" s="4">
        <f>(Raw_Stock_Data!G190/Raw_Stock_Data!G189)-1</f>
        <v>-3.3269759722709402E-4</v>
      </c>
      <c r="H190" s="4">
        <f>(Raw_Stock_Data!H190/Raw_Stock_Data!H189)-1</f>
        <v>2.1442568303138954E-2</v>
      </c>
      <c r="I190" s="4">
        <f>(Raw_Stock_Data!I190/Raw_Stock_Data!I189)-1</f>
        <v>1.0666195232623243E-2</v>
      </c>
      <c r="J190" s="4">
        <f>(Raw_Stock_Data!J190/Raw_Stock_Data!J189)-1</f>
        <v>8.1751978395108171E-3</v>
      </c>
    </row>
    <row r="191" spans="1:10" x14ac:dyDescent="0.2">
      <c r="A191" s="2">
        <v>44473</v>
      </c>
      <c r="B191" s="4">
        <f>(Raw_Stock_Data!B191/Raw_Stock_Data!B190)-1</f>
        <v>-2.4585170053399108E-2</v>
      </c>
      <c r="C191" s="4">
        <f>(Raw_Stock_Data!C191/Raw_Stock_Data!C190)-1</f>
        <v>-2.0691788346470119E-2</v>
      </c>
      <c r="D191" s="4">
        <f>(Raw_Stock_Data!D191/Raw_Stock_Data!D190)-1</f>
        <v>-4.8608729671900663E-2</v>
      </c>
      <c r="E191" s="4">
        <f>(Raw_Stock_Data!E191/Raw_Stock_Data!E190)-1</f>
        <v>-2.0595412396290813E-2</v>
      </c>
      <c r="F191" s="4">
        <f>(Raw_Stock_Data!F191/Raw_Stock_Data!F190)-1</f>
        <v>-2.8471701906032432E-2</v>
      </c>
      <c r="G191" s="4">
        <f>(Raw_Stock_Data!G191/Raw_Stock_Data!G190)-1</f>
        <v>8.1383244261958865E-3</v>
      </c>
      <c r="H191" s="4">
        <f>(Raw_Stock_Data!H191/Raw_Stock_Data!H190)-1</f>
        <v>-2.1110041235143373E-2</v>
      </c>
      <c r="I191" s="4">
        <f>(Raw_Stock_Data!I191/Raw_Stock_Data!I190)-1</f>
        <v>-4.8919856563948483E-2</v>
      </c>
      <c r="J191" s="4">
        <f>(Raw_Stock_Data!J191/Raw_Stock_Data!J190)-1</f>
        <v>-2.1365168500758647E-2</v>
      </c>
    </row>
    <row r="192" spans="1:10" x14ac:dyDescent="0.2">
      <c r="A192" s="2">
        <v>44474</v>
      </c>
      <c r="B192" s="4">
        <f>(Raw_Stock_Data!B192/Raw_Stock_Data!B191)-1</f>
        <v>1.4072087298379721E-2</v>
      </c>
      <c r="C192" s="4">
        <f>(Raw_Stock_Data!C192/Raw_Stock_Data!C191)-1</f>
        <v>1.9967253703925492E-2</v>
      </c>
      <c r="D192" s="4">
        <f>(Raw_Stock_Data!D192/Raw_Stock_Data!D191)-1</f>
        <v>3.6390035384841868E-2</v>
      </c>
      <c r="E192" s="4">
        <f>(Raw_Stock_Data!E192/Raw_Stock_Data!E191)-1</f>
        <v>1.4650189356189003E-2</v>
      </c>
      <c r="F192" s="4">
        <f>(Raw_Stock_Data!F192/Raw_Stock_Data!F191)-1</f>
        <v>9.7875088564101098E-3</v>
      </c>
      <c r="G192" s="4">
        <f>(Raw_Stock_Data!G192/Raw_Stock_Data!G191)-1</f>
        <v>-1.2014893862039022E-3</v>
      </c>
      <c r="H192" s="4">
        <f>(Raw_Stock_Data!H192/Raw_Stock_Data!H191)-1</f>
        <v>1.7683233591386127E-2</v>
      </c>
      <c r="I192" s="4">
        <f>(Raw_Stock_Data!I192/Raw_Stock_Data!I191)-1</f>
        <v>2.0629617141280532E-2</v>
      </c>
      <c r="J192" s="4">
        <f>(Raw_Stock_Data!J192/Raw_Stock_Data!J191)-1</f>
        <v>1.2510978234335113E-2</v>
      </c>
    </row>
    <row r="193" spans="1:10" x14ac:dyDescent="0.2">
      <c r="A193" s="2">
        <v>44475</v>
      </c>
      <c r="B193" s="4">
        <f>(Raw_Stock_Data!B193/Raw_Stock_Data!B192)-1</f>
        <v>6.333333333333302E-3</v>
      </c>
      <c r="C193" s="4">
        <f>(Raw_Stock_Data!C193/Raw_Stock_Data!C192)-1</f>
        <v>1.5045328188901141E-2</v>
      </c>
      <c r="D193" s="4">
        <f>(Raw_Stock_Data!D193/Raw_Stock_Data!D192)-1</f>
        <v>1.2133532538146863E-2</v>
      </c>
      <c r="E193" s="4">
        <f>(Raw_Stock_Data!E193/Raw_Stock_Data!E192)-1</f>
        <v>1.7974658677929467E-2</v>
      </c>
      <c r="F193" s="4">
        <f>(Raw_Stock_Data!F193/Raw_Stock_Data!F192)-1</f>
        <v>1.2728966159577748E-2</v>
      </c>
      <c r="G193" s="4">
        <f>(Raw_Stock_Data!G193/Raw_Stock_Data!G192)-1</f>
        <v>2.7671341329837951E-3</v>
      </c>
      <c r="H193" s="4">
        <f>(Raw_Stock_Data!H193/Raw_Stock_Data!H192)-1</f>
        <v>1.1333116902281448E-2</v>
      </c>
      <c r="I193" s="4">
        <f>(Raw_Stock_Data!I193/Raw_Stock_Data!I192)-1</f>
        <v>2.0422873618453075E-3</v>
      </c>
      <c r="J193" s="4">
        <f>(Raw_Stock_Data!J193/Raw_Stock_Data!J192)-1</f>
        <v>4.7166968157446032E-3</v>
      </c>
    </row>
    <row r="194" spans="1:10" x14ac:dyDescent="0.2">
      <c r="A194" s="2">
        <v>44476</v>
      </c>
      <c r="B194" s="4">
        <f>(Raw_Stock_Data!B194/Raw_Stock_Data!B193)-1</f>
        <v>9.1377795699698616E-3</v>
      </c>
      <c r="C194" s="4">
        <f>(Raw_Stock_Data!C194/Raw_Stock_Data!C193)-1</f>
        <v>5.9296299153512866E-3</v>
      </c>
      <c r="D194" s="4">
        <f>(Raw_Stock_Data!D194/Raw_Stock_Data!D193)-1</f>
        <v>1.8120045300113352E-2</v>
      </c>
      <c r="E194" s="4">
        <f>(Raw_Stock_Data!E194/Raw_Stock_Data!E193)-1</f>
        <v>2.7113083751447276E-2</v>
      </c>
      <c r="F194" s="4">
        <f>(Raw_Stock_Data!F194/Raw_Stock_Data!F193)-1</f>
        <v>1.2397302268547072E-2</v>
      </c>
      <c r="G194" s="4">
        <f>(Raw_Stock_Data!G194/Raw_Stock_Data!G193)-1</f>
        <v>1.3874143884836876E-2</v>
      </c>
      <c r="H194" s="4">
        <f>(Raw_Stock_Data!H194/Raw_Stock_Data!H193)-1</f>
        <v>1.2067003239268015E-2</v>
      </c>
      <c r="I194" s="4">
        <f>(Raw_Stock_Data!I194/Raw_Stock_Data!I193)-1</f>
        <v>-1.3247812012948001E-2</v>
      </c>
      <c r="J194" s="4">
        <f>(Raw_Stock_Data!J194/Raw_Stock_Data!J193)-1</f>
        <v>1.0488963177953892E-2</v>
      </c>
    </row>
    <row r="195" spans="1:10" x14ac:dyDescent="0.2">
      <c r="A195" s="2">
        <v>44477</v>
      </c>
      <c r="B195" s="4">
        <f>(Raw_Stock_Data!B195/Raw_Stock_Data!B194)-1</f>
        <v>-2.7400583689518587E-3</v>
      </c>
      <c r="C195" s="4">
        <f>(Raw_Stock_Data!C195/Raw_Stock_Data!C194)-1</f>
        <v>0</v>
      </c>
      <c r="D195" s="4">
        <f>(Raw_Stock_Data!D195/Raw_Stock_Data!D194)-1</f>
        <v>-1.1579818031430933E-2</v>
      </c>
      <c r="E195" s="4">
        <f>(Raw_Stock_Data!E195/Raw_Stock_Data!E194)-1</f>
        <v>-1.3057773602630385E-2</v>
      </c>
      <c r="F195" s="4">
        <f>(Raw_Stock_Data!F195/Raw_Stock_Data!F194)-1</f>
        <v>-4.1847845835201181E-3</v>
      </c>
      <c r="G195" s="4">
        <f>(Raw_Stock_Data!G195/Raw_Stock_Data!G194)-1</f>
        <v>-1.0232973081270247E-2</v>
      </c>
      <c r="H195" s="4">
        <f>(Raw_Stock_Data!H195/Raw_Stock_Data!H194)-1</f>
        <v>4.0296420178487224E-3</v>
      </c>
      <c r="I195" s="4">
        <f>(Raw_Stock_Data!I195/Raw_Stock_Data!I194)-1</f>
        <v>2.5211105036144765E-3</v>
      </c>
      <c r="J195" s="4">
        <f>(Raw_Stock_Data!J195/Raw_Stock_Data!J194)-1</f>
        <v>-5.0825643748267924E-3</v>
      </c>
    </row>
    <row r="196" spans="1:10" x14ac:dyDescent="0.2">
      <c r="A196" s="2">
        <v>44480</v>
      </c>
      <c r="B196" s="4">
        <f>(Raw_Stock_Data!B196/Raw_Stock_Data!B195)-1</f>
        <v>-6.4396568378399799E-4</v>
      </c>
      <c r="C196" s="4">
        <f>(Raw_Stock_Data!C196/Raw_Stock_Data!C195)-1</f>
        <v>-2.1124624828756655E-3</v>
      </c>
      <c r="D196" s="4">
        <f>(Raw_Stock_Data!D196/Raw_Stock_Data!D195)-1</f>
        <v>-6.5310441013802789E-3</v>
      </c>
      <c r="E196" s="4">
        <f>(Raw_Stock_Data!E196/Raw_Stock_Data!E195)-1</f>
        <v>-3.6169807728916314E-3</v>
      </c>
      <c r="F196" s="4">
        <f>(Raw_Stock_Data!F196/Raw_Stock_Data!F195)-1</f>
        <v>-1.2868619664175296E-2</v>
      </c>
      <c r="G196" s="4">
        <f>(Raw_Stock_Data!G196/Raw_Stock_Data!G195)-1</f>
        <v>8.2114349005080189E-3</v>
      </c>
      <c r="H196" s="4">
        <f>(Raw_Stock_Data!H196/Raw_Stock_Data!H195)-1</f>
        <v>-6.2391855314076761E-3</v>
      </c>
      <c r="I196" s="4">
        <f>(Raw_Stock_Data!I196/Raw_Stock_Data!I195)-1</f>
        <v>-1.3937282229965264E-2</v>
      </c>
      <c r="J196" s="4">
        <f>(Raw_Stock_Data!J196/Raw_Stock_Data!J195)-1</f>
        <v>-6.4021224263591803E-3</v>
      </c>
    </row>
    <row r="197" spans="1:10" x14ac:dyDescent="0.2">
      <c r="A197" s="2">
        <v>44481</v>
      </c>
      <c r="B197" s="4">
        <f>(Raw_Stock_Data!B197/Raw_Stock_Data!B196)-1</f>
        <v>-9.1287257730777727E-3</v>
      </c>
      <c r="C197" s="4">
        <f>(Raw_Stock_Data!C197/Raw_Stock_Data!C196)-1</f>
        <v>-4.5447717658236853E-3</v>
      </c>
      <c r="D197" s="4">
        <f>(Raw_Stock_Data!D197/Raw_Stock_Data!D196)-1</f>
        <v>-1.1618225122476122E-3</v>
      </c>
      <c r="E197" s="4">
        <f>(Raw_Stock_Data!E197/Raw_Stock_Data!E196)-1</f>
        <v>3.4390523500191783E-3</v>
      </c>
      <c r="F197" s="4">
        <f>(Raw_Stock_Data!F197/Raw_Stock_Data!F196)-1</f>
        <v>3.1420386285940793E-4</v>
      </c>
      <c r="G197" s="4">
        <f>(Raw_Stock_Data!G197/Raw_Stock_Data!G196)-1</f>
        <v>1.7399045382225697E-2</v>
      </c>
      <c r="H197" s="4">
        <f>(Raw_Stock_Data!H197/Raw_Stock_Data!H196)-1</f>
        <v>-1.7744126231829749E-2</v>
      </c>
      <c r="I197" s="4">
        <f>(Raw_Stock_Data!I197/Raw_Stock_Data!I196)-1</f>
        <v>-5.1620832693194396E-3</v>
      </c>
      <c r="J197" s="4">
        <f>(Raw_Stock_Data!J197/Raw_Stock_Data!J196)-1</f>
        <v>-1.3999530587732734E-3</v>
      </c>
    </row>
    <row r="198" spans="1:10" x14ac:dyDescent="0.2">
      <c r="A198" s="2">
        <v>44482</v>
      </c>
      <c r="B198" s="4">
        <f>(Raw_Stock_Data!B198/Raw_Stock_Data!B197)-1</f>
        <v>-4.2559648539676198E-3</v>
      </c>
      <c r="C198" s="4">
        <f>(Raw_Stock_Data!C198/Raw_Stock_Data!C197)-1</f>
        <v>1.1685768628799664E-2</v>
      </c>
      <c r="D198" s="4">
        <f>(Raw_Stock_Data!D198/Raw_Stock_Data!D197)-1</f>
        <v>1.2969389139833032E-2</v>
      </c>
      <c r="E198" s="4">
        <f>(Raw_Stock_Data!E198/Raw_Stock_Data!E197)-1</f>
        <v>3.9223153084539053E-2</v>
      </c>
      <c r="F198" s="4">
        <f>(Raw_Stock_Data!F198/Raw_Stock_Data!F197)-1</f>
        <v>1.1381693211632848E-2</v>
      </c>
      <c r="G198" s="4">
        <f>(Raw_Stock_Data!G198/Raw_Stock_Data!G197)-1</f>
        <v>6.6536844731228673E-3</v>
      </c>
      <c r="H198" s="4">
        <f>(Raw_Stock_Data!H198/Raw_Stock_Data!H197)-1</f>
        <v>8.304157227338349E-3</v>
      </c>
      <c r="I198" s="4">
        <f>(Raw_Stock_Data!I198/Raw_Stock_Data!I197)-1</f>
        <v>2.378231460604896E-3</v>
      </c>
      <c r="J198" s="4">
        <f>(Raw_Stock_Data!J198/Raw_Stock_Data!J197)-1</f>
        <v>7.3075200194663292E-3</v>
      </c>
    </row>
    <row r="199" spans="1:10" x14ac:dyDescent="0.2">
      <c r="A199" s="2">
        <v>44483</v>
      </c>
      <c r="B199" s="4">
        <f>(Raw_Stock_Data!B199/Raw_Stock_Data!B198)-1</f>
        <v>2.0296796197525557E-2</v>
      </c>
      <c r="C199" s="4">
        <f>(Raw_Stock_Data!C199/Raw_Stock_Data!C198)-1</f>
        <v>2.1755719895106607E-2</v>
      </c>
      <c r="D199" s="4">
        <f>(Raw_Stock_Data!D199/Raw_Stock_Data!D198)-1</f>
        <v>3.854876368368676E-2</v>
      </c>
      <c r="E199" s="4">
        <f>(Raw_Stock_Data!E199/Raw_Stock_Data!E198)-1</f>
        <v>2.5925247343349112E-2</v>
      </c>
      <c r="F199" s="4">
        <f>(Raw_Stock_Data!F199/Raw_Stock_Data!F198)-1</f>
        <v>4.7438099065852946E-3</v>
      </c>
      <c r="G199" s="4">
        <f>(Raw_Stock_Data!G199/Raw_Stock_Data!G198)-1</f>
        <v>8.9251368545644194E-3</v>
      </c>
      <c r="H199" s="4">
        <f>(Raw_Stock_Data!H199/Raw_Stock_Data!H198)-1</f>
        <v>2.5940110150636242E-2</v>
      </c>
      <c r="I199" s="4">
        <f>(Raw_Stock_Data!I199/Raw_Stock_Data!I198)-1</f>
        <v>1.2294324274357393E-2</v>
      </c>
      <c r="J199" s="4">
        <f>(Raw_Stock_Data!J199/Raw_Stock_Data!J198)-1</f>
        <v>1.7280153284155553E-2</v>
      </c>
    </row>
    <row r="200" spans="1:10" x14ac:dyDescent="0.2">
      <c r="A200" s="2">
        <v>44484</v>
      </c>
      <c r="B200" s="4">
        <f>(Raw_Stock_Data!B200/Raw_Stock_Data!B199)-1</f>
        <v>7.5674599223338745E-3</v>
      </c>
      <c r="C200" s="4">
        <f>(Raw_Stock_Data!C200/Raw_Stock_Data!C199)-1</f>
        <v>4.7731562580628495E-3</v>
      </c>
      <c r="D200" s="4">
        <f>(Raw_Stock_Data!D200/Raw_Stock_Data!D199)-1</f>
        <v>5.3394144611060845E-3</v>
      </c>
      <c r="E200" s="4">
        <f>(Raw_Stock_Data!E200/Raw_Stock_Data!E199)-1</f>
        <v>1.1608179301725308E-3</v>
      </c>
      <c r="F200" s="4">
        <f>(Raw_Stock_Data!F200/Raw_Stock_Data!F199)-1</f>
        <v>3.3080191280842275E-2</v>
      </c>
      <c r="G200" s="4">
        <f>(Raw_Stock_Data!G200/Raw_Stock_Data!G199)-1</f>
        <v>3.0197270257686704E-2</v>
      </c>
      <c r="H200" s="4">
        <f>(Raw_Stock_Data!H200/Raw_Stock_Data!H199)-1</f>
        <v>1.5429355593319372E-3</v>
      </c>
      <c r="I200" s="4">
        <f>(Raw_Stock_Data!I200/Raw_Stock_Data!I199)-1</f>
        <v>-1.1475359936687579E-2</v>
      </c>
      <c r="J200" s="4">
        <f>(Raw_Stock_Data!J200/Raw_Stock_Data!J199)-1</f>
        <v>4.9860255015201638E-3</v>
      </c>
    </row>
    <row r="201" spans="1:10" x14ac:dyDescent="0.2">
      <c r="A201" s="2">
        <v>44487</v>
      </c>
      <c r="B201" s="4">
        <f>(Raw_Stock_Data!B201/Raw_Stock_Data!B200)-1</f>
        <v>1.1774173054932113E-2</v>
      </c>
      <c r="C201" s="4">
        <f>(Raw_Stock_Data!C201/Raw_Stock_Data!C200)-1</f>
        <v>1.017332837787599E-2</v>
      </c>
      <c r="D201" s="4">
        <f>(Raw_Stock_Data!D201/Raw_Stock_Data!D200)-1</f>
        <v>1.6473898379646634E-2</v>
      </c>
      <c r="E201" s="4">
        <f>(Raw_Stock_Data!E201/Raw_Stock_Data!E200)-1</f>
        <v>3.8440956118444447E-2</v>
      </c>
      <c r="F201" s="4">
        <f>(Raw_Stock_Data!F201/Raw_Stock_Data!F200)-1</f>
        <v>1.1064763480413742E-2</v>
      </c>
      <c r="G201" s="4">
        <f>(Raw_Stock_Data!G201/Raw_Stock_Data!G200)-1</f>
        <v>3.2123411978221439E-2</v>
      </c>
      <c r="H201" s="4">
        <f>(Raw_Stock_Data!H201/Raw_Stock_Data!H200)-1</f>
        <v>9.9674849848783165E-3</v>
      </c>
      <c r="I201" s="4">
        <f>(Raw_Stock_Data!I201/Raw_Stock_Data!I200)-1</f>
        <v>3.25779036827194E-2</v>
      </c>
      <c r="J201" s="4">
        <f>(Raw_Stock_Data!J201/Raw_Stock_Data!J200)-1</f>
        <v>8.355182871573108E-3</v>
      </c>
    </row>
    <row r="202" spans="1:10" x14ac:dyDescent="0.2">
      <c r="A202" s="2">
        <v>44488</v>
      </c>
      <c r="B202" s="4">
        <f>(Raw_Stock_Data!B202/Raw_Stock_Data!B201)-1</f>
        <v>1.5006906944619036E-2</v>
      </c>
      <c r="C202" s="4">
        <f>(Raw_Stock_Data!C202/Raw_Stock_Data!C201)-1</f>
        <v>3.0637398363106971E-3</v>
      </c>
      <c r="D202" s="4">
        <f>(Raw_Stock_Data!D202/Raw_Stock_Data!D201)-1</f>
        <v>3.0655624630893108E-3</v>
      </c>
      <c r="E202" s="4">
        <f>(Raw_Stock_Data!E202/Raw_Stock_Data!E201)-1</f>
        <v>-8.5888516705323603E-4</v>
      </c>
      <c r="F202" s="4">
        <f>(Raw_Stock_Data!F202/Raw_Stock_Data!F201)-1</f>
        <v>-7.4853339677483088E-4</v>
      </c>
      <c r="G202" s="4">
        <f>(Raw_Stock_Data!G202/Raw_Stock_Data!G201)-1</f>
        <v>-6.7129366253271261E-3</v>
      </c>
      <c r="H202" s="4">
        <f>(Raw_Stock_Data!H202/Raw_Stock_Data!H201)-1</f>
        <v>3.2123827866892274E-3</v>
      </c>
      <c r="I202" s="4">
        <f>(Raw_Stock_Data!I202/Raw_Stock_Data!I201)-1</f>
        <v>1.3866523528359487E-2</v>
      </c>
      <c r="J202" s="4">
        <f>(Raw_Stock_Data!J202/Raw_Stock_Data!J201)-1</f>
        <v>7.1416160902049164E-3</v>
      </c>
    </row>
    <row r="203" spans="1:10" x14ac:dyDescent="0.2">
      <c r="A203" s="2">
        <v>44489</v>
      </c>
      <c r="B203" s="4">
        <f>(Raw_Stock_Data!B203/Raw_Stock_Data!B202)-1</f>
        <v>3.3749183764648638E-3</v>
      </c>
      <c r="C203" s="4">
        <f>(Raw_Stock_Data!C203/Raw_Stock_Data!C202)-1</f>
        <v>-2.6742514930124806E-3</v>
      </c>
      <c r="D203" s="4">
        <f>(Raw_Stock_Data!D203/Raw_Stock_Data!D202)-1</f>
        <v>-8.3910489485347073E-3</v>
      </c>
      <c r="E203" s="4">
        <f>(Raw_Stock_Data!E203/Raw_Stock_Data!E202)-1</f>
        <v>5.1577409094827331E-4</v>
      </c>
      <c r="F203" s="4">
        <f>(Raw_Stock_Data!F203/Raw_Stock_Data!F202)-1</f>
        <v>-8.4490848276503883E-3</v>
      </c>
      <c r="G203" s="4">
        <f>(Raw_Stock_Data!G203/Raw_Stock_Data!G202)-1</f>
        <v>1.7702801207957197E-3</v>
      </c>
      <c r="H203" s="4">
        <f>(Raw_Stock_Data!H203/Raw_Stock_Data!H202)-1</f>
        <v>-1.0250912632515652E-2</v>
      </c>
      <c r="I203" s="4">
        <f>(Raw_Stock_Data!I203/Raw_Stock_Data!I202)-1</f>
        <v>2.3235977528750507E-3</v>
      </c>
      <c r="J203" s="4">
        <f>(Raw_Stock_Data!J203/Raw_Stock_Data!J202)-1</f>
        <v>-4.8978491105544641E-4</v>
      </c>
    </row>
    <row r="204" spans="1:10" x14ac:dyDescent="0.2">
      <c r="A204" s="2">
        <v>44490</v>
      </c>
      <c r="B204" s="4">
        <f>(Raw_Stock_Data!B204/Raw_Stock_Data!B203)-1</f>
        <v>1.4796952923767925E-3</v>
      </c>
      <c r="C204" s="4">
        <f>(Raw_Stock_Data!C204/Raw_Stock_Data!C203)-1</f>
        <v>1.0882829870108246E-2</v>
      </c>
      <c r="D204" s="4">
        <f>(Raw_Stock_Data!D204/Raw_Stock_Data!D203)-1</f>
        <v>2.6650712498640372E-2</v>
      </c>
      <c r="E204" s="4">
        <f>(Raw_Stock_Data!E204/Raw_Stock_Data!E203)-1</f>
        <v>2.5259902053440975E-2</v>
      </c>
      <c r="F204" s="4">
        <f>(Raw_Stock_Data!F204/Raw_Stock_Data!F203)-1</f>
        <v>5.8446996538861207E-3</v>
      </c>
      <c r="G204" s="4">
        <f>(Raw_Stock_Data!G204/Raw_Stock_Data!G203)-1</f>
        <v>3.2571032571032443E-2</v>
      </c>
      <c r="H204" s="4">
        <f>(Raw_Stock_Data!H204/Raw_Stock_Data!H203)-1</f>
        <v>8.2828340035101533E-4</v>
      </c>
      <c r="I204" s="4">
        <f>(Raw_Stock_Data!I204/Raw_Stock_Data!I203)-1</f>
        <v>3.2278889606198735E-3</v>
      </c>
      <c r="J204" s="4">
        <f>(Raw_Stock_Data!J204/Raw_Stock_Data!J203)-1</f>
        <v>6.2175631279064447E-3</v>
      </c>
    </row>
    <row r="205" spans="1:10" x14ac:dyDescent="0.2">
      <c r="A205" s="2">
        <v>44491</v>
      </c>
      <c r="B205" s="4">
        <f>(Raw_Stock_Data!B205/Raw_Stock_Data!B204)-1</f>
        <v>-5.3012476742914094E-3</v>
      </c>
      <c r="C205" s="4">
        <f>(Raw_Stock_Data!C205/Raw_Stock_Data!C204)-1</f>
        <v>-5.1430461385811865E-3</v>
      </c>
      <c r="D205" s="4">
        <f>(Raw_Stock_Data!D205/Raw_Stock_Data!D204)-1</f>
        <v>1.4966094511548178E-3</v>
      </c>
      <c r="E205" s="4">
        <f>(Raw_Stock_Data!E205/Raw_Stock_Data!E204)-1</f>
        <v>4.1062599513952414E-3</v>
      </c>
      <c r="F205" s="4">
        <f>(Raw_Stock_Data!F205/Raw_Stock_Data!F204)-1</f>
        <v>-2.8954707687291581E-2</v>
      </c>
      <c r="G205" s="4">
        <f>(Raw_Stock_Data!G205/Raw_Stock_Data!G204)-1</f>
        <v>1.7540268456375685E-2</v>
      </c>
      <c r="H205" s="4">
        <f>(Raw_Stock_Data!H205/Raw_Stock_Data!H204)-1</f>
        <v>-3.044428568397084E-2</v>
      </c>
      <c r="I205" s="4">
        <f>(Raw_Stock_Data!I205/Raw_Stock_Data!I204)-1</f>
        <v>-5.0514800514800506E-2</v>
      </c>
      <c r="J205" s="4">
        <f>(Raw_Stock_Data!J205/Raw_Stock_Data!J204)-1</f>
        <v>-8.2480595700493708E-3</v>
      </c>
    </row>
    <row r="206" spans="1:10" x14ac:dyDescent="0.2">
      <c r="A206" s="2">
        <v>44494</v>
      </c>
      <c r="B206" s="4">
        <f>(Raw_Stock_Data!B206/Raw_Stock_Data!B205)-1</f>
        <v>-3.438387533782894E-4</v>
      </c>
      <c r="C206" s="4">
        <f>(Raw_Stock_Data!C206/Raw_Stock_Data!C205)-1</f>
        <v>-3.311225253079475E-3</v>
      </c>
      <c r="D206" s="4">
        <f>(Raw_Stock_Data!D206/Raw_Stock_Data!D205)-1</f>
        <v>1.9369542122362304E-2</v>
      </c>
      <c r="E206" s="4">
        <f>(Raw_Stock_Data!E206/Raw_Stock_Data!E205)-1</f>
        <v>2.1198464363211489E-2</v>
      </c>
      <c r="F206" s="4">
        <f>(Raw_Stock_Data!F206/Raw_Stock_Data!F205)-1</f>
        <v>-4.5569559534230919E-3</v>
      </c>
      <c r="G206" s="4">
        <f>(Raw_Stock_Data!G206/Raw_Stock_Data!G205)-1</f>
        <v>0.12661471438889027</v>
      </c>
      <c r="H206" s="4">
        <f>(Raw_Stock_Data!H206/Raw_Stock_Data!H205)-1</f>
        <v>-8.6817588221987929E-4</v>
      </c>
      <c r="I206" s="4">
        <f>(Raw_Stock_Data!I206/Raw_Stock_Data!I205)-1</f>
        <v>1.2568928868488261E-2</v>
      </c>
      <c r="J206" s="4">
        <f>(Raw_Stock_Data!J206/Raw_Stock_Data!J205)-1</f>
        <v>9.0462684391192649E-3</v>
      </c>
    </row>
    <row r="207" spans="1:10" x14ac:dyDescent="0.2">
      <c r="A207" s="2">
        <v>44495</v>
      </c>
      <c r="B207" s="4">
        <f>(Raw_Stock_Data!B207/Raw_Stock_Data!B206)-1</f>
        <v>4.60214491597144E-3</v>
      </c>
      <c r="C207" s="4">
        <f>(Raw_Stock_Data!C207/Raw_Stock_Data!C206)-1</f>
        <v>6.3876130340663195E-3</v>
      </c>
      <c r="D207" s="4">
        <f>(Raw_Stock_Data!D207/Raw_Stock_Data!D206)-1</f>
        <v>6.6972258859651079E-2</v>
      </c>
      <c r="E207" s="4">
        <f>(Raw_Stock_Data!E207/Raw_Stock_Data!E206)-1</f>
        <v>4.6583850931678494E-3</v>
      </c>
      <c r="F207" s="4">
        <f>(Raw_Stock_Data!F207/Raw_Stock_Data!F206)-1</f>
        <v>1.6781312869688758E-2</v>
      </c>
      <c r="G207" s="4">
        <f>(Raw_Stock_Data!G207/Raw_Stock_Data!G206)-1</f>
        <v>-6.2730519290440379E-3</v>
      </c>
      <c r="H207" s="4">
        <f>(Raw_Stock_Data!H207/Raw_Stock_Data!H206)-1</f>
        <v>1.354508944870414E-2</v>
      </c>
      <c r="I207" s="4">
        <f>(Raw_Stock_Data!I207/Raw_Stock_Data!I206)-1</f>
        <v>-3.9185859016094171E-2</v>
      </c>
      <c r="J207" s="4">
        <f>(Raw_Stock_Data!J207/Raw_Stock_Data!J206)-1</f>
        <v>5.910666191186742E-4</v>
      </c>
    </row>
    <row r="208" spans="1:10" x14ac:dyDescent="0.2">
      <c r="A208" s="2">
        <v>44496</v>
      </c>
      <c r="B208" s="4">
        <f>(Raw_Stock_Data!B208/Raw_Stock_Data!B207)-1</f>
        <v>-3.1704511216411602E-3</v>
      </c>
      <c r="C208" s="4">
        <f>(Raw_Stock_Data!C208/Raw_Stock_Data!C207)-1</f>
        <v>4.2119358067574053E-2</v>
      </c>
      <c r="D208" s="4">
        <f>(Raw_Stock_Data!D208/Raw_Stock_Data!D207)-1</f>
        <v>-1.0760663391858438E-2</v>
      </c>
      <c r="E208" s="4">
        <f>(Raw_Stock_Data!E208/Raw_Stock_Data!E207)-1</f>
        <v>-5.2875620271699564E-3</v>
      </c>
      <c r="F208" s="4">
        <f>(Raw_Stock_Data!F208/Raw_Stock_Data!F207)-1</f>
        <v>4.8577047937252704E-3</v>
      </c>
      <c r="G208" s="4">
        <f>(Raw_Stock_Data!G208/Raw_Stock_Data!G207)-1</f>
        <v>1.90764028196313E-2</v>
      </c>
      <c r="H208" s="4">
        <f>(Raw_Stock_Data!H208/Raw_Stock_Data!H207)-1</f>
        <v>4.9594755232160059E-2</v>
      </c>
      <c r="I208" s="4">
        <f>(Raw_Stock_Data!I208/Raw_Stock_Data!I207)-1</f>
        <v>-1.1367594439694706E-2</v>
      </c>
      <c r="J208" s="4">
        <f>(Raw_Stock_Data!J208/Raw_Stock_Data!J207)-1</f>
        <v>8.5325856162832281E-6</v>
      </c>
    </row>
    <row r="209" spans="1:10" x14ac:dyDescent="0.2">
      <c r="A209" s="2">
        <v>44497</v>
      </c>
      <c r="B209" s="4">
        <f>(Raw_Stock_Data!B209/Raw_Stock_Data!B208)-1</f>
        <v>2.5087069717598665E-2</v>
      </c>
      <c r="C209" s="4">
        <f>(Raw_Stock_Data!C209/Raw_Stock_Data!C208)-1</f>
        <v>3.6638657600294167E-3</v>
      </c>
      <c r="D209" s="4">
        <f>(Raw_Stock_Data!D209/Raw_Stock_Data!D208)-1</f>
        <v>2.0038758260712886E-2</v>
      </c>
      <c r="E209" s="4">
        <f>(Raw_Stock_Data!E209/Raw_Stock_Data!E208)-1</f>
        <v>-9.1593065096500226E-3</v>
      </c>
      <c r="F209" s="4">
        <f>(Raw_Stock_Data!F209/Raw_Stock_Data!F208)-1</f>
        <v>1.5947035796821218E-2</v>
      </c>
      <c r="G209" s="4">
        <f>(Raw_Stock_Data!G209/Raw_Stock_Data!G208)-1</f>
        <v>3.7750792737741845E-2</v>
      </c>
      <c r="H209" s="4">
        <f>(Raw_Stock_Data!H209/Raw_Stock_Data!H208)-1</f>
        <v>-2.5190645827756208E-3</v>
      </c>
      <c r="I209" s="4">
        <f>(Raw_Stock_Data!I209/Raw_Stock_Data!I208)-1</f>
        <v>1.5053487925180908E-2</v>
      </c>
      <c r="J209" s="4">
        <f>(Raw_Stock_Data!J209/Raw_Stock_Data!J208)-1</f>
        <v>1.3932937074687013E-2</v>
      </c>
    </row>
    <row r="210" spans="1:10" x14ac:dyDescent="0.2">
      <c r="A210" s="2">
        <v>44498</v>
      </c>
      <c r="B210" s="4">
        <f>(Raw_Stock_Data!B210/Raw_Stock_Data!B209)-1</f>
        <v>-1.8227508795443104E-2</v>
      </c>
      <c r="C210" s="4">
        <f>(Raw_Stock_Data!C210/Raw_Stock_Data!C209)-1</f>
        <v>2.2403620070094554E-2</v>
      </c>
      <c r="D210" s="4">
        <f>(Raw_Stock_Data!D210/Raw_Stock_Data!D209)-1</f>
        <v>2.5111660936345315E-2</v>
      </c>
      <c r="E210" s="4">
        <f>(Raw_Stock_Data!E210/Raw_Stock_Data!E209)-1</f>
        <v>-7.675800594255433E-3</v>
      </c>
      <c r="F210" s="4">
        <f>(Raw_Stock_Data!F210/Raw_Stock_Data!F209)-1</f>
        <v>-2.1511179197929553E-2</v>
      </c>
      <c r="G210" s="4">
        <f>(Raw_Stock_Data!G210/Raw_Stock_Data!G209)-1</f>
        <v>3.4316306094765547E-2</v>
      </c>
      <c r="H210" s="4">
        <f>(Raw_Stock_Data!H210/Raw_Stock_Data!H209)-1</f>
        <v>1.5063101251014954E-2</v>
      </c>
      <c r="I210" s="4">
        <f>(Raw_Stock_Data!I210/Raw_Stock_Data!I209)-1</f>
        <v>2.0983213429256464E-2</v>
      </c>
      <c r="J210" s="4">
        <f>(Raw_Stock_Data!J210/Raw_Stock_Data!J209)-1</f>
        <v>3.2541176531513116E-3</v>
      </c>
    </row>
    <row r="211" spans="1:10" x14ac:dyDescent="0.2">
      <c r="A211" s="2">
        <v>44501</v>
      </c>
      <c r="B211" s="4">
        <f>(Raw_Stock_Data!B211/Raw_Stock_Data!B210)-1</f>
        <v>-5.6175557148220312E-3</v>
      </c>
      <c r="C211" s="4">
        <f>(Raw_Stock_Data!C211/Raw_Stock_Data!C210)-1</f>
        <v>-6.7752693371021522E-3</v>
      </c>
      <c r="D211" s="4">
        <f>(Raw_Stock_Data!D211/Raw_Stock_Data!D210)-1</f>
        <v>1.016378026800413E-2</v>
      </c>
      <c r="E211" s="4">
        <f>(Raw_Stock_Data!E211/Raw_Stock_Data!E210)-1</f>
        <v>4.1586958329867807E-2</v>
      </c>
      <c r="F211" s="4">
        <f>(Raw_Stock_Data!F211/Raw_Stock_Data!F210)-1</f>
        <v>-1.610703229709054E-2</v>
      </c>
      <c r="G211" s="4">
        <f>(Raw_Stock_Data!G211/Raw_Stock_Data!G210)-1</f>
        <v>8.4910309614281365E-2</v>
      </c>
      <c r="H211" s="4">
        <f>(Raw_Stock_Data!H211/Raw_Stock_Data!H210)-1</f>
        <v>-3.0729911667604415E-2</v>
      </c>
      <c r="I211" s="4">
        <f>(Raw_Stock_Data!I211/Raw_Stock_Data!I210)-1</f>
        <v>1.981024198782344E-2</v>
      </c>
      <c r="J211" s="4">
        <f>(Raw_Stock_Data!J211/Raw_Stock_Data!J210)-1</f>
        <v>6.2929117153458503E-3</v>
      </c>
    </row>
    <row r="212" spans="1:10" x14ac:dyDescent="0.2">
      <c r="A212" s="2">
        <v>44502</v>
      </c>
      <c r="B212" s="4">
        <f>(Raw_Stock_Data!B212/Raw_Stock_Data!B211)-1</f>
        <v>7.1457009102018354E-3</v>
      </c>
      <c r="C212" s="4">
        <f>(Raw_Stock_Data!C212/Raw_Stock_Data!C211)-1</f>
        <v>1.1396189204201379E-2</v>
      </c>
      <c r="D212" s="4">
        <f>(Raw_Stock_Data!D212/Raw_Stock_Data!D211)-1</f>
        <v>2.2236961530405663E-2</v>
      </c>
      <c r="E212" s="4">
        <f>(Raw_Stock_Data!E212/Raw_Stock_Data!E211)-1</f>
        <v>1.9164736884133227E-2</v>
      </c>
      <c r="F212" s="4">
        <f>(Raw_Stock_Data!F212/Raw_Stock_Data!F211)-1</f>
        <v>-1.61537256036548E-3</v>
      </c>
      <c r="G212" s="4">
        <f>(Raw_Stock_Data!G212/Raw_Stock_Data!G211)-1</f>
        <v>-3.0273318721252718E-2</v>
      </c>
      <c r="H212" s="4">
        <f>(Raw_Stock_Data!H212/Raw_Stock_Data!H211)-1</f>
        <v>1.3484592035138299E-2</v>
      </c>
      <c r="I212" s="4">
        <f>(Raw_Stock_Data!I212/Raw_Stock_Data!I211)-1</f>
        <v>-5.7579247227105279E-3</v>
      </c>
      <c r="J212" s="4">
        <f>(Raw_Stock_Data!J212/Raw_Stock_Data!J211)-1</f>
        <v>3.4419258370137484E-3</v>
      </c>
    </row>
    <row r="213" spans="1:10" x14ac:dyDescent="0.2">
      <c r="A213" s="2">
        <v>44503</v>
      </c>
      <c r="B213" s="4">
        <f>(Raw_Stock_Data!B213/Raw_Stock_Data!B212)-1</f>
        <v>9.8484900117907781E-3</v>
      </c>
      <c r="C213" s="4">
        <f>(Raw_Stock_Data!C213/Raw_Stock_Data!C212)-1</f>
        <v>2.625651784887939E-3</v>
      </c>
      <c r="D213" s="4">
        <f>(Raw_Stock_Data!D213/Raw_Stock_Data!D212)-1</f>
        <v>7.4294148671774085E-3</v>
      </c>
      <c r="E213" s="4">
        <f>(Raw_Stock_Data!E213/Raw_Stock_Data!E212)-1</f>
        <v>2.2721930580584582E-2</v>
      </c>
      <c r="F213" s="4">
        <f>(Raw_Stock_Data!F213/Raw_Stock_Data!F212)-1</f>
        <v>2.1504727176131055E-2</v>
      </c>
      <c r="G213" s="4">
        <f>(Raw_Stock_Data!G213/Raw_Stock_Data!G212)-1</f>
        <v>3.5715839832901164E-2</v>
      </c>
      <c r="H213" s="4">
        <f>(Raw_Stock_Data!H213/Raw_Stock_Data!H212)-1</f>
        <v>8.0258926476473036E-3</v>
      </c>
      <c r="I213" s="4">
        <f>(Raw_Stock_Data!I213/Raw_Stock_Data!I212)-1</f>
        <v>1.0790051207022699E-2</v>
      </c>
      <c r="J213" s="4">
        <f>(Raw_Stock_Data!J213/Raw_Stock_Data!J212)-1</f>
        <v>1.0350424291994731E-2</v>
      </c>
    </row>
    <row r="214" spans="1:10" x14ac:dyDescent="0.2">
      <c r="A214" s="2">
        <v>44504</v>
      </c>
      <c r="B214" s="4">
        <f>(Raw_Stock_Data!B214/Raw_Stock_Data!B213)-1</f>
        <v>-3.5365261055018138E-3</v>
      </c>
      <c r="C214" s="4">
        <f>(Raw_Stock_Data!C214/Raw_Stock_Data!C213)-1</f>
        <v>7.3301103824767733E-3</v>
      </c>
      <c r="D214" s="4">
        <f>(Raw_Stock_Data!D214/Raw_Stock_Data!D213)-1</f>
        <v>0.12041957778572909</v>
      </c>
      <c r="E214" s="4">
        <f>(Raw_Stock_Data!E214/Raw_Stock_Data!E213)-1</f>
        <v>5.3397686355627139E-2</v>
      </c>
      <c r="F214" s="4">
        <f>(Raw_Stock_Data!F214/Raw_Stock_Data!F213)-1</f>
        <v>2.7482269503546153E-2</v>
      </c>
      <c r="G214" s="4">
        <f>(Raw_Stock_Data!G214/Raw_Stock_Data!G213)-1</f>
        <v>1.3222282635559246E-2</v>
      </c>
      <c r="H214" s="4">
        <f>(Raw_Stock_Data!H214/Raw_Stock_Data!H213)-1</f>
        <v>1.1385030362363047E-2</v>
      </c>
      <c r="I214" s="4">
        <f>(Raw_Stock_Data!I214/Raw_Stock_Data!I213)-1</f>
        <v>1.275556359688812E-2</v>
      </c>
      <c r="J214" s="4">
        <f>(Raw_Stock_Data!J214/Raw_Stock_Data!J213)-1</f>
        <v>8.1415013553356452E-3</v>
      </c>
    </row>
    <row r="215" spans="1:10" x14ac:dyDescent="0.2">
      <c r="A215" s="2">
        <v>44505</v>
      </c>
      <c r="B215" s="4">
        <f>(Raw_Stock_Data!B215/Raw_Stock_Data!B214)-1</f>
        <v>3.6100349489311956E-3</v>
      </c>
      <c r="C215" s="4">
        <f>(Raw_Stock_Data!C215/Raw_Stock_Data!C214)-1</f>
        <v>-1.1333677518688967E-3</v>
      </c>
      <c r="D215" s="4">
        <f>(Raw_Stock_Data!D215/Raw_Stock_Data!D214)-1</f>
        <v>-1.6404629601616261E-3</v>
      </c>
      <c r="E215" s="4">
        <f>(Raw_Stock_Data!E215/Raw_Stock_Data!E214)-1</f>
        <v>-8.4363636363635752E-3</v>
      </c>
      <c r="F215" s="4">
        <f>(Raw_Stock_Data!F215/Raw_Stock_Data!F214)-1</f>
        <v>1.2079378774805916E-2</v>
      </c>
      <c r="G215" s="4">
        <f>(Raw_Stock_Data!G215/Raw_Stock_Data!G214)-1</f>
        <v>-6.3590018781862767E-3</v>
      </c>
      <c r="H215" s="4">
        <f>(Raw_Stock_Data!H215/Raw_Stock_Data!H214)-1</f>
        <v>3.9395662415724342E-3</v>
      </c>
      <c r="I215" s="4">
        <f>(Raw_Stock_Data!I215/Raw_Stock_Data!I214)-1</f>
        <v>1.5721304153639926E-2</v>
      </c>
      <c r="J215" s="4">
        <f>(Raw_Stock_Data!J215/Raw_Stock_Data!J214)-1</f>
        <v>1.9623206825964967E-3</v>
      </c>
    </row>
    <row r="216" spans="1:10" x14ac:dyDescent="0.2">
      <c r="A216" s="2">
        <v>44508</v>
      </c>
      <c r="B216" s="4">
        <f>(Raw_Stock_Data!B216/Raw_Stock_Data!B215)-1</f>
        <v>-5.581163068492434E-3</v>
      </c>
      <c r="C216" s="4">
        <f>(Raw_Stock_Data!C216/Raw_Stock_Data!C215)-1</f>
        <v>2.7494709027071629E-3</v>
      </c>
      <c r="D216" s="4">
        <f>(Raw_Stock_Data!D216/Raw_Stock_Data!D215)-1</f>
        <v>3.5368313304533272E-2</v>
      </c>
      <c r="E216" s="4">
        <f>(Raw_Stock_Data!E216/Raw_Stock_Data!E215)-1</f>
        <v>0.10136423646765436</v>
      </c>
      <c r="F216" s="4">
        <f>(Raw_Stock_Data!F216/Raw_Stock_Data!F215)-1</f>
        <v>-8.5308326229041054E-3</v>
      </c>
      <c r="G216" s="4">
        <f>(Raw_Stock_Data!G216/Raw_Stock_Data!G215)-1</f>
        <v>-4.8399093683029637E-2</v>
      </c>
      <c r="H216" s="4">
        <f>(Raw_Stock_Data!H216/Raw_Stock_Data!H215)-1</f>
        <v>1.2068988767075517E-3</v>
      </c>
      <c r="I216" s="4">
        <f>(Raw_Stock_Data!I216/Raw_Stock_Data!I215)-1</f>
        <v>-7.3578987482777469E-3</v>
      </c>
      <c r="J216" s="4">
        <f>(Raw_Stock_Data!J216/Raw_Stock_Data!J215)-1</f>
        <v>6.7432234361142207E-4</v>
      </c>
    </row>
    <row r="217" spans="1:10" x14ac:dyDescent="0.2">
      <c r="A217" s="2">
        <v>44509</v>
      </c>
      <c r="B217" s="4">
        <f>(Raw_Stock_Data!B217/Raw_Stock_Data!B216)-1</f>
        <v>2.4635222259925538E-3</v>
      </c>
      <c r="C217" s="4">
        <f>(Raw_Stock_Data!C217/Raw_Stock_Data!C216)-1</f>
        <v>-3.0682799027665908E-3</v>
      </c>
      <c r="D217" s="4">
        <f>(Raw_Stock_Data!D217/Raw_Stock_Data!D216)-1</f>
        <v>-4.7773445249160718E-3</v>
      </c>
      <c r="E217" s="4">
        <f>(Raw_Stock_Data!E217/Raw_Stock_Data!E216)-1</f>
        <v>-8.2578582844965442E-3</v>
      </c>
      <c r="F217" s="4">
        <f>(Raw_Stock_Data!F217/Raw_Stock_Data!F216)-1</f>
        <v>2.5010174893521864E-2</v>
      </c>
      <c r="G217" s="4">
        <f>(Raw_Stock_Data!G217/Raw_Stock_Data!G216)-1</f>
        <v>-0.11990290135097137</v>
      </c>
      <c r="H217" s="4">
        <f>(Raw_Stock_Data!H217/Raw_Stock_Data!H216)-1</f>
        <v>-7.609786319894285E-4</v>
      </c>
      <c r="I217" s="4">
        <f>(Raw_Stock_Data!I217/Raw_Stock_Data!I216)-1</f>
        <v>-9.5977792215462543E-3</v>
      </c>
      <c r="J217" s="4">
        <f>(Raw_Stock_Data!J217/Raw_Stock_Data!J216)-1</f>
        <v>-5.9953598842723554E-3</v>
      </c>
    </row>
    <row r="218" spans="1:10" x14ac:dyDescent="0.2">
      <c r="A218" s="2">
        <v>44510</v>
      </c>
      <c r="B218" s="4">
        <f>(Raw_Stock_Data!B218/Raw_Stock_Data!B217)-1</f>
        <v>-1.9212933188006431E-2</v>
      </c>
      <c r="C218" s="4">
        <f>(Raw_Stock_Data!C218/Raw_Stock_Data!C217)-1</f>
        <v>-1.5330488122007657E-2</v>
      </c>
      <c r="D218" s="4">
        <f>(Raw_Stock_Data!D218/Raw_Stock_Data!D217)-1</f>
        <v>-3.9085169790604612E-2</v>
      </c>
      <c r="E218" s="4">
        <f>(Raw_Stock_Data!E218/Raw_Stock_Data!E217)-1</f>
        <v>-6.0770883695943967E-2</v>
      </c>
      <c r="F218" s="4">
        <f>(Raw_Stock_Data!F218/Raw_Stock_Data!F217)-1</f>
        <v>-2.6334921593629046E-2</v>
      </c>
      <c r="G218" s="4">
        <f>(Raw_Stock_Data!G218/Raw_Stock_Data!G217)-1</f>
        <v>4.3427412381619623E-2</v>
      </c>
      <c r="H218" s="4">
        <f>(Raw_Stock_Data!H218/Raw_Stock_Data!H217)-1</f>
        <v>-2.0305971155142211E-2</v>
      </c>
      <c r="I218" s="4">
        <f>(Raw_Stock_Data!I218/Raw_Stock_Data!I217)-1</f>
        <v>-2.3049169573903461E-2</v>
      </c>
      <c r="J218" s="4">
        <f>(Raw_Stock_Data!J218/Raw_Stock_Data!J217)-1</f>
        <v>-1.660714038424993E-2</v>
      </c>
    </row>
    <row r="219" spans="1:10" x14ac:dyDescent="0.2">
      <c r="A219" s="2">
        <v>44511</v>
      </c>
      <c r="B219" s="4">
        <f>(Raw_Stock_Data!B219/Raw_Stock_Data!B218)-1</f>
        <v>-3.4512510785167372E-4</v>
      </c>
      <c r="C219" s="4">
        <f>(Raw_Stock_Data!C219/Raw_Stock_Data!C218)-1</f>
        <v>4.9245931385037967E-3</v>
      </c>
      <c r="D219" s="4">
        <f>(Raw_Stock_Data!D219/Raw_Stock_Data!D218)-1</f>
        <v>3.1605472296752701E-2</v>
      </c>
      <c r="E219" s="4">
        <f>(Raw_Stock_Data!E219/Raw_Stock_Data!E218)-1</f>
        <v>4.3897905197683551E-2</v>
      </c>
      <c r="F219" s="4">
        <f>(Raw_Stock_Data!F219/Raw_Stock_Data!F218)-1</f>
        <v>-2.7455012262855849E-3</v>
      </c>
      <c r="G219" s="4">
        <f>(Raw_Stock_Data!G219/Raw_Stock_Data!G218)-1</f>
        <v>-4.1575019031808713E-3</v>
      </c>
      <c r="H219" s="4">
        <f>(Raw_Stock_Data!H219/Raw_Stock_Data!H218)-1</f>
        <v>-8.7365082859236498E-4</v>
      </c>
      <c r="I219" s="4">
        <f>(Raw_Stock_Data!I219/Raw_Stock_Data!I218)-1</f>
        <v>3.0521303870112426E-4</v>
      </c>
      <c r="J219" s="4">
        <f>(Raw_Stock_Data!J219/Raw_Stock_Data!J218)-1</f>
        <v>5.2212452257003328E-3</v>
      </c>
    </row>
    <row r="220" spans="1:10" x14ac:dyDescent="0.2">
      <c r="A220" s="2">
        <v>44512</v>
      </c>
      <c r="B220" s="4">
        <f>(Raw_Stock_Data!B220/Raw_Stock_Data!B219)-1</f>
        <v>1.4396685655100994E-2</v>
      </c>
      <c r="C220" s="4">
        <f>(Raw_Stock_Data!C220/Raw_Stock_Data!C219)-1</f>
        <v>1.2917428015792876E-2</v>
      </c>
      <c r="D220" s="4">
        <f>(Raw_Stock_Data!D220/Raw_Stock_Data!D219)-1</f>
        <v>0</v>
      </c>
      <c r="E220" s="4">
        <f>(Raw_Stock_Data!E220/Raw_Stock_Data!E219)-1</f>
        <v>1.2875830422573786E-2</v>
      </c>
      <c r="F220" s="4">
        <f>(Raw_Stock_Data!F220/Raw_Stock_Data!F219)-1</f>
        <v>1.5164866810655209E-2</v>
      </c>
      <c r="G220" s="4">
        <f>(Raw_Stock_Data!G220/Raw_Stock_Data!G219)-1</f>
        <v>-2.8293131510875758E-2</v>
      </c>
      <c r="H220" s="4">
        <f>(Raw_Stock_Data!H220/Raw_Stock_Data!H219)-1</f>
        <v>1.9973836408702761E-2</v>
      </c>
      <c r="I220" s="4">
        <f>(Raw_Stock_Data!I220/Raw_Stock_Data!I219)-1</f>
        <v>4.0123268444498539E-2</v>
      </c>
      <c r="J220" s="4">
        <f>(Raw_Stock_Data!J220/Raw_Stock_Data!J219)-1</f>
        <v>9.9768980176104805E-3</v>
      </c>
    </row>
    <row r="221" spans="1:10" x14ac:dyDescent="0.2">
      <c r="A221" s="2">
        <v>44515</v>
      </c>
      <c r="B221" s="4">
        <f>(Raw_Stock_Data!B221/Raw_Stock_Data!B220)-1</f>
        <v>6.1261997141182079E-5</v>
      </c>
      <c r="C221" s="4">
        <f>(Raw_Stock_Data!C221/Raw_Stock_Data!C220)-1</f>
        <v>-1.9382388581788978E-3</v>
      </c>
      <c r="D221" s="4">
        <f>(Raw_Stock_Data!D221/Raw_Stock_Data!D220)-1</f>
        <v>-1.2015546039814473E-2</v>
      </c>
      <c r="E221" s="4">
        <f>(Raw_Stock_Data!E221/Raw_Stock_Data!E220)-1</f>
        <v>-9.4664953681788955E-3</v>
      </c>
      <c r="F221" s="4">
        <f>(Raw_Stock_Data!F221/Raw_Stock_Data!F220)-1</f>
        <v>5.8210123795798818E-3</v>
      </c>
      <c r="G221" s="4">
        <f>(Raw_Stock_Data!G221/Raw_Stock_Data!G220)-1</f>
        <v>-1.9380328792096835E-2</v>
      </c>
      <c r="H221" s="4">
        <f>(Raw_Stock_Data!H221/Raw_Stock_Data!H220)-1</f>
        <v>-1.5255736089265781E-3</v>
      </c>
      <c r="I221" s="4">
        <f>(Raw_Stock_Data!I221/Raw_Stock_Data!I220)-1</f>
        <v>1.9566429053360368E-2</v>
      </c>
      <c r="J221" s="4">
        <f>(Raw_Stock_Data!J221/Raw_Stock_Data!J220)-1</f>
        <v>-4.4827047038764611E-4</v>
      </c>
    </row>
    <row r="222" spans="1:10" x14ac:dyDescent="0.2">
      <c r="A222" s="2">
        <v>44516</v>
      </c>
      <c r="B222" s="4">
        <f>(Raw_Stock_Data!B222/Raw_Stock_Data!B221)-1</f>
        <v>6.6907615761064854E-3</v>
      </c>
      <c r="C222" s="4">
        <f>(Raw_Stock_Data!C222/Raw_Stock_Data!C221)-1</f>
        <v>1.0214629551473786E-2</v>
      </c>
      <c r="D222" s="4">
        <f>(Raw_Stock_Data!D222/Raw_Stock_Data!D221)-1</f>
        <v>5.9290251975230301E-3</v>
      </c>
      <c r="E222" s="4">
        <f>(Raw_Stock_Data!E222/Raw_Stock_Data!E221)-1</f>
        <v>4.0685371015086291E-2</v>
      </c>
      <c r="F222" s="4">
        <f>(Raw_Stock_Data!F222/Raw_Stock_Data!F221)-1</f>
        <v>-1.4045260711625929E-3</v>
      </c>
      <c r="G222" s="4">
        <f>(Raw_Stock_Data!G222/Raw_Stock_Data!G221)-1</f>
        <v>4.079373114622098E-2</v>
      </c>
      <c r="H222" s="4">
        <f>(Raw_Stock_Data!H222/Raw_Stock_Data!H221)-1</f>
        <v>-3.8806071054320324E-3</v>
      </c>
      <c r="I222" s="4">
        <f>(Raw_Stock_Data!I222/Raw_Stock_Data!I221)-1</f>
        <v>-1.3235124870526027E-2</v>
      </c>
      <c r="J222" s="4">
        <f>(Raw_Stock_Data!J222/Raw_Stock_Data!J221)-1</f>
        <v>7.5697701189301192E-3</v>
      </c>
    </row>
    <row r="223" spans="1:10" x14ac:dyDescent="0.2">
      <c r="A223" s="2">
        <v>44517</v>
      </c>
      <c r="B223" s="4">
        <f>(Raw_Stock_Data!B223/Raw_Stock_Data!B222)-1</f>
        <v>1.6463604278508681E-2</v>
      </c>
      <c r="C223" s="4">
        <f>(Raw_Stock_Data!C223/Raw_Stock_Data!C222)-1</f>
        <v>6.8418089016164529E-4</v>
      </c>
      <c r="D223" s="4">
        <f>(Raw_Stock_Data!D223/Raw_Stock_Data!D222)-1</f>
        <v>-3.11984848535104E-2</v>
      </c>
      <c r="E223" s="4">
        <f>(Raw_Stock_Data!E223/Raw_Stock_Data!E222)-1</f>
        <v>-7.2810757625449973E-3</v>
      </c>
      <c r="F223" s="4">
        <f>(Raw_Stock_Data!F223/Raw_Stock_Data!F222)-1</f>
        <v>2.3441692320727014E-3</v>
      </c>
      <c r="G223" s="4">
        <f>(Raw_Stock_Data!G223/Raw_Stock_Data!G222)-1</f>
        <v>3.249928180739925E-2</v>
      </c>
      <c r="H223" s="4">
        <f>(Raw_Stock_Data!H223/Raw_Stock_Data!H222)-1</f>
        <v>1.1605730923502922E-3</v>
      </c>
      <c r="I223" s="4">
        <f>(Raw_Stock_Data!I223/Raw_Stock_Data!I222)-1</f>
        <v>-6.3855843247025978E-3</v>
      </c>
      <c r="J223" s="4">
        <f>(Raw_Stock_Data!J223/Raw_Stock_Data!J222)-1</f>
        <v>-3.2734730365735487E-3</v>
      </c>
    </row>
    <row r="224" spans="1:10" x14ac:dyDescent="0.2">
      <c r="A224" s="2">
        <v>44518</v>
      </c>
      <c r="B224" s="4">
        <f>(Raw_Stock_Data!B224/Raw_Stock_Data!B223)-1</f>
        <v>2.8549192813479118E-2</v>
      </c>
      <c r="C224" s="4">
        <f>(Raw_Stock_Data!C224/Raw_Stock_Data!C223)-1</f>
        <v>6.3470358314072772E-3</v>
      </c>
      <c r="D224" s="4">
        <f>(Raw_Stock_Data!D224/Raw_Stock_Data!D223)-1</f>
        <v>8.2524487902411181E-2</v>
      </c>
      <c r="E224" s="4">
        <f>(Raw_Stock_Data!E224/Raw_Stock_Data!E223)-1</f>
        <v>2.4316109422492405E-2</v>
      </c>
      <c r="F224" s="4">
        <f>(Raw_Stock_Data!F224/Raw_Stock_Data!F223)-1</f>
        <v>4.1437024513947707E-2</v>
      </c>
      <c r="G224" s="4">
        <f>(Raw_Stock_Data!G224/Raw_Stock_Data!G223)-1</f>
        <v>6.7685391029825848E-3</v>
      </c>
      <c r="H224" s="4">
        <f>(Raw_Stock_Data!H224/Raw_Stock_Data!H223)-1</f>
        <v>1.2100710450675178E-2</v>
      </c>
      <c r="I224" s="4">
        <f>(Raw_Stock_Data!I224/Raw_Stock_Data!I223)-1</f>
        <v>-6.1038236934002343E-3</v>
      </c>
      <c r="J224" s="4">
        <f>(Raw_Stock_Data!J224/Raw_Stock_Data!J223)-1</f>
        <v>4.5309602005330074E-3</v>
      </c>
    </row>
    <row r="225" spans="1:10" x14ac:dyDescent="0.2">
      <c r="A225" s="2">
        <v>44519</v>
      </c>
      <c r="B225" s="4">
        <f>(Raw_Stock_Data!B225/Raw_Stock_Data!B224)-1</f>
        <v>1.6956715751896612E-2</v>
      </c>
      <c r="C225" s="4">
        <f>(Raw_Stock_Data!C225/Raw_Stock_Data!C224)-1</f>
        <v>5.372077223234184E-3</v>
      </c>
      <c r="D225" s="4">
        <f>(Raw_Stock_Data!D225/Raw_Stock_Data!D224)-1</f>
        <v>4.1342623194501993E-2</v>
      </c>
      <c r="E225" s="4">
        <f>(Raw_Stock_Data!E225/Raw_Stock_Data!E224)-1</f>
        <v>2.5158044123338996E-3</v>
      </c>
      <c r="F225" s="4">
        <f>(Raw_Stock_Data!F225/Raw_Stock_Data!F224)-1</f>
        <v>-5.2704772108677078E-3</v>
      </c>
      <c r="G225" s="4">
        <f>(Raw_Stock_Data!G225/Raw_Stock_Data!G224)-1</f>
        <v>3.7103923822032536E-2</v>
      </c>
      <c r="H225" s="4">
        <f>(Raw_Stock_Data!H225/Raw_Stock_Data!H224)-1</f>
        <v>-6.0885349337226335E-3</v>
      </c>
      <c r="I225" s="4">
        <f>(Raw_Stock_Data!I225/Raw_Stock_Data!I224)-1</f>
        <v>1.9516371903510521E-2</v>
      </c>
      <c r="J225" s="4">
        <f>(Raw_Stock_Data!J225/Raw_Stock_Data!J224)-1</f>
        <v>3.9846914818388868E-3</v>
      </c>
    </row>
    <row r="226" spans="1:10" x14ac:dyDescent="0.2">
      <c r="A226" s="2">
        <v>44522</v>
      </c>
      <c r="B226" s="4">
        <f>(Raw_Stock_Data!B226/Raw_Stock_Data!B225)-1</f>
        <v>2.9316188768273577E-3</v>
      </c>
      <c r="C226" s="4">
        <f>(Raw_Stock_Data!C226/Raw_Stock_Data!C225)-1</f>
        <v>-9.5475027883012986E-3</v>
      </c>
      <c r="D226" s="4">
        <f>(Raw_Stock_Data!D226/Raw_Stock_Data!D225)-1</f>
        <v>-3.117606504302084E-2</v>
      </c>
      <c r="E226" s="4">
        <f>(Raw_Stock_Data!E226/Raw_Stock_Data!E225)-1</f>
        <v>-1.8595971945177148E-2</v>
      </c>
      <c r="F226" s="4">
        <f>(Raw_Stock_Data!F226/Raw_Stock_Data!F225)-1</f>
        <v>-2.8292598012283232E-2</v>
      </c>
      <c r="G226" s="4">
        <f>(Raw_Stock_Data!G226/Raw_Stock_Data!G225)-1</f>
        <v>1.7421244261516478E-2</v>
      </c>
      <c r="H226" s="4">
        <f>(Raw_Stock_Data!H226/Raw_Stock_Data!H225)-1</f>
        <v>-1.7622718818233296E-2</v>
      </c>
      <c r="I226" s="4">
        <f>(Raw_Stock_Data!I226/Raw_Stock_Data!I225)-1</f>
        <v>-1.2423979148566522E-2</v>
      </c>
      <c r="J226" s="4">
        <f>(Raw_Stock_Data!J226/Raw_Stock_Data!J225)-1</f>
        <v>-1.2622186350999876E-2</v>
      </c>
    </row>
    <row r="227" spans="1:10" x14ac:dyDescent="0.2">
      <c r="A227" s="2">
        <v>44523</v>
      </c>
      <c r="B227" s="4">
        <f>(Raw_Stock_Data!B227/Raw_Stock_Data!B226)-1</f>
        <v>2.3714111798722737E-3</v>
      </c>
      <c r="C227" s="4">
        <f>(Raw_Stock_Data!C227/Raw_Stock_Data!C226)-1</f>
        <v>-6.3367950730587319E-3</v>
      </c>
      <c r="D227" s="4">
        <f>(Raw_Stock_Data!D227/Raw_Stock_Data!D226)-1</f>
        <v>-6.5737913565773187E-3</v>
      </c>
      <c r="E227" s="4">
        <f>(Raw_Stock_Data!E227/Raw_Stock_Data!E226)-1</f>
        <v>-1.7046944662995167E-2</v>
      </c>
      <c r="F227" s="4">
        <f>(Raw_Stock_Data!F227/Raw_Stock_Data!F226)-1</f>
        <v>2.0937367042122013E-3</v>
      </c>
      <c r="G227" s="4">
        <f>(Raw_Stock_Data!G227/Raw_Stock_Data!G226)-1</f>
        <v>-4.1351267948229187E-2</v>
      </c>
      <c r="H227" s="4">
        <f>(Raw_Stock_Data!H227/Raw_Stock_Data!H226)-1</f>
        <v>-3.5466101404237893E-3</v>
      </c>
      <c r="I227" s="4">
        <f>(Raw_Stock_Data!I227/Raw_Stock_Data!I226)-1</f>
        <v>-1.1026069616726808E-2</v>
      </c>
      <c r="J227" s="4">
        <f>(Raw_Stock_Data!J227/Raw_Stock_Data!J226)-1</f>
        <v>-5.0218357136910807E-3</v>
      </c>
    </row>
    <row r="228" spans="1:10" x14ac:dyDescent="0.2">
      <c r="A228" s="2">
        <v>44524</v>
      </c>
      <c r="B228" s="4">
        <f>(Raw_Stock_Data!B228/Raw_Stock_Data!B227)-1</f>
        <v>3.2956745062813209E-3</v>
      </c>
      <c r="C228" s="4">
        <f>(Raw_Stock_Data!C228/Raw_Stock_Data!C227)-1</f>
        <v>6.8359760710445805E-4</v>
      </c>
      <c r="D228" s="4">
        <f>(Raw_Stock_Data!D228/Raw_Stock_Data!D227)-1</f>
        <v>2.9208228541134806E-2</v>
      </c>
      <c r="E228" s="4">
        <f>(Raw_Stock_Data!E228/Raw_Stock_Data!E227)-1</f>
        <v>5.2561366061899761E-2</v>
      </c>
      <c r="F228" s="4">
        <f>(Raw_Stock_Data!F228/Raw_Stock_Data!F227)-1</f>
        <v>1.0055753567006498E-4</v>
      </c>
      <c r="G228" s="4">
        <f>(Raw_Stock_Data!G228/Raw_Stock_Data!G227)-1</f>
        <v>6.2838640218352282E-3</v>
      </c>
      <c r="H228" s="4">
        <f>(Raw_Stock_Data!H228/Raw_Stock_Data!H227)-1</f>
        <v>2.3131574599328797E-3</v>
      </c>
      <c r="I228" s="4">
        <f>(Raw_Stock_Data!I228/Raw_Stock_Data!I227)-1</f>
        <v>1.1297257227576019E-2</v>
      </c>
      <c r="J228" s="4">
        <f>(Raw_Stock_Data!J228/Raw_Stock_Data!J227)-1</f>
        <v>4.4430667493284837E-3</v>
      </c>
    </row>
    <row r="229" spans="1:10" x14ac:dyDescent="0.2">
      <c r="A229" s="2">
        <v>44526</v>
      </c>
      <c r="B229" s="4">
        <f>(Raw_Stock_Data!B229/Raw_Stock_Data!B228)-1</f>
        <v>-3.1656862559659937E-2</v>
      </c>
      <c r="C229" s="4">
        <f>(Raw_Stock_Data!C229/Raw_Stock_Data!C228)-1</f>
        <v>-2.4346775319856961E-2</v>
      </c>
      <c r="D229" s="4">
        <f>(Raw_Stock_Data!D229/Raw_Stock_Data!D228)-1</f>
        <v>-3.5826743890137402E-2</v>
      </c>
      <c r="E229" s="4">
        <f>(Raw_Stock_Data!E229/Raw_Stock_Data!E228)-1</f>
        <v>-1.8948035487959536E-2</v>
      </c>
      <c r="F229" s="4">
        <f>(Raw_Stock_Data!F229/Raw_Stock_Data!F228)-1</f>
        <v>-2.1181990839012399E-2</v>
      </c>
      <c r="G229" s="4">
        <f>(Raw_Stock_Data!G229/Raw_Stock_Data!G228)-1</f>
        <v>-3.0537634408602132E-2</v>
      </c>
      <c r="H229" s="4">
        <f>(Raw_Stock_Data!H229/Raw_Stock_Data!H228)-1</f>
        <v>-2.6938293312819606E-2</v>
      </c>
      <c r="I229" s="4">
        <f>(Raw_Stock_Data!I229/Raw_Stock_Data!I228)-1</f>
        <v>-2.328036122676358E-2</v>
      </c>
      <c r="J229" s="4">
        <f>(Raw_Stock_Data!J229/Raw_Stock_Data!J228)-1</f>
        <v>-2.2313970829075935E-2</v>
      </c>
    </row>
    <row r="230" spans="1:10" x14ac:dyDescent="0.2">
      <c r="A230" s="2">
        <v>44529</v>
      </c>
      <c r="B230" s="4">
        <f>(Raw_Stock_Data!B230/Raw_Stock_Data!B229)-1</f>
        <v>2.1948615108147829E-2</v>
      </c>
      <c r="C230" s="4">
        <f>(Raw_Stock_Data!C230/Raw_Stock_Data!C229)-1</f>
        <v>2.108935200888773E-2</v>
      </c>
      <c r="D230" s="4">
        <f>(Raw_Stock_Data!D230/Raw_Stock_Data!D229)-1</f>
        <v>5.9449610135212438E-2</v>
      </c>
      <c r="E230" s="4">
        <f>(Raw_Stock_Data!E230/Raw_Stock_Data!E229)-1</f>
        <v>4.5862670370131031E-2</v>
      </c>
      <c r="F230" s="4">
        <f>(Raw_Stock_Data!F230/Raw_Stock_Data!F229)-1</f>
        <v>1.6270230785034423E-2</v>
      </c>
      <c r="G230" s="4">
        <f>(Raw_Stock_Data!G230/Raw_Stock_Data!G229)-1</f>
        <v>5.09011756876665E-2</v>
      </c>
      <c r="H230" s="4">
        <f>(Raw_Stock_Data!H230/Raw_Stock_Data!H229)-1</f>
        <v>2.3540622573586578E-2</v>
      </c>
      <c r="I230" s="4">
        <f>(Raw_Stock_Data!I230/Raw_Stock_Data!I229)-1</f>
        <v>1.4739433237271671E-2</v>
      </c>
      <c r="J230" s="4">
        <f>(Raw_Stock_Data!J230/Raw_Stock_Data!J229)-1</f>
        <v>1.8795274360526859E-2</v>
      </c>
    </row>
    <row r="231" spans="1:10" x14ac:dyDescent="0.2">
      <c r="A231" s="2">
        <v>44530</v>
      </c>
      <c r="B231" s="4">
        <f>(Raw_Stock_Data!B231/Raw_Stock_Data!B230)-1</f>
        <v>3.1524557681403165E-2</v>
      </c>
      <c r="C231" s="4">
        <f>(Raw_Stock_Data!C231/Raw_Stock_Data!C230)-1</f>
        <v>-1.794748326852047E-2</v>
      </c>
      <c r="D231" s="4">
        <f>(Raw_Stock_Data!D231/Raw_Stock_Data!D230)-1</f>
        <v>-2.0980721148506798E-2</v>
      </c>
      <c r="E231" s="4">
        <f>(Raw_Stock_Data!E231/Raw_Stock_Data!E230)-1</f>
        <v>-2.1863998517694938E-2</v>
      </c>
      <c r="F231" s="4">
        <f>(Raw_Stock_Data!F231/Raw_Stock_Data!F230)-1</f>
        <v>-1.5302197339383095E-2</v>
      </c>
      <c r="G231" s="4">
        <f>(Raw_Stock_Data!G231/Raw_Stock_Data!G230)-1</f>
        <v>6.833827180690033E-3</v>
      </c>
      <c r="H231" s="4">
        <f>(Raw_Stock_Data!H231/Raw_Stock_Data!H230)-1</f>
        <v>-2.4971552705079225E-2</v>
      </c>
      <c r="I231" s="4">
        <f>(Raw_Stock_Data!I231/Raw_Stock_Data!I230)-1</f>
        <v>-4.014436588468473E-2</v>
      </c>
      <c r="J231" s="4">
        <f>(Raw_Stock_Data!J231/Raw_Stock_Data!J230)-1</f>
        <v>-1.5532068710110924E-2</v>
      </c>
    </row>
    <row r="232" spans="1:10" x14ac:dyDescent="0.2">
      <c r="A232" s="2">
        <v>44531</v>
      </c>
      <c r="B232" s="4">
        <f>(Raw_Stock_Data!B232/Raw_Stock_Data!B231)-1</f>
        <v>-3.2055835212007056E-3</v>
      </c>
      <c r="C232" s="4">
        <f>(Raw_Stock_Data!C232/Raw_Stock_Data!C231)-1</f>
        <v>-1.5485592812699567E-3</v>
      </c>
      <c r="D232" s="4">
        <f>(Raw_Stock_Data!D232/Raw_Stock_Data!D231)-1</f>
        <v>-3.7835749740168567E-2</v>
      </c>
      <c r="E232" s="4">
        <f>(Raw_Stock_Data!E232/Raw_Stock_Data!E231)-1</f>
        <v>-5.8470669950116738E-2</v>
      </c>
      <c r="F232" s="4">
        <f>(Raw_Stock_Data!F232/Raw_Stock_Data!F231)-1</f>
        <v>-1.8066311575441696E-2</v>
      </c>
      <c r="G232" s="4">
        <f>(Raw_Stock_Data!G232/Raw_Stock_Data!G231)-1</f>
        <v>-4.3468461975905814E-2</v>
      </c>
      <c r="H232" s="4">
        <f>(Raw_Stock_Data!H232/Raw_Stock_Data!H231)-1</f>
        <v>-5.9554122107168261E-3</v>
      </c>
      <c r="I232" s="4">
        <f>(Raw_Stock_Data!I232/Raw_Stock_Data!I231)-1</f>
        <v>-4.2717130000616277E-2</v>
      </c>
      <c r="J232" s="4">
        <f>(Raw_Stock_Data!J232/Raw_Stock_Data!J231)-1</f>
        <v>-1.8254965828253811E-2</v>
      </c>
    </row>
    <row r="233" spans="1:10" x14ac:dyDescent="0.2">
      <c r="A233" s="2">
        <v>44532</v>
      </c>
      <c r="B233" s="4">
        <f>(Raw_Stock_Data!B233/Raw_Stock_Data!B232)-1</f>
        <v>-6.1467537456779686E-3</v>
      </c>
      <c r="C233" s="4">
        <f>(Raw_Stock_Data!C233/Raw_Stock_Data!C232)-1</f>
        <v>-1.7871795509361021E-3</v>
      </c>
      <c r="D233" s="4">
        <f>(Raw_Stock_Data!D233/Raw_Stock_Data!D232)-1</f>
        <v>2.1989472074230854E-2</v>
      </c>
      <c r="E233" s="4">
        <f>(Raw_Stock_Data!E233/Raw_Stock_Data!E232)-1</f>
        <v>1.052913956139756E-2</v>
      </c>
      <c r="F233" s="4">
        <f>(Raw_Stock_Data!F233/Raw_Stock_Data!F232)-1</f>
        <v>-1.8468400450676326E-3</v>
      </c>
      <c r="G233" s="4">
        <f>(Raw_Stock_Data!G233/Raw_Stock_Data!G232)-1</f>
        <v>-9.4986301369862636E-3</v>
      </c>
      <c r="H233" s="4">
        <f>(Raw_Stock_Data!H233/Raw_Stock_Data!H232)-1</f>
        <v>1.3576012864481735E-2</v>
      </c>
      <c r="I233" s="4">
        <f>(Raw_Stock_Data!I233/Raw_Stock_Data!I232)-1</f>
        <v>-6.761107533806987E-4</v>
      </c>
      <c r="J233" s="4">
        <f>(Raw_Stock_Data!J233/Raw_Stock_Data!J232)-1</f>
        <v>8.3433579934508728E-3</v>
      </c>
    </row>
    <row r="234" spans="1:10" x14ac:dyDescent="0.2">
      <c r="A234" s="2">
        <v>44533</v>
      </c>
      <c r="B234" s="4">
        <f>(Raw_Stock_Data!B234/Raw_Stock_Data!B233)-1</f>
        <v>-1.175230993678078E-2</v>
      </c>
      <c r="C234" s="4">
        <f>(Raw_Stock_Data!C234/Raw_Stock_Data!C233)-1</f>
        <v>-1.9678603566435471E-2</v>
      </c>
      <c r="D234" s="4">
        <f>(Raw_Stock_Data!D234/Raw_Stock_Data!D233)-1</f>
        <v>-4.4613432356508498E-2</v>
      </c>
      <c r="E234" s="4">
        <f>(Raw_Stock_Data!E234/Raw_Stock_Data!E233)-1</f>
        <v>-4.4265994159808919E-2</v>
      </c>
      <c r="F234" s="4">
        <f>(Raw_Stock_Data!F234/Raw_Stock_Data!F233)-1</f>
        <v>-1.3836199874322053E-2</v>
      </c>
      <c r="G234" s="4">
        <f>(Raw_Stock_Data!G234/Raw_Stock_Data!G233)-1</f>
        <v>-6.419884215272198E-2</v>
      </c>
      <c r="H234" s="4">
        <f>(Raw_Stock_Data!H234/Raw_Stock_Data!H233)-1</f>
        <v>-6.7462267462266023E-3</v>
      </c>
      <c r="I234" s="4">
        <f>(Raw_Stock_Data!I234/Raw_Stock_Data!I233)-1</f>
        <v>-1.1437224137375579E-2</v>
      </c>
      <c r="J234" s="4">
        <f>(Raw_Stock_Data!J234/Raw_Stock_Data!J233)-1</f>
        <v>-1.9234370002054413E-2</v>
      </c>
    </row>
    <row r="235" spans="1:10" x14ac:dyDescent="0.2">
      <c r="A235" s="2">
        <v>44536</v>
      </c>
      <c r="B235" s="4">
        <f>(Raw_Stock_Data!B235/Raw_Stock_Data!B234)-1</f>
        <v>2.1550826766934428E-2</v>
      </c>
      <c r="C235" s="4">
        <f>(Raw_Stock_Data!C235/Raw_Stock_Data!C234)-1</f>
        <v>9.8684732928684404E-3</v>
      </c>
      <c r="D235" s="4">
        <f>(Raw_Stock_Data!D235/Raw_Stock_Data!D234)-1</f>
        <v>-2.1382137169412174E-2</v>
      </c>
      <c r="E235" s="4">
        <f>(Raw_Stock_Data!E235/Raw_Stock_Data!E234)-1</f>
        <v>-3.4372613012985109E-2</v>
      </c>
      <c r="F235" s="4">
        <f>(Raw_Stock_Data!F235/Raw_Stock_Data!F234)-1</f>
        <v>1.1080299722697529E-2</v>
      </c>
      <c r="G235" s="4">
        <f>(Raw_Stock_Data!G235/Raw_Stock_Data!G234)-1</f>
        <v>-5.8701300236755349E-3</v>
      </c>
      <c r="H235" s="4">
        <f>(Raw_Stock_Data!H235/Raw_Stock_Data!H234)-1</f>
        <v>8.1278403268099098E-3</v>
      </c>
      <c r="I235" s="4">
        <f>(Raw_Stock_Data!I235/Raw_Stock_Data!I234)-1</f>
        <v>3.5947073393299611E-2</v>
      </c>
      <c r="J235" s="4">
        <f>(Raw_Stock_Data!J235/Raw_Stock_Data!J234)-1</f>
        <v>9.2592408456615427E-3</v>
      </c>
    </row>
    <row r="236" spans="1:10" x14ac:dyDescent="0.2">
      <c r="A236" s="2">
        <v>44537</v>
      </c>
      <c r="B236" s="4">
        <f>(Raw_Stock_Data!B236/Raw_Stock_Data!B235)-1</f>
        <v>3.5429983016828759E-2</v>
      </c>
      <c r="C236" s="4">
        <f>(Raw_Stock_Data!C236/Raw_Stock_Data!C235)-1</f>
        <v>2.675280234503763E-2</v>
      </c>
      <c r="D236" s="4">
        <f>(Raw_Stock_Data!D236/Raw_Stock_Data!D235)-1</f>
        <v>7.9547273503361327E-2</v>
      </c>
      <c r="E236" s="4">
        <f>(Raw_Stock_Data!E236/Raw_Stock_Data!E235)-1</f>
        <v>4.1636703581187984E-2</v>
      </c>
      <c r="F236" s="4">
        <f>(Raw_Stock_Data!F236/Raw_Stock_Data!F235)-1</f>
        <v>2.7986555249521539E-2</v>
      </c>
      <c r="G236" s="4">
        <f>(Raw_Stock_Data!G236/Raw_Stock_Data!G235)-1</f>
        <v>4.2356327136175986E-2</v>
      </c>
      <c r="H236" s="4">
        <f>(Raw_Stock_Data!H236/Raw_Stock_Data!H235)-1</f>
        <v>2.8736881217619192E-2</v>
      </c>
      <c r="I236" s="4">
        <f>(Raw_Stock_Data!I236/Raw_Stock_Data!I235)-1</f>
        <v>1.5540944411237323E-2</v>
      </c>
      <c r="J236" s="4">
        <f>(Raw_Stock_Data!J236/Raw_Stock_Data!J235)-1</f>
        <v>3.0329422041819099E-2</v>
      </c>
    </row>
    <row r="237" spans="1:10" x14ac:dyDescent="0.2">
      <c r="A237" s="2">
        <v>44538</v>
      </c>
      <c r="B237" s="4">
        <f>(Raw_Stock_Data!B237/Raw_Stock_Data!B236)-1</f>
        <v>2.2783934344096979E-2</v>
      </c>
      <c r="C237" s="4">
        <f>(Raw_Stock_Data!C237/Raw_Stock_Data!C236)-1</f>
        <v>1.5009771667662264E-4</v>
      </c>
      <c r="D237" s="4">
        <f>(Raw_Stock_Data!D237/Raw_Stock_Data!D236)-1</f>
        <v>-1.8503302175296388E-2</v>
      </c>
      <c r="E237" s="4">
        <f>(Raw_Stock_Data!E237/Raw_Stock_Data!E236)-1</f>
        <v>2.6924404556438741E-3</v>
      </c>
      <c r="F237" s="4">
        <f>(Raw_Stock_Data!F237/Raw_Stock_Data!F236)-1</f>
        <v>-3.4059172135059157E-5</v>
      </c>
      <c r="G237" s="4">
        <f>(Raw_Stock_Data!G237/Raw_Stock_Data!G236)-1</f>
        <v>1.6364170538788247E-2</v>
      </c>
      <c r="H237" s="4">
        <f>(Raw_Stock_Data!H237/Raw_Stock_Data!H236)-1</f>
        <v>6.2219738581690276E-3</v>
      </c>
      <c r="I237" s="4">
        <f>(Raw_Stock_Data!I237/Raw_Stock_Data!I236)-1</f>
        <v>2.4007930361513052E-2</v>
      </c>
      <c r="J237" s="4">
        <f>(Raw_Stock_Data!J237/Raw_Stock_Data!J236)-1</f>
        <v>6.3791999959201817E-3</v>
      </c>
    </row>
    <row r="238" spans="1:10" x14ac:dyDescent="0.2">
      <c r="A238" s="2">
        <v>44539</v>
      </c>
      <c r="B238" s="4">
        <f>(Raw_Stock_Data!B238/Raw_Stock_Data!B237)-1</f>
        <v>-2.9740730805565274E-3</v>
      </c>
      <c r="C238" s="4">
        <f>(Raw_Stock_Data!C238/Raw_Stock_Data!C237)-1</f>
        <v>-5.5895351650673275E-3</v>
      </c>
      <c r="D238" s="4">
        <f>(Raw_Stock_Data!D238/Raw_Stock_Data!D237)-1</f>
        <v>-4.1987687891834713E-2</v>
      </c>
      <c r="E238" s="4">
        <f>(Raw_Stock_Data!E238/Raw_Stock_Data!E237)-1</f>
        <v>-4.9160011016249117E-2</v>
      </c>
      <c r="F238" s="4">
        <f>(Raw_Stock_Data!F238/Raw_Stock_Data!F237)-1</f>
        <v>-1.1279646680820599E-2</v>
      </c>
      <c r="G238" s="4">
        <f>(Raw_Stock_Data!G238/Raw_Stock_Data!G237)-1</f>
        <v>-6.0956443646160707E-2</v>
      </c>
      <c r="H238" s="4">
        <f>(Raw_Stock_Data!H238/Raw_Stock_Data!H237)-1</f>
        <v>-3.6979092589960461E-3</v>
      </c>
      <c r="I238" s="4">
        <f>(Raw_Stock_Data!I238/Raw_Stock_Data!I237)-1</f>
        <v>-2.2386253630203301E-3</v>
      </c>
      <c r="J238" s="4">
        <f>(Raw_Stock_Data!J238/Raw_Stock_Data!J237)-1</f>
        <v>-1.7078619800227846E-2</v>
      </c>
    </row>
    <row r="239" spans="1:10" x14ac:dyDescent="0.2">
      <c r="A239" s="2">
        <v>44540</v>
      </c>
      <c r="B239" s="4">
        <f>(Raw_Stock_Data!B239/Raw_Stock_Data!B238)-1</f>
        <v>2.8027981189902462E-2</v>
      </c>
      <c r="C239" s="4">
        <f>(Raw_Stock_Data!C239/Raw_Stock_Data!C238)-1</f>
        <v>2.8335766513283955E-2</v>
      </c>
      <c r="D239" s="4">
        <f>(Raw_Stock_Data!D239/Raw_Stock_Data!D238)-1</f>
        <v>-9.5796580101512596E-3</v>
      </c>
      <c r="E239" s="4">
        <f>(Raw_Stock_Data!E239/Raw_Stock_Data!E238)-1</f>
        <v>3.2585083272991255E-3</v>
      </c>
      <c r="F239" s="4">
        <f>(Raw_Stock_Data!F239/Raw_Stock_Data!F238)-1</f>
        <v>-1.1247567046178797E-2</v>
      </c>
      <c r="G239" s="4">
        <f>(Raw_Stock_Data!G239/Raw_Stock_Data!G238)-1</f>
        <v>1.3179916317991536E-2</v>
      </c>
      <c r="H239" s="4">
        <f>(Raw_Stock_Data!H239/Raw_Stock_Data!H238)-1</f>
        <v>2.4608273002277858E-3</v>
      </c>
      <c r="I239" s="4">
        <f>(Raw_Stock_Data!I239/Raw_Stock_Data!I238)-1</f>
        <v>-2.1223697774541694E-4</v>
      </c>
      <c r="J239" s="4">
        <f>(Raw_Stock_Data!J239/Raw_Stock_Data!J238)-1</f>
        <v>7.2969839605552256E-3</v>
      </c>
    </row>
    <row r="240" spans="1:10" x14ac:dyDescent="0.2">
      <c r="A240" s="2">
        <v>44543</v>
      </c>
      <c r="B240" s="4">
        <f>(Raw_Stock_Data!B240/Raw_Stock_Data!B239)-1</f>
        <v>-2.0669761725950808E-2</v>
      </c>
      <c r="C240" s="4">
        <f>(Raw_Stock_Data!C240/Raw_Stock_Data!C239)-1</f>
        <v>-9.1560390322211749E-3</v>
      </c>
      <c r="D240" s="4">
        <f>(Raw_Stock_Data!D240/Raw_Stock_Data!D239)-1</f>
        <v>-6.7464068807445932E-2</v>
      </c>
      <c r="E240" s="4">
        <f>(Raw_Stock_Data!E240/Raw_Stock_Data!E239)-1</f>
        <v>-3.4283652111151253E-2</v>
      </c>
      <c r="F240" s="4">
        <f>(Raw_Stock_Data!F240/Raw_Stock_Data!F239)-1</f>
        <v>-1.5353169349406448E-2</v>
      </c>
      <c r="G240" s="4">
        <f>(Raw_Stock_Data!G240/Raw_Stock_Data!G239)-1</f>
        <v>-4.9771393174242617E-2</v>
      </c>
      <c r="H240" s="4">
        <f>(Raw_Stock_Data!H240/Raw_Stock_Data!H239)-1</f>
        <v>-1.470159425498585E-2</v>
      </c>
      <c r="I240" s="4">
        <f>(Raw_Stock_Data!I240/Raw_Stock_Data!I239)-1</f>
        <v>1.4374526156178957E-2</v>
      </c>
      <c r="J240" s="4">
        <f>(Raw_Stock_Data!J240/Raw_Stock_Data!J239)-1</f>
        <v>-1.390349698667992E-2</v>
      </c>
    </row>
    <row r="241" spans="1:10" x14ac:dyDescent="0.2">
      <c r="A241" s="2">
        <v>44544</v>
      </c>
      <c r="B241" s="4">
        <f>(Raw_Stock_Data!B241/Raw_Stock_Data!B240)-1</f>
        <v>-8.0520069017201434E-3</v>
      </c>
      <c r="C241" s="4">
        <f>(Raw_Stock_Data!C241/Raw_Stock_Data!C240)-1</f>
        <v>-3.2594665997624173E-2</v>
      </c>
      <c r="D241" s="4">
        <f>(Raw_Stock_Data!D241/Raw_Stock_Data!D240)-1</f>
        <v>6.2602262218112159E-3</v>
      </c>
      <c r="E241" s="4">
        <f>(Raw_Stock_Data!E241/Raw_Stock_Data!E240)-1</f>
        <v>1.3452914798206095E-2</v>
      </c>
      <c r="F241" s="4">
        <f>(Raw_Stock_Data!F241/Raw_Stock_Data!F240)-1</f>
        <v>-2.8071334214002652E-3</v>
      </c>
      <c r="G241" s="4">
        <f>(Raw_Stock_Data!G241/Raw_Stock_Data!G240)-1</f>
        <v>-8.1766453403365746E-3</v>
      </c>
      <c r="H241" s="4">
        <f>(Raw_Stock_Data!H241/Raw_Stock_Data!H240)-1</f>
        <v>-1.3152189622777866E-2</v>
      </c>
      <c r="I241" s="4">
        <f>(Raw_Stock_Data!I241/Raw_Stock_Data!I240)-1</f>
        <v>-2.2422194983408028E-3</v>
      </c>
      <c r="J241" s="4">
        <f>(Raw_Stock_Data!J241/Raw_Stock_Data!J240)-1</f>
        <v>-1.1395368150062923E-2</v>
      </c>
    </row>
    <row r="242" spans="1:10" x14ac:dyDescent="0.2">
      <c r="A242" s="2">
        <v>44545</v>
      </c>
      <c r="B242" s="4">
        <f>(Raw_Stock_Data!B242/Raw_Stock_Data!B241)-1</f>
        <v>2.8522065067791091E-2</v>
      </c>
      <c r="C242" s="4">
        <f>(Raw_Stock_Data!C242/Raw_Stock_Data!C241)-1</f>
        <v>1.9225841931270526E-2</v>
      </c>
      <c r="D242" s="4">
        <f>(Raw_Stock_Data!D242/Raw_Stock_Data!D241)-1</f>
        <v>7.4892188052315234E-2</v>
      </c>
      <c r="E242" s="4">
        <f>(Raw_Stock_Data!E242/Raw_Stock_Data!E241)-1</f>
        <v>8.0383480825958697E-2</v>
      </c>
      <c r="F242" s="4">
        <f>(Raw_Stock_Data!F242/Raw_Stock_Data!F241)-1</f>
        <v>2.4974570056537138E-2</v>
      </c>
      <c r="G242" s="4">
        <f>(Raw_Stock_Data!G242/Raw_Stock_Data!G241)-1</f>
        <v>1.8237700428477943E-2</v>
      </c>
      <c r="H242" s="4">
        <f>(Raw_Stock_Data!H242/Raw_Stock_Data!H241)-1</f>
        <v>1.7602588780093242E-2</v>
      </c>
      <c r="I242" s="4">
        <f>(Raw_Stock_Data!I242/Raw_Stock_Data!I241)-1</f>
        <v>2.3731048121292009E-2</v>
      </c>
      <c r="J242" s="4">
        <f>(Raw_Stock_Data!J242/Raw_Stock_Data!J241)-1</f>
        <v>2.1521705460950669E-2</v>
      </c>
    </row>
    <row r="243" spans="1:10" x14ac:dyDescent="0.2">
      <c r="A243" s="2">
        <v>44546</v>
      </c>
      <c r="B243" s="4">
        <f>(Raw_Stock_Data!B243/Raw_Stock_Data!B242)-1</f>
        <v>-3.9239244939213713E-2</v>
      </c>
      <c r="C243" s="4">
        <f>(Raw_Stock_Data!C243/Raw_Stock_Data!C242)-1</f>
        <v>-2.9133237888231078E-2</v>
      </c>
      <c r="D243" s="4">
        <f>(Raw_Stock_Data!D243/Raw_Stock_Data!D242)-1</f>
        <v>-6.8036450094874135E-2</v>
      </c>
      <c r="E243" s="4">
        <f>(Raw_Stock_Data!E243/Raw_Stock_Data!E242)-1</f>
        <v>-5.365187713310593E-2</v>
      </c>
      <c r="F243" s="4">
        <f>(Raw_Stock_Data!F243/Raw_Stock_Data!F242)-1</f>
        <v>-2.5641173585667643E-2</v>
      </c>
      <c r="G243" s="4">
        <f>(Raw_Stock_Data!G243/Raw_Stock_Data!G242)-1</f>
        <v>-5.0278179079703555E-2</v>
      </c>
      <c r="H243" s="4">
        <f>(Raw_Stock_Data!H243/Raw_Stock_Data!H242)-1</f>
        <v>-1.3631503920171095E-2</v>
      </c>
      <c r="I243" s="4">
        <f>(Raw_Stock_Data!I243/Raw_Stock_Data!I242)-1</f>
        <v>-1.9785751917110739E-2</v>
      </c>
      <c r="J243" s="4">
        <f>(Raw_Stock_Data!J243/Raw_Stock_Data!J242)-1</f>
        <v>-2.4743697311632395E-2</v>
      </c>
    </row>
    <row r="244" spans="1:10" x14ac:dyDescent="0.2">
      <c r="A244" s="2">
        <v>44547</v>
      </c>
      <c r="B244" s="4">
        <f>(Raw_Stock_Data!B244/Raw_Stock_Data!B243)-1</f>
        <v>-6.5254498470875832E-3</v>
      </c>
      <c r="C244" s="4">
        <f>(Raw_Stock_Data!C244/Raw_Stock_Data!C243)-1</f>
        <v>-3.3945081594503046E-3</v>
      </c>
      <c r="D244" s="4">
        <f>(Raw_Stock_Data!D244/Raw_Stock_Data!D243)-1</f>
        <v>-2.0652933330510437E-2</v>
      </c>
      <c r="E244" s="4">
        <f>(Raw_Stock_Data!E244/Raw_Stock_Data!E243)-1</f>
        <v>-6.4195037507212005E-3</v>
      </c>
      <c r="F244" s="4">
        <f>(Raw_Stock_Data!F244/Raw_Stock_Data!F243)-1</f>
        <v>6.786245122016199E-3</v>
      </c>
      <c r="G244" s="4">
        <f>(Raw_Stock_Data!G244/Raw_Stock_Data!G243)-1</f>
        <v>6.0976201804041619E-3</v>
      </c>
      <c r="H244" s="4">
        <f>(Raw_Stock_Data!H244/Raw_Stock_Data!H243)-1</f>
        <v>-1.8829513003481124E-2</v>
      </c>
      <c r="I244" s="4">
        <f>(Raw_Stock_Data!I244/Raw_Stock_Data!I243)-1</f>
        <v>-3.3144222155866432E-3</v>
      </c>
      <c r="J244" s="4">
        <f>(Raw_Stock_Data!J244/Raw_Stock_Data!J243)-1</f>
        <v>-7.081485834063983E-4</v>
      </c>
    </row>
    <row r="245" spans="1:10" x14ac:dyDescent="0.2">
      <c r="A245" s="2">
        <v>44550</v>
      </c>
      <c r="B245" s="4">
        <f>(Raw_Stock_Data!B245/Raw_Stock_Data!B244)-1</f>
        <v>-8.1492396628146668E-3</v>
      </c>
      <c r="C245" s="4">
        <f>(Raw_Stock_Data!C245/Raw_Stock_Data!C244)-1</f>
        <v>-1.2011545785503119E-2</v>
      </c>
      <c r="D245" s="4">
        <f>(Raw_Stock_Data!D245/Raw_Stock_Data!D244)-1</f>
        <v>-2.9508728314328048E-3</v>
      </c>
      <c r="E245" s="4">
        <f>(Raw_Stock_Data!E245/Raw_Stock_Data!E244)-1</f>
        <v>-1.4156079854809378E-2</v>
      </c>
      <c r="F245" s="4">
        <f>(Raw_Stock_Data!F245/Raw_Stock_Data!F244)-1</f>
        <v>-1.7280624878688533E-2</v>
      </c>
      <c r="G245" s="4">
        <f>(Raw_Stock_Data!G245/Raw_Stock_Data!G244)-1</f>
        <v>-3.4990365344837016E-2</v>
      </c>
      <c r="H245" s="4">
        <f>(Raw_Stock_Data!H245/Raw_Stock_Data!H244)-1</f>
        <v>-8.2853561640916507E-4</v>
      </c>
      <c r="I245" s="4">
        <f>(Raw_Stock_Data!I245/Raw_Stock_Data!I244)-1</f>
        <v>-2.4985769495790899E-2</v>
      </c>
      <c r="J245" s="4">
        <f>(Raw_Stock_Data!J245/Raw_Stock_Data!J244)-1</f>
        <v>-1.2441923626602569E-2</v>
      </c>
    </row>
    <row r="246" spans="1:10" x14ac:dyDescent="0.2">
      <c r="A246" s="2">
        <v>44551</v>
      </c>
      <c r="B246" s="4">
        <f>(Raw_Stock_Data!B246/Raw_Stock_Data!B245)-1</f>
        <v>1.9157088122605304E-2</v>
      </c>
      <c r="C246" s="4">
        <f>(Raw_Stock_Data!C246/Raw_Stock_Data!C245)-1</f>
        <v>2.3054819736901155E-2</v>
      </c>
      <c r="D246" s="4">
        <f>(Raw_Stock_Data!D246/Raw_Stock_Data!D245)-1</f>
        <v>4.8932879454767653E-2</v>
      </c>
      <c r="E246" s="4">
        <f>(Raw_Stock_Data!E246/Raw_Stock_Data!E245)-1</f>
        <v>6.2223858615611194E-2</v>
      </c>
      <c r="F246" s="4">
        <f>(Raw_Stock_Data!F246/Raw_Stock_Data!F245)-1</f>
        <v>1.9978573010372314E-2</v>
      </c>
      <c r="G246" s="4">
        <f>(Raw_Stock_Data!G246/Raw_Stock_Data!G245)-1</f>
        <v>4.2879525301686705E-2</v>
      </c>
      <c r="H246" s="4">
        <f>(Raw_Stock_Data!H246/Raw_Stock_Data!H245)-1</f>
        <v>1.3168339286726782E-2</v>
      </c>
      <c r="I246" s="4">
        <f>(Raw_Stock_Data!I246/Raw_Stock_Data!I245)-1</f>
        <v>2.6885850361038521E-2</v>
      </c>
      <c r="J246" s="4">
        <f>(Raw_Stock_Data!J246/Raw_Stock_Data!J245)-1</f>
        <v>2.4040547522385047E-2</v>
      </c>
    </row>
    <row r="247" spans="1:10" x14ac:dyDescent="0.2">
      <c r="A247" s="2">
        <v>44552</v>
      </c>
      <c r="B247" s="4">
        <f>(Raw_Stock_Data!B247/Raw_Stock_Data!B246)-1</f>
        <v>1.5285466413285986E-2</v>
      </c>
      <c r="C247" s="4">
        <f>(Raw_Stock_Data!C247/Raw_Stock_Data!C246)-1</f>
        <v>1.8065207782803627E-2</v>
      </c>
      <c r="D247" s="4">
        <f>(Raw_Stock_Data!D247/Raw_Stock_Data!D246)-1</f>
        <v>1.1182807553045793E-2</v>
      </c>
      <c r="E247" s="4">
        <f>(Raw_Stock_Data!E247/Raw_Stock_Data!E246)-1</f>
        <v>-2.564991334488731E-3</v>
      </c>
      <c r="F247" s="4">
        <f>(Raw_Stock_Data!F247/Raw_Stock_Data!F246)-1</f>
        <v>3.6381346931351199E-3</v>
      </c>
      <c r="G247" s="4">
        <f>(Raw_Stock_Data!G247/Raw_Stock_Data!G246)-1</f>
        <v>7.4948136924911202E-2</v>
      </c>
      <c r="H247" s="4">
        <f>(Raw_Stock_Data!H247/Raw_Stock_Data!H246)-1</f>
        <v>2.0510094156162006E-2</v>
      </c>
      <c r="I247" s="4">
        <f>(Raw_Stock_Data!I247/Raw_Stock_Data!I246)-1</f>
        <v>-1.1220825852782723E-2</v>
      </c>
      <c r="J247" s="4">
        <f>(Raw_Stock_Data!J247/Raw_Stock_Data!J246)-1</f>
        <v>1.1785342501738683E-2</v>
      </c>
    </row>
    <row r="248" spans="1:10" x14ac:dyDescent="0.2">
      <c r="A248" s="2">
        <v>44553</v>
      </c>
      <c r="B248" s="4">
        <f>(Raw_Stock_Data!B248/Raw_Stock_Data!B247)-1</f>
        <v>3.6504836309523281E-3</v>
      </c>
      <c r="C248" s="4">
        <f>(Raw_Stock_Data!C248/Raw_Stock_Data!C247)-1</f>
        <v>4.4861965551430405E-3</v>
      </c>
      <c r="D248" s="4">
        <f>(Raw_Stock_Data!D248/Raw_Stock_Data!D247)-1</f>
        <v>8.1631818692868841E-3</v>
      </c>
      <c r="E248" s="4">
        <f>(Raw_Stock_Data!E248/Raw_Stock_Data!E247)-1</f>
        <v>1.5707534056157879E-2</v>
      </c>
      <c r="F248" s="4">
        <f>(Raw_Stock_Data!F248/Raw_Stock_Data!F247)-1</f>
        <v>1.8124733244850866E-4</v>
      </c>
      <c r="G248" s="4">
        <f>(Raw_Stock_Data!G248/Raw_Stock_Data!G247)-1</f>
        <v>5.7619911386006084E-2</v>
      </c>
      <c r="H248" s="4">
        <f>(Raw_Stock_Data!H248/Raw_Stock_Data!H247)-1</f>
        <v>3.427333671496946E-3</v>
      </c>
      <c r="I248" s="4">
        <f>(Raw_Stock_Data!I248/Raw_Stock_Data!I247)-1</f>
        <v>1.4495385080950385E-2</v>
      </c>
      <c r="J248" s="4">
        <f>(Raw_Stock_Data!J248/Raw_Stock_Data!J247)-1</f>
        <v>8.4706179466547127E-3</v>
      </c>
    </row>
    <row r="249" spans="1:10" x14ac:dyDescent="0.2">
      <c r="A249" s="2">
        <v>44557</v>
      </c>
      <c r="B249" s="4">
        <f>(Raw_Stock_Data!B249/Raw_Stock_Data!B248)-1</f>
        <v>2.2993165759295664E-2</v>
      </c>
      <c r="C249" s="4">
        <f>(Raw_Stock_Data!C249/Raw_Stock_Data!C248)-1</f>
        <v>2.3170698063642137E-2</v>
      </c>
      <c r="D249" s="4">
        <f>(Raw_Stock_Data!D249/Raw_Stock_Data!D248)-1</f>
        <v>4.4037187108198594E-2</v>
      </c>
      <c r="E249" s="4">
        <f>(Raw_Stock_Data!E249/Raw_Stock_Data!E248)-1</f>
        <v>5.6247433967428595E-2</v>
      </c>
      <c r="F249" s="4">
        <f>(Raw_Stock_Data!F249/Raw_Stock_Data!F248)-1</f>
        <v>-8.1721888371877327E-3</v>
      </c>
      <c r="G249" s="4">
        <f>(Raw_Stock_Data!G249/Raw_Stock_Data!G248)-1</f>
        <v>2.5248336224614754E-2</v>
      </c>
      <c r="H249" s="4">
        <f>(Raw_Stock_Data!H249/Raw_Stock_Data!H248)-1</f>
        <v>6.7287855396007679E-3</v>
      </c>
      <c r="I249" s="4">
        <f>(Raw_Stock_Data!I249/Raw_Stock_Data!I248)-1</f>
        <v>3.2633337310583377E-2</v>
      </c>
      <c r="J249" s="4">
        <f>(Raw_Stock_Data!J249/Raw_Stock_Data!J248)-1</f>
        <v>1.3919686303971668E-2</v>
      </c>
    </row>
    <row r="250" spans="1:10" x14ac:dyDescent="0.2">
      <c r="A250" s="2">
        <v>44558</v>
      </c>
      <c r="B250" s="4">
        <f>(Raw_Stock_Data!B250/Raw_Stock_Data!B249)-1</f>
        <v>-5.7974296552114613E-3</v>
      </c>
      <c r="C250" s="4">
        <f>(Raw_Stock_Data!C250/Raw_Stock_Data!C249)-1</f>
        <v>-3.4872225051680861E-3</v>
      </c>
      <c r="D250" s="4">
        <f>(Raw_Stock_Data!D250/Raw_Stock_Data!D249)-1</f>
        <v>-2.0139832977277172E-2</v>
      </c>
      <c r="E250" s="4">
        <f>(Raw_Stock_Data!E250/Raw_Stock_Data!E249)-1</f>
        <v>-7.8388183467219541E-3</v>
      </c>
      <c r="F250" s="4">
        <f>(Raw_Stock_Data!F250/Raw_Stock_Data!F249)-1</f>
        <v>5.8407496905759082E-3</v>
      </c>
      <c r="G250" s="4">
        <f>(Raw_Stock_Data!G250/Raw_Stock_Data!G249)-1</f>
        <v>-5.0020979193576842E-3</v>
      </c>
      <c r="H250" s="4">
        <f>(Raw_Stock_Data!H250/Raw_Stock_Data!H249)-1</f>
        <v>-8.2377129828798967E-3</v>
      </c>
      <c r="I250" s="4">
        <f>(Raw_Stock_Data!I250/Raw_Stock_Data!I249)-1</f>
        <v>1.1554682535108718E-4</v>
      </c>
      <c r="J250" s="4">
        <f>(Raw_Stock_Data!J250/Raw_Stock_Data!J249)-1</f>
        <v>-5.6416440786680733E-3</v>
      </c>
    </row>
    <row r="251" spans="1:10" x14ac:dyDescent="0.2">
      <c r="A251" s="2">
        <v>44559</v>
      </c>
      <c r="B251" s="4">
        <f>(Raw_Stock_Data!B251/Raw_Stock_Data!B250)-1</f>
        <v>5.0112182955031059E-4</v>
      </c>
      <c r="C251" s="4">
        <f>(Raw_Stock_Data!C251/Raw_Stock_Data!C250)-1</f>
        <v>2.0323125672678799E-3</v>
      </c>
      <c r="D251" s="4">
        <f>(Raw_Stock_Data!D251/Raw_Stock_Data!D250)-1</f>
        <v>-1.0590714790663203E-2</v>
      </c>
      <c r="E251" s="4">
        <f>(Raw_Stock_Data!E251/Raw_Stock_Data!E250)-1</f>
        <v>-3.19294809010775E-2</v>
      </c>
      <c r="F251" s="4">
        <f>(Raw_Stock_Data!F251/Raw_Stock_Data!F250)-1</f>
        <v>-8.5549715517898584E-3</v>
      </c>
      <c r="G251" s="4">
        <f>(Raw_Stock_Data!G251/Raw_Stock_Data!G250)-1</f>
        <v>-2.0946852873163779E-3</v>
      </c>
      <c r="H251" s="4">
        <f>(Raw_Stock_Data!H251/Raw_Stock_Data!H250)-1</f>
        <v>-2.1210068624843981E-4</v>
      </c>
      <c r="I251" s="4">
        <f>(Raw_Stock_Data!I251/Raw_Stock_Data!I250)-1</f>
        <v>-9.4737450176188842E-3</v>
      </c>
      <c r="J251" s="4">
        <f>(Raw_Stock_Data!J251/Raw_Stock_Data!J250)-1</f>
        <v>-9.8214896728621159E-4</v>
      </c>
    </row>
    <row r="252" spans="1:10" x14ac:dyDescent="0.2">
      <c r="A252" s="2">
        <v>44560</v>
      </c>
      <c r="B252" s="4">
        <f>(Raw_Stock_Data!B252/Raw_Stock_Data!B251)-1</f>
        <v>-6.5853131011871513E-3</v>
      </c>
      <c r="C252" s="4">
        <f>(Raw_Stock_Data!C252/Raw_Stock_Data!C251)-1</f>
        <v>-7.6777217058404679E-3</v>
      </c>
      <c r="D252" s="4">
        <f>(Raw_Stock_Data!D252/Raw_Stock_Data!D251)-1</f>
        <v>-1.3832500868078745E-2</v>
      </c>
      <c r="E252" s="4">
        <f>(Raw_Stock_Data!E252/Raw_Stock_Data!E251)-1</f>
        <v>-2.0976662619721975E-2</v>
      </c>
      <c r="F252" s="4">
        <f>(Raw_Stock_Data!F252/Raw_Stock_Data!F251)-1</f>
        <v>-3.2919427190145623E-3</v>
      </c>
      <c r="G252" s="4">
        <f>(Raw_Stock_Data!G252/Raw_Stock_Data!G251)-1</f>
        <v>-1.4591383267552938E-2</v>
      </c>
      <c r="H252" s="4">
        <f>(Raw_Stock_Data!H252/Raw_Stock_Data!H251)-1</f>
        <v>-3.1137511462711043E-3</v>
      </c>
      <c r="I252" s="4">
        <f>(Raw_Stock_Data!I252/Raw_Stock_Data!I251)-1</f>
        <v>4.1406660057152767E-3</v>
      </c>
      <c r="J252" s="4">
        <f>(Raw_Stock_Data!J252/Raw_Stock_Data!J251)-1</f>
        <v>-1.5641035073721277E-3</v>
      </c>
    </row>
    <row r="253" spans="1:10" x14ac:dyDescent="0.2">
      <c r="A253" s="2">
        <v>44561</v>
      </c>
      <c r="B253" s="4">
        <f>(Raw_Stock_Data!B253/Raw_Stock_Data!B252)-1</f>
        <v>-3.5465259515173875E-3</v>
      </c>
      <c r="C253" s="4">
        <f>(Raw_Stock_Data!C253/Raw_Stock_Data!C252)-1</f>
        <v>-8.8316306014034618E-3</v>
      </c>
      <c r="D253" s="4">
        <f>(Raw_Stock_Data!D253/Raw_Stock_Data!D252)-1</f>
        <v>-5.9112499957679754E-3</v>
      </c>
      <c r="E253" s="4">
        <f>(Raw_Stock_Data!E253/Raw_Stock_Data!E252)-1</f>
        <v>-8.6117809162934433E-3</v>
      </c>
      <c r="F253" s="4">
        <f>(Raw_Stock_Data!F253/Raw_Stock_Data!F252)-1</f>
        <v>-1.1426436754346403E-2</v>
      </c>
      <c r="G253" s="4">
        <f>(Raw_Stock_Data!G253/Raw_Stock_Data!G252)-1</f>
        <v>-1.2668871573518592E-2</v>
      </c>
      <c r="H253" s="4">
        <f>(Raw_Stock_Data!H253/Raw_Stock_Data!H252)-1</f>
        <v>-9.2125405880373323E-3</v>
      </c>
      <c r="I253" s="4">
        <f>(Raw_Stock_Data!I253/Raw_Stock_Data!I252)-1</f>
        <v>-2.3260541293994574E-2</v>
      </c>
      <c r="J253" s="4">
        <f>(Raw_Stock_Data!J253/Raw_Stock_Data!J252)-1</f>
        <v>-6.1359865223015175E-3</v>
      </c>
    </row>
    <row r="254" spans="1:10" x14ac:dyDescent="0.2">
      <c r="A254" s="2">
        <v>44564</v>
      </c>
      <c r="B254" s="4">
        <f>(Raw_Stock_Data!B254/Raw_Stock_Data!B253)-1</f>
        <v>2.5011787164065824E-2</v>
      </c>
      <c r="C254" s="4">
        <f>(Raw_Stock_Data!C254/Raw_Stock_Data!C253)-1</f>
        <v>-4.6793686817846458E-3</v>
      </c>
      <c r="D254" s="4">
        <f>(Raw_Stock_Data!D254/Raw_Stock_Data!D253)-1</f>
        <v>2.4139798312802441E-2</v>
      </c>
      <c r="E254" s="4">
        <f>(Raw_Stock_Data!E254/Raw_Stock_Data!E253)-1</f>
        <v>4.4058373870743628E-2</v>
      </c>
      <c r="F254" s="4">
        <f>(Raw_Stock_Data!F254/Raw_Stock_Data!F253)-1</f>
        <v>2.2115321173005631E-2</v>
      </c>
      <c r="G254" s="4">
        <f>(Raw_Stock_Data!G254/Raw_Stock_Data!G253)-1</f>
        <v>0.13531766308976323</v>
      </c>
      <c r="H254" s="4">
        <f>(Raw_Stock_Data!H254/Raw_Stock_Data!H253)-1</f>
        <v>9.630774134095077E-4</v>
      </c>
      <c r="I254" s="4">
        <f>(Raw_Stock_Data!I254/Raw_Stock_Data!I253)-1</f>
        <v>6.511074773301706E-3</v>
      </c>
      <c r="J254" s="4">
        <f>(Raw_Stock_Data!J254/Raw_Stock_Data!J253)-1</f>
        <v>1.2005775658246787E-2</v>
      </c>
    </row>
    <row r="255" spans="1:10" x14ac:dyDescent="0.2">
      <c r="A255" s="2">
        <v>44565</v>
      </c>
      <c r="B255" s="4">
        <f>(Raw_Stock_Data!B255/Raw_Stock_Data!B254)-1</f>
        <v>-1.2660713083671782E-2</v>
      </c>
      <c r="C255" s="4">
        <f>(Raw_Stock_Data!C255/Raw_Stock_Data!C254)-1</f>
        <v>-1.7150492816162433E-2</v>
      </c>
      <c r="D255" s="4">
        <f>(Raw_Stock_Data!D255/Raw_Stock_Data!D254)-1</f>
        <v>-2.7594600796113311E-2</v>
      </c>
      <c r="E255" s="4">
        <f>(Raw_Stock_Data!E255/Raw_Stock_Data!E254)-1</f>
        <v>-3.8738019169329174E-2</v>
      </c>
      <c r="F255" s="4">
        <f>(Raw_Stock_Data!F255/Raw_Stock_Data!F254)-1</f>
        <v>-1.6912748527029953E-2</v>
      </c>
      <c r="G255" s="4">
        <f>(Raw_Stock_Data!G255/Raw_Stock_Data!G254)-1</f>
        <v>-4.183263445578822E-2</v>
      </c>
      <c r="H255" s="4">
        <f>(Raw_Stock_Data!H255/Raw_Stock_Data!H254)-1</f>
        <v>-4.0839493867154131E-3</v>
      </c>
      <c r="I255" s="4">
        <f>(Raw_Stock_Data!I255/Raw_Stock_Data!I254)-1</f>
        <v>-5.9372599988185559E-3</v>
      </c>
      <c r="J255" s="4">
        <f>(Raw_Stock_Data!J255/Raw_Stock_Data!J254)-1</f>
        <v>-1.326865747056738E-2</v>
      </c>
    </row>
    <row r="256" spans="1:10" x14ac:dyDescent="0.2">
      <c r="A256" s="2">
        <v>44566</v>
      </c>
      <c r="B256" s="4">
        <f>(Raw_Stock_Data!B256/Raw_Stock_Data!B255)-1</f>
        <v>-2.6617654578407035E-2</v>
      </c>
      <c r="C256" s="4">
        <f>(Raw_Stock_Data!C256/Raw_Stock_Data!C255)-1</f>
        <v>-3.8373267808364364E-2</v>
      </c>
      <c r="D256" s="4">
        <f>(Raw_Stock_Data!D256/Raw_Stock_Data!D255)-1</f>
        <v>-5.7576099557817173E-2</v>
      </c>
      <c r="E256" s="4">
        <f>(Raw_Stock_Data!E256/Raw_Stock_Data!E255)-1</f>
        <v>-5.7263536906245527E-2</v>
      </c>
      <c r="F256" s="4">
        <f>(Raw_Stock_Data!F256/Raw_Stock_Data!F255)-1</f>
        <v>-1.8893040914029102E-2</v>
      </c>
      <c r="G256" s="4">
        <f>(Raw_Stock_Data!G256/Raw_Stock_Data!G255)-1</f>
        <v>-5.3471191058385159E-2</v>
      </c>
      <c r="H256" s="4">
        <f>(Raw_Stock_Data!H256/Raw_Stock_Data!H255)-1</f>
        <v>-4.5872197278249538E-2</v>
      </c>
      <c r="I256" s="4">
        <f>(Raw_Stock_Data!I256/Raw_Stock_Data!I255)-1</f>
        <v>-3.6727780584197456E-2</v>
      </c>
      <c r="J256" s="4">
        <f>(Raw_Stock_Data!J256/Raw_Stock_Data!J255)-1</f>
        <v>-3.3448080743942121E-2</v>
      </c>
    </row>
    <row r="257" spans="1:10" x14ac:dyDescent="0.2">
      <c r="A257" s="2">
        <v>44567</v>
      </c>
      <c r="B257" s="4">
        <f>(Raw_Stock_Data!B257/Raw_Stock_Data!B256)-1</f>
        <v>-1.6687484678332476E-2</v>
      </c>
      <c r="C257" s="4">
        <f>(Raw_Stock_Data!C257/Raw_Stock_Data!C256)-1</f>
        <v>-7.9251327881292299E-3</v>
      </c>
      <c r="D257" s="4">
        <f>(Raw_Stock_Data!D257/Raw_Stock_Data!D256)-1</f>
        <v>2.0803622943859512E-2</v>
      </c>
      <c r="E257" s="4">
        <f>(Raw_Stock_Data!E257/Raw_Stock_Data!E256)-1</f>
        <v>5.8758721997786978E-4</v>
      </c>
      <c r="F257" s="4">
        <f>(Raw_Stock_Data!F257/Raw_Stock_Data!F256)-1</f>
        <v>-6.711001052586818E-3</v>
      </c>
      <c r="G257" s="4">
        <f>(Raw_Stock_Data!G257/Raw_Stock_Data!G256)-1</f>
        <v>-2.1524260629102843E-2</v>
      </c>
      <c r="H257" s="4">
        <f>(Raw_Stock_Data!H257/Raw_Stock_Data!H256)-1</f>
        <v>-1.9668118708016102E-4</v>
      </c>
      <c r="I257" s="4">
        <f>(Raw_Stock_Data!I257/Raw_Stock_Data!I256)-1</f>
        <v>2.5573001820032637E-2</v>
      </c>
      <c r="J257" s="4">
        <f>(Raw_Stock_Data!J257/Raw_Stock_Data!J256)-1</f>
        <v>-1.2781313058064514E-3</v>
      </c>
    </row>
    <row r="258" spans="1:10" x14ac:dyDescent="0.2">
      <c r="A258" s="2">
        <v>44568</v>
      </c>
      <c r="B258" s="4">
        <f>(Raw_Stock_Data!B258/Raw_Stock_Data!B257)-1</f>
        <v>9.9722794375156631E-4</v>
      </c>
      <c r="C258" s="4">
        <f>(Raw_Stock_Data!C258/Raw_Stock_Data!C257)-1</f>
        <v>5.1643775617615795E-4</v>
      </c>
      <c r="D258" s="4">
        <f>(Raw_Stock_Data!D258/Raw_Stock_Data!D257)-1</f>
        <v>-3.3045394760228941E-2</v>
      </c>
      <c r="E258" s="4">
        <f>(Raw_Stock_Data!E258/Raw_Stock_Data!E257)-1</f>
        <v>-3.1050429420832359E-2</v>
      </c>
      <c r="F258" s="4">
        <f>(Raw_Stock_Data!F258/Raw_Stock_Data!F257)-1</f>
        <v>-4.2877969299373042E-3</v>
      </c>
      <c r="G258" s="4">
        <f>(Raw_Stock_Data!G258/Raw_Stock_Data!G257)-1</f>
        <v>-3.5446604677373816E-2</v>
      </c>
      <c r="H258" s="4">
        <f>(Raw_Stock_Data!H258/Raw_Stock_Data!H257)-1</f>
        <v>-5.3041507894296958E-3</v>
      </c>
      <c r="I258" s="4">
        <f>(Raw_Stock_Data!I258/Raw_Stock_Data!I257)-1</f>
        <v>-2.015280033688116E-3</v>
      </c>
      <c r="J258" s="4">
        <f>(Raw_Stock_Data!J258/Raw_Stock_Data!J257)-1</f>
        <v>-9.6128406385043164E-3</v>
      </c>
    </row>
    <row r="259" spans="1:10" x14ac:dyDescent="0.2">
      <c r="A259" s="2">
        <v>44571</v>
      </c>
      <c r="B259" s="4">
        <f>(Raw_Stock_Data!B259/Raw_Stock_Data!B258)-1</f>
        <v>1.1859934177360643E-4</v>
      </c>
      <c r="C259" s="4">
        <f>(Raw_Stock_Data!C259/Raw_Stock_Data!C258)-1</f>
        <v>7.3178699771303535E-4</v>
      </c>
      <c r="D259" s="4">
        <f>(Raw_Stock_Data!D259/Raw_Stock_Data!D258)-1</f>
        <v>5.6210342114744183E-3</v>
      </c>
      <c r="E259" s="4">
        <f>(Raw_Stock_Data!E259/Raw_Stock_Data!E258)-1</f>
        <v>0</v>
      </c>
      <c r="F259" s="4">
        <f>(Raw_Stock_Data!F259/Raw_Stock_Data!F258)-1</f>
        <v>-6.570124389433718E-3</v>
      </c>
      <c r="G259" s="4">
        <f>(Raw_Stock_Data!G259/Raw_Stock_Data!G258)-1</f>
        <v>3.0342953961205898E-2</v>
      </c>
      <c r="H259" s="4">
        <f>(Raw_Stock_Data!H259/Raw_Stock_Data!H258)-1</f>
        <v>1.2056576547541553E-2</v>
      </c>
      <c r="I259" s="4">
        <f>(Raw_Stock_Data!I259/Raw_Stock_Data!I258)-1</f>
        <v>-1.1211911148618192E-2</v>
      </c>
      <c r="J259" s="4">
        <f>(Raw_Stock_Data!J259/Raw_Stock_Data!J258)-1</f>
        <v>4.6398275296444247E-4</v>
      </c>
    </row>
    <row r="260" spans="1:10" x14ac:dyDescent="0.2">
      <c r="A260" s="2">
        <v>44572</v>
      </c>
      <c r="B260" s="4">
        <f>(Raw_Stock_Data!B260/Raw_Stock_Data!B259)-1</f>
        <v>1.6762028994100397E-2</v>
      </c>
      <c r="C260" s="4">
        <f>(Raw_Stock_Data!C260/Raw_Stock_Data!C259)-1</f>
        <v>2.26557501207858E-3</v>
      </c>
      <c r="D260" s="4">
        <f>(Raw_Stock_Data!D260/Raw_Stock_Data!D259)-1</f>
        <v>1.5215158128703665E-2</v>
      </c>
      <c r="E260" s="4">
        <f>(Raw_Stock_Data!E260/Raw_Stock_Data!E259)-1</f>
        <v>4.0227272727272778E-2</v>
      </c>
      <c r="F260" s="4">
        <f>(Raw_Stock_Data!F260/Raw_Stock_Data!F259)-1</f>
        <v>2.400208067572418E-2</v>
      </c>
      <c r="G260" s="4">
        <f>(Raw_Stock_Data!G260/Raw_Stock_Data!G259)-1</f>
        <v>5.934103944633895E-3</v>
      </c>
      <c r="H260" s="4">
        <f>(Raw_Stock_Data!H260/Raw_Stock_Data!H259)-1</f>
        <v>7.6862393156205133E-3</v>
      </c>
      <c r="I260" s="4">
        <f>(Raw_Stock_Data!I260/Raw_Stock_Data!I259)-1</f>
        <v>1.9203218825250667E-2</v>
      </c>
      <c r="J260" s="4">
        <f>(Raw_Stock_Data!J260/Raw_Stock_Data!J259)-1</f>
        <v>1.4095054283559394E-2</v>
      </c>
    </row>
    <row r="261" spans="1:10" x14ac:dyDescent="0.2">
      <c r="A261" s="2">
        <v>44573</v>
      </c>
      <c r="B261" s="4">
        <f>(Raw_Stock_Data!B261/Raw_Stock_Data!B260)-1</f>
        <v>2.5716984873047632E-3</v>
      </c>
      <c r="C261" s="4">
        <f>(Raw_Stock_Data!C261/Raw_Stock_Data!C260)-1</f>
        <v>1.0432613071546415E-2</v>
      </c>
      <c r="D261" s="4">
        <f>(Raw_Stock_Data!D261/Raw_Stock_Data!D260)-1</f>
        <v>6.5429142435318166E-3</v>
      </c>
      <c r="E261" s="4">
        <f>(Raw_Stock_Data!E261/Raw_Stock_Data!E260)-1</f>
        <v>1.1652465224674113E-3</v>
      </c>
      <c r="F261" s="4">
        <f>(Raw_Stock_Data!F261/Raw_Stock_Data!F260)-1</f>
        <v>-9.373374777760235E-4</v>
      </c>
      <c r="G261" s="4">
        <f>(Raw_Stock_Data!G261/Raw_Stock_Data!G260)-1</f>
        <v>3.9289740698985387E-2</v>
      </c>
      <c r="H261" s="4">
        <f>(Raw_Stock_Data!H261/Raw_Stock_Data!H260)-1</f>
        <v>1.2123736811486152E-2</v>
      </c>
      <c r="I261" s="4">
        <f>(Raw_Stock_Data!I261/Raw_Stock_Data!I260)-1</f>
        <v>-3.3196758082364441E-3</v>
      </c>
      <c r="J261" s="4">
        <f>(Raw_Stock_Data!J261/Raw_Stock_Data!J260)-1</f>
        <v>2.3057455562924822E-3</v>
      </c>
    </row>
    <row r="262" spans="1:10" x14ac:dyDescent="0.2">
      <c r="A262" s="2">
        <v>44574</v>
      </c>
      <c r="B262" s="4">
        <f>(Raw_Stock_Data!B262/Raw_Stock_Data!B261)-1</f>
        <v>-1.9008509623494207E-2</v>
      </c>
      <c r="C262" s="4">
        <f>(Raw_Stock_Data!C262/Raw_Stock_Data!C261)-1</f>
        <v>-4.2318218302435984E-2</v>
      </c>
      <c r="D262" s="4">
        <f>(Raw_Stock_Data!D262/Raw_Stock_Data!D261)-1</f>
        <v>-5.0861828407066434E-2</v>
      </c>
      <c r="E262" s="4">
        <f>(Raw_Stock_Data!E262/Raw_Stock_Data!E261)-1</f>
        <v>-3.4407507092456435E-2</v>
      </c>
      <c r="F262" s="4">
        <f>(Raw_Stock_Data!F262/Raw_Stock_Data!F261)-1</f>
        <v>-2.4169678040276699E-2</v>
      </c>
      <c r="G262" s="4">
        <f>(Raw_Stock_Data!G262/Raw_Stock_Data!G261)-1</f>
        <v>-6.7491999783044987E-2</v>
      </c>
      <c r="H262" s="4">
        <f>(Raw_Stock_Data!H262/Raw_Stock_Data!H261)-1</f>
        <v>-2.0096651267749732E-2</v>
      </c>
      <c r="I262" s="4">
        <f>(Raw_Stock_Data!I262/Raw_Stock_Data!I261)-1</f>
        <v>-2.0344475784672578E-2</v>
      </c>
      <c r="J262" s="4">
        <f>(Raw_Stock_Data!J262/Raw_Stock_Data!J261)-1</f>
        <v>-2.5123136817002956E-2</v>
      </c>
    </row>
    <row r="263" spans="1:10" x14ac:dyDescent="0.2">
      <c r="A263" s="2">
        <v>44575</v>
      </c>
      <c r="B263" s="4">
        <f>(Raw_Stock_Data!B263/Raw_Stock_Data!B262)-1</f>
        <v>5.1347425217158627E-3</v>
      </c>
      <c r="C263" s="4">
        <f>(Raw_Stock_Data!C263/Raw_Stock_Data!C262)-1</f>
        <v>1.7728455399487641E-2</v>
      </c>
      <c r="D263" s="4">
        <f>(Raw_Stock_Data!D263/Raw_Stock_Data!D262)-1</f>
        <v>1.3802981474152265E-2</v>
      </c>
      <c r="E263" s="4">
        <f>(Raw_Stock_Data!E263/Raw_Stock_Data!E262)-1</f>
        <v>3.1188790116016163E-2</v>
      </c>
      <c r="F263" s="4">
        <f>(Raw_Stock_Data!F263/Raw_Stock_Data!F262)-1</f>
        <v>5.731512151550211E-3</v>
      </c>
      <c r="G263" s="4">
        <f>(Raw_Stock_Data!G263/Raw_Stock_Data!G262)-1</f>
        <v>1.7498756736163301E-2</v>
      </c>
      <c r="H263" s="4">
        <f>(Raw_Stock_Data!H263/Raw_Stock_Data!H262)-1</f>
        <v>6.4379702651227166E-3</v>
      </c>
      <c r="I263" s="4">
        <f>(Raw_Stock_Data!I263/Raw_Stock_Data!I262)-1</f>
        <v>1.6601323205096774E-2</v>
      </c>
      <c r="J263" s="4">
        <f>(Raw_Stock_Data!J263/Raw_Stock_Data!J262)-1</f>
        <v>5.8716225844730463E-3</v>
      </c>
    </row>
    <row r="264" spans="1:10" x14ac:dyDescent="0.2">
      <c r="A264" s="2">
        <v>44579</v>
      </c>
      <c r="B264" s="4">
        <f>(Raw_Stock_Data!B264/Raw_Stock_Data!B263)-1</f>
        <v>-1.8965201951380517E-2</v>
      </c>
      <c r="C264" s="4">
        <f>(Raw_Stock_Data!C264/Raw_Stock_Data!C263)-1</f>
        <v>-2.4328614896150236E-2</v>
      </c>
      <c r="D264" s="4">
        <f>(Raw_Stock_Data!D264/Raw_Stock_Data!D263)-1</f>
        <v>-3.8528890161246609E-2</v>
      </c>
      <c r="E264" s="4">
        <f>(Raw_Stock_Data!E264/Raw_Stock_Data!E263)-1</f>
        <v>-3.6163062536528234E-2</v>
      </c>
      <c r="F264" s="4">
        <f>(Raw_Stock_Data!F264/Raw_Stock_Data!F263)-1</f>
        <v>-1.9859625750903498E-2</v>
      </c>
      <c r="G264" s="4">
        <f>(Raw_Stock_Data!G264/Raw_Stock_Data!G263)-1</f>
        <v>-1.819818789836225E-2</v>
      </c>
      <c r="H264" s="4">
        <f>(Raw_Stock_Data!H264/Raw_Stock_Data!H263)-1</f>
        <v>-2.4961144370250987E-2</v>
      </c>
      <c r="I264" s="4">
        <f>(Raw_Stock_Data!I264/Raw_Stock_Data!I263)-1</f>
        <v>-4.142814100632719E-2</v>
      </c>
      <c r="J264" s="4">
        <f>(Raw_Stock_Data!J264/Raw_Stock_Data!J263)-1</f>
        <v>-2.5973982375157356E-2</v>
      </c>
    </row>
    <row r="265" spans="1:10" x14ac:dyDescent="0.2">
      <c r="A265" s="2">
        <v>44580</v>
      </c>
      <c r="B265" s="4">
        <f>(Raw_Stock_Data!B265/Raw_Stock_Data!B264)-1</f>
        <v>-2.0967373396029165E-2</v>
      </c>
      <c r="C265" s="4">
        <f>(Raw_Stock_Data!C265/Raw_Stock_Data!C264)-1</f>
        <v>2.2135293080769447E-3</v>
      </c>
      <c r="D265" s="4">
        <f>(Raw_Stock_Data!D265/Raw_Stock_Data!D264)-1</f>
        <v>-3.2281016534933649E-2</v>
      </c>
      <c r="E265" s="4">
        <f>(Raw_Stock_Data!E265/Raw_Stock_Data!E264)-1</f>
        <v>-2.7741984385659002E-2</v>
      </c>
      <c r="F265" s="4">
        <f>(Raw_Stock_Data!F265/Raw_Stock_Data!F264)-1</f>
        <v>-1.6480197334474367E-2</v>
      </c>
      <c r="G265" s="4">
        <f>(Raw_Stock_Data!G265/Raw_Stock_Data!G264)-1</f>
        <v>-3.3827943278515793E-2</v>
      </c>
      <c r="H265" s="4">
        <f>(Raw_Stock_Data!H265/Raw_Stock_Data!H264)-1</f>
        <v>-6.4867497620050285E-3</v>
      </c>
      <c r="I265" s="4">
        <f>(Raw_Stock_Data!I265/Raw_Stock_Data!I264)-1</f>
        <v>4.5261669024045936E-3</v>
      </c>
      <c r="J265" s="4">
        <f>(Raw_Stock_Data!J265/Raw_Stock_Data!J264)-1</f>
        <v>-1.1487636917604682E-2</v>
      </c>
    </row>
    <row r="266" spans="1:10" x14ac:dyDescent="0.2">
      <c r="A266" s="2">
        <v>44581</v>
      </c>
      <c r="B266" s="4">
        <f>(Raw_Stock_Data!B266/Raw_Stock_Data!B265)-1</f>
        <v>-1.0373482210307094E-2</v>
      </c>
      <c r="C266" s="4">
        <f>(Raw_Stock_Data!C266/Raw_Stock_Data!C265)-1</f>
        <v>-5.6754955911748617E-3</v>
      </c>
      <c r="D266" s="4">
        <f>(Raw_Stock_Data!D266/Raw_Stock_Data!D265)-1</f>
        <v>-3.6590531295953022E-2</v>
      </c>
      <c r="E266" s="4">
        <f>(Raw_Stock_Data!E266/Raw_Stock_Data!E265)-1</f>
        <v>-4.9738832150931667E-2</v>
      </c>
      <c r="F266" s="4">
        <f>(Raw_Stock_Data!F266/Raw_Stock_Data!F265)-1</f>
        <v>-2.9629108311633456E-2</v>
      </c>
      <c r="G266" s="4">
        <f>(Raw_Stock_Data!G266/Raw_Stock_Data!G265)-1</f>
        <v>6.2371377865089173E-4</v>
      </c>
      <c r="H266" s="4">
        <f>(Raw_Stock_Data!H266/Raw_Stock_Data!H265)-1</f>
        <v>-1.3377603470303256E-2</v>
      </c>
      <c r="I266" s="4">
        <f>(Raw_Stock_Data!I266/Raw_Stock_Data!I265)-1</f>
        <v>-9.4808973997934087E-3</v>
      </c>
      <c r="J266" s="4">
        <f>(Raw_Stock_Data!J266/Raw_Stock_Data!J265)-1</f>
        <v>-1.2986523944840567E-2</v>
      </c>
    </row>
    <row r="267" spans="1:10" x14ac:dyDescent="0.2">
      <c r="A267" s="2">
        <v>44582</v>
      </c>
      <c r="B267" s="4">
        <f>(Raw_Stock_Data!B267/Raw_Stock_Data!B266)-1</f>
        <v>-1.2803326506547474E-2</v>
      </c>
      <c r="C267" s="4">
        <f>(Raw_Stock_Data!C267/Raw_Stock_Data!C266)-1</f>
        <v>-1.8477510298354538E-2</v>
      </c>
      <c r="D267" s="4">
        <f>(Raw_Stock_Data!D267/Raw_Stock_Data!D266)-1</f>
        <v>-3.2132028751674646E-2</v>
      </c>
      <c r="E267" s="4">
        <f>(Raw_Stock_Data!E267/Raw_Stock_Data!E266)-1</f>
        <v>-2.52686848798096E-2</v>
      </c>
      <c r="F267" s="4">
        <f>(Raw_Stock_Data!F267/Raw_Stock_Data!F266)-1</f>
        <v>-5.9504971384866989E-2</v>
      </c>
      <c r="G267" s="4">
        <f>(Raw_Stock_Data!G267/Raw_Stock_Data!G266)-1</f>
        <v>-5.2567075190460444E-2</v>
      </c>
      <c r="H267" s="4">
        <f>(Raw_Stock_Data!H267/Raw_Stock_Data!H266)-1</f>
        <v>-2.2179225609251119E-2</v>
      </c>
      <c r="I267" s="4">
        <f>(Raw_Stock_Data!I267/Raw_Stock_Data!I266)-1</f>
        <v>-4.2298458428102093E-2</v>
      </c>
      <c r="J267" s="4">
        <f>(Raw_Stock_Data!J267/Raw_Stock_Data!J266)-1</f>
        <v>-2.7207817990931193E-2</v>
      </c>
    </row>
    <row r="268" spans="1:10" x14ac:dyDescent="0.2">
      <c r="A268" s="2">
        <v>44585</v>
      </c>
      <c r="B268" s="4">
        <f>(Raw_Stock_Data!B268/Raw_Stock_Data!B267)-1</f>
        <v>-4.8847341057542959E-3</v>
      </c>
      <c r="C268" s="4">
        <f>(Raw_Stock_Data!C268/Raw_Stock_Data!C267)-1</f>
        <v>1.1540580910560649E-3</v>
      </c>
      <c r="D268" s="4">
        <f>(Raw_Stock_Data!D268/Raw_Stock_Data!D267)-1</f>
        <v>-8.5707429119952216E-5</v>
      </c>
      <c r="E268" s="4">
        <f>(Raw_Stock_Data!E268/Raw_Stock_Data!E267)-1</f>
        <v>-1.9190303846477574E-2</v>
      </c>
      <c r="F268" s="4">
        <f>(Raw_Stock_Data!F268/Raw_Stock_Data!F267)-1</f>
        <v>1.3326977138730989E-2</v>
      </c>
      <c r="G268" s="4">
        <f>(Raw_Stock_Data!G268/Raw_Stock_Data!G267)-1</f>
        <v>-1.472509240925135E-2</v>
      </c>
      <c r="H268" s="4">
        <f>(Raw_Stock_Data!H268/Raw_Stock_Data!H267)-1</f>
        <v>3.4724093593365701E-3</v>
      </c>
      <c r="I268" s="4">
        <f>(Raw_Stock_Data!I268/Raw_Stock_Data!I267)-1</f>
        <v>1.8273575881518456E-2</v>
      </c>
      <c r="J268" s="4">
        <f>(Raw_Stock_Data!J268/Raw_Stock_Data!J267)-1</f>
        <v>6.2612027668109693E-3</v>
      </c>
    </row>
    <row r="269" spans="1:10" x14ac:dyDescent="0.2">
      <c r="A269" s="2">
        <v>44586</v>
      </c>
      <c r="B269" s="4">
        <f>(Raw_Stock_Data!B269/Raw_Stock_Data!B268)-1</f>
        <v>-1.1289405521511142E-2</v>
      </c>
      <c r="C269" s="4">
        <f>(Raw_Stock_Data!C269/Raw_Stock_Data!C268)-1</f>
        <v>-2.6609664912766617E-2</v>
      </c>
      <c r="D269" s="4">
        <f>(Raw_Stock_Data!D269/Raw_Stock_Data!D268)-1</f>
        <v>-4.484168480962758E-2</v>
      </c>
      <c r="E269" s="4">
        <f>(Raw_Stock_Data!E269/Raw_Stock_Data!E268)-1</f>
        <v>-4.6339998283703832E-2</v>
      </c>
      <c r="F269" s="4">
        <f>(Raw_Stock_Data!F269/Raw_Stock_Data!F268)-1</f>
        <v>-3.1533650653088441E-2</v>
      </c>
      <c r="G269" s="4">
        <f>(Raw_Stock_Data!G269/Raw_Stock_Data!G268)-1</f>
        <v>-1.2474193548387191E-2</v>
      </c>
      <c r="H269" s="4">
        <f>(Raw_Stock_Data!H269/Raw_Stock_Data!H268)-1</f>
        <v>-2.958598041923699E-2</v>
      </c>
      <c r="I269" s="4">
        <f>(Raw_Stock_Data!I269/Raw_Stock_Data!I268)-1</f>
        <v>-2.7728288685173852E-2</v>
      </c>
      <c r="J269" s="4">
        <f>(Raw_Stock_Data!J269/Raw_Stock_Data!J268)-1</f>
        <v>-2.2795888598663328E-2</v>
      </c>
    </row>
    <row r="270" spans="1:10" x14ac:dyDescent="0.2">
      <c r="A270" s="2">
        <v>44587</v>
      </c>
      <c r="B270" s="4">
        <f>(Raw_Stock_Data!B270/Raw_Stock_Data!B269)-1</f>
        <v>-5.6228954077552906E-4</v>
      </c>
      <c r="C270" s="4">
        <f>(Raw_Stock_Data!C270/Raw_Stock_Data!C269)-1</f>
        <v>2.8517779603332905E-2</v>
      </c>
      <c r="D270" s="4">
        <f>(Raw_Stock_Data!D270/Raw_Stock_Data!D269)-1</f>
        <v>2.0056625192377497E-2</v>
      </c>
      <c r="E270" s="4">
        <f>(Raw_Stock_Data!E270/Raw_Stock_Data!E269)-1</f>
        <v>-3.7793575092234244E-3</v>
      </c>
      <c r="F270" s="4">
        <f>(Raw_Stock_Data!F270/Raw_Stock_Data!F269)-1</f>
        <v>-7.957938651007801E-3</v>
      </c>
      <c r="G270" s="4">
        <f>(Raw_Stock_Data!G270/Raw_Stock_Data!G269)-1</f>
        <v>2.0700153201386406E-2</v>
      </c>
      <c r="H270" s="4">
        <f>(Raw_Stock_Data!H270/Raw_Stock_Data!H269)-1</f>
        <v>1.8106201967171609E-2</v>
      </c>
      <c r="I270" s="4">
        <f>(Raw_Stock_Data!I270/Raw_Stock_Data!I269)-1</f>
        <v>-1.8390804597701038E-2</v>
      </c>
      <c r="J270" s="4">
        <f>(Raw_Stock_Data!J270/Raw_Stock_Data!J269)-1</f>
        <v>2.0902130023059406E-4</v>
      </c>
    </row>
    <row r="271" spans="1:10" x14ac:dyDescent="0.2">
      <c r="A271" s="2">
        <v>44588</v>
      </c>
      <c r="B271" s="4">
        <f>(Raw_Stock_Data!B271/Raw_Stock_Data!B270)-1</f>
        <v>-2.9408944154970529E-3</v>
      </c>
      <c r="C271" s="4">
        <f>(Raw_Stock_Data!C271/Raw_Stock_Data!C270)-1</f>
        <v>1.0538981784988133E-2</v>
      </c>
      <c r="D271" s="4">
        <f>(Raw_Stock_Data!D271/Raw_Stock_Data!D270)-1</f>
        <v>-3.6355398765719915E-2</v>
      </c>
      <c r="E271" s="4">
        <f>(Raw_Stock_Data!E271/Raw_Stock_Data!E270)-1</f>
        <v>-7.3254448559299079E-2</v>
      </c>
      <c r="F271" s="4">
        <f>(Raw_Stock_Data!F271/Raw_Stock_Data!F270)-1</f>
        <v>5.5158707298805787E-3</v>
      </c>
      <c r="G271" s="4">
        <f>(Raw_Stock_Data!G271/Raw_Stock_Data!G270)-1</f>
        <v>-0.11554069190642302</v>
      </c>
      <c r="H271" s="4">
        <f>(Raw_Stock_Data!H271/Raw_Stock_Data!H270)-1</f>
        <v>-1.7628877188078373E-3</v>
      </c>
      <c r="I271" s="4">
        <f>(Raw_Stock_Data!I271/Raw_Stock_Data!I270)-1</f>
        <v>3.3940874995641579E-5</v>
      </c>
      <c r="J271" s="4">
        <f>(Raw_Stock_Data!J271/Raw_Stock_Data!J270)-1</f>
        <v>-1.3981562709531437E-2</v>
      </c>
    </row>
    <row r="272" spans="1:10" x14ac:dyDescent="0.2">
      <c r="A272" s="2">
        <v>44589</v>
      </c>
      <c r="B272" s="4">
        <f>(Raw_Stock_Data!B272/Raw_Stock_Data!B271)-1</f>
        <v>6.9699592831265367E-2</v>
      </c>
      <c r="C272" s="4">
        <f>(Raw_Stock_Data!C272/Raw_Stock_Data!C271)-1</f>
        <v>2.8070895777732252E-2</v>
      </c>
      <c r="D272" s="4">
        <f>(Raw_Stock_Data!D272/Raw_Stock_Data!D271)-1</f>
        <v>4.0826387430731303E-2</v>
      </c>
      <c r="E272" s="4">
        <f>(Raw_Stock_Data!E272/Raw_Stock_Data!E271)-1</f>
        <v>2.5730994152046716E-2</v>
      </c>
      <c r="F272" s="4">
        <f>(Raw_Stock_Data!F272/Raw_Stock_Data!F271)-1</f>
        <v>3.1080364943639971E-2</v>
      </c>
      <c r="G272" s="4">
        <f>(Raw_Stock_Data!G272/Raw_Stock_Data!G271)-1</f>
        <v>2.0805667825753327E-2</v>
      </c>
      <c r="H272" s="4">
        <f>(Raw_Stock_Data!H272/Raw_Stock_Data!H271)-1</f>
        <v>3.3686274204716149E-2</v>
      </c>
      <c r="I272" s="4">
        <f>(Raw_Stock_Data!I272/Raw_Stock_Data!I271)-1</f>
        <v>2.3995384197665004E-2</v>
      </c>
      <c r="J272" s="4">
        <f>(Raw_Stock_Data!J272/Raw_Stock_Data!J271)-1</f>
        <v>3.1288615554214028E-2</v>
      </c>
    </row>
    <row r="273" spans="1:10" x14ac:dyDescent="0.2">
      <c r="A273" s="2">
        <v>44592</v>
      </c>
      <c r="B273" s="4">
        <f>(Raw_Stock_Data!B273/Raw_Stock_Data!B272)-1</f>
        <v>2.6147160197812269E-2</v>
      </c>
      <c r="C273" s="4">
        <f>(Raw_Stock_Data!C273/Raw_Stock_Data!C272)-1</f>
        <v>8.8396613238190813E-3</v>
      </c>
      <c r="D273" s="4">
        <f>(Raw_Stock_Data!D273/Raw_Stock_Data!D272)-1</f>
        <v>7.2086414230455365E-2</v>
      </c>
      <c r="E273" s="4">
        <f>(Raw_Stock_Data!E273/Raw_Stock_Data!E272)-1</f>
        <v>8.5613835043709674E-2</v>
      </c>
      <c r="F273" s="4">
        <f>(Raw_Stock_Data!F273/Raw_Stock_Data!F272)-1</f>
        <v>3.8867049132506271E-2</v>
      </c>
      <c r="G273" s="4">
        <f>(Raw_Stock_Data!G273/Raw_Stock_Data!G272)-1</f>
        <v>0.10677484873297249</v>
      </c>
      <c r="H273" s="4">
        <f>(Raw_Stock_Data!H273/Raw_Stock_Data!H272)-1</f>
        <v>1.4646004711407423E-2</v>
      </c>
      <c r="I273" s="4">
        <f>(Raw_Stock_Data!I273/Raw_Stock_Data!I272)-1</f>
        <v>3.82817937754798E-2</v>
      </c>
      <c r="J273" s="4">
        <f>(Raw_Stock_Data!J273/Raw_Stock_Data!J272)-1</f>
        <v>3.4080651708680243E-2</v>
      </c>
    </row>
    <row r="274" spans="1:10" x14ac:dyDescent="0.2">
      <c r="A274" s="2">
        <v>44593</v>
      </c>
      <c r="B274" s="4">
        <f>(Raw_Stock_Data!B274/Raw_Stock_Data!B273)-1</f>
        <v>-9.7554136704303129E-4</v>
      </c>
      <c r="C274" s="4">
        <f>(Raw_Stock_Data!C274/Raw_Stock_Data!C273)-1</f>
        <v>-7.152282924254405E-3</v>
      </c>
      <c r="D274" s="4">
        <f>(Raw_Stock_Data!D274/Raw_Stock_Data!D273)-1</f>
        <v>6.2097318524882983E-3</v>
      </c>
      <c r="E274" s="4">
        <f>(Raw_Stock_Data!E274/Raw_Stock_Data!E273)-1</f>
        <v>2.2144420131291032E-2</v>
      </c>
      <c r="F274" s="4">
        <f>(Raw_Stock_Data!F274/Raw_Stock_Data!F273)-1</f>
        <v>1.0830759356572406E-2</v>
      </c>
      <c r="G274" s="4">
        <f>(Raw_Stock_Data!G274/Raw_Stock_Data!G273)-1</f>
        <v>-5.8384575967206365E-3</v>
      </c>
      <c r="H274" s="4">
        <f>(Raw_Stock_Data!H274/Raw_Stock_Data!H273)-1</f>
        <v>1.729777843711755E-2</v>
      </c>
      <c r="I274" s="4">
        <f>(Raw_Stock_Data!I274/Raw_Stock_Data!I273)-1</f>
        <v>1.8323437400242559E-2</v>
      </c>
      <c r="J274" s="4">
        <f>(Raw_Stock_Data!J274/Raw_Stock_Data!J273)-1</f>
        <v>7.4523099913763602E-3</v>
      </c>
    </row>
    <row r="275" spans="1:10" x14ac:dyDescent="0.2">
      <c r="A275" s="2">
        <v>44594</v>
      </c>
      <c r="B275" s="4">
        <f>(Raw_Stock_Data!B275/Raw_Stock_Data!B274)-1</f>
        <v>7.0693486141972794E-3</v>
      </c>
      <c r="C275" s="4">
        <f>(Raw_Stock_Data!C275/Raw_Stock_Data!C274)-1</f>
        <v>1.5218373694143805E-2</v>
      </c>
      <c r="D275" s="4">
        <f>(Raw_Stock_Data!D275/Raw_Stock_Data!D274)-1</f>
        <v>2.4514885780146489E-2</v>
      </c>
      <c r="E275" s="4">
        <f>(Raw_Stock_Data!E275/Raw_Stock_Data!E274)-1</f>
        <v>5.1207398527145065E-2</v>
      </c>
      <c r="F275" s="4">
        <f>(Raw_Stock_Data!F275/Raw_Stock_Data!F274)-1</f>
        <v>-3.8493591015515971E-3</v>
      </c>
      <c r="G275" s="4">
        <f>(Raw_Stock_Data!G275/Raw_Stock_Data!G274)-1</f>
        <v>-2.7479165123044047E-2</v>
      </c>
      <c r="H275" s="4">
        <f>(Raw_Stock_Data!H275/Raw_Stock_Data!H274)-1</f>
        <v>7.5233143998775232E-2</v>
      </c>
      <c r="I275" s="4">
        <f>(Raw_Stock_Data!I275/Raw_Stock_Data!I274)-1</f>
        <v>1.2539184952978122E-2</v>
      </c>
      <c r="J275" s="4">
        <f>(Raw_Stock_Data!J275/Raw_Stock_Data!J274)-1</f>
        <v>4.9874529485569585E-3</v>
      </c>
    </row>
    <row r="276" spans="1:10" x14ac:dyDescent="0.2">
      <c r="A276" s="2">
        <v>44595</v>
      </c>
      <c r="B276" s="4">
        <f>(Raw_Stock_Data!B276/Raw_Stock_Data!B275)-1</f>
        <v>-1.6704503887266409E-2</v>
      </c>
      <c r="C276" s="4">
        <f>(Raw_Stock_Data!C276/Raw_Stock_Data!C275)-1</f>
        <v>-3.8935365199062488E-2</v>
      </c>
      <c r="D276" s="4">
        <f>(Raw_Stock_Data!D276/Raw_Stock_Data!D275)-1</f>
        <v>-5.1269230921853981E-2</v>
      </c>
      <c r="E276" s="4">
        <f>(Raw_Stock_Data!E276/Raw_Stock_Data!E275)-1</f>
        <v>-2.1831215379602531E-2</v>
      </c>
      <c r="F276" s="4">
        <f>(Raw_Stock_Data!F276/Raw_Stock_Data!F275)-1</f>
        <v>-7.8121265237829585E-2</v>
      </c>
      <c r="G276" s="4">
        <f>(Raw_Stock_Data!G276/Raw_Stock_Data!G275)-1</f>
        <v>-1.6032488977663739E-2</v>
      </c>
      <c r="H276" s="4">
        <f>(Raw_Stock_Data!H276/Raw_Stock_Data!H275)-1</f>
        <v>-3.3167192215101782E-2</v>
      </c>
      <c r="I276" s="4">
        <f>(Raw_Stock_Data!I276/Raw_Stock_Data!I275)-1</f>
        <v>-0.26390092879256966</v>
      </c>
      <c r="J276" s="4">
        <f>(Raw_Stock_Data!J276/Raw_Stock_Data!J275)-1</f>
        <v>-3.736626541957544E-2</v>
      </c>
    </row>
    <row r="277" spans="1:10" x14ac:dyDescent="0.2">
      <c r="A277" s="2">
        <v>44596</v>
      </c>
      <c r="B277" s="4">
        <f>(Raw_Stock_Data!B277/Raw_Stock_Data!B276)-1</f>
        <v>-1.7005999338656208E-3</v>
      </c>
      <c r="C277" s="4">
        <f>(Raw_Stock_Data!C277/Raw_Stock_Data!C276)-1</f>
        <v>1.5566892342900651E-2</v>
      </c>
      <c r="D277" s="4">
        <f>(Raw_Stock_Data!D277/Raw_Stock_Data!D276)-1</f>
        <v>1.5500892995319537E-2</v>
      </c>
      <c r="E277" s="4">
        <f>(Raw_Stock_Data!E277/Raw_Stock_Data!E276)-1</f>
        <v>2.931379080612917E-2</v>
      </c>
      <c r="F277" s="4">
        <f>(Raw_Stock_Data!F277/Raw_Stock_Data!F276)-1</f>
        <v>0.13535859873528944</v>
      </c>
      <c r="G277" s="4">
        <f>(Raw_Stock_Data!G277/Raw_Stock_Data!G276)-1</f>
        <v>3.6108763932980237E-2</v>
      </c>
      <c r="H277" s="4">
        <f>(Raw_Stock_Data!H277/Raw_Stock_Data!H276)-1</f>
        <v>1.4097942121285012E-3</v>
      </c>
      <c r="I277" s="4">
        <f>(Raw_Stock_Data!I277/Raw_Stock_Data!I276)-1</f>
        <v>-2.8179676985194968E-3</v>
      </c>
      <c r="J277" s="4">
        <f>(Raw_Stock_Data!J277/Raw_Stock_Data!J276)-1</f>
        <v>1.5793129387080551E-2</v>
      </c>
    </row>
    <row r="278" spans="1:10" x14ac:dyDescent="0.2">
      <c r="A278" s="2">
        <v>44599</v>
      </c>
      <c r="B278" s="4">
        <f>(Raw_Stock_Data!B278/Raw_Stock_Data!B277)-1</f>
        <v>-4.2350825722802243E-3</v>
      </c>
      <c r="C278" s="4">
        <f>(Raw_Stock_Data!C278/Raw_Stock_Data!C277)-1</f>
        <v>-1.6314171028849134E-2</v>
      </c>
      <c r="D278" s="4">
        <f>(Raw_Stock_Data!D278/Raw_Stock_Data!D277)-1</f>
        <v>1.6817071613623336E-2</v>
      </c>
      <c r="E278" s="4">
        <f>(Raw_Stock_Data!E278/Raw_Stock_Data!E277)-1</f>
        <v>5.6634304207126007E-4</v>
      </c>
      <c r="F278" s="4">
        <f>(Raw_Stock_Data!F278/Raw_Stock_Data!F277)-1</f>
        <v>1.8776960162396605E-3</v>
      </c>
      <c r="G278" s="4">
        <f>(Raw_Stock_Data!G278/Raw_Stock_Data!G277)-1</f>
        <v>-1.7304961773774941E-2</v>
      </c>
      <c r="H278" s="4">
        <f>(Raw_Stock_Data!H278/Raw_Stock_Data!H277)-1</f>
        <v>-2.8555419366135482E-2</v>
      </c>
      <c r="I278" s="4">
        <f>(Raw_Stock_Data!I278/Raw_Stock_Data!I277)-1</f>
        <v>-5.1372896368467647E-2</v>
      </c>
      <c r="J278" s="4">
        <f>(Raw_Stock_Data!J278/Raw_Stock_Data!J277)-1</f>
        <v>-5.8405406153066997E-3</v>
      </c>
    </row>
    <row r="279" spans="1:10" x14ac:dyDescent="0.2">
      <c r="A279" s="2">
        <v>44600</v>
      </c>
      <c r="B279" s="4">
        <f>(Raw_Stock_Data!B279/Raw_Stock_Data!B278)-1</f>
        <v>1.8443937557915735E-2</v>
      </c>
      <c r="C279" s="4">
        <f>(Raw_Stock_Data!C279/Raw_Stock_Data!C278)-1</f>
        <v>1.199623647483139E-2</v>
      </c>
      <c r="D279" s="4">
        <f>(Raw_Stock_Data!D279/Raw_Stock_Data!D278)-1</f>
        <v>1.5364237337567754E-2</v>
      </c>
      <c r="E279" s="4">
        <f>(Raw_Stock_Data!E279/Raw_Stock_Data!E278)-1</f>
        <v>3.6872321500768024E-2</v>
      </c>
      <c r="F279" s="4">
        <f>(Raw_Stock_Data!F279/Raw_Stock_Data!F278)-1</f>
        <v>2.2021578360854832E-2</v>
      </c>
      <c r="G279" s="4">
        <f>(Raw_Stock_Data!G279/Raw_Stock_Data!G278)-1</f>
        <v>1.6154896560389265E-2</v>
      </c>
      <c r="H279" s="4">
        <f>(Raw_Stock_Data!H279/Raw_Stock_Data!H278)-1</f>
        <v>1.4203521319702261E-3</v>
      </c>
      <c r="I279" s="4">
        <f>(Raw_Stock_Data!I279/Raw_Stock_Data!I278)-1</f>
        <v>-2.1030634476012611E-2</v>
      </c>
      <c r="J279" s="4">
        <f>(Raw_Stock_Data!J279/Raw_Stock_Data!J278)-1</f>
        <v>1.2756436188922748E-2</v>
      </c>
    </row>
    <row r="280" spans="1:10" x14ac:dyDescent="0.2">
      <c r="A280" s="2">
        <v>44601</v>
      </c>
      <c r="B280" s="4">
        <f>(Raw_Stock_Data!B280/Raw_Stock_Data!B279)-1</f>
        <v>8.3054831353199798E-3</v>
      </c>
      <c r="C280" s="4">
        <f>(Raw_Stock_Data!C280/Raw_Stock_Data!C279)-1</f>
        <v>2.1845240701877433E-2</v>
      </c>
      <c r="D280" s="4">
        <f>(Raw_Stock_Data!D280/Raw_Stock_Data!D279)-1</f>
        <v>6.3582869566951805E-2</v>
      </c>
      <c r="E280" s="4">
        <f>(Raw_Stock_Data!E280/Raw_Stock_Data!E279)-1</f>
        <v>3.6029010371987802E-2</v>
      </c>
      <c r="F280" s="4">
        <f>(Raw_Stock_Data!F280/Raw_Stock_Data!F279)-1</f>
        <v>-1.3877358841239973E-3</v>
      </c>
      <c r="G280" s="4">
        <f>(Raw_Stock_Data!G280/Raw_Stock_Data!G279)-1</f>
        <v>1.0848167948121157E-2</v>
      </c>
      <c r="H280" s="4">
        <f>(Raw_Stock_Data!H280/Raw_Stock_Data!H279)-1</f>
        <v>1.5738507505669519E-2</v>
      </c>
      <c r="I280" s="4">
        <f>(Raw_Stock_Data!I280/Raw_Stock_Data!I279)-1</f>
        <v>5.3683349986374695E-2</v>
      </c>
      <c r="J280" s="4">
        <f>(Raw_Stock_Data!J280/Raw_Stock_Data!J279)-1</f>
        <v>2.0846865608131759E-2</v>
      </c>
    </row>
    <row r="281" spans="1:10" x14ac:dyDescent="0.2">
      <c r="A281" s="2">
        <v>44602</v>
      </c>
      <c r="B281" s="4">
        <f>(Raw_Stock_Data!B281/Raw_Stock_Data!B280)-1</f>
        <v>-2.3571672345077843E-2</v>
      </c>
      <c r="C281" s="4">
        <f>(Raw_Stock_Data!C281/Raw_Stock_Data!C280)-1</f>
        <v>-2.8370243879925927E-2</v>
      </c>
      <c r="D281" s="4">
        <f>(Raw_Stock_Data!D281/Raw_Stock_Data!D280)-1</f>
        <v>-3.2966620780711331E-2</v>
      </c>
      <c r="E281" s="4">
        <f>(Raw_Stock_Data!E281/Raw_Stock_Data!E280)-1</f>
        <v>-5.329318780579595E-2</v>
      </c>
      <c r="F281" s="4">
        <f>(Raw_Stock_Data!F281/Raw_Stock_Data!F280)-1</f>
        <v>-1.35616353371798E-2</v>
      </c>
      <c r="G281" s="4">
        <f>(Raw_Stock_Data!G281/Raw_Stock_Data!G280)-1</f>
        <v>-2.9452758097898935E-2</v>
      </c>
      <c r="H281" s="4">
        <f>(Raw_Stock_Data!H281/Raw_Stock_Data!H280)-1</f>
        <v>-2.0987943096518857E-2</v>
      </c>
      <c r="I281" s="4">
        <f>(Raw_Stock_Data!I281/Raw_Stock_Data!I280)-1</f>
        <v>-1.6939655172413803E-2</v>
      </c>
      <c r="J281" s="4">
        <f>(Raw_Stock_Data!J281/Raw_Stock_Data!J280)-1</f>
        <v>-2.1029828775938841E-2</v>
      </c>
    </row>
    <row r="282" spans="1:10" x14ac:dyDescent="0.2">
      <c r="A282" s="2">
        <v>44603</v>
      </c>
      <c r="B282" s="4">
        <f>(Raw_Stock_Data!B282/Raw_Stock_Data!B281)-1</f>
        <v>-2.0260423454698362E-2</v>
      </c>
      <c r="C282" s="4">
        <f>(Raw_Stock_Data!C282/Raw_Stock_Data!C281)-1</f>
        <v>-2.4292596865033711E-2</v>
      </c>
      <c r="D282" s="4">
        <f>(Raw_Stock_Data!D282/Raw_Stock_Data!D281)-1</f>
        <v>-7.2614365395207381E-2</v>
      </c>
      <c r="E282" s="4">
        <f>(Raw_Stock_Data!E282/Raw_Stock_Data!E281)-1</f>
        <v>-0.10010336328218172</v>
      </c>
      <c r="F282" s="4">
        <f>(Raw_Stock_Data!F282/Raw_Stock_Data!F281)-1</f>
        <v>-3.5911046262987023E-2</v>
      </c>
      <c r="G282" s="4">
        <f>(Raw_Stock_Data!G282/Raw_Stock_Data!G281)-1</f>
        <v>-4.9250954340883002E-2</v>
      </c>
      <c r="H282" s="4">
        <f>(Raw_Stock_Data!H282/Raw_Stock_Data!H281)-1</f>
        <v>-3.1298870547350144E-2</v>
      </c>
      <c r="I282" s="4">
        <f>(Raw_Stock_Data!I282/Raw_Stock_Data!I281)-1</f>
        <v>-3.7356951813039774E-2</v>
      </c>
      <c r="J282" s="4">
        <f>(Raw_Stock_Data!J282/Raw_Stock_Data!J281)-1</f>
        <v>-2.7809108365924984E-2</v>
      </c>
    </row>
    <row r="283" spans="1:10" x14ac:dyDescent="0.2">
      <c r="A283" s="2">
        <v>44606</v>
      </c>
      <c r="B283" s="4">
        <f>(Raw_Stock_Data!B283/Raw_Stock_Data!B282)-1</f>
        <v>1.426999310686794E-3</v>
      </c>
      <c r="C283" s="4">
        <f>(Raw_Stock_Data!C283/Raw_Stock_Data!C282)-1</f>
        <v>-1.3909173099646566E-4</v>
      </c>
      <c r="D283" s="4">
        <f>(Raw_Stock_Data!D283/Raw_Stock_Data!D282)-1</f>
        <v>1.3283534022326071E-2</v>
      </c>
      <c r="E283" s="4">
        <f>(Raw_Stock_Data!E283/Raw_Stock_Data!E282)-1</f>
        <v>9.6306767980207653E-3</v>
      </c>
      <c r="F283" s="4">
        <f>(Raw_Stock_Data!F283/Raw_Stock_Data!F282)-1</f>
        <v>1.2218351664122551E-2</v>
      </c>
      <c r="G283" s="4">
        <f>(Raw_Stock_Data!G283/Raw_Stock_Data!G282)-1</f>
        <v>1.8324397297212691E-2</v>
      </c>
      <c r="H283" s="4">
        <f>(Raw_Stock_Data!H283/Raw_Stock_Data!H282)-1</f>
        <v>9.2677713252167226E-3</v>
      </c>
      <c r="I283" s="4">
        <f>(Raw_Stock_Data!I283/Raw_Stock_Data!I282)-1</f>
        <v>-8.4263265770896378E-3</v>
      </c>
      <c r="J283" s="4">
        <f>(Raw_Stock_Data!J283/Raw_Stock_Data!J282)-1</f>
        <v>-1.667736193133873E-5</v>
      </c>
    </row>
    <row r="284" spans="1:10" x14ac:dyDescent="0.2">
      <c r="A284" s="2">
        <v>44607</v>
      </c>
      <c r="B284" s="4">
        <f>(Raw_Stock_Data!B284/Raw_Stock_Data!B283)-1</f>
        <v>2.3203999565264644E-2</v>
      </c>
      <c r="C284" s="4">
        <f>(Raw_Stock_Data!C284/Raw_Stock_Data!C283)-1</f>
        <v>1.8546984767336516E-2</v>
      </c>
      <c r="D284" s="4">
        <f>(Raw_Stock_Data!D284/Raw_Stock_Data!D283)-1</f>
        <v>9.1782275074400843E-2</v>
      </c>
      <c r="E284" s="4">
        <f>(Raw_Stock_Data!E284/Raw_Stock_Data!E283)-1</f>
        <v>6.3008663691257683E-2</v>
      </c>
      <c r="F284" s="4">
        <f>(Raw_Stock_Data!F284/Raw_Stock_Data!F283)-1</f>
        <v>8.6551908588810011E-3</v>
      </c>
      <c r="G284" s="4">
        <f>(Raw_Stock_Data!G284/Raw_Stock_Data!G283)-1</f>
        <v>5.3291997807618285E-2</v>
      </c>
      <c r="H284" s="4">
        <f>(Raw_Stock_Data!H284/Raw_Stock_Data!H283)-1</f>
        <v>7.9755918748194432E-3</v>
      </c>
      <c r="I284" s="4">
        <f>(Raw_Stock_Data!I284/Raw_Stock_Data!I283)-1</f>
        <v>1.5158474965548896E-2</v>
      </c>
      <c r="J284" s="4">
        <f>(Raw_Stock_Data!J284/Raw_Stock_Data!J283)-1</f>
        <v>2.5294904183332134E-2</v>
      </c>
    </row>
    <row r="285" spans="1:10" x14ac:dyDescent="0.2">
      <c r="A285" s="2">
        <v>44608</v>
      </c>
      <c r="B285" s="4">
        <f>(Raw_Stock_Data!B285/Raw_Stock_Data!B284)-1</f>
        <v>-1.4044529419748875E-3</v>
      </c>
      <c r="C285" s="4">
        <f>(Raw_Stock_Data!C285/Raw_Stock_Data!C284)-1</f>
        <v>-1.1643271998443838E-3</v>
      </c>
      <c r="D285" s="4">
        <f>(Raw_Stock_Data!D285/Raw_Stock_Data!D284)-1</f>
        <v>6.0490349898856266E-4</v>
      </c>
      <c r="E285" s="4">
        <f>(Raw_Stock_Data!E285/Raw_Stock_Data!E284)-1</f>
        <v>-3.1118794764139257E-2</v>
      </c>
      <c r="F285" s="4">
        <f>(Raw_Stock_Data!F285/Raw_Stock_Data!F284)-1</f>
        <v>1.0159095265478202E-2</v>
      </c>
      <c r="G285" s="4">
        <f>(Raw_Stock_Data!G285/Raw_Stock_Data!G284)-1</f>
        <v>1.0407282495927817E-3</v>
      </c>
      <c r="H285" s="4">
        <f>(Raw_Stock_Data!H285/Raw_Stock_Data!H284)-1</f>
        <v>8.2798242649544385E-3</v>
      </c>
      <c r="I285" s="4">
        <f>(Raw_Stock_Data!I285/Raw_Stock_Data!I284)-1</f>
        <v>-2.0180995475113206E-2</v>
      </c>
      <c r="J285" s="4">
        <f>(Raw_Stock_Data!J285/Raw_Stock_Data!J284)-1</f>
        <v>-1.108222487510413E-3</v>
      </c>
    </row>
    <row r="286" spans="1:10" x14ac:dyDescent="0.2">
      <c r="A286" s="2">
        <v>44609</v>
      </c>
      <c r="B286" s="4">
        <f>(Raw_Stock_Data!B286/Raw_Stock_Data!B285)-1</f>
        <v>-2.1303250740147717E-2</v>
      </c>
      <c r="C286" s="4">
        <f>(Raw_Stock_Data!C286/Raw_Stock_Data!C285)-1</f>
        <v>-2.9278848126016999E-2</v>
      </c>
      <c r="D286" s="4">
        <f>(Raw_Stock_Data!D286/Raw_Stock_Data!D285)-1</f>
        <v>-7.5571004855194301E-2</v>
      </c>
      <c r="E286" s="4">
        <f>(Raw_Stock_Data!E286/Raw_Stock_Data!E285)-1</f>
        <v>-4.5203500722236334E-2</v>
      </c>
      <c r="F286" s="4">
        <f>(Raw_Stock_Data!F286/Raw_Stock_Data!F285)-1</f>
        <v>-2.1808981657179038E-2</v>
      </c>
      <c r="G286" s="4">
        <f>(Raw_Stock_Data!G286/Raw_Stock_Data!G285)-1</f>
        <v>-5.0942666757635702E-2</v>
      </c>
      <c r="H286" s="4">
        <f>(Raw_Stock_Data!H286/Raw_Stock_Data!H285)-1</f>
        <v>-3.7743822910063396E-2</v>
      </c>
      <c r="I286" s="4">
        <f>(Raw_Stock_Data!I286/Raw_Stock_Data!I285)-1</f>
        <v>-4.0777685416089282E-2</v>
      </c>
      <c r="J286" s="4">
        <f>(Raw_Stock_Data!J286/Raw_Stock_Data!J285)-1</f>
        <v>-2.8842212135436696E-2</v>
      </c>
    </row>
    <row r="287" spans="1:10" x14ac:dyDescent="0.2">
      <c r="A287" s="2">
        <v>44610</v>
      </c>
      <c r="B287" s="4">
        <f>(Raw_Stock_Data!B287/Raw_Stock_Data!B286)-1</f>
        <v>-9.3649241024525987E-3</v>
      </c>
      <c r="C287" s="4">
        <f>(Raw_Stock_Data!C287/Raw_Stock_Data!C286)-1</f>
        <v>-9.6314008317865962E-3</v>
      </c>
      <c r="D287" s="4">
        <f>(Raw_Stock_Data!D287/Raw_Stock_Data!D286)-1</f>
        <v>-3.5289212961449157E-2</v>
      </c>
      <c r="E287" s="4">
        <f>(Raw_Stock_Data!E287/Raw_Stock_Data!E286)-1</f>
        <v>1.2992791670374704E-2</v>
      </c>
      <c r="F287" s="4">
        <f>(Raw_Stock_Data!F287/Raw_Stock_Data!F286)-1</f>
        <v>-1.3255567338281926E-2</v>
      </c>
      <c r="G287" s="4">
        <f>(Raw_Stock_Data!G287/Raw_Stock_Data!G286)-1</f>
        <v>-2.2104156896038174E-2</v>
      </c>
      <c r="H287" s="4">
        <f>(Raw_Stock_Data!H287/Raw_Stock_Data!H286)-1</f>
        <v>-1.6121337866592089E-2</v>
      </c>
      <c r="I287" s="4">
        <f>(Raw_Stock_Data!I287/Raw_Stock_Data!I286)-1</f>
        <v>-7.4623272832314846E-3</v>
      </c>
      <c r="J287" s="4">
        <f>(Raw_Stock_Data!J287/Raw_Stock_Data!J286)-1</f>
        <v>-1.2295213432948926E-2</v>
      </c>
    </row>
    <row r="288" spans="1:10" x14ac:dyDescent="0.2">
      <c r="A288" s="2">
        <v>44614</v>
      </c>
      <c r="B288" s="4">
        <f>(Raw_Stock_Data!B288/Raw_Stock_Data!B287)-1</f>
        <v>-1.7779321862409825E-2</v>
      </c>
      <c r="C288" s="4">
        <f>(Raw_Stock_Data!C288/Raw_Stock_Data!C287)-1</f>
        <v>-7.4315867326624208E-4</v>
      </c>
      <c r="D288" s="4">
        <f>(Raw_Stock_Data!D288/Raw_Stock_Data!D287)-1</f>
        <v>-1.0668135406516233E-2</v>
      </c>
      <c r="E288" s="4">
        <f>(Raw_Stock_Data!E288/Raw_Stock_Data!E287)-1</f>
        <v>1.5988755161205459E-2</v>
      </c>
      <c r="F288" s="4">
        <f>(Raw_Stock_Data!F288/Raw_Stock_Data!F287)-1</f>
        <v>-1.5753397727421681E-2</v>
      </c>
      <c r="G288" s="4">
        <f>(Raw_Stock_Data!G288/Raw_Stock_Data!G287)-1</f>
        <v>-4.1367359798361703E-2</v>
      </c>
      <c r="H288" s="4">
        <f>(Raw_Stock_Data!H288/Raw_Stock_Data!H287)-1</f>
        <v>-4.5177477449742653E-3</v>
      </c>
      <c r="I288" s="4">
        <f>(Raw_Stock_Data!I288/Raw_Stock_Data!I287)-1</f>
        <v>-1.9790454016297976E-2</v>
      </c>
      <c r="J288" s="4">
        <f>(Raw_Stock_Data!J288/Raw_Stock_Data!J287)-1</f>
        <v>-1.2293263911390961E-2</v>
      </c>
    </row>
    <row r="289" spans="1:10" x14ac:dyDescent="0.2">
      <c r="A289" s="2">
        <v>44615</v>
      </c>
      <c r="B289" s="4">
        <f>(Raw_Stock_Data!B289/Raw_Stock_Data!B288)-1</f>
        <v>-2.5833074775054365E-2</v>
      </c>
      <c r="C289" s="4">
        <f>(Raw_Stock_Data!C289/Raw_Stock_Data!C288)-1</f>
        <v>-2.5876885521825765E-2</v>
      </c>
      <c r="D289" s="4">
        <f>(Raw_Stock_Data!D289/Raw_Stock_Data!D288)-1</f>
        <v>-4.2880023296447134E-2</v>
      </c>
      <c r="E289" s="4">
        <f>(Raw_Stock_Data!E289/Raw_Stock_Data!E288)-1</f>
        <v>-5.0929528750540465E-2</v>
      </c>
      <c r="F289" s="4">
        <f>(Raw_Stock_Data!F289/Raw_Stock_Data!F288)-1</f>
        <v>-3.5759464173957145E-2</v>
      </c>
      <c r="G289" s="4">
        <f>(Raw_Stock_Data!G289/Raw_Stock_Data!G288)-1</f>
        <v>-6.9978053118027517E-2</v>
      </c>
      <c r="H289" s="4">
        <f>(Raw_Stock_Data!H289/Raw_Stock_Data!H288)-1</f>
        <v>-1.714793768603351E-2</v>
      </c>
      <c r="I289" s="4">
        <f>(Raw_Stock_Data!I289/Raw_Stock_Data!I288)-1</f>
        <v>-1.7963182897862362E-2</v>
      </c>
      <c r="J289" s="4">
        <f>(Raw_Stock_Data!J289/Raw_Stock_Data!J288)-1</f>
        <v>-2.5709336458040744E-2</v>
      </c>
    </row>
    <row r="290" spans="1:10" x14ac:dyDescent="0.2">
      <c r="A290" s="2">
        <v>44616</v>
      </c>
      <c r="B290" s="4">
        <f>(Raw_Stock_Data!B290/Raw_Stock_Data!B289)-1</f>
        <v>1.6638320370476523E-2</v>
      </c>
      <c r="C290" s="4">
        <f>(Raw_Stock_Data!C290/Raw_Stock_Data!C289)-1</f>
        <v>5.1086571373255341E-2</v>
      </c>
      <c r="D290" s="4">
        <f>(Raw_Stock_Data!D290/Raw_Stock_Data!D289)-1</f>
        <v>6.0792218309701607E-2</v>
      </c>
      <c r="E290" s="4">
        <f>(Raw_Stock_Data!E290/Raw_Stock_Data!E289)-1</f>
        <v>6.2408892128279936E-2</v>
      </c>
      <c r="F290" s="4">
        <f>(Raw_Stock_Data!F290/Raw_Stock_Data!F289)-1</f>
        <v>4.5095182528119837E-2</v>
      </c>
      <c r="G290" s="4">
        <f>(Raw_Stock_Data!G290/Raw_Stock_Data!G289)-1</f>
        <v>4.8072090466467765E-2</v>
      </c>
      <c r="H290" s="4">
        <f>(Raw_Stock_Data!H290/Raw_Stock_Data!H289)-1</f>
        <v>3.999150455843381E-2</v>
      </c>
      <c r="I290" s="4">
        <f>(Raw_Stock_Data!I290/Raw_Stock_Data!I289)-1</f>
        <v>4.6107331821617636E-2</v>
      </c>
      <c r="J290" s="4">
        <f>(Raw_Stock_Data!J290/Raw_Stock_Data!J289)-1</f>
        <v>3.3448923067246783E-2</v>
      </c>
    </row>
    <row r="291" spans="1:10" x14ac:dyDescent="0.2">
      <c r="A291" s="2">
        <v>44617</v>
      </c>
      <c r="B291" s="4">
        <f>(Raw_Stock_Data!B291/Raw_Stock_Data!B290)-1</f>
        <v>1.2982537484570678E-2</v>
      </c>
      <c r="C291" s="4">
        <f>(Raw_Stock_Data!C291/Raw_Stock_Data!C290)-1</f>
        <v>9.2376344982900704E-3</v>
      </c>
      <c r="D291" s="4">
        <f>(Raw_Stock_Data!D291/Raw_Stock_Data!D290)-1</f>
        <v>1.7221598913474523E-2</v>
      </c>
      <c r="E291" s="4">
        <f>(Raw_Stock_Data!E291/Raw_Stock_Data!E290)-1</f>
        <v>3.8161392676442807E-2</v>
      </c>
      <c r="F291" s="4">
        <f>(Raw_Stock_Data!F291/Raw_Stock_Data!F290)-1</f>
        <v>1.6054651884935156E-2</v>
      </c>
      <c r="G291" s="4">
        <f>(Raw_Stock_Data!G291/Raw_Stock_Data!G290)-1</f>
        <v>1.1366573880857045E-2</v>
      </c>
      <c r="H291" s="4">
        <f>(Raw_Stock_Data!H291/Raw_Stock_Data!H290)-1</f>
        <v>1.3334745217871147E-2</v>
      </c>
      <c r="I291" s="4">
        <f>(Raw_Stock_Data!I291/Raw_Stock_Data!I290)-1</f>
        <v>1.387283236994219E-2</v>
      </c>
      <c r="J291" s="4">
        <f>(Raw_Stock_Data!J291/Raw_Stock_Data!J290)-1</f>
        <v>1.6405439385820397E-2</v>
      </c>
    </row>
    <row r="292" spans="1:10" x14ac:dyDescent="0.2">
      <c r="A292" s="2">
        <v>44620</v>
      </c>
      <c r="B292" s="4">
        <f>(Raw_Stock_Data!B292/Raw_Stock_Data!B291)-1</f>
        <v>1.6329459210371322E-3</v>
      </c>
      <c r="C292" s="4">
        <f>(Raw_Stock_Data!C292/Raw_Stock_Data!C291)-1</f>
        <v>4.9794417240025535E-3</v>
      </c>
      <c r="D292" s="4">
        <f>(Raw_Stock_Data!D292/Raw_Stock_Data!D291)-1</f>
        <v>9.4498049085909308E-3</v>
      </c>
      <c r="E292" s="4">
        <f>(Raw_Stock_Data!E292/Raw_Stock_Data!E291)-1</f>
        <v>1.8833636213447802E-2</v>
      </c>
      <c r="F292" s="4">
        <f>(Raw_Stock_Data!F292/Raw_Stock_Data!F291)-1</f>
        <v>-1.4630530340470349E-3</v>
      </c>
      <c r="G292" s="4">
        <f>(Raw_Stock_Data!G292/Raw_Stock_Data!G291)-1</f>
        <v>7.4774871553617617E-2</v>
      </c>
      <c r="H292" s="4">
        <f>(Raw_Stock_Data!H292/Raw_Stock_Data!H291)-1</f>
        <v>4.4411602251182014E-3</v>
      </c>
      <c r="I292" s="4">
        <f>(Raw_Stock_Data!I292/Raw_Stock_Data!I291)-1</f>
        <v>2.6130748764727763E-3</v>
      </c>
      <c r="J292" s="4">
        <f>(Raw_Stock_Data!J292/Raw_Stock_Data!J291)-1</f>
        <v>4.1461537450473429E-3</v>
      </c>
    </row>
    <row r="293" spans="1:10" x14ac:dyDescent="0.2">
      <c r="A293" s="2">
        <v>44621</v>
      </c>
      <c r="B293" s="4">
        <f>(Raw_Stock_Data!B293/Raw_Stock_Data!B292)-1</f>
        <v>-1.1646648346558819E-2</v>
      </c>
      <c r="C293" s="4">
        <f>(Raw_Stock_Data!C293/Raw_Stock_Data!C292)-1</f>
        <v>-1.2856359649122684E-2</v>
      </c>
      <c r="D293" s="4">
        <f>(Raw_Stock_Data!D293/Raw_Stock_Data!D292)-1</f>
        <v>-3.7248200847819657E-2</v>
      </c>
      <c r="E293" s="4">
        <f>(Raw_Stock_Data!E293/Raw_Stock_Data!E292)-1</f>
        <v>-7.7103940327549858E-2</v>
      </c>
      <c r="F293" s="4">
        <f>(Raw_Stock_Data!F293/Raw_Stock_Data!F292)-1</f>
        <v>-1.5765516432994842E-2</v>
      </c>
      <c r="G293" s="4">
        <f>(Raw_Stock_Data!G293/Raw_Stock_Data!G292)-1</f>
        <v>-6.9620842136463024E-3</v>
      </c>
      <c r="H293" s="4">
        <f>(Raw_Stock_Data!H293/Raw_Stock_Data!H292)-1</f>
        <v>-7.3642517964760401E-3</v>
      </c>
      <c r="I293" s="4">
        <f>(Raw_Stock_Data!I293/Raw_Stock_Data!I292)-1</f>
        <v>-3.5729517130265842E-2</v>
      </c>
      <c r="J293" s="4">
        <f>(Raw_Stock_Data!J293/Raw_Stock_Data!J292)-1</f>
        <v>-1.5921288014311252E-2</v>
      </c>
    </row>
    <row r="294" spans="1:10" x14ac:dyDescent="0.2">
      <c r="A294" s="2">
        <v>44622</v>
      </c>
      <c r="B294" s="4">
        <f>(Raw_Stock_Data!B294/Raw_Stock_Data!B293)-1</f>
        <v>2.0618685527556968E-2</v>
      </c>
      <c r="C294" s="4">
        <f>(Raw_Stock_Data!C294/Raw_Stock_Data!C293)-1</f>
        <v>1.7761933853544631E-2</v>
      </c>
      <c r="D294" s="4">
        <f>(Raw_Stock_Data!D294/Raw_Stock_Data!D293)-1</f>
        <v>3.1824387746394844E-2</v>
      </c>
      <c r="E294" s="4">
        <f>(Raw_Stock_Data!E294/Raw_Stock_Data!E293)-1</f>
        <v>3.9093384872177728E-2</v>
      </c>
      <c r="F294" s="4">
        <f>(Raw_Stock_Data!F294/Raw_Stock_Data!F293)-1</f>
        <v>6.0208280954334725E-3</v>
      </c>
      <c r="G294" s="4">
        <f>(Raw_Stock_Data!G294/Raw_Stock_Data!G293)-1</f>
        <v>1.7957608382531243E-2</v>
      </c>
      <c r="H294" s="4">
        <f>(Raw_Stock_Data!H294/Raw_Stock_Data!H293)-1</f>
        <v>3.803021455629052E-3</v>
      </c>
      <c r="I294" s="4">
        <f>(Raw_Stock_Data!I294/Raw_Stock_Data!I293)-1</f>
        <v>2.270381836945301E-2</v>
      </c>
      <c r="J294" s="4">
        <f>(Raw_Stock_Data!J294/Raw_Stock_Data!J293)-1</f>
        <v>1.6224692332362345E-2</v>
      </c>
    </row>
    <row r="295" spans="1:10" x14ac:dyDescent="0.2">
      <c r="A295" s="2">
        <v>44623</v>
      </c>
      <c r="B295" s="4">
        <f>(Raw_Stock_Data!B295/Raw_Stock_Data!B294)-1</f>
        <v>-1.9834832169158823E-3</v>
      </c>
      <c r="C295" s="4">
        <f>(Raw_Stock_Data!C295/Raw_Stock_Data!C294)-1</f>
        <v>-1.4222131273341043E-2</v>
      </c>
      <c r="D295" s="4">
        <f>(Raw_Stock_Data!D295/Raw_Stock_Data!D294)-1</f>
        <v>-2.0889930904444798E-2</v>
      </c>
      <c r="E295" s="4">
        <f>(Raw_Stock_Data!E295/Raw_Stock_Data!E294)-1</f>
        <v>-5.3263442678390227E-2</v>
      </c>
      <c r="F295" s="4">
        <f>(Raw_Stock_Data!F295/Raw_Stock_Data!F294)-1</f>
        <v>-2.7319601189066844E-2</v>
      </c>
      <c r="G295" s="4">
        <f>(Raw_Stock_Data!G295/Raw_Stock_Data!G294)-1</f>
        <v>-4.6144351970869302E-2</v>
      </c>
      <c r="H295" s="4">
        <f>(Raw_Stock_Data!H295/Raw_Stock_Data!H294)-1</f>
        <v>-4.9967931029341051E-3</v>
      </c>
      <c r="I295" s="4">
        <f>(Raw_Stock_Data!I295/Raw_Stock_Data!I294)-1</f>
        <v>-2.4698476767094357E-2</v>
      </c>
      <c r="J295" s="4">
        <f>(Raw_Stock_Data!J295/Raw_Stock_Data!J294)-1</f>
        <v>-1.5567167587016262E-2</v>
      </c>
    </row>
    <row r="296" spans="1:10" x14ac:dyDescent="0.2">
      <c r="A296" s="2">
        <v>44624</v>
      </c>
      <c r="B296" s="4">
        <f>(Raw_Stock_Data!B296/Raw_Stock_Data!B295)-1</f>
        <v>-1.8432755712314064E-2</v>
      </c>
      <c r="C296" s="4">
        <f>(Raw_Stock_Data!C296/Raw_Stock_Data!C295)-1</f>
        <v>-2.0478488764336666E-2</v>
      </c>
      <c r="D296" s="4">
        <f>(Raw_Stock_Data!D296/Raw_Stock_Data!D295)-1</f>
        <v>-3.2814301460806439E-2</v>
      </c>
      <c r="E296" s="4">
        <f>(Raw_Stock_Data!E296/Raw_Stock_Data!E295)-1</f>
        <v>-3.1880692980889469E-2</v>
      </c>
      <c r="F296" s="4">
        <f>(Raw_Stock_Data!F296/Raw_Stock_Data!F295)-1</f>
        <v>-1.5260517383602235E-2</v>
      </c>
      <c r="G296" s="4">
        <f>(Raw_Stock_Data!G296/Raw_Stock_Data!G295)-1</f>
        <v>-1.1902932124689958E-3</v>
      </c>
      <c r="H296" s="4">
        <f>(Raw_Stock_Data!H296/Raw_Stock_Data!H295)-1</f>
        <v>-1.4893266174971442E-2</v>
      </c>
      <c r="I296" s="4">
        <f>(Raw_Stock_Data!I296/Raw_Stock_Data!I295)-1</f>
        <v>-1.4337094151845031E-2</v>
      </c>
      <c r="J296" s="4">
        <f>(Raw_Stock_Data!J296/Raw_Stock_Data!J295)-1</f>
        <v>-1.658302518699295E-2</v>
      </c>
    </row>
    <row r="297" spans="1:10" x14ac:dyDescent="0.2">
      <c r="A297" s="2">
        <v>44627</v>
      </c>
      <c r="B297" s="4">
        <f>(Raw_Stock_Data!B297/Raw_Stock_Data!B296)-1</f>
        <v>-2.3684539432571095E-2</v>
      </c>
      <c r="C297" s="4">
        <f>(Raw_Stock_Data!C297/Raw_Stock_Data!C296)-1</f>
        <v>-3.7768971022478337E-2</v>
      </c>
      <c r="D297" s="4">
        <f>(Raw_Stock_Data!D297/Raw_Stock_Data!D296)-1</f>
        <v>-6.9060375430644916E-2</v>
      </c>
      <c r="E297" s="4">
        <f>(Raw_Stock_Data!E297/Raw_Stock_Data!E296)-1</f>
        <v>-5.0364357531592963E-2</v>
      </c>
      <c r="F297" s="4">
        <f>(Raw_Stock_Data!F297/Raw_Stock_Data!F296)-1</f>
        <v>-5.622043243317465E-2</v>
      </c>
      <c r="G297" s="4">
        <f>(Raw_Stock_Data!G297/Raw_Stock_Data!G296)-1</f>
        <v>-4.0214007085853432E-2</v>
      </c>
      <c r="H297" s="4">
        <f>(Raw_Stock_Data!H297/Raw_Stock_Data!H296)-1</f>
        <v>-4.1900950322988129E-2</v>
      </c>
      <c r="I297" s="4">
        <f>(Raw_Stock_Data!I297/Raw_Stock_Data!I296)-1</f>
        <v>-6.293112066380091E-2</v>
      </c>
      <c r="J297" s="4">
        <f>(Raw_Stock_Data!J297/Raw_Stock_Data!J296)-1</f>
        <v>-3.6240070184715645E-2</v>
      </c>
    </row>
    <row r="298" spans="1:10" x14ac:dyDescent="0.2">
      <c r="A298" s="2">
        <v>44628</v>
      </c>
      <c r="B298" s="4">
        <f>(Raw_Stock_Data!B298/Raw_Stock_Data!B297)-1</f>
        <v>-1.1700697689304262E-2</v>
      </c>
      <c r="C298" s="4">
        <f>(Raw_Stock_Data!C298/Raw_Stock_Data!C297)-1</f>
        <v>-1.0979249182337725E-2</v>
      </c>
      <c r="D298" s="4">
        <f>(Raw_Stock_Data!D298/Raw_Stock_Data!D297)-1</f>
        <v>7.5890826028019998E-3</v>
      </c>
      <c r="E298" s="4">
        <f>(Raw_Stock_Data!E298/Raw_Stock_Data!E297)-1</f>
        <v>2.5060709082078692E-2</v>
      </c>
      <c r="F298" s="4">
        <f>(Raw_Stock_Data!F298/Raw_Stock_Data!F297)-1</f>
        <v>-1.0469033051297538E-2</v>
      </c>
      <c r="G298" s="4">
        <f>(Raw_Stock_Data!G298/Raw_Stock_Data!G297)-1</f>
        <v>2.463524402202899E-2</v>
      </c>
      <c r="H298" s="4">
        <f>(Raw_Stock_Data!H298/Raw_Stock_Data!H297)-1</f>
        <v>5.7416495926050359E-3</v>
      </c>
      <c r="I298" s="4">
        <f>(Raw_Stock_Data!I298/Raw_Stock_Data!I297)-1</f>
        <v>1.5042406785085616E-2</v>
      </c>
      <c r="J298" s="4">
        <f>(Raw_Stock_Data!J298/Raw_Stock_Data!J297)-1</f>
        <v>-2.7597311502802757E-3</v>
      </c>
    </row>
    <row r="299" spans="1:10" x14ac:dyDescent="0.2">
      <c r="A299" s="2">
        <v>44629</v>
      </c>
      <c r="B299" s="4">
        <f>(Raw_Stock_Data!B299/Raw_Stock_Data!B298)-1</f>
        <v>3.498011683786495E-2</v>
      </c>
      <c r="C299" s="4">
        <f>(Raw_Stock_Data!C299/Raw_Stock_Data!C298)-1</f>
        <v>4.5863149143382964E-2</v>
      </c>
      <c r="D299" s="4">
        <f>(Raw_Stock_Data!D299/Raw_Stock_Data!D298)-1</f>
        <v>6.9719158919834934E-2</v>
      </c>
      <c r="E299" s="4">
        <f>(Raw_Stock_Data!E299/Raw_Stock_Data!E298)-1</f>
        <v>5.2307400739126209E-2</v>
      </c>
      <c r="F299" s="4">
        <f>(Raw_Stock_Data!F299/Raw_Stock_Data!F298)-1</f>
        <v>2.400488185039773E-2</v>
      </c>
      <c r="G299" s="4">
        <f>(Raw_Stock_Data!G299/Raw_Stock_Data!G298)-1</f>
        <v>4.1932314410480176E-2</v>
      </c>
      <c r="H299" s="4">
        <f>(Raw_Stock_Data!H299/Raw_Stock_Data!H298)-1</f>
        <v>4.969007856607055E-2</v>
      </c>
      <c r="I299" s="4">
        <f>(Raw_Stock_Data!I299/Raw_Stock_Data!I298)-1</f>
        <v>4.3144673918755538E-2</v>
      </c>
      <c r="J299" s="4">
        <f>(Raw_Stock_Data!J299/Raw_Stock_Data!J298)-1</f>
        <v>3.5949998241576075E-2</v>
      </c>
    </row>
    <row r="300" spans="1:10" x14ac:dyDescent="0.2">
      <c r="A300" s="2">
        <v>44630</v>
      </c>
      <c r="B300" s="4">
        <f>(Raw_Stock_Data!B300/Raw_Stock_Data!B299)-1</f>
        <v>-2.7170954237404676E-2</v>
      </c>
      <c r="C300" s="4">
        <f>(Raw_Stock_Data!C300/Raw_Stock_Data!C299)-1</f>
        <v>-1.0089109227116588E-2</v>
      </c>
      <c r="D300" s="4">
        <f>(Raw_Stock_Data!D300/Raw_Stock_Data!D299)-1</f>
        <v>-1.5465891486361905E-2</v>
      </c>
      <c r="E300" s="4">
        <f>(Raw_Stock_Data!E300/Raw_Stock_Data!E299)-1</f>
        <v>-4.1332733003151767E-2</v>
      </c>
      <c r="F300" s="4">
        <f>(Raw_Stock_Data!F300/Raw_Stock_Data!F299)-1</f>
        <v>5.4128763130120161E-2</v>
      </c>
      <c r="G300" s="4">
        <f>(Raw_Stock_Data!G300/Raw_Stock_Data!G299)-1</f>
        <v>-2.4063732218508438E-2</v>
      </c>
      <c r="H300" s="4">
        <f>(Raw_Stock_Data!H300/Raw_Stock_Data!H299)-1</f>
        <v>-7.4169913794399633E-3</v>
      </c>
      <c r="I300" s="4">
        <f>(Raw_Stock_Data!I300/Raw_Stock_Data!I299)-1</f>
        <v>-1.6574307304785818E-2</v>
      </c>
      <c r="J300" s="4">
        <f>(Raw_Stock_Data!J300/Raw_Stock_Data!J299)-1</f>
        <v>-9.4745219926747337E-3</v>
      </c>
    </row>
    <row r="301" spans="1:10" x14ac:dyDescent="0.2">
      <c r="A301" s="2">
        <v>44631</v>
      </c>
      <c r="B301" s="4">
        <f>(Raw_Stock_Data!B301/Raw_Stock_Data!B300)-1</f>
        <v>-2.3922398543686385E-2</v>
      </c>
      <c r="C301" s="4">
        <f>(Raw_Stock_Data!C301/Raw_Stock_Data!C300)-1</f>
        <v>-1.9333491069956299E-2</v>
      </c>
      <c r="D301" s="4">
        <f>(Raw_Stock_Data!D301/Raw_Stock_Data!D300)-1</f>
        <v>-2.4624075105417975E-2</v>
      </c>
      <c r="E301" s="4">
        <f>(Raw_Stock_Data!E301/Raw_Stock_Data!E300)-1</f>
        <v>-2.038324253240642E-2</v>
      </c>
      <c r="F301" s="4">
        <f>(Raw_Stock_Data!F301/Raw_Stock_Data!F300)-1</f>
        <v>-8.8136332057378031E-3</v>
      </c>
      <c r="G301" s="4">
        <f>(Raw_Stock_Data!G301/Raw_Stock_Data!G300)-1</f>
        <v>-5.1232316870233552E-2</v>
      </c>
      <c r="H301" s="4">
        <f>(Raw_Stock_Data!H301/Raw_Stock_Data!H300)-1</f>
        <v>-1.9332787680368502E-2</v>
      </c>
      <c r="I301" s="4">
        <f>(Raw_Stock_Data!I301/Raw_Stock_Data!I300)-1</f>
        <v>-3.8932431740177242E-2</v>
      </c>
      <c r="J301" s="4">
        <f>(Raw_Stock_Data!J301/Raw_Stock_Data!J300)-1</f>
        <v>-2.179366883067424E-2</v>
      </c>
    </row>
    <row r="302" spans="1:10" x14ac:dyDescent="0.2">
      <c r="A302" s="2">
        <v>44634</v>
      </c>
      <c r="B302" s="4">
        <f>(Raw_Stock_Data!B302/Raw_Stock_Data!B301)-1</f>
        <v>-2.6551646874299784E-2</v>
      </c>
      <c r="C302" s="4">
        <f>(Raw_Stock_Data!C302/Raw_Stock_Data!C301)-1</f>
        <v>-1.2951786308320501E-2</v>
      </c>
      <c r="D302" s="4">
        <f>(Raw_Stock_Data!D302/Raw_Stock_Data!D301)-1</f>
        <v>-3.4843726633766892E-2</v>
      </c>
      <c r="E302" s="4">
        <f>(Raw_Stock_Data!E302/Raw_Stock_Data!E301)-1</f>
        <v>-1.9560839965480969E-2</v>
      </c>
      <c r="F302" s="4">
        <f>(Raw_Stock_Data!F302/Raw_Stock_Data!F301)-1</f>
        <v>-2.5226079547016278E-2</v>
      </c>
      <c r="G302" s="4">
        <f>(Raw_Stock_Data!G302/Raw_Stock_Data!G301)-1</f>
        <v>-3.6436743022891904E-2</v>
      </c>
      <c r="H302" s="4">
        <f>(Raw_Stock_Data!H302/Raw_Stock_Data!H301)-1</f>
        <v>-3.0177510220168458E-2</v>
      </c>
      <c r="I302" s="4">
        <f>(Raw_Stock_Data!I302/Raw_Stock_Data!I301)-1</f>
        <v>-5.2236021534034505E-3</v>
      </c>
      <c r="J302" s="4">
        <f>(Raw_Stock_Data!J302/Raw_Stock_Data!J301)-1</f>
        <v>-2.0444867994777294E-2</v>
      </c>
    </row>
    <row r="303" spans="1:10" x14ac:dyDescent="0.2">
      <c r="A303" s="2">
        <v>44635</v>
      </c>
      <c r="B303" s="4">
        <f>(Raw_Stock_Data!B303/Raw_Stock_Data!B302)-1</f>
        <v>2.9658865502697696E-2</v>
      </c>
      <c r="C303" s="4">
        <f>(Raw_Stock_Data!C303/Raw_Stock_Data!C302)-1</f>
        <v>3.8739305951631664E-2</v>
      </c>
      <c r="D303" s="4">
        <f>(Raw_Stock_Data!D303/Raw_Stock_Data!D302)-1</f>
        <v>7.702059328957378E-2</v>
      </c>
      <c r="E303" s="4">
        <f>(Raw_Stock_Data!E303/Raw_Stock_Data!E302)-1</f>
        <v>6.9242053789731139E-2</v>
      </c>
      <c r="F303" s="4">
        <f>(Raw_Stock_Data!F303/Raw_Stock_Data!F302)-1</f>
        <v>3.8864176295178909E-2</v>
      </c>
      <c r="G303" s="4">
        <f>(Raw_Stock_Data!G303/Raw_Stock_Data!G302)-1</f>
        <v>4.6348309108773744E-2</v>
      </c>
      <c r="H303" s="4">
        <f>(Raw_Stock_Data!H303/Raw_Stock_Data!H302)-1</f>
        <v>2.577771403072604E-2</v>
      </c>
      <c r="I303" s="4">
        <f>(Raw_Stock_Data!I303/Raw_Stock_Data!I302)-1</f>
        <v>2.8934254942935222E-2</v>
      </c>
      <c r="J303" s="4">
        <f>(Raw_Stock_Data!J303/Raw_Stock_Data!J302)-1</f>
        <v>2.9202255425149648E-2</v>
      </c>
    </row>
    <row r="304" spans="1:10" x14ac:dyDescent="0.2">
      <c r="A304" s="2">
        <v>44636</v>
      </c>
      <c r="B304" s="4">
        <f>(Raw_Stock_Data!B304/Raw_Stock_Data!B303)-1</f>
        <v>2.9054400568069738E-2</v>
      </c>
      <c r="C304" s="4">
        <f>(Raw_Stock_Data!C304/Raw_Stock_Data!C303)-1</f>
        <v>2.5207687096659104E-2</v>
      </c>
      <c r="D304" s="4">
        <f>(Raw_Stock_Data!D304/Raw_Stock_Data!D303)-1</f>
        <v>6.6298727908416177E-2</v>
      </c>
      <c r="E304" s="4">
        <f>(Raw_Stock_Data!E304/Raw_Stock_Data!E303)-1</f>
        <v>5.5245586755693799E-2</v>
      </c>
      <c r="F304" s="4">
        <f>(Raw_Stock_Data!F304/Raw_Stock_Data!F303)-1</f>
        <v>3.8937068251835516E-2</v>
      </c>
      <c r="G304" s="4">
        <f>(Raw_Stock_Data!G304/Raw_Stock_Data!G303)-1</f>
        <v>4.7811984421822773E-2</v>
      </c>
      <c r="H304" s="4">
        <f>(Raw_Stock_Data!H304/Raw_Stock_Data!H303)-1</f>
        <v>3.1608548057577623E-2</v>
      </c>
      <c r="I304" s="4">
        <f>(Raw_Stock_Data!I304/Raw_Stock_Data!I303)-1</f>
        <v>6.0407228037285821E-2</v>
      </c>
      <c r="J304" s="4">
        <f>(Raw_Stock_Data!J304/Raw_Stock_Data!J303)-1</f>
        <v>3.7682007812415375E-2</v>
      </c>
    </row>
    <row r="305" spans="1:10" x14ac:dyDescent="0.2">
      <c r="A305" s="2">
        <v>44637</v>
      </c>
      <c r="B305" s="4">
        <f>(Raw_Stock_Data!B305/Raw_Stock_Data!B304)-1</f>
        <v>6.4084133586346237E-3</v>
      </c>
      <c r="C305" s="4">
        <f>(Raw_Stock_Data!C305/Raw_Stock_Data!C304)-1</f>
        <v>2.8239549280097975E-3</v>
      </c>
      <c r="D305" s="4">
        <f>(Raw_Stock_Data!D305/Raw_Stock_Data!D304)-1</f>
        <v>1.1026435644373889E-2</v>
      </c>
      <c r="E305" s="4">
        <f>(Raw_Stock_Data!E305/Raw_Stock_Data!E304)-1</f>
        <v>-3.1897373667331252E-2</v>
      </c>
      <c r="F305" s="4">
        <f>(Raw_Stock_Data!F305/Raw_Stock_Data!F304)-1</f>
        <v>2.7007785557529473E-2</v>
      </c>
      <c r="G305" s="4">
        <f>(Raw_Stock_Data!G305/Raw_Stock_Data!G304)-1</f>
        <v>3.7332590680420052E-2</v>
      </c>
      <c r="H305" s="4">
        <f>(Raw_Stock_Data!H305/Raw_Stock_Data!H304)-1</f>
        <v>4.1867469879517394E-3</v>
      </c>
      <c r="I305" s="4">
        <f>(Raw_Stock_Data!I305/Raw_Stock_Data!I304)-1</f>
        <v>2.0674753228895559E-2</v>
      </c>
      <c r="J305" s="4">
        <f>(Raw_Stock_Data!J305/Raw_Stock_Data!J304)-1</f>
        <v>1.3264565680922713E-2</v>
      </c>
    </row>
    <row r="306" spans="1:10" x14ac:dyDescent="0.2">
      <c r="A306" s="2">
        <v>44638</v>
      </c>
      <c r="B306" s="4">
        <f>(Raw_Stock_Data!B306/Raw_Stock_Data!B305)-1</f>
        <v>2.0950252672744529E-2</v>
      </c>
      <c r="C306" s="4">
        <f>(Raw_Stock_Data!C306/Raw_Stock_Data!C305)-1</f>
        <v>1.7648568416380073E-2</v>
      </c>
      <c r="D306" s="4">
        <f>(Raw_Stock_Data!D306/Raw_Stock_Data!D305)-1</f>
        <v>6.8114084216570836E-2</v>
      </c>
      <c r="E306" s="4">
        <f>(Raw_Stock_Data!E306/Raw_Stock_Data!E305)-1</f>
        <v>1.5847434864356691E-2</v>
      </c>
      <c r="F306" s="4">
        <f>(Raw_Stock_Data!F306/Raw_Stock_Data!F305)-1</f>
        <v>2.5515298367453365E-2</v>
      </c>
      <c r="G306" s="4">
        <f>(Raw_Stock_Data!G306/Raw_Stock_Data!G305)-1</f>
        <v>3.8770122498993365E-2</v>
      </c>
      <c r="H306" s="4">
        <f>(Raw_Stock_Data!H306/Raw_Stock_Data!H305)-1</f>
        <v>1.708959476888916E-2</v>
      </c>
      <c r="I306" s="4">
        <f>(Raw_Stock_Data!I306/Raw_Stock_Data!I305)-1</f>
        <v>4.1618552732871406E-2</v>
      </c>
      <c r="J306" s="4">
        <f>(Raw_Stock_Data!J306/Raw_Stock_Data!J305)-1</f>
        <v>2.0496842402154103E-2</v>
      </c>
    </row>
    <row r="307" spans="1:10" x14ac:dyDescent="0.2">
      <c r="A307" s="2">
        <v>44641</v>
      </c>
      <c r="B307" s="4">
        <f>(Raw_Stock_Data!B307/Raw_Stock_Data!B306)-1</f>
        <v>8.5563625509899044E-3</v>
      </c>
      <c r="C307" s="4">
        <f>(Raw_Stock_Data!C307/Raw_Stock_Data!C306)-1</f>
        <v>-4.2291295354091041E-3</v>
      </c>
      <c r="D307" s="4">
        <f>(Raw_Stock_Data!D307/Raw_Stock_Data!D306)-1</f>
        <v>1.0627141423892983E-2</v>
      </c>
      <c r="E307" s="4">
        <f>(Raw_Stock_Data!E307/Raw_Stock_Data!E306)-1</f>
        <v>2.1681649920676893E-2</v>
      </c>
      <c r="F307" s="4">
        <f>(Raw_Stock_Data!F307/Raw_Stock_Data!F306)-1</f>
        <v>1.4945643747945603E-3</v>
      </c>
      <c r="G307" s="4">
        <f>(Raw_Stock_Data!G307/Raw_Stock_Data!G306)-1</f>
        <v>1.7415680076342532E-2</v>
      </c>
      <c r="H307" s="4">
        <f>(Raw_Stock_Data!H307/Raw_Stock_Data!H306)-1</f>
        <v>-1.7694547867441734E-4</v>
      </c>
      <c r="I307" s="4">
        <f>(Raw_Stock_Data!I307/Raw_Stock_Data!I306)-1</f>
        <v>-2.3095755000230977E-2</v>
      </c>
      <c r="J307" s="4">
        <f>(Raw_Stock_Data!J307/Raw_Stock_Data!J306)-1</f>
        <v>-3.985939092432389E-3</v>
      </c>
    </row>
    <row r="308" spans="1:10" x14ac:dyDescent="0.2">
      <c r="A308" s="2">
        <v>44642</v>
      </c>
      <c r="B308" s="4">
        <f>(Raw_Stock_Data!B308/Raw_Stock_Data!B307)-1</f>
        <v>2.075934694682835E-2</v>
      </c>
      <c r="C308" s="4">
        <f>(Raw_Stock_Data!C308/Raw_Stock_Data!C307)-1</f>
        <v>1.6379192334017745E-2</v>
      </c>
      <c r="D308" s="4">
        <f>(Raw_Stock_Data!D308/Raw_Stock_Data!D307)-1</f>
        <v>-7.855639052678054E-3</v>
      </c>
      <c r="E308" s="4">
        <f>(Raw_Stock_Data!E308/Raw_Stock_Data!E307)-1</f>
        <v>-9.8343685300207317E-3</v>
      </c>
      <c r="F308" s="4">
        <f>(Raw_Stock_Data!F308/Raw_Stock_Data!F307)-1</f>
        <v>2.1035097713818729E-2</v>
      </c>
      <c r="G308" s="4">
        <f>(Raw_Stock_Data!G308/Raw_Stock_Data!G307)-1</f>
        <v>7.9054756019319106E-2</v>
      </c>
      <c r="H308" s="4">
        <f>(Raw_Stock_Data!H308/Raw_Stock_Data!H307)-1</f>
        <v>2.7667372115831368E-2</v>
      </c>
      <c r="I308" s="4">
        <f>(Raw_Stock_Data!I308/Raw_Stock_Data!I307)-1</f>
        <v>2.4398316705281475E-2</v>
      </c>
      <c r="J308" s="4">
        <f>(Raw_Stock_Data!J308/Raw_Stock_Data!J307)-1</f>
        <v>1.9536855979639389E-2</v>
      </c>
    </row>
    <row r="309" spans="1:10" x14ac:dyDescent="0.2">
      <c r="A309" s="2">
        <v>44643</v>
      </c>
      <c r="B309" s="4">
        <f>(Raw_Stock_Data!B309/Raw_Stock_Data!B308)-1</f>
        <v>8.2508350497405569E-3</v>
      </c>
      <c r="C309" s="4">
        <f>(Raw_Stock_Data!C309/Raw_Stock_Data!C308)-1</f>
        <v>-1.5031011562834595E-2</v>
      </c>
      <c r="D309" s="4">
        <f>(Raw_Stock_Data!D309/Raw_Stock_Data!D308)-1</f>
        <v>-3.355925163775042E-2</v>
      </c>
      <c r="E309" s="4">
        <f>(Raw_Stock_Data!E309/Raw_Stock_Data!E308)-1</f>
        <v>-7.4925945286635764E-3</v>
      </c>
      <c r="F309" s="4">
        <f>(Raw_Stock_Data!F309/Raw_Stock_Data!F308)-1</f>
        <v>-8.9817998774934793E-3</v>
      </c>
      <c r="G309" s="4">
        <f>(Raw_Stock_Data!G309/Raw_Stock_Data!G308)-1</f>
        <v>5.1610644469057831E-3</v>
      </c>
      <c r="H309" s="4">
        <f>(Raw_Stock_Data!H309/Raw_Stock_Data!H308)-1</f>
        <v>-1.1387527536003028E-2</v>
      </c>
      <c r="I309" s="4">
        <f>(Raw_Stock_Data!I309/Raw_Stock_Data!I308)-1</f>
        <v>-1.4724209554581091E-2</v>
      </c>
      <c r="J309" s="4">
        <f>(Raw_Stock_Data!J309/Raw_Stock_Data!J308)-1</f>
        <v>-1.3198835905483208E-2</v>
      </c>
    </row>
    <row r="310" spans="1:10" x14ac:dyDescent="0.2">
      <c r="A310" s="2">
        <v>44644</v>
      </c>
      <c r="B310" s="4">
        <f>(Raw_Stock_Data!B310/Raw_Stock_Data!B309)-1</f>
        <v>2.2656881833158504E-2</v>
      </c>
      <c r="C310" s="4">
        <f>(Raw_Stock_Data!C310/Raw_Stock_Data!C309)-1</f>
        <v>1.5393713977068346E-2</v>
      </c>
      <c r="D310" s="4">
        <f>(Raw_Stock_Data!D310/Raw_Stock_Data!D309)-1</f>
        <v>9.815711232746116E-2</v>
      </c>
      <c r="E310" s="4">
        <f>(Raw_Stock_Data!E310/Raw_Stock_Data!E309)-1</f>
        <v>5.8023174157303403E-2</v>
      </c>
      <c r="F310" s="4">
        <f>(Raw_Stock_Data!F310/Raw_Stock_Data!F309)-1</f>
        <v>1.4809556447665795E-3</v>
      </c>
      <c r="G310" s="4">
        <f>(Raw_Stock_Data!G310/Raw_Stock_Data!G309)-1</f>
        <v>1.4821176025486826E-2</v>
      </c>
      <c r="H310" s="4">
        <f>(Raw_Stock_Data!H310/Raw_Stock_Data!H309)-1</f>
        <v>2.3843049587736642E-2</v>
      </c>
      <c r="I310" s="4">
        <f>(Raw_Stock_Data!I310/Raw_Stock_Data!I309)-1</f>
        <v>2.862362971985366E-2</v>
      </c>
      <c r="J310" s="4">
        <f>(Raw_Stock_Data!J310/Raw_Stock_Data!J309)-1</f>
        <v>1.9338341976354867E-2</v>
      </c>
    </row>
    <row r="311" spans="1:10" x14ac:dyDescent="0.2">
      <c r="A311" s="2">
        <v>44645</v>
      </c>
      <c r="B311" s="4">
        <f>(Raw_Stock_Data!B311/Raw_Stock_Data!B310)-1</f>
        <v>3.7373979977388672E-3</v>
      </c>
      <c r="C311" s="4">
        <f>(Raw_Stock_Data!C311/Raw_Stock_Data!C310)-1</f>
        <v>-1.3870886289032436E-3</v>
      </c>
      <c r="D311" s="4">
        <f>(Raw_Stock_Data!D311/Raw_Stock_Data!D310)-1</f>
        <v>-1.627644700282127E-2</v>
      </c>
      <c r="E311" s="4">
        <f>(Raw_Stock_Data!E311/Raw_Stock_Data!E310)-1</f>
        <v>-7.1351530739235391E-3</v>
      </c>
      <c r="F311" s="4">
        <f>(Raw_Stock_Data!F311/Raw_Stock_Data!F310)-1</f>
        <v>6.8622059272838154E-3</v>
      </c>
      <c r="G311" s="4">
        <f>(Raw_Stock_Data!G311/Raw_Stock_Data!G310)-1</f>
        <v>-3.2339861468224651E-3</v>
      </c>
      <c r="H311" s="4">
        <f>(Raw_Stock_Data!H311/Raw_Stock_Data!H310)-1</f>
        <v>7.089131652262548E-4</v>
      </c>
      <c r="I311" s="4">
        <f>(Raw_Stock_Data!I311/Raw_Stock_Data!I310)-1</f>
        <v>1.0247301543926834E-2</v>
      </c>
      <c r="J311" s="4">
        <f>(Raw_Stock_Data!J311/Raw_Stock_Data!J310)-1</f>
        <v>-1.5882366204805765E-3</v>
      </c>
    </row>
    <row r="312" spans="1:10" x14ac:dyDescent="0.2">
      <c r="A312" s="2">
        <v>44648</v>
      </c>
      <c r="B312" s="4">
        <f>(Raw_Stock_Data!B312/Raw_Stock_Data!B311)-1</f>
        <v>5.0482943768421773E-3</v>
      </c>
      <c r="C312" s="4">
        <f>(Raw_Stock_Data!C312/Raw_Stock_Data!C311)-1</f>
        <v>2.3124407898507338E-2</v>
      </c>
      <c r="D312" s="4">
        <f>(Raw_Stock_Data!D312/Raw_Stock_Data!D311)-1</f>
        <v>1.903756157190073E-2</v>
      </c>
      <c r="E312" s="4">
        <f>(Raw_Stock_Data!E312/Raw_Stock_Data!E311)-1</f>
        <v>4.763098520932596E-3</v>
      </c>
      <c r="F312" s="4">
        <f>(Raw_Stock_Data!F312/Raw_Stock_Data!F311)-1</f>
        <v>2.5592785225734938E-2</v>
      </c>
      <c r="G312" s="4">
        <f>(Raw_Stock_Data!G312/Raw_Stock_Data!G311)-1</f>
        <v>8.0346117311802523E-2</v>
      </c>
      <c r="H312" s="4">
        <f>(Raw_Stock_Data!H312/Raw_Stock_Data!H311)-1</f>
        <v>-1.5301676808751052E-3</v>
      </c>
      <c r="I312" s="4">
        <f>(Raw_Stock_Data!I312/Raw_Stock_Data!I311)-1</f>
        <v>7.9794427914525734E-3</v>
      </c>
      <c r="J312" s="4">
        <f>(Raw_Stock_Data!J312/Raw_Stock_Data!J311)-1</f>
        <v>1.3098741645670486E-2</v>
      </c>
    </row>
    <row r="313" spans="1:10" x14ac:dyDescent="0.2">
      <c r="A313" s="2">
        <v>44649</v>
      </c>
      <c r="B313" s="4">
        <f>(Raw_Stock_Data!B313/Raw_Stock_Data!B312)-1</f>
        <v>1.9145229661459817E-2</v>
      </c>
      <c r="C313" s="4">
        <f>(Raw_Stock_Data!C313/Raw_Stock_Data!C312)-1</f>
        <v>1.5161201033373706E-2</v>
      </c>
      <c r="D313" s="4">
        <f>(Raw_Stock_Data!D313/Raw_Stock_Data!D312)-1</f>
        <v>1.5484260212229817E-2</v>
      </c>
      <c r="E313" s="4">
        <f>(Raw_Stock_Data!E313/Raw_Stock_Data!E312)-1</f>
        <v>2.4866932801064667E-2</v>
      </c>
      <c r="F313" s="4">
        <f>(Raw_Stock_Data!F313/Raw_Stock_Data!F312)-1</f>
        <v>1.9231907213443922E-3</v>
      </c>
      <c r="G313" s="4">
        <f>(Raw_Stock_Data!G313/Raw_Stock_Data!G312)-1</f>
        <v>7.0779536580876101E-3</v>
      </c>
      <c r="H313" s="4">
        <f>(Raw_Stock_Data!H313/Raw_Stock_Data!H312)-1</f>
        <v>7.4213345631275462E-3</v>
      </c>
      <c r="I313" s="4">
        <f>(Raw_Stock_Data!I313/Raw_Stock_Data!I312)-1</f>
        <v>2.8042399033946008E-2</v>
      </c>
      <c r="J313" s="4">
        <f>(Raw_Stock_Data!J313/Raw_Stock_Data!J312)-1</f>
        <v>1.8442483054566639E-2</v>
      </c>
    </row>
    <row r="314" spans="1:10" x14ac:dyDescent="0.2">
      <c r="A314" s="2">
        <v>44650</v>
      </c>
      <c r="B314" s="4">
        <f>(Raw_Stock_Data!B314/Raw_Stock_Data!B313)-1</f>
        <v>-6.6493074350311154E-3</v>
      </c>
      <c r="C314" s="4">
        <f>(Raw_Stock_Data!C314/Raw_Stock_Data!C313)-1</f>
        <v>-4.9144196343072766E-3</v>
      </c>
      <c r="D314" s="4">
        <f>(Raw_Stock_Data!D314/Raw_Stock_Data!D313)-1</f>
        <v>-3.3715090534821246E-2</v>
      </c>
      <c r="E314" s="4">
        <f>(Raw_Stock_Data!E314/Raw_Stock_Data!E313)-1</f>
        <v>-3.2540777408098687E-2</v>
      </c>
      <c r="F314" s="4">
        <f>(Raw_Stock_Data!F314/Raw_Stock_Data!F313)-1</f>
        <v>-1.7801139887192563E-2</v>
      </c>
      <c r="G314" s="4">
        <f>(Raw_Stock_Data!G314/Raw_Stock_Data!G313)-1</f>
        <v>-5.0747156385820835E-3</v>
      </c>
      <c r="H314" s="4">
        <f>(Raw_Stock_Data!H314/Raw_Stock_Data!H313)-1</f>
        <v>-3.9861681374171454E-3</v>
      </c>
      <c r="I314" s="4">
        <f>(Raw_Stock_Data!I314/Raw_Stock_Data!I313)-1</f>
        <v>-8.7444531453929608E-3</v>
      </c>
      <c r="J314" s="4">
        <f>(Raw_Stock_Data!J314/Raw_Stock_Data!J313)-1</f>
        <v>-1.2132309687516218E-2</v>
      </c>
    </row>
    <row r="315" spans="1:10" x14ac:dyDescent="0.2">
      <c r="A315" s="2">
        <v>44651</v>
      </c>
      <c r="B315" s="4">
        <f>(Raw_Stock_Data!B315/Raw_Stock_Data!B314)-1</f>
        <v>-1.7804290466903794E-2</v>
      </c>
      <c r="C315" s="4">
        <f>(Raw_Stock_Data!C315/Raw_Stock_Data!C314)-1</f>
        <v>-1.7689906347554629E-2</v>
      </c>
      <c r="D315" s="4">
        <f>(Raw_Stock_Data!D315/Raw_Stock_Data!D314)-1</f>
        <v>-1.4583016861613229E-2</v>
      </c>
      <c r="E315" s="4">
        <f>(Raw_Stock_Data!E315/Raw_Stock_Data!E314)-1</f>
        <v>-8.2872001342056634E-2</v>
      </c>
      <c r="F315" s="4">
        <f>(Raw_Stock_Data!F315/Raw_Stock_Data!F314)-1</f>
        <v>-1.9861576298398687E-2</v>
      </c>
      <c r="G315" s="4">
        <f>(Raw_Stock_Data!G315/Raw_Stock_Data!G314)-1</f>
        <v>-1.4980955018743414E-2</v>
      </c>
      <c r="H315" s="4">
        <f>(Raw_Stock_Data!H315/Raw_Stock_Data!H314)-1</f>
        <v>-2.0215662011667024E-2</v>
      </c>
      <c r="I315" s="4">
        <f>(Raw_Stock_Data!I315/Raw_Stock_Data!I314)-1</f>
        <v>-2.4094799210006457E-2</v>
      </c>
      <c r="J315" s="4">
        <f>(Raw_Stock_Data!J315/Raw_Stock_Data!J314)-1</f>
        <v>-1.535423447975981E-2</v>
      </c>
    </row>
    <row r="316" spans="1:10" x14ac:dyDescent="0.2">
      <c r="A316" s="2">
        <v>44652</v>
      </c>
      <c r="B316" s="4">
        <f>(Raw_Stock_Data!B316/Raw_Stock_Data!B315)-1</f>
        <v>-1.7169286832207087E-3</v>
      </c>
      <c r="C316" s="4">
        <f>(Raw_Stock_Data!C316/Raw_Stock_Data!C315)-1</f>
        <v>3.6063439774718375E-3</v>
      </c>
      <c r="D316" s="4">
        <f>(Raw_Stock_Data!D316/Raw_Stock_Data!D315)-1</f>
        <v>-2.10347434796333E-2</v>
      </c>
      <c r="E316" s="4">
        <f>(Raw_Stock_Data!E316/Raw_Stock_Data!E315)-1</f>
        <v>-1.0517651362721869E-2</v>
      </c>
      <c r="F316" s="4">
        <f>(Raw_Stock_Data!F316/Raw_Stock_Data!F315)-1</f>
        <v>3.4478950661971375E-3</v>
      </c>
      <c r="G316" s="4">
        <f>(Raw_Stock_Data!G316/Raw_Stock_Data!G315)-1</f>
        <v>6.4866369710467886E-3</v>
      </c>
      <c r="H316" s="4">
        <f>(Raw_Stock_Data!H316/Raw_Stock_Data!H315)-1</f>
        <v>7.7796862145114165E-3</v>
      </c>
      <c r="I316" s="4">
        <f>(Raw_Stock_Data!I316/Raw_Stock_Data!I315)-1</f>
        <v>1.1198057204533152E-2</v>
      </c>
      <c r="J316" s="4">
        <f>(Raw_Stock_Data!J316/Raw_Stock_Data!J315)-1</f>
        <v>2.8817511595917722E-3</v>
      </c>
    </row>
    <row r="317" spans="1:10" x14ac:dyDescent="0.2">
      <c r="A317" s="2">
        <v>44655</v>
      </c>
      <c r="B317" s="4">
        <f>(Raw_Stock_Data!B317/Raw_Stock_Data!B316)-1</f>
        <v>2.3721496179990975E-2</v>
      </c>
      <c r="C317" s="4">
        <f>(Raw_Stock_Data!C317/Raw_Stock_Data!C316)-1</f>
        <v>1.7933836716056417E-2</v>
      </c>
      <c r="D317" s="4">
        <f>(Raw_Stock_Data!D317/Raw_Stock_Data!D316)-1</f>
        <v>2.4257375629398226E-2</v>
      </c>
      <c r="E317" s="4">
        <f>(Raw_Stock_Data!E317/Raw_Stock_Data!E316)-1</f>
        <v>2.1628616323135175E-2</v>
      </c>
      <c r="F317" s="4">
        <f>(Raw_Stock_Data!F317/Raw_Stock_Data!F316)-1</f>
        <v>2.9261433113230595E-2</v>
      </c>
      <c r="G317" s="4">
        <f>(Raw_Stock_Data!G317/Raw_Stock_Data!G316)-1</f>
        <v>5.6114292036622215E-2</v>
      </c>
      <c r="H317" s="4">
        <f>(Raw_Stock_Data!H317/Raw_Stock_Data!H316)-1</f>
        <v>2.0136919595542757E-2</v>
      </c>
      <c r="I317" s="4">
        <f>(Raw_Stock_Data!I317/Raw_Stock_Data!I316)-1</f>
        <v>4.020458083166556E-2</v>
      </c>
      <c r="J317" s="4">
        <f>(Raw_Stock_Data!J317/Raw_Stock_Data!J316)-1</f>
        <v>1.9005714686393338E-2</v>
      </c>
    </row>
    <row r="318" spans="1:10" x14ac:dyDescent="0.2">
      <c r="A318" s="2">
        <v>44656</v>
      </c>
      <c r="B318" s="4">
        <f>(Raw_Stock_Data!B318/Raw_Stock_Data!B317)-1</f>
        <v>-1.8954610650468329E-2</v>
      </c>
      <c r="C318" s="4">
        <f>(Raw_Stock_Data!C318/Raw_Stock_Data!C317)-1</f>
        <v>-1.2985873190266672E-2</v>
      </c>
      <c r="D318" s="4">
        <f>(Raw_Stock_Data!D318/Raw_Stock_Data!D317)-1</f>
        <v>-5.2230474426504303E-2</v>
      </c>
      <c r="E318" s="4">
        <f>(Raw_Stock_Data!E318/Raw_Stock_Data!E317)-1</f>
        <v>-3.3565547815072927E-2</v>
      </c>
      <c r="F318" s="4">
        <f>(Raw_Stock_Data!F318/Raw_Stock_Data!F317)-1</f>
        <v>-2.5489171111876763E-2</v>
      </c>
      <c r="G318" s="4">
        <f>(Raw_Stock_Data!G318/Raw_Stock_Data!G317)-1</f>
        <v>-4.7310622628117693E-2</v>
      </c>
      <c r="H318" s="4">
        <f>(Raw_Stock_Data!H318/Raw_Stock_Data!H317)-1</f>
        <v>-1.66577750322906E-2</v>
      </c>
      <c r="I318" s="4">
        <f>(Raw_Stock_Data!I318/Raw_Stock_Data!I317)-1</f>
        <v>-8.7648039676770928E-3</v>
      </c>
      <c r="J318" s="4">
        <f>(Raw_Stock_Data!J318/Raw_Stock_Data!J317)-1</f>
        <v>-2.2596172041382867E-2</v>
      </c>
    </row>
    <row r="319" spans="1:10" x14ac:dyDescent="0.2">
      <c r="A319" s="2">
        <v>44657</v>
      </c>
      <c r="B319" s="4">
        <f>(Raw_Stock_Data!B319/Raw_Stock_Data!B318)-1</f>
        <v>-1.8423811742777296E-2</v>
      </c>
      <c r="C319" s="4">
        <f>(Raw_Stock_Data!C319/Raw_Stock_Data!C318)-1</f>
        <v>-3.6605005154011105E-2</v>
      </c>
      <c r="D319" s="4">
        <f>(Raw_Stock_Data!D319/Raw_Stock_Data!D318)-1</f>
        <v>-5.8766278908096603E-2</v>
      </c>
      <c r="E319" s="4">
        <f>(Raw_Stock_Data!E319/Raw_Stock_Data!E318)-1</f>
        <v>-2.9488859764088993E-2</v>
      </c>
      <c r="F319" s="4">
        <f>(Raw_Stock_Data!F319/Raw_Stock_Data!F318)-1</f>
        <v>-3.2300143244643587E-2</v>
      </c>
      <c r="G319" s="4">
        <f>(Raw_Stock_Data!G319/Raw_Stock_Data!G318)-1</f>
        <v>-4.1693126929537305E-2</v>
      </c>
      <c r="H319" s="4">
        <f>(Raw_Stock_Data!H319/Raw_Stock_Data!H318)-1</f>
        <v>-2.8761519956026049E-2</v>
      </c>
      <c r="I319" s="4">
        <f>(Raw_Stock_Data!I319/Raw_Stock_Data!I318)-1</f>
        <v>-3.6835748792270473E-2</v>
      </c>
      <c r="J319" s="4">
        <f>(Raw_Stock_Data!J319/Raw_Stock_Data!J318)-1</f>
        <v>-2.2201226822827436E-2</v>
      </c>
    </row>
    <row r="320" spans="1:10" x14ac:dyDescent="0.2">
      <c r="A320" s="2">
        <v>44658</v>
      </c>
      <c r="B320" s="4">
        <f>(Raw_Stock_Data!B320/Raw_Stock_Data!B319)-1</f>
        <v>1.7980381801241396E-3</v>
      </c>
      <c r="C320" s="4">
        <f>(Raw_Stock_Data!C320/Raw_Stock_Data!C319)-1</f>
        <v>6.2454705809962263E-3</v>
      </c>
      <c r="D320" s="4">
        <f>(Raw_Stock_Data!D320/Raw_Stock_Data!D319)-1</f>
        <v>-8.1614062730808179E-3</v>
      </c>
      <c r="E320" s="4">
        <f>(Raw_Stock_Data!E320/Raw_Stock_Data!E319)-1</f>
        <v>4.8229960451440235E-4</v>
      </c>
      <c r="F320" s="4">
        <f>(Raw_Stock_Data!F320/Raw_Stock_Data!F319)-1</f>
        <v>-6.1226032401925368E-3</v>
      </c>
      <c r="G320" s="4">
        <f>(Raw_Stock_Data!G320/Raw_Stock_Data!G319)-1</f>
        <v>1.0995820268684842E-2</v>
      </c>
      <c r="H320" s="4">
        <f>(Raw_Stock_Data!H320/Raw_Stock_Data!H319)-1</f>
        <v>-4.8289649697914605E-3</v>
      </c>
      <c r="I320" s="4">
        <f>(Raw_Stock_Data!I320/Raw_Stock_Data!I319)-1</f>
        <v>-1.5673981191223207E-3</v>
      </c>
      <c r="J320" s="4">
        <f>(Raw_Stock_Data!J320/Raw_Stock_Data!J319)-1</f>
        <v>6.1056302839257448E-4</v>
      </c>
    </row>
    <row r="321" spans="1:10" x14ac:dyDescent="0.2">
      <c r="A321" s="2">
        <v>44659</v>
      </c>
      <c r="B321" s="4">
        <f>(Raw_Stock_Data!B321/Raw_Stock_Data!B320)-1</f>
        <v>-1.1929866129605338E-2</v>
      </c>
      <c r="C321" s="4">
        <f>(Raw_Stock_Data!C321/Raw_Stock_Data!C320)-1</f>
        <v>-1.4601218240312019E-2</v>
      </c>
      <c r="D321" s="4">
        <f>(Raw_Stock_Data!D321/Raw_Stock_Data!D320)-1</f>
        <v>-4.4986120247063832E-2</v>
      </c>
      <c r="E321" s="4">
        <f>(Raw_Stock_Data!E321/Raw_Stock_Data!E320)-1</f>
        <v>-2.6224450443501746E-2</v>
      </c>
      <c r="F321" s="4">
        <f>(Raw_Stock_Data!F321/Raw_Stock_Data!F320)-1</f>
        <v>-2.1066774831414947E-2</v>
      </c>
      <c r="G321" s="4">
        <f>(Raw_Stock_Data!G321/Raw_Stock_Data!G320)-1</f>
        <v>-3.0049372907326566E-2</v>
      </c>
      <c r="H321" s="4">
        <f>(Raw_Stock_Data!H321/Raw_Stock_Data!H320)-1</f>
        <v>-1.9128931955656348E-2</v>
      </c>
      <c r="I321" s="4">
        <f>(Raw_Stock_Data!I321/Raw_Stock_Data!I320)-1</f>
        <v>-2.7808925768108006E-3</v>
      </c>
      <c r="J321" s="4">
        <f>(Raw_Stock_Data!J321/Raw_Stock_Data!J320)-1</f>
        <v>-1.3405481640318517E-2</v>
      </c>
    </row>
    <row r="322" spans="1:10" x14ac:dyDescent="0.2">
      <c r="A322" s="2">
        <v>44662</v>
      </c>
      <c r="B322" s="4">
        <f>(Raw_Stock_Data!B322/Raw_Stock_Data!B321)-1</f>
        <v>-2.5502679759720981E-2</v>
      </c>
      <c r="C322" s="4">
        <f>(Raw_Stock_Data!C322/Raw_Stock_Data!C321)-1</f>
        <v>-3.9433084764928683E-2</v>
      </c>
      <c r="D322" s="4">
        <f>(Raw_Stock_Data!D322/Raw_Stock_Data!D321)-1</f>
        <v>-5.1987264181593718E-2</v>
      </c>
      <c r="E322" s="4">
        <f>(Raw_Stock_Data!E322/Raw_Stock_Data!E321)-1</f>
        <v>-3.5940594059405861E-2</v>
      </c>
      <c r="F322" s="4">
        <f>(Raw_Stock_Data!F322/Raw_Stock_Data!F321)-1</f>
        <v>-2.1610773015667495E-2</v>
      </c>
      <c r="G322" s="4">
        <f>(Raw_Stock_Data!G322/Raw_Stock_Data!G321)-1</f>
        <v>-4.8328116315127345E-2</v>
      </c>
      <c r="H322" s="4">
        <f>(Raw_Stock_Data!H322/Raw_Stock_Data!H321)-1</f>
        <v>-3.3499740224536279E-2</v>
      </c>
      <c r="I322" s="4">
        <f>(Raw_Stock_Data!I322/Raw_Stock_Data!I321)-1</f>
        <v>-2.6402194935456369E-2</v>
      </c>
      <c r="J322" s="4">
        <f>(Raw_Stock_Data!J322/Raw_Stock_Data!J321)-1</f>
        <v>-2.1810225366494129E-2</v>
      </c>
    </row>
    <row r="323" spans="1:10" x14ac:dyDescent="0.2">
      <c r="A323" s="2">
        <v>44663</v>
      </c>
      <c r="B323" s="4">
        <f>(Raw_Stock_Data!B323/Raw_Stock_Data!B322)-1</f>
        <v>1.14978591466115E-2</v>
      </c>
      <c r="C323" s="4">
        <f>(Raw_Stock_Data!C323/Raw_Stock_Data!C322)-1</f>
        <v>-1.1212283264482759E-2</v>
      </c>
      <c r="D323" s="4">
        <f>(Raw_Stock_Data!D323/Raw_Stock_Data!D322)-1</f>
        <v>-1.8844473689020425E-2</v>
      </c>
      <c r="E323" s="4">
        <f>(Raw_Stock_Data!E323/Raw_Stock_Data!E322)-1</f>
        <v>-2.3313135462668222E-2</v>
      </c>
      <c r="F323" s="4">
        <f>(Raw_Stock_Data!F323/Raw_Stock_Data!F322)-1</f>
        <v>-2.2101348579294244E-3</v>
      </c>
      <c r="G323" s="4">
        <f>(Raw_Stock_Data!G323/Raw_Stock_Data!G322)-1</f>
        <v>1.1290768805139795E-2</v>
      </c>
      <c r="H323" s="4">
        <f>(Raw_Stock_Data!H323/Raw_Stock_Data!H322)-1</f>
        <v>-8.6087349444522454E-3</v>
      </c>
      <c r="I323" s="4">
        <f>(Raw_Stock_Data!I323/Raw_Stock_Data!I322)-1</f>
        <v>-1.0717915550217283E-2</v>
      </c>
      <c r="J323" s="4">
        <f>(Raw_Stock_Data!J323/Raw_Stock_Data!J322)-1</f>
        <v>-3.0114912361801638E-3</v>
      </c>
    </row>
    <row r="324" spans="1:10" x14ac:dyDescent="0.2">
      <c r="A324" s="2">
        <v>44664</v>
      </c>
      <c r="B324" s="4">
        <f>(Raw_Stock_Data!B324/Raw_Stock_Data!B323)-1</f>
        <v>1.6360440576325352E-2</v>
      </c>
      <c r="C324" s="4">
        <f>(Raw_Stock_Data!C324/Raw_Stock_Data!C323)-1</f>
        <v>1.9716949970780107E-2</v>
      </c>
      <c r="D324" s="4">
        <f>(Raw_Stock_Data!D324/Raw_Stock_Data!D323)-1</f>
        <v>3.2507451564828704E-2</v>
      </c>
      <c r="E324" s="4">
        <f>(Raw_Stock_Data!E324/Raw_Stock_Data!E323)-1</f>
        <v>2.7760252365930604E-2</v>
      </c>
      <c r="F324" s="4">
        <f>(Raw_Stock_Data!F324/Raw_Stock_Data!F323)-1</f>
        <v>3.1521075947688049E-2</v>
      </c>
      <c r="G324" s="4">
        <f>(Raw_Stock_Data!G324/Raw_Stock_Data!G323)-1</f>
        <v>3.588939246100864E-2</v>
      </c>
      <c r="H324" s="4">
        <f>(Raw_Stock_Data!H324/Raw_Stock_Data!H323)-1</f>
        <v>1.706835988149602E-2</v>
      </c>
      <c r="I324" s="4">
        <f>(Raw_Stock_Data!I324/Raw_Stock_Data!I323)-1</f>
        <v>3.9693658354349459E-3</v>
      </c>
      <c r="J324" s="4">
        <f>(Raw_Stock_Data!J324/Raw_Stock_Data!J323)-1</f>
        <v>2.0343160900328172E-2</v>
      </c>
    </row>
    <row r="325" spans="1:10" x14ac:dyDescent="0.2">
      <c r="A325" s="2">
        <v>44665</v>
      </c>
      <c r="B325" s="4">
        <f>(Raw_Stock_Data!B325/Raw_Stock_Data!B324)-1</f>
        <v>-2.9974089078516619E-2</v>
      </c>
      <c r="C325" s="4">
        <f>(Raw_Stock_Data!C325/Raw_Stock_Data!C324)-1</f>
        <v>-2.7088502158892913E-2</v>
      </c>
      <c r="D325" s="4">
        <f>(Raw_Stock_Data!D325/Raw_Stock_Data!D324)-1</f>
        <v>-4.2562020748759588E-2</v>
      </c>
      <c r="E325" s="4">
        <f>(Raw_Stock_Data!E325/Raw_Stock_Data!E324)-1</f>
        <v>-4.7882136279926213E-2</v>
      </c>
      <c r="F325" s="4">
        <f>(Raw_Stock_Data!F325/Raw_Stock_Data!F324)-1</f>
        <v>-2.4655878514346696E-2</v>
      </c>
      <c r="G325" s="4">
        <f>(Raw_Stock_Data!G325/Raw_Stock_Data!G324)-1</f>
        <v>-3.6553302620382033E-2</v>
      </c>
      <c r="H325" s="4">
        <f>(Raw_Stock_Data!H325/Raw_Stock_Data!H324)-1</f>
        <v>-2.4361599381881427E-2</v>
      </c>
      <c r="I325" s="4">
        <f>(Raw_Stock_Data!I325/Raw_Stock_Data!I324)-1</f>
        <v>-2.2373133634122522E-2</v>
      </c>
      <c r="J325" s="4">
        <f>(Raw_Stock_Data!J325/Raw_Stock_Data!J324)-1</f>
        <v>-2.1439371895520143E-2</v>
      </c>
    </row>
    <row r="326" spans="1:10" x14ac:dyDescent="0.2">
      <c r="A326" s="2">
        <v>44669</v>
      </c>
      <c r="B326" s="4">
        <f>(Raw_Stock_Data!B326/Raw_Stock_Data!B325)-1</f>
        <v>-1.3386633107550505E-3</v>
      </c>
      <c r="C326" s="4">
        <f>(Raw_Stock_Data!C326/Raw_Stock_Data!C325)-1</f>
        <v>2.4586475243393302E-3</v>
      </c>
      <c r="D326" s="4">
        <f>(Raw_Stock_Data!D326/Raw_Stock_Data!D325)-1</f>
        <v>2.4686239776881447E-2</v>
      </c>
      <c r="E326" s="4">
        <f>(Raw_Stock_Data!E326/Raw_Stock_Data!E325)-1</f>
        <v>8.9189770040833949E-3</v>
      </c>
      <c r="F326" s="4">
        <f>(Raw_Stock_Data!F326/Raw_Stock_Data!F325)-1</f>
        <v>7.1124411691034783E-3</v>
      </c>
      <c r="G326" s="4">
        <f>(Raw_Stock_Data!G326/Raw_Stock_Data!G325)-1</f>
        <v>1.9583776227183769E-2</v>
      </c>
      <c r="H326" s="4">
        <f>(Raw_Stock_Data!H326/Raw_Stock_Data!H325)-1</f>
        <v>7.4680055752660568E-3</v>
      </c>
      <c r="I326" s="4">
        <f>(Raw_Stock_Data!I326/Raw_Stock_Data!I325)-1</f>
        <v>2.8071177086306243E-3</v>
      </c>
      <c r="J326" s="4">
        <f>(Raw_Stock_Data!J326/Raw_Stock_Data!J325)-1</f>
        <v>-1.4021337599654515E-3</v>
      </c>
    </row>
    <row r="327" spans="1:10" x14ac:dyDescent="0.2">
      <c r="A327" s="2">
        <v>44670</v>
      </c>
      <c r="B327" s="4">
        <f>(Raw_Stock_Data!B327/Raw_Stock_Data!B326)-1</f>
        <v>1.4096426475584511E-2</v>
      </c>
      <c r="C327" s="4">
        <f>(Raw_Stock_Data!C327/Raw_Stock_Data!C326)-1</f>
        <v>1.7040581328719995E-2</v>
      </c>
      <c r="D327" s="4">
        <f>(Raw_Stock_Data!D327/Raw_Stock_Data!D326)-1</f>
        <v>1.9061718405178674E-2</v>
      </c>
      <c r="E327" s="4">
        <f>(Raw_Stock_Data!E327/Raw_Stock_Data!E326)-1</f>
        <v>3.2378315049526041E-2</v>
      </c>
      <c r="F327" s="4">
        <f>(Raw_Stock_Data!F327/Raw_Stock_Data!F326)-1</f>
        <v>3.4892168733841711E-2</v>
      </c>
      <c r="G327" s="4">
        <f>(Raw_Stock_Data!G327/Raw_Stock_Data!G326)-1</f>
        <v>2.3760092961289114E-2</v>
      </c>
      <c r="H327" s="4">
        <f>(Raw_Stock_Data!H327/Raw_Stock_Data!H326)-1</f>
        <v>1.8276146680815897E-2</v>
      </c>
      <c r="I327" s="4">
        <f>(Raw_Stock_Data!I327/Raw_Stock_Data!I326)-1</f>
        <v>3.1029083835460325E-2</v>
      </c>
      <c r="J327" s="4">
        <f>(Raw_Stock_Data!J327/Raw_Stock_Data!J326)-1</f>
        <v>2.1549073082334891E-2</v>
      </c>
    </row>
    <row r="328" spans="1:10" x14ac:dyDescent="0.2">
      <c r="A328" s="2">
        <v>44671</v>
      </c>
      <c r="B328" s="4">
        <f>(Raw_Stock_Data!B328/Raw_Stock_Data!B327)-1</f>
        <v>-1.035530892323E-3</v>
      </c>
      <c r="C328" s="4">
        <f>(Raw_Stock_Data!C328/Raw_Stock_Data!C327)-1</f>
        <v>3.7213541853573506E-3</v>
      </c>
      <c r="D328" s="4">
        <f>(Raw_Stock_Data!D328/Raw_Stock_Data!D327)-1</f>
        <v>-3.2258064516129004E-2</v>
      </c>
      <c r="E328" s="4">
        <f>(Raw_Stock_Data!E328/Raw_Stock_Data!E327)-1</f>
        <v>-3.002166511915827E-2</v>
      </c>
      <c r="F328" s="4">
        <f>(Raw_Stock_Data!F328/Raw_Stock_Data!F327)-1</f>
        <v>-2.6044170102962561E-2</v>
      </c>
      <c r="G328" s="4">
        <f>(Raw_Stock_Data!G328/Raw_Stock_Data!G327)-1</f>
        <v>-4.9556923058966973E-2</v>
      </c>
      <c r="H328" s="4">
        <f>(Raw_Stock_Data!H328/Raw_Stock_Data!H327)-1</f>
        <v>-1.5145900880036978E-2</v>
      </c>
      <c r="I328" s="4">
        <f>(Raw_Stock_Data!I328/Raw_Stock_Data!I327)-1</f>
        <v>-7.7723068427592024E-2</v>
      </c>
      <c r="J328" s="4">
        <f>(Raw_Stock_Data!J328/Raw_Stock_Data!J327)-1</f>
        <v>-1.2231582873581281E-2</v>
      </c>
    </row>
    <row r="329" spans="1:10" x14ac:dyDescent="0.2">
      <c r="A329" s="2">
        <v>44672</v>
      </c>
      <c r="B329" s="4">
        <f>(Raw_Stock_Data!B329/Raw_Stock_Data!B328)-1</f>
        <v>-4.7805752544255453E-3</v>
      </c>
      <c r="C329" s="4">
        <f>(Raw_Stock_Data!C329/Raw_Stock_Data!C328)-1</f>
        <v>-1.9388699995352199E-2</v>
      </c>
      <c r="D329" s="4">
        <f>(Raw_Stock_Data!D329/Raw_Stock_Data!D328)-1</f>
        <v>-6.0475524475524511E-2</v>
      </c>
      <c r="E329" s="4">
        <f>(Raw_Stock_Data!E329/Raw_Stock_Data!E328)-1</f>
        <v>-4.4352265475430808E-2</v>
      </c>
      <c r="F329" s="4">
        <f>(Raw_Stock_Data!F329/Raw_Stock_Data!F328)-1</f>
        <v>-3.7026454889024563E-2</v>
      </c>
      <c r="G329" s="4">
        <f>(Raw_Stock_Data!G329/Raw_Stock_Data!G328)-1</f>
        <v>3.2317879981457187E-2</v>
      </c>
      <c r="H329" s="4">
        <f>(Raw_Stock_Data!H329/Raw_Stock_Data!H328)-1</f>
        <v>-2.5200269638966044E-2</v>
      </c>
      <c r="I329" s="4">
        <f>(Raw_Stock_Data!I329/Raw_Stock_Data!I328)-1</f>
        <v>-6.1620596746831624E-2</v>
      </c>
      <c r="J329" s="4">
        <f>(Raw_Stock_Data!J329/Raw_Stock_Data!J328)-1</f>
        <v>-2.0695647907875259E-2</v>
      </c>
    </row>
    <row r="330" spans="1:10" x14ac:dyDescent="0.2">
      <c r="A330" s="2">
        <v>44673</v>
      </c>
      <c r="B330" s="4">
        <f>(Raw_Stock_Data!B330/Raw_Stock_Data!B329)-1</f>
        <v>-2.7871554349224725E-2</v>
      </c>
      <c r="C330" s="4">
        <f>(Raw_Stock_Data!C330/Raw_Stock_Data!C329)-1</f>
        <v>-2.414356341787105E-2</v>
      </c>
      <c r="D330" s="4">
        <f>(Raw_Stock_Data!D330/Raw_Stock_Data!D329)-1</f>
        <v>-3.3087213687427952E-2</v>
      </c>
      <c r="E330" s="4">
        <f>(Raw_Stock_Data!E330/Raw_Stock_Data!E329)-1</f>
        <v>-1.9031719532554225E-2</v>
      </c>
      <c r="F330" s="4">
        <f>(Raw_Stock_Data!F330/Raw_Stock_Data!F329)-1</f>
        <v>-2.6608944273614932E-2</v>
      </c>
      <c r="G330" s="4">
        <f>(Raw_Stock_Data!G330/Raw_Stock_Data!G329)-1</f>
        <v>-3.6965443406887788E-3</v>
      </c>
      <c r="H330" s="4">
        <f>(Raw_Stock_Data!H330/Raw_Stock_Data!H329)-1</f>
        <v>-4.1483399403359544E-2</v>
      </c>
      <c r="I330" s="4">
        <f>(Raw_Stock_Data!I330/Raw_Stock_Data!I329)-1</f>
        <v>-2.1055989791035179E-2</v>
      </c>
      <c r="J330" s="4">
        <f>(Raw_Stock_Data!J330/Raw_Stock_Data!J329)-1</f>
        <v>-2.5454945672180984E-2</v>
      </c>
    </row>
    <row r="331" spans="1:10" x14ac:dyDescent="0.2">
      <c r="A331" s="2">
        <v>44676</v>
      </c>
      <c r="B331" s="4">
        <f>(Raw_Stock_Data!B331/Raw_Stock_Data!B330)-1</f>
        <v>6.7564160742197288E-3</v>
      </c>
      <c r="C331" s="4">
        <f>(Raw_Stock_Data!C331/Raw_Stock_Data!C330)-1</f>
        <v>2.442332264789604E-2</v>
      </c>
      <c r="D331" s="4">
        <f>(Raw_Stock_Data!D331/Raw_Stock_Data!D330)-1</f>
        <v>1.9829621266550301E-2</v>
      </c>
      <c r="E331" s="4">
        <f>(Raw_Stock_Data!E331/Raw_Stock_Data!E330)-1</f>
        <v>2.8931245745404954E-2</v>
      </c>
      <c r="F331" s="4">
        <f>(Raw_Stock_Data!F331/Raw_Stock_Data!F330)-1</f>
        <v>1.1943193626602122E-2</v>
      </c>
      <c r="G331" s="4">
        <f>(Raw_Stock_Data!G331/Raw_Stock_Data!G330)-1</f>
        <v>-6.9966598709916283E-3</v>
      </c>
      <c r="H331" s="4">
        <f>(Raw_Stock_Data!H331/Raw_Stock_Data!H330)-1</f>
        <v>2.8732257306801845E-2</v>
      </c>
      <c r="I331" s="4">
        <f>(Raw_Stock_Data!I331/Raw_Stock_Data!I330)-1</f>
        <v>1.5642822225843123E-2</v>
      </c>
      <c r="J331" s="4">
        <f>(Raw_Stock_Data!J331/Raw_Stock_Data!J330)-1</f>
        <v>1.2894794026772516E-2</v>
      </c>
    </row>
    <row r="332" spans="1:10" x14ac:dyDescent="0.2">
      <c r="A332" s="2">
        <v>44677</v>
      </c>
      <c r="B332" s="4">
        <f>(Raw_Stock_Data!B332/Raw_Stock_Data!B331)-1</f>
        <v>-3.733034506936439E-2</v>
      </c>
      <c r="C332" s="4">
        <f>(Raw_Stock_Data!C332/Raw_Stock_Data!C331)-1</f>
        <v>-3.7411877122151993E-2</v>
      </c>
      <c r="D332" s="4">
        <f>(Raw_Stock_Data!D332/Raw_Stock_Data!D331)-1</f>
        <v>-5.5972102010829028E-2</v>
      </c>
      <c r="E332" s="4">
        <f>(Raw_Stock_Data!E332/Raw_Stock_Data!E331)-1</f>
        <v>-6.09769544602492E-2</v>
      </c>
      <c r="F332" s="4">
        <f>(Raw_Stock_Data!F332/Raw_Stock_Data!F331)-1</f>
        <v>-4.5750783849281995E-2</v>
      </c>
      <c r="G332" s="4">
        <f>(Raw_Stock_Data!G332/Raw_Stock_Data!G331)-1</f>
        <v>-0.12184036576457968</v>
      </c>
      <c r="H332" s="4">
        <f>(Raw_Stock_Data!H332/Raw_Stock_Data!H331)-1</f>
        <v>-3.59376656418956E-2</v>
      </c>
      <c r="I332" s="4">
        <f>(Raw_Stock_Data!I332/Raw_Stock_Data!I331)-1</f>
        <v>-3.2301192577143256E-2</v>
      </c>
      <c r="J332" s="4">
        <f>(Raw_Stock_Data!J332/Raw_Stock_Data!J331)-1</f>
        <v>-3.9532174534885112E-2</v>
      </c>
    </row>
    <row r="333" spans="1:10" x14ac:dyDescent="0.2">
      <c r="A333" s="2">
        <v>44678</v>
      </c>
      <c r="B333" s="4">
        <f>(Raw_Stock_Data!B333/Raw_Stock_Data!B332)-1</f>
        <v>-1.4762019340196497E-3</v>
      </c>
      <c r="C333" s="4">
        <f>(Raw_Stock_Data!C333/Raw_Stock_Data!C332)-1</f>
        <v>4.8110694759654793E-2</v>
      </c>
      <c r="D333" s="4">
        <f>(Raw_Stock_Data!D333/Raw_Stock_Data!D332)-1</f>
        <v>-1.986130137899067E-2</v>
      </c>
      <c r="E333" s="4">
        <f>(Raw_Stock_Data!E333/Raw_Stock_Data!E332)-1</f>
        <v>-2.9356505401596511E-3</v>
      </c>
      <c r="F333" s="4">
        <f>(Raw_Stock_Data!F333/Raw_Stock_Data!F332)-1</f>
        <v>-8.7810547309365994E-3</v>
      </c>
      <c r="G333" s="4">
        <f>(Raw_Stock_Data!G333/Raw_Stock_Data!G332)-1</f>
        <v>5.8088587663449598E-3</v>
      </c>
      <c r="H333" s="4">
        <f>(Raw_Stock_Data!H333/Raw_Stock_Data!H332)-1</f>
        <v>-3.6719053983184091E-2</v>
      </c>
      <c r="I333" s="4">
        <f>(Raw_Stock_Data!I333/Raw_Stock_Data!I332)-1</f>
        <v>-3.3158331030671451E-2</v>
      </c>
      <c r="J333" s="4">
        <f>(Raw_Stock_Data!J333/Raw_Stock_Data!J332)-1</f>
        <v>-1.4490734736283262E-4</v>
      </c>
    </row>
    <row r="334" spans="1:10" x14ac:dyDescent="0.2">
      <c r="A334" s="2">
        <v>44679</v>
      </c>
      <c r="B334" s="4">
        <f>(Raw_Stock_Data!B334/Raw_Stock_Data!B333)-1</f>
        <v>4.5178643533533958E-2</v>
      </c>
      <c r="C334" s="4">
        <f>(Raw_Stock_Data!C334/Raw_Stock_Data!C333)-1</f>
        <v>2.2636653158901288E-2</v>
      </c>
      <c r="D334" s="4">
        <f>(Raw_Stock_Data!D334/Raw_Stock_Data!D333)-1</f>
        <v>7.4235214140040862E-2</v>
      </c>
      <c r="E334" s="4">
        <f>(Raw_Stock_Data!E334/Raw_Stock_Data!E333)-1</f>
        <v>5.5706041691202524E-2</v>
      </c>
      <c r="F334" s="4">
        <f>(Raw_Stock_Data!F334/Raw_Stock_Data!F333)-1</f>
        <v>4.6530647694456695E-2</v>
      </c>
      <c r="G334" s="4">
        <f>(Raw_Stock_Data!G334/Raw_Stock_Data!G333)-1</f>
        <v>-4.5399320031174195E-3</v>
      </c>
      <c r="H334" s="4">
        <f>(Raw_Stock_Data!H334/Raw_Stock_Data!H333)-1</f>
        <v>3.6994757685654189E-2</v>
      </c>
      <c r="I334" s="4">
        <f>(Raw_Stock_Data!I334/Raw_Stock_Data!I333)-1</f>
        <v>0.17593598170905977</v>
      </c>
      <c r="J334" s="4">
        <f>(Raw_Stock_Data!J334/Raw_Stock_Data!J333)-1</f>
        <v>3.0635130471545535E-2</v>
      </c>
    </row>
    <row r="335" spans="1:10" x14ac:dyDescent="0.2">
      <c r="A335" s="2">
        <v>44680</v>
      </c>
      <c r="B335" s="4">
        <f>(Raw_Stock_Data!B335/Raw_Stock_Data!B334)-1</f>
        <v>-3.6602007689287896E-2</v>
      </c>
      <c r="C335" s="4">
        <f>(Raw_Stock_Data!C335/Raw_Stock_Data!C334)-1</f>
        <v>-4.181086135040446E-2</v>
      </c>
      <c r="D335" s="4">
        <f>(Raw_Stock_Data!D335/Raw_Stock_Data!D334)-1</f>
        <v>-6.2422478167320605E-2</v>
      </c>
      <c r="E335" s="4">
        <f>(Raw_Stock_Data!E335/Raw_Stock_Data!E334)-1</f>
        <v>-4.5961624274877377E-2</v>
      </c>
      <c r="F335" s="4">
        <f>(Raw_Stock_Data!F335/Raw_Stock_Data!F334)-1</f>
        <v>-0.14048798030374288</v>
      </c>
      <c r="G335" s="4">
        <f>(Raw_Stock_Data!G335/Raw_Stock_Data!G334)-1</f>
        <v>-7.6922287976534109E-3</v>
      </c>
      <c r="H335" s="4">
        <f>(Raw_Stock_Data!H335/Raw_Stock_Data!H334)-1</f>
        <v>-3.7224583806120592E-2</v>
      </c>
      <c r="I335" s="4">
        <f>(Raw_Stock_Data!I335/Raw_Stock_Data!I334)-1</f>
        <v>-2.5567491372186835E-2</v>
      </c>
      <c r="J335" s="4">
        <f>(Raw_Stock_Data!J335/Raw_Stock_Data!J334)-1</f>
        <v>-4.1711436014211345E-2</v>
      </c>
    </row>
    <row r="336" spans="1:10" x14ac:dyDescent="0.2">
      <c r="A336" s="2">
        <v>44683</v>
      </c>
      <c r="B336" s="4">
        <f>(Raw_Stock_Data!B336/Raw_Stock_Data!B335)-1</f>
        <v>1.9662503476511883E-3</v>
      </c>
      <c r="C336" s="4">
        <f>(Raw_Stock_Data!C336/Raw_Stock_Data!C335)-1</f>
        <v>2.5038274952501993E-2</v>
      </c>
      <c r="D336" s="4">
        <f>(Raw_Stock_Data!D336/Raw_Stock_Data!D335)-1</f>
        <v>5.3160182510326948E-2</v>
      </c>
      <c r="E336" s="4">
        <f>(Raw_Stock_Data!E336/Raw_Stock_Data!E335)-1</f>
        <v>5.0514499532273271E-2</v>
      </c>
      <c r="F336" s="4">
        <f>(Raw_Stock_Data!F336/Raw_Stock_Data!F335)-1</f>
        <v>1.7540754091502908E-3</v>
      </c>
      <c r="G336" s="4">
        <f>(Raw_Stock_Data!G336/Raw_Stock_Data!G335)-1</f>
        <v>3.6957413015541674E-2</v>
      </c>
      <c r="H336" s="4">
        <f>(Raw_Stock_Data!H336/Raw_Stock_Data!H335)-1</f>
        <v>2.1671445408010914E-2</v>
      </c>
      <c r="I336" s="4">
        <f>(Raw_Stock_Data!I336/Raw_Stock_Data!I335)-1</f>
        <v>5.3175038659150964E-2</v>
      </c>
      <c r="J336" s="4">
        <f>(Raw_Stock_Data!J336/Raw_Stock_Data!J335)-1</f>
        <v>1.6326378394505348E-2</v>
      </c>
    </row>
    <row r="337" spans="1:10" x14ac:dyDescent="0.2">
      <c r="A337" s="2">
        <v>44684</v>
      </c>
      <c r="B337" s="4">
        <f>(Raw_Stock_Data!B337/Raw_Stock_Data!B336)-1</f>
        <v>9.6312123579040954E-3</v>
      </c>
      <c r="C337" s="4">
        <f>(Raw_Stock_Data!C337/Raw_Stock_Data!C336)-1</f>
        <v>-9.4546737111842472E-3</v>
      </c>
      <c r="D337" s="4">
        <f>(Raw_Stock_Data!D337/Raw_Stock_Data!D336)-1</f>
        <v>3.5377358490564781E-3</v>
      </c>
      <c r="E337" s="4">
        <f>(Raw_Stock_Data!E337/Raw_Stock_Data!E336)-1</f>
        <v>1.4358860195903711E-2</v>
      </c>
      <c r="F337" s="4">
        <f>(Raw_Stock_Data!F337/Raw_Stock_Data!F336)-1</f>
        <v>-1.9759036144577635E-3</v>
      </c>
      <c r="G337" s="4">
        <f>(Raw_Stock_Data!G337/Raw_Stock_Data!G336)-1</f>
        <v>6.987175227589848E-3</v>
      </c>
      <c r="H337" s="4">
        <f>(Raw_Stock_Data!H337/Raw_Stock_Data!H336)-1</f>
        <v>6.4392830701949233E-3</v>
      </c>
      <c r="I337" s="4">
        <f>(Raw_Stock_Data!I337/Raw_Stock_Data!I336)-1</f>
        <v>4.2627764884195507E-3</v>
      </c>
      <c r="J337" s="4">
        <f>(Raw_Stock_Data!J337/Raw_Stock_Data!J336)-1</f>
        <v>2.2128235277225627E-3</v>
      </c>
    </row>
    <row r="338" spans="1:10" x14ac:dyDescent="0.2">
      <c r="A338" s="2">
        <v>44685</v>
      </c>
      <c r="B338" s="4">
        <f>(Raw_Stock_Data!B338/Raw_Stock_Data!B337)-1</f>
        <v>4.1008919152200951E-2</v>
      </c>
      <c r="C338" s="4">
        <f>(Raw_Stock_Data!C338/Raw_Stock_Data!C337)-1</f>
        <v>2.9099827413933799E-2</v>
      </c>
      <c r="D338" s="4">
        <f>(Raw_Stock_Data!D338/Raw_Stock_Data!D337)-1</f>
        <v>3.7326929954529131E-2</v>
      </c>
      <c r="E338" s="4">
        <f>(Raw_Stock_Data!E338/Raw_Stock_Data!E337)-1</f>
        <v>9.0968945462526207E-2</v>
      </c>
      <c r="F338" s="4">
        <f>(Raw_Stock_Data!F338/Raw_Stock_Data!F337)-1</f>
        <v>1.3480451333558685E-2</v>
      </c>
      <c r="G338" s="4">
        <f>(Raw_Stock_Data!G338/Raw_Stock_Data!G337)-1</f>
        <v>4.769980500390969E-2</v>
      </c>
      <c r="H338" s="4">
        <f>(Raw_Stock_Data!H338/Raw_Stock_Data!H337)-1</f>
        <v>4.1989564622359143E-2</v>
      </c>
      <c r="I338" s="4">
        <f>(Raw_Stock_Data!I338/Raw_Stock_Data!I337)-1</f>
        <v>5.3671650238173774E-2</v>
      </c>
      <c r="J338" s="4">
        <f>(Raw_Stock_Data!J338/Raw_Stock_Data!J337)-1</f>
        <v>3.1925156163441493E-2</v>
      </c>
    </row>
    <row r="339" spans="1:10" x14ac:dyDescent="0.2">
      <c r="A339" s="2">
        <v>44686</v>
      </c>
      <c r="B339" s="4">
        <f>(Raw_Stock_Data!B339/Raw_Stock_Data!B338)-1</f>
        <v>-5.5736738341348291E-2</v>
      </c>
      <c r="C339" s="4">
        <f>(Raw_Stock_Data!C339/Raw_Stock_Data!C338)-1</f>
        <v>-4.3550562432476236E-2</v>
      </c>
      <c r="D339" s="4">
        <f>(Raw_Stock_Data!D339/Raw_Stock_Data!D338)-1</f>
        <v>-7.327272010874919E-2</v>
      </c>
      <c r="E339" s="4">
        <f>(Raw_Stock_Data!E339/Raw_Stock_Data!E338)-1</f>
        <v>-5.5823777911888972E-2</v>
      </c>
      <c r="F339" s="4">
        <f>(Raw_Stock_Data!F339/Raw_Stock_Data!F338)-1</f>
        <v>-7.5614036480874169E-2</v>
      </c>
      <c r="G339" s="4">
        <f>(Raw_Stock_Data!G339/Raw_Stock_Data!G338)-1</f>
        <v>-8.3287144926623369E-2</v>
      </c>
      <c r="H339" s="4">
        <f>(Raw_Stock_Data!H339/Raw_Stock_Data!H338)-1</f>
        <v>-4.7069833113061232E-2</v>
      </c>
      <c r="I339" s="4">
        <f>(Raw_Stock_Data!I339/Raw_Stock_Data!I338)-1</f>
        <v>-6.7723020455664473E-2</v>
      </c>
      <c r="J339" s="4">
        <f>(Raw_Stock_Data!J339/Raw_Stock_Data!J338)-1</f>
        <v>-4.991723782593871E-2</v>
      </c>
    </row>
    <row r="340" spans="1:10" x14ac:dyDescent="0.2">
      <c r="A340" s="2">
        <v>44687</v>
      </c>
      <c r="B340" s="4">
        <f>(Raw_Stock_Data!B340/Raw_Stock_Data!B339)-1</f>
        <v>4.735144135706193E-3</v>
      </c>
      <c r="C340" s="4">
        <f>(Raw_Stock_Data!C340/Raw_Stock_Data!C339)-1</f>
        <v>-9.453707839452985E-3</v>
      </c>
      <c r="D340" s="4">
        <f>(Raw_Stock_Data!D340/Raw_Stock_Data!D339)-1</f>
        <v>-8.9605068054144921E-3</v>
      </c>
      <c r="E340" s="4">
        <f>(Raw_Stock_Data!E340/Raw_Stock_Data!E339)-1</f>
        <v>1.5659955257270708E-2</v>
      </c>
      <c r="F340" s="4">
        <f>(Raw_Stock_Data!F340/Raw_Stock_Data!F339)-1</f>
        <v>-1.4045547089092447E-2</v>
      </c>
      <c r="G340" s="4">
        <f>(Raw_Stock_Data!G340/Raw_Stock_Data!G339)-1</f>
        <v>-8.7360396849117672E-3</v>
      </c>
      <c r="H340" s="4">
        <f>(Raw_Stock_Data!H340/Raw_Stock_Data!H339)-1</f>
        <v>-6.5210836886763213E-3</v>
      </c>
      <c r="I340" s="4">
        <f>(Raw_Stock_Data!I340/Raw_Stock_Data!I339)-1</f>
        <v>-2.1653543307086576E-2</v>
      </c>
      <c r="J340" s="4">
        <f>(Raw_Stock_Data!J340/Raw_Stock_Data!J339)-1</f>
        <v>-1.4047276721528168E-2</v>
      </c>
    </row>
    <row r="341" spans="1:10" x14ac:dyDescent="0.2">
      <c r="A341" s="2">
        <v>44690</v>
      </c>
      <c r="B341" s="4">
        <f>(Raw_Stock_Data!B341/Raw_Stock_Data!B340)-1</f>
        <v>-3.3196954787922839E-2</v>
      </c>
      <c r="C341" s="4">
        <f>(Raw_Stock_Data!C341/Raw_Stock_Data!C340)-1</f>
        <v>-3.6942214669558604E-2</v>
      </c>
      <c r="D341" s="4">
        <f>(Raw_Stock_Data!D341/Raw_Stock_Data!D340)-1</f>
        <v>-9.2377985016597552E-2</v>
      </c>
      <c r="E341" s="4">
        <f>(Raw_Stock_Data!E341/Raw_Stock_Data!E340)-1</f>
        <v>-9.4189217537235193E-2</v>
      </c>
      <c r="F341" s="4">
        <f>(Raw_Stock_Data!F341/Raw_Stock_Data!F340)-1</f>
        <v>-5.2129439236050623E-2</v>
      </c>
      <c r="G341" s="4">
        <f>(Raw_Stock_Data!G341/Raw_Stock_Data!G340)-1</f>
        <v>-9.0729509617050841E-2</v>
      </c>
      <c r="H341" s="4">
        <f>(Raw_Stock_Data!H341/Raw_Stock_Data!H340)-1</f>
        <v>-2.7946379023307433E-2</v>
      </c>
      <c r="I341" s="4">
        <f>(Raw_Stock_Data!I341/Raw_Stock_Data!I340)-1</f>
        <v>-3.7100652696667846E-2</v>
      </c>
      <c r="J341" s="4">
        <f>(Raw_Stock_Data!J341/Raw_Stock_Data!J340)-1</f>
        <v>-4.2933272730566352E-2</v>
      </c>
    </row>
    <row r="342" spans="1:10" x14ac:dyDescent="0.2">
      <c r="A342" s="2">
        <v>44691</v>
      </c>
      <c r="B342" s="4">
        <f>(Raw_Stock_Data!B342/Raw_Stock_Data!B341)-1</f>
        <v>1.6123848296550447E-2</v>
      </c>
      <c r="C342" s="4">
        <f>(Raw_Stock_Data!C342/Raw_Stock_Data!C341)-1</f>
        <v>1.8593402341104737E-2</v>
      </c>
      <c r="D342" s="4">
        <f>(Raw_Stock_Data!D342/Raw_Stock_Data!D341)-1</f>
        <v>3.8068621600382713E-2</v>
      </c>
      <c r="E342" s="4">
        <f>(Raw_Stock_Data!E342/Raw_Stock_Data!E341)-1</f>
        <v>2.74432607688746E-2</v>
      </c>
      <c r="F342" s="4">
        <f>(Raw_Stock_Data!F342/Raw_Stock_Data!F341)-1</f>
        <v>6.4344740736643757E-4</v>
      </c>
      <c r="G342" s="4">
        <f>(Raw_Stock_Data!G342/Raw_Stock_Data!G341)-1</f>
        <v>1.6427182985859767E-2</v>
      </c>
      <c r="H342" s="4">
        <f>(Raw_Stock_Data!H342/Raw_Stock_Data!H341)-1</f>
        <v>1.6743231791623847E-2</v>
      </c>
      <c r="I342" s="4">
        <f>(Raw_Stock_Data!I342/Raw_Stock_Data!I341)-1</f>
        <v>7.3390754803526193E-3</v>
      </c>
      <c r="J342" s="4">
        <f>(Raw_Stock_Data!J342/Raw_Stock_Data!J341)-1</f>
        <v>9.8440625470501697E-3</v>
      </c>
    </row>
    <row r="343" spans="1:10" x14ac:dyDescent="0.2">
      <c r="A343" s="2">
        <v>44692</v>
      </c>
      <c r="B343" s="4">
        <f>(Raw_Stock_Data!B343/Raw_Stock_Data!B342)-1</f>
        <v>-5.182798249775955E-2</v>
      </c>
      <c r="C343" s="4">
        <f>(Raw_Stock_Data!C343/Raw_Stock_Data!C342)-1</f>
        <v>-3.3206701363826308E-2</v>
      </c>
      <c r="D343" s="4">
        <f>(Raw_Stock_Data!D343/Raw_Stock_Data!D342)-1</f>
        <v>-5.4857988502475918E-2</v>
      </c>
      <c r="E343" s="4">
        <f>(Raw_Stock_Data!E343/Raw_Stock_Data!E342)-1</f>
        <v>-9.1288177617491195E-3</v>
      </c>
      <c r="F343" s="4">
        <f>(Raw_Stock_Data!F343/Raw_Stock_Data!F342)-1</f>
        <v>-3.2032261916791427E-2</v>
      </c>
      <c r="G343" s="4">
        <f>(Raw_Stock_Data!G343/Raw_Stock_Data!G342)-1</f>
        <v>-8.2544622768861542E-2</v>
      </c>
      <c r="H343" s="4">
        <f>(Raw_Stock_Data!H343/Raw_Stock_Data!H342)-1</f>
        <v>-6.930918917022022E-3</v>
      </c>
      <c r="I343" s="4">
        <f>(Raw_Stock_Data!I343/Raw_Stock_Data!I342)-1</f>
        <v>-4.507968631419168E-2</v>
      </c>
      <c r="J343" s="4">
        <f>(Raw_Stock_Data!J343/Raw_Stock_Data!J342)-1</f>
        <v>-3.1814661683281287E-2</v>
      </c>
    </row>
    <row r="344" spans="1:10" x14ac:dyDescent="0.2">
      <c r="A344" s="2">
        <v>44693</v>
      </c>
      <c r="B344" s="4">
        <f>(Raw_Stock_Data!B344/Raw_Stock_Data!B343)-1</f>
        <v>-2.6916955666599462E-2</v>
      </c>
      <c r="C344" s="4">
        <f>(Raw_Stock_Data!C344/Raw_Stock_Data!C343)-1</f>
        <v>-1.9957640605291371E-2</v>
      </c>
      <c r="D344" s="4">
        <f>(Raw_Stock_Data!D344/Raw_Stock_Data!D343)-1</f>
        <v>-2.7352877411895071E-2</v>
      </c>
      <c r="E344" s="4">
        <f>(Raw_Stock_Data!E344/Raw_Stock_Data!E343)-1</f>
        <v>-9.7816196542310774E-3</v>
      </c>
      <c r="F344" s="4">
        <f>(Raw_Stock_Data!F344/Raw_Stock_Data!F343)-1</f>
        <v>1.4795201761378607E-2</v>
      </c>
      <c r="G344" s="4">
        <f>(Raw_Stock_Data!G344/Raw_Stock_Data!G343)-1</f>
        <v>-8.1743757842291931E-3</v>
      </c>
      <c r="H344" s="4">
        <f>(Raw_Stock_Data!H344/Raw_Stock_Data!H343)-1</f>
        <v>-6.6700826913562716E-3</v>
      </c>
      <c r="I344" s="4">
        <f>(Raw_Stock_Data!I344/Raw_Stock_Data!I343)-1</f>
        <v>1.3245734873370774E-2</v>
      </c>
      <c r="J344" s="4">
        <f>(Raw_Stock_Data!J344/Raw_Stock_Data!J343)-1</f>
        <v>5.9132858862520621E-4</v>
      </c>
    </row>
    <row r="345" spans="1:10" x14ac:dyDescent="0.2">
      <c r="A345" s="2">
        <v>44694</v>
      </c>
      <c r="B345" s="4">
        <f>(Raw_Stock_Data!B345/Raw_Stock_Data!B344)-1</f>
        <v>3.1925378890682365E-2</v>
      </c>
      <c r="C345" s="4">
        <f>(Raw_Stock_Data!C345/Raw_Stock_Data!C344)-1</f>
        <v>2.2585301311094153E-2</v>
      </c>
      <c r="D345" s="4">
        <f>(Raw_Stock_Data!D345/Raw_Stock_Data!D344)-1</f>
        <v>9.4644294470930701E-2</v>
      </c>
      <c r="E345" s="4">
        <f>(Raw_Stock_Data!E345/Raw_Stock_Data!E344)-1</f>
        <v>9.2579830002297303E-2</v>
      </c>
      <c r="F345" s="4">
        <f>(Raw_Stock_Data!F345/Raw_Stock_Data!F344)-1</f>
        <v>5.7270576352975278E-2</v>
      </c>
      <c r="G345" s="4">
        <f>(Raw_Stock_Data!G345/Raw_Stock_Data!G344)-1</f>
        <v>5.7127668780674545E-2</v>
      </c>
      <c r="H345" s="4">
        <f>(Raw_Stock_Data!H345/Raw_Stock_Data!H344)-1</f>
        <v>2.8407019041774451E-2</v>
      </c>
      <c r="I345" s="4">
        <f>(Raw_Stock_Data!I345/Raw_Stock_Data!I344)-1</f>
        <v>3.8590253085128534E-2</v>
      </c>
      <c r="J345" s="4">
        <f>(Raw_Stock_Data!J345/Raw_Stock_Data!J344)-1</f>
        <v>3.817091960573249E-2</v>
      </c>
    </row>
    <row r="346" spans="1:10" x14ac:dyDescent="0.2">
      <c r="A346" s="2">
        <v>44697</v>
      </c>
      <c r="B346" s="4">
        <f>(Raw_Stock_Data!B346/Raw_Stock_Data!B345)-1</f>
        <v>-1.0679383184297286E-2</v>
      </c>
      <c r="C346" s="4">
        <f>(Raw_Stock_Data!C346/Raw_Stock_Data!C345)-1</f>
        <v>1.4624984806483887E-3</v>
      </c>
      <c r="D346" s="4">
        <f>(Raw_Stock_Data!D346/Raw_Stock_Data!D345)-1</f>
        <v>-2.4955315731125305E-2</v>
      </c>
      <c r="E346" s="4">
        <f>(Raw_Stock_Data!E346/Raw_Stock_Data!E345)-1</f>
        <v>-9.25147182506314E-3</v>
      </c>
      <c r="F346" s="4">
        <f>(Raw_Stock_Data!F346/Raw_Stock_Data!F345)-1</f>
        <v>-1.9857591437795752E-2</v>
      </c>
      <c r="G346" s="4">
        <f>(Raw_Stock_Data!G346/Raw_Stock_Data!G345)-1</f>
        <v>-5.8757260359412089E-2</v>
      </c>
      <c r="H346" s="4">
        <f>(Raw_Stock_Data!H346/Raw_Stock_Data!H345)-1</f>
        <v>-1.3828471603635761E-2</v>
      </c>
      <c r="I346" s="4">
        <f>(Raw_Stock_Data!I346/Raw_Stock_Data!I345)-1</f>
        <v>7.1493303796192897E-3</v>
      </c>
      <c r="J346" s="4">
        <f>(Raw_Stock_Data!J346/Raw_Stock_Data!J345)-1</f>
        <v>-1.2046590427784776E-2</v>
      </c>
    </row>
    <row r="347" spans="1:10" x14ac:dyDescent="0.2">
      <c r="A347" s="2">
        <v>44698</v>
      </c>
      <c r="B347" s="4">
        <f>(Raw_Stock_Data!B347/Raw_Stock_Data!B346)-1</f>
        <v>2.5409084867183074E-2</v>
      </c>
      <c r="C347" s="4">
        <f>(Raw_Stock_Data!C347/Raw_Stock_Data!C346)-1</f>
        <v>2.033936793309743E-2</v>
      </c>
      <c r="D347" s="4">
        <f>(Raw_Stock_Data!D347/Raw_Stock_Data!D346)-1</f>
        <v>5.287033599405988E-2</v>
      </c>
      <c r="E347" s="4">
        <f>(Raw_Stock_Data!E347/Raw_Stock_Data!E346)-1</f>
        <v>8.7330220713073059E-2</v>
      </c>
      <c r="F347" s="4">
        <f>(Raw_Stock_Data!F347/Raw_Stock_Data!F346)-1</f>
        <v>4.1133471708329594E-2</v>
      </c>
      <c r="G347" s="4">
        <f>(Raw_Stock_Data!G347/Raw_Stock_Data!G346)-1</f>
        <v>5.1408739444290363E-2</v>
      </c>
      <c r="H347" s="4">
        <f>(Raw_Stock_Data!H347/Raw_Stock_Data!H346)-1</f>
        <v>1.7714325803283471E-2</v>
      </c>
      <c r="I347" s="4">
        <f>(Raw_Stock_Data!I347/Raw_Stock_Data!I346)-1</f>
        <v>1.2897420515896929E-2</v>
      </c>
      <c r="J347" s="4">
        <f>(Raw_Stock_Data!J347/Raw_Stock_Data!J346)-1</f>
        <v>2.7586023584408093E-2</v>
      </c>
    </row>
    <row r="348" spans="1:10" x14ac:dyDescent="0.2">
      <c r="A348" s="2">
        <v>44699</v>
      </c>
      <c r="B348" s="4">
        <f>(Raw_Stock_Data!B348/Raw_Stock_Data!B347)-1</f>
        <v>-5.6415574491891496E-2</v>
      </c>
      <c r="C348" s="4">
        <f>(Raw_Stock_Data!C348/Raw_Stock_Data!C347)-1</f>
        <v>-4.5527625464773069E-2</v>
      </c>
      <c r="D348" s="4">
        <f>(Raw_Stock_Data!D348/Raw_Stock_Data!D347)-1</f>
        <v>-6.8160530694552968E-2</v>
      </c>
      <c r="E348" s="4">
        <f>(Raw_Stock_Data!E348/Raw_Stock_Data!E347)-1</f>
        <v>-6.0407924270518221E-2</v>
      </c>
      <c r="F348" s="4">
        <f>(Raw_Stock_Data!F348/Raw_Stock_Data!F347)-1</f>
        <v>-7.1562304971915958E-2</v>
      </c>
      <c r="G348" s="4">
        <f>(Raw_Stock_Data!G348/Raw_Stock_Data!G347)-1</f>
        <v>-6.8015125851813907E-2</v>
      </c>
      <c r="H348" s="4">
        <f>(Raw_Stock_Data!H348/Raw_Stock_Data!H347)-1</f>
        <v>-3.9266880363974743E-2</v>
      </c>
      <c r="I348" s="4">
        <f>(Raw_Stock_Data!I348/Raw_Stock_Data!I347)-1</f>
        <v>-5.1228901391767834E-2</v>
      </c>
      <c r="J348" s="4">
        <f>(Raw_Stock_Data!J348/Raw_Stock_Data!J347)-1</f>
        <v>-4.7258463417809038E-2</v>
      </c>
    </row>
    <row r="349" spans="1:10" x14ac:dyDescent="0.2">
      <c r="A349" s="2">
        <v>44700</v>
      </c>
      <c r="B349" s="4">
        <f>(Raw_Stock_Data!B349/Raw_Stock_Data!B348)-1</f>
        <v>-2.4634139287367018E-2</v>
      </c>
      <c r="C349" s="4">
        <f>(Raw_Stock_Data!C349/Raw_Stock_Data!C348)-1</f>
        <v>-3.6985519365135833E-3</v>
      </c>
      <c r="D349" s="4">
        <f>(Raw_Stock_Data!D349/Raw_Stock_Data!D348)-1</f>
        <v>1.0979914502119659E-2</v>
      </c>
      <c r="E349" s="4">
        <f>(Raw_Stock_Data!E349/Raw_Stock_Data!E348)-1</f>
        <v>4.0506855006232634E-3</v>
      </c>
      <c r="F349" s="4">
        <f>(Raw_Stock_Data!F349/Raw_Stock_Data!F348)-1</f>
        <v>1.9325565762939867E-3</v>
      </c>
      <c r="G349" s="4">
        <f>(Raw_Stock_Data!G349/Raw_Stock_Data!G348)-1</f>
        <v>-5.4944358271025173E-4</v>
      </c>
      <c r="H349" s="4">
        <f>(Raw_Stock_Data!H349/Raw_Stock_Data!H348)-1</f>
        <v>-1.3543208215615055E-2</v>
      </c>
      <c r="I349" s="4">
        <f>(Raw_Stock_Data!I349/Raw_Stock_Data!I348)-1</f>
        <v>-4.9417394923013669E-3</v>
      </c>
      <c r="J349" s="4">
        <f>(Raw_Stock_Data!J349/Raw_Stock_Data!J348)-1</f>
        <v>-2.5967429049363888E-3</v>
      </c>
    </row>
    <row r="350" spans="1:10" x14ac:dyDescent="0.2">
      <c r="A350" s="2">
        <v>44701</v>
      </c>
      <c r="B350" s="4">
        <f>(Raw_Stock_Data!B350/Raw_Stock_Data!B349)-1</f>
        <v>1.7420698755348241E-3</v>
      </c>
      <c r="C350" s="4">
        <f>(Raw_Stock_Data!C350/Raw_Stock_Data!C349)-1</f>
        <v>-2.2919306287475516E-3</v>
      </c>
      <c r="D350" s="4">
        <f>(Raw_Stock_Data!D350/Raw_Stock_Data!D349)-1</f>
        <v>-2.5107612408178603E-2</v>
      </c>
      <c r="E350" s="4">
        <f>(Raw_Stock_Data!E350/Raw_Stock_Data!E349)-1</f>
        <v>-3.279197269059686E-2</v>
      </c>
      <c r="F350" s="4">
        <f>(Raw_Stock_Data!F350/Raw_Stock_Data!F349)-1</f>
        <v>2.534499948750879E-3</v>
      </c>
      <c r="G350" s="4">
        <f>(Raw_Stock_Data!G350/Raw_Stock_Data!G349)-1</f>
        <v>-6.4163773454051887E-2</v>
      </c>
      <c r="H350" s="4">
        <f>(Raw_Stock_Data!H350/Raw_Stock_Data!H349)-1</f>
        <v>-1.3365458926217211E-2</v>
      </c>
      <c r="I350" s="4">
        <f>(Raw_Stock_Data!I350/Raw_Stock_Data!I349)-1</f>
        <v>1.176224580479901E-2</v>
      </c>
      <c r="J350" s="4">
        <f>(Raw_Stock_Data!J350/Raw_Stock_Data!J349)-1</f>
        <v>-2.9749308512972972E-3</v>
      </c>
    </row>
    <row r="351" spans="1:10" x14ac:dyDescent="0.2">
      <c r="A351" s="2">
        <v>44704</v>
      </c>
      <c r="B351" s="4">
        <f>(Raw_Stock_Data!B351/Raw_Stock_Data!B350)-1</f>
        <v>4.0108930527188225E-2</v>
      </c>
      <c r="C351" s="4">
        <f>(Raw_Stock_Data!C351/Raw_Stock_Data!C350)-1</f>
        <v>3.2035363870936306E-2</v>
      </c>
      <c r="D351" s="4">
        <f>(Raw_Stock_Data!D351/Raw_Stock_Data!D350)-1</f>
        <v>1.2220215848486093E-2</v>
      </c>
      <c r="E351" s="4">
        <f>(Raw_Stock_Data!E351/Raw_Stock_Data!E350)-1</f>
        <v>1.6791443850267207E-2</v>
      </c>
      <c r="F351" s="4">
        <f>(Raw_Stock_Data!F351/Raw_Stock_Data!F350)-1</f>
        <v>-3.1601156230531835E-4</v>
      </c>
      <c r="G351" s="4">
        <f>(Raw_Stock_Data!G351/Raw_Stock_Data!G350)-1</f>
        <v>1.6570266606416695E-2</v>
      </c>
      <c r="H351" s="4">
        <f>(Raw_Stock_Data!H351/Raw_Stock_Data!H350)-1</f>
        <v>2.3683361747223852E-2</v>
      </c>
      <c r="I351" s="4">
        <f>(Raw_Stock_Data!I351/Raw_Stock_Data!I350)-1</f>
        <v>1.3898935620543451E-2</v>
      </c>
      <c r="J351" s="4">
        <f>(Raw_Stock_Data!J351/Raw_Stock_Data!J350)-1</f>
        <v>1.5909823490350083E-2</v>
      </c>
    </row>
    <row r="352" spans="1:10" x14ac:dyDescent="0.2">
      <c r="A352" s="2">
        <v>44705</v>
      </c>
      <c r="B352" s="4">
        <f>(Raw_Stock_Data!B352/Raw_Stock_Data!B351)-1</f>
        <v>-1.9188627696510974E-2</v>
      </c>
      <c r="C352" s="4">
        <f>(Raw_Stock_Data!C352/Raw_Stock_Data!C351)-1</f>
        <v>-3.9501683132232568E-3</v>
      </c>
      <c r="D352" s="4">
        <f>(Raw_Stock_Data!D352/Raw_Stock_Data!D351)-1</f>
        <v>-4.4023517140012514E-2</v>
      </c>
      <c r="E352" s="4">
        <f>(Raw_Stock_Data!E352/Raw_Stock_Data!E351)-1</f>
        <v>-4.1127590196697095E-2</v>
      </c>
      <c r="F352" s="4">
        <f>(Raw_Stock_Data!F352/Raw_Stock_Data!F351)-1</f>
        <v>-3.2141097278652331E-2</v>
      </c>
      <c r="G352" s="4">
        <f>(Raw_Stock_Data!G352/Raw_Stock_Data!G351)-1</f>
        <v>-6.9254601786039816E-2</v>
      </c>
      <c r="H352" s="4">
        <f>(Raw_Stock_Data!H352/Raw_Stock_Data!H351)-1</f>
        <v>-4.9484628887788595E-2</v>
      </c>
      <c r="I352" s="4">
        <f>(Raw_Stock_Data!I352/Raw_Stock_Data!I351)-1</f>
        <v>-7.6186108138408981E-2</v>
      </c>
      <c r="J352" s="4">
        <f>(Raw_Stock_Data!J352/Raw_Stock_Data!J351)-1</f>
        <v>-2.3477560559917565E-2</v>
      </c>
    </row>
    <row r="353" spans="1:10" x14ac:dyDescent="0.2">
      <c r="A353" s="2">
        <v>44706</v>
      </c>
      <c r="B353" s="4">
        <f>(Raw_Stock_Data!B353/Raw_Stock_Data!B352)-1</f>
        <v>1.1243698088572174E-3</v>
      </c>
      <c r="C353" s="4">
        <f>(Raw_Stock_Data!C353/Raw_Stock_Data!C352)-1</f>
        <v>1.117357999142321E-2</v>
      </c>
      <c r="D353" s="4">
        <f>(Raw_Stock_Data!D353/Raw_Stock_Data!D352)-1</f>
        <v>5.0812151270923867E-2</v>
      </c>
      <c r="E353" s="4">
        <f>(Raw_Stock_Data!E353/Raw_Stock_Data!E352)-1</f>
        <v>1.6344888108819733E-2</v>
      </c>
      <c r="F353" s="4">
        <f>(Raw_Stock_Data!F353/Raw_Stock_Data!F352)-1</f>
        <v>2.5696445725264194E-2</v>
      </c>
      <c r="G353" s="4">
        <f>(Raw_Stock_Data!G353/Raw_Stock_Data!G352)-1</f>
        <v>4.8775711959195167E-2</v>
      </c>
      <c r="H353" s="4">
        <f>(Raw_Stock_Data!H353/Raw_Stock_Data!H352)-1</f>
        <v>-1.5626775769973511E-3</v>
      </c>
      <c r="I353" s="4">
        <f>(Raw_Stock_Data!I353/Raw_Stock_Data!I352)-1</f>
        <v>1.4066637246249014E-2</v>
      </c>
      <c r="J353" s="4">
        <f>(Raw_Stock_Data!J353/Raw_Stock_Data!J352)-1</f>
        <v>1.5117471336816291E-2</v>
      </c>
    </row>
    <row r="354" spans="1:10" x14ac:dyDescent="0.2">
      <c r="A354" s="2">
        <v>44707</v>
      </c>
      <c r="B354" s="4">
        <f>(Raw_Stock_Data!B354/Raw_Stock_Data!B353)-1</f>
        <v>2.3193971451344275E-2</v>
      </c>
      <c r="C354" s="4">
        <f>(Raw_Stock_Data!C354/Raw_Stock_Data!C353)-1</f>
        <v>1.2874935314052482E-2</v>
      </c>
      <c r="D354" s="4">
        <f>(Raw_Stock_Data!D354/Raw_Stock_Data!D353)-1</f>
        <v>5.1611837447491427E-2</v>
      </c>
      <c r="E354" s="4">
        <f>(Raw_Stock_Data!E354/Raw_Stock_Data!E353)-1</f>
        <v>6.5839179708580664E-2</v>
      </c>
      <c r="F354" s="4">
        <f>(Raw_Stock_Data!F354/Raw_Stock_Data!F353)-1</f>
        <v>4.0299695621634157E-2</v>
      </c>
      <c r="G354" s="4">
        <f>(Raw_Stock_Data!G354/Raw_Stock_Data!G353)-1</f>
        <v>7.4271402550091015E-2</v>
      </c>
      <c r="H354" s="4">
        <f>(Raw_Stock_Data!H354/Raw_Stock_Data!H353)-1</f>
        <v>1.8771994726008545E-2</v>
      </c>
      <c r="I354" s="4">
        <f>(Raw_Stock_Data!I354/Raw_Stock_Data!I353)-1</f>
        <v>4.2430506446172966E-2</v>
      </c>
      <c r="J354" s="4">
        <f>(Raw_Stock_Data!J354/Raw_Stock_Data!J353)-1</f>
        <v>2.6752685238142782E-2</v>
      </c>
    </row>
    <row r="355" spans="1:10" x14ac:dyDescent="0.2">
      <c r="A355" s="2">
        <v>44708</v>
      </c>
      <c r="B355" s="4">
        <f>(Raw_Stock_Data!B355/Raw_Stock_Data!B354)-1</f>
        <v>4.0775860237516781E-2</v>
      </c>
      <c r="C355" s="4">
        <f>(Raw_Stock_Data!C355/Raw_Stock_Data!C354)-1</f>
        <v>2.7604486785494764E-2</v>
      </c>
      <c r="D355" s="4">
        <f>(Raw_Stock_Data!D355/Raw_Stock_Data!D354)-1</f>
        <v>5.3780211395614952E-2</v>
      </c>
      <c r="E355" s="4">
        <f>(Raw_Stock_Data!E355/Raw_Stock_Data!E354)-1</f>
        <v>3.5544303797468313E-2</v>
      </c>
      <c r="F355" s="4">
        <f>(Raw_Stock_Data!F355/Raw_Stock_Data!F354)-1</f>
        <v>3.66229136282612E-2</v>
      </c>
      <c r="G355" s="4">
        <f>(Raw_Stock_Data!G355/Raw_Stock_Data!G354)-1</f>
        <v>7.3333050739688987E-2</v>
      </c>
      <c r="H355" s="4">
        <f>(Raw_Stock_Data!H355/Raw_Stock_Data!H354)-1</f>
        <v>4.1973147613638462E-2</v>
      </c>
      <c r="I355" s="4">
        <f>(Raw_Stock_Data!I355/Raw_Stock_Data!I354)-1</f>
        <v>1.8264363617387591E-2</v>
      </c>
      <c r="J355" s="4">
        <f>(Raw_Stock_Data!J355/Raw_Stock_Data!J354)-1</f>
        <v>3.3258805943452874E-2</v>
      </c>
    </row>
    <row r="356" spans="1:10" x14ac:dyDescent="0.2">
      <c r="A356" s="2">
        <v>44712</v>
      </c>
      <c r="B356" s="4">
        <f>(Raw_Stock_Data!B356/Raw_Stock_Data!B355)-1</f>
        <v>-5.3548707550572505E-3</v>
      </c>
      <c r="C356" s="4">
        <f>(Raw_Stock_Data!C356/Raw_Stock_Data!C355)-1</f>
        <v>-5.020448139480882E-3</v>
      </c>
      <c r="D356" s="4">
        <f>(Raw_Stock_Data!D356/Raw_Stock_Data!D355)-1</f>
        <v>-7.3843369003886439E-3</v>
      </c>
      <c r="E356" s="4">
        <f>(Raw_Stock_Data!E356/Raw_Stock_Data!E355)-1</f>
        <v>-3.911597887737206E-3</v>
      </c>
      <c r="F356" s="4">
        <f>(Raw_Stock_Data!F356/Raw_Stock_Data!F355)-1</f>
        <v>4.3978948465426493E-2</v>
      </c>
      <c r="G356" s="4">
        <f>(Raw_Stock_Data!G356/Raw_Stock_Data!G355)-1</f>
        <v>-1.8048260337270028E-3</v>
      </c>
      <c r="H356" s="4">
        <f>(Raw_Stock_Data!H356/Raw_Stock_Data!H355)-1</f>
        <v>1.287641855062116E-2</v>
      </c>
      <c r="I356" s="4">
        <f>(Raw_Stock_Data!I356/Raw_Stock_Data!I355)-1</f>
        <v>-7.6359350176805618E-3</v>
      </c>
      <c r="J356" s="4">
        <f>(Raw_Stock_Data!J356/Raw_Stock_Data!J355)-1</f>
        <v>-4.1001951178496476E-3</v>
      </c>
    </row>
    <row r="357" spans="1:10" x14ac:dyDescent="0.2">
      <c r="A357" s="2">
        <v>44713</v>
      </c>
      <c r="B357" s="4">
        <f>(Raw_Stock_Data!B357/Raw_Stock_Data!B356)-1</f>
        <v>-8.6193922644361987E-4</v>
      </c>
      <c r="C357" s="4">
        <f>(Raw_Stock_Data!C357/Raw_Stock_Data!C356)-1</f>
        <v>2.0250748601420288E-3</v>
      </c>
      <c r="D357" s="4">
        <f>(Raw_Stock_Data!D357/Raw_Stock_Data!D356)-1</f>
        <v>-1.8863674152421961E-2</v>
      </c>
      <c r="E357" s="4">
        <f>(Raw_Stock_Data!E357/Raw_Stock_Data!E356)-1</f>
        <v>-6.283133712939315E-3</v>
      </c>
      <c r="F357" s="4">
        <f>(Raw_Stock_Data!F357/Raw_Stock_Data!F356)-1</f>
        <v>1.2261875051992277E-2</v>
      </c>
      <c r="G357" s="4">
        <f>(Raw_Stock_Data!G357/Raw_Stock_Data!G356)-1</f>
        <v>-2.3592202664261097E-2</v>
      </c>
      <c r="H357" s="4">
        <f>(Raw_Stock_Data!H357/Raw_Stock_Data!H356)-1</f>
        <v>1.1380578909758743E-3</v>
      </c>
      <c r="I357" s="4">
        <f>(Raw_Stock_Data!I357/Raw_Stock_Data!I356)-1</f>
        <v>-2.5821111340632141E-2</v>
      </c>
      <c r="J357" s="4">
        <f>(Raw_Stock_Data!J357/Raw_Stock_Data!J356)-1</f>
        <v>-7.1953641095934273E-3</v>
      </c>
    </row>
    <row r="358" spans="1:10" x14ac:dyDescent="0.2">
      <c r="A358" s="2">
        <v>44714</v>
      </c>
      <c r="B358" s="4">
        <f>(Raw_Stock_Data!B358/Raw_Stock_Data!B357)-1</f>
        <v>1.6788081283891199E-2</v>
      </c>
      <c r="C358" s="4">
        <f>(Raw_Stock_Data!C358/Raw_Stock_Data!C357)-1</f>
        <v>7.9227002422179726E-3</v>
      </c>
      <c r="D358" s="4">
        <f>(Raw_Stock_Data!D358/Raw_Stock_Data!D357)-1</f>
        <v>6.9448848168111699E-2</v>
      </c>
      <c r="E358" s="4">
        <f>(Raw_Stock_Data!E358/Raw_Stock_Data!E357)-1</f>
        <v>7.2811697293025057E-2</v>
      </c>
      <c r="F358" s="4">
        <f>(Raw_Stock_Data!F358/Raw_Stock_Data!F357)-1</f>
        <v>3.1450313927878781E-2</v>
      </c>
      <c r="G358" s="4">
        <f>(Raw_Stock_Data!G358/Raw_Stock_Data!G357)-1</f>
        <v>4.6772559666113045E-2</v>
      </c>
      <c r="H358" s="4">
        <f>(Raw_Stock_Data!H358/Raw_Stock_Data!H357)-1</f>
        <v>3.2754670426506927E-2</v>
      </c>
      <c r="I358" s="4">
        <f>(Raw_Stock_Data!I358/Raw_Stock_Data!I357)-1</f>
        <v>5.4177268871925532E-2</v>
      </c>
      <c r="J358" s="4">
        <f>(Raw_Stock_Data!J358/Raw_Stock_Data!J357)-1</f>
        <v>2.6882410712945948E-2</v>
      </c>
    </row>
    <row r="359" spans="1:10" x14ac:dyDescent="0.2">
      <c r="A359" s="2">
        <v>44715</v>
      </c>
      <c r="B359" s="4">
        <f>(Raw_Stock_Data!B359/Raw_Stock_Data!B358)-1</f>
        <v>-3.8550111778490215E-2</v>
      </c>
      <c r="C359" s="4">
        <f>(Raw_Stock_Data!C359/Raw_Stock_Data!C358)-1</f>
        <v>-1.6602496140468381E-2</v>
      </c>
      <c r="D359" s="4">
        <f>(Raw_Stock_Data!D359/Raw_Stock_Data!D358)-1</f>
        <v>-4.4517712007360766E-2</v>
      </c>
      <c r="E359" s="4">
        <f>(Raw_Stock_Data!E359/Raw_Stock_Data!E358)-1</f>
        <v>-2.1088498020075619E-2</v>
      </c>
      <c r="F359" s="4">
        <f>(Raw_Stock_Data!F359/Raw_Stock_Data!F358)-1</f>
        <v>-2.5185043542000352E-2</v>
      </c>
      <c r="G359" s="4">
        <f>(Raw_Stock_Data!G359/Raw_Stock_Data!G358)-1</f>
        <v>-9.219108669817655E-2</v>
      </c>
      <c r="H359" s="4">
        <f>(Raw_Stock_Data!H359/Raw_Stock_Data!H358)-1</f>
        <v>-2.6195209774994344E-2</v>
      </c>
      <c r="I359" s="4">
        <f>(Raw_Stock_Data!I359/Raw_Stock_Data!I358)-1</f>
        <v>-4.0631600120688005E-2</v>
      </c>
      <c r="J359" s="4">
        <f>(Raw_Stock_Data!J359/Raw_Stock_Data!J358)-1</f>
        <v>-2.4695337300781883E-2</v>
      </c>
    </row>
    <row r="360" spans="1:10" x14ac:dyDescent="0.2">
      <c r="A360" s="2">
        <v>44718</v>
      </c>
      <c r="B360" s="4">
        <f>(Raw_Stock_Data!B360/Raw_Stock_Data!B359)-1</f>
        <v>5.2247116253336667E-3</v>
      </c>
      <c r="C360" s="4">
        <f>(Raw_Stock_Data!C360/Raw_Stock_Data!C359)-1</f>
        <v>-4.6982810797723262E-3</v>
      </c>
      <c r="D360" s="4">
        <f>(Raw_Stock_Data!D360/Raw_Stock_Data!D359)-1</f>
        <v>3.5309034297912323E-3</v>
      </c>
      <c r="E360" s="4">
        <f>(Raw_Stock_Data!E360/Raw_Stock_Data!E359)-1</f>
        <v>-6.1147695202257157E-3</v>
      </c>
      <c r="F360" s="4">
        <f>(Raw_Stock_Data!F360/Raw_Stock_Data!F359)-1</f>
        <v>1.9942787086228098E-2</v>
      </c>
      <c r="G360" s="4">
        <f>(Raw_Stock_Data!G360/Raw_Stock_Data!G359)-1</f>
        <v>1.6045745084578122E-2</v>
      </c>
      <c r="H360" s="4">
        <f>(Raw_Stock_Data!H360/Raw_Stock_Data!H359)-1</f>
        <v>1.98988845759549E-2</v>
      </c>
      <c r="I360" s="4">
        <f>(Raw_Stock_Data!I360/Raw_Stock_Data!I359)-1</f>
        <v>1.8188489359471705E-2</v>
      </c>
      <c r="J360" s="4">
        <f>(Raw_Stock_Data!J360/Raw_Stock_Data!J359)-1</f>
        <v>4.0490379788775677E-3</v>
      </c>
    </row>
    <row r="361" spans="1:10" x14ac:dyDescent="0.2">
      <c r="A361" s="2">
        <v>44719</v>
      </c>
      <c r="B361" s="4">
        <f>(Raw_Stock_Data!B361/Raw_Stock_Data!B360)-1</f>
        <v>1.7606198050568178E-2</v>
      </c>
      <c r="C361" s="4">
        <f>(Raw_Stock_Data!C361/Raw_Stock_Data!C360)-1</f>
        <v>1.3952339325757235E-2</v>
      </c>
      <c r="D361" s="4">
        <f>(Raw_Stock_Data!D361/Raw_Stock_Data!D360)-1</f>
        <v>7.4421183382114009E-3</v>
      </c>
      <c r="E361" s="4">
        <f>(Raw_Stock_Data!E361/Raw_Stock_Data!E360)-1</f>
        <v>-3.502129673450094E-3</v>
      </c>
      <c r="F361" s="4">
        <f>(Raw_Stock_Data!F361/Raw_Stock_Data!F360)-1</f>
        <v>-1.4344098084782431E-2</v>
      </c>
      <c r="G361" s="4">
        <f>(Raw_Stock_Data!G361/Raw_Stock_Data!G360)-1</f>
        <v>2.5474231995969987E-3</v>
      </c>
      <c r="H361" s="4">
        <f>(Raw_Stock_Data!H361/Raw_Stock_Data!H360)-1</f>
        <v>2.817917833639827E-3</v>
      </c>
      <c r="I361" s="4">
        <f>(Raw_Stock_Data!I361/Raw_Stock_Data!I360)-1</f>
        <v>7.2072072072071336E-3</v>
      </c>
      <c r="J361" s="4">
        <f>(Raw_Stock_Data!J361/Raw_Stock_Data!J360)-1</f>
        <v>9.4400553170990165E-3</v>
      </c>
    </row>
    <row r="362" spans="1:10" x14ac:dyDescent="0.2">
      <c r="A362" s="2">
        <v>44720</v>
      </c>
      <c r="B362" s="4">
        <f>(Raw_Stock_Data!B362/Raw_Stock_Data!B361)-1</f>
        <v>-5.0460097496851652E-3</v>
      </c>
      <c r="C362" s="4">
        <f>(Raw_Stock_Data!C362/Raw_Stock_Data!C361)-1</f>
        <v>-7.6654634325533655E-3</v>
      </c>
      <c r="D362" s="4">
        <f>(Raw_Stock_Data!D362/Raw_Stock_Data!D361)-1</f>
        <v>-1.4472660694158646E-2</v>
      </c>
      <c r="E362" s="4">
        <f>(Raw_Stock_Data!E362/Raw_Stock_Data!E361)-1</f>
        <v>-3.2104863221884439E-2</v>
      </c>
      <c r="F362" s="4">
        <f>(Raw_Stock_Data!F362/Raw_Stock_Data!F361)-1</f>
        <v>-1.4796747967479651E-2</v>
      </c>
      <c r="G362" s="4">
        <f>(Raw_Stock_Data!G362/Raw_Stock_Data!G361)-1</f>
        <v>1.2474517240368854E-2</v>
      </c>
      <c r="H362" s="4">
        <f>(Raw_Stock_Data!H362/Raw_Stock_Data!H361)-1</f>
        <v>3.8551822216126297E-4</v>
      </c>
      <c r="I362" s="4">
        <f>(Raw_Stock_Data!I362/Raw_Stock_Data!I361)-1</f>
        <v>5.0600562228468871E-3</v>
      </c>
      <c r="J362" s="4">
        <f>(Raw_Stock_Data!J362/Raw_Stock_Data!J361)-1</f>
        <v>-7.3066381497515209E-3</v>
      </c>
    </row>
    <row r="363" spans="1:10" x14ac:dyDescent="0.2">
      <c r="A363" s="2">
        <v>44721</v>
      </c>
      <c r="B363" s="4">
        <f>(Raw_Stock_Data!B363/Raw_Stock_Data!B362)-1</f>
        <v>-3.5962262333211759E-2</v>
      </c>
      <c r="C363" s="4">
        <f>(Raw_Stock_Data!C363/Raw_Stock_Data!C362)-1</f>
        <v>-2.0786746041339232E-2</v>
      </c>
      <c r="D363" s="4">
        <f>(Raw_Stock_Data!D363/Raw_Stock_Data!D362)-1</f>
        <v>-3.2178563374534175E-2</v>
      </c>
      <c r="E363" s="4">
        <f>(Raw_Stock_Data!E363/Raw_Stock_Data!E362)-1</f>
        <v>-3.042198233562321E-2</v>
      </c>
      <c r="F363" s="4">
        <f>(Raw_Stock_Data!F363/Raw_Stock_Data!F362)-1</f>
        <v>-4.1508499752434425E-2</v>
      </c>
      <c r="G363" s="4">
        <f>(Raw_Stock_Data!G363/Raw_Stock_Data!G362)-1</f>
        <v>-8.9305279347740019E-3</v>
      </c>
      <c r="H363" s="4">
        <f>(Raw_Stock_Data!H363/Raw_Stock_Data!H362)-1</f>
        <v>-2.012485976826428E-2</v>
      </c>
      <c r="I363" s="4">
        <f>(Raw_Stock_Data!I363/Raw_Stock_Data!I362)-1</f>
        <v>-6.4279902359641872E-2</v>
      </c>
      <c r="J363" s="4">
        <f>(Raw_Stock_Data!J363/Raw_Stock_Data!J362)-1</f>
        <v>-2.7472495650022744E-2</v>
      </c>
    </row>
    <row r="364" spans="1:10" x14ac:dyDescent="0.2">
      <c r="A364" s="2">
        <v>44722</v>
      </c>
      <c r="B364" s="4">
        <f>(Raw_Stock_Data!B364/Raw_Stock_Data!B363)-1</f>
        <v>-3.863861863190865E-2</v>
      </c>
      <c r="C364" s="4">
        <f>(Raw_Stock_Data!C364/Raw_Stock_Data!C363)-1</f>
        <v>-4.4562227802787402E-2</v>
      </c>
      <c r="D364" s="4">
        <f>(Raw_Stock_Data!D364/Raw_Stock_Data!D363)-1</f>
        <v>-5.9512119346015635E-2</v>
      </c>
      <c r="E364" s="4">
        <f>(Raw_Stock_Data!E364/Raw_Stock_Data!E363)-1</f>
        <v>-4.0283400809716596E-2</v>
      </c>
      <c r="F364" s="4">
        <f>(Raw_Stock_Data!F364/Raw_Stock_Data!F363)-1</f>
        <v>-5.5962117950925538E-2</v>
      </c>
      <c r="G364" s="4">
        <f>(Raw_Stock_Data!G364/Raw_Stock_Data!G363)-1</f>
        <v>-3.1192247201792256E-2</v>
      </c>
      <c r="H364" s="4">
        <f>(Raw_Stock_Data!H364/Raw_Stock_Data!H363)-1</f>
        <v>-3.1987135228673136E-2</v>
      </c>
      <c r="I364" s="4">
        <f>(Raw_Stock_Data!I364/Raw_Stock_Data!I363)-1</f>
        <v>-4.5815217391304341E-2</v>
      </c>
      <c r="J364" s="4">
        <f>(Raw_Stock_Data!J364/Raw_Stock_Data!J363)-1</f>
        <v>-3.523922877125929E-2</v>
      </c>
    </row>
    <row r="365" spans="1:10" x14ac:dyDescent="0.2">
      <c r="A365" s="2">
        <v>44725</v>
      </c>
      <c r="B365" s="4">
        <f>(Raw_Stock_Data!B365/Raw_Stock_Data!B364)-1</f>
        <v>-3.8275913275913287E-2</v>
      </c>
      <c r="C365" s="4">
        <f>(Raw_Stock_Data!C365/Raw_Stock_Data!C364)-1</f>
        <v>-4.2413426948373245E-2</v>
      </c>
      <c r="D365" s="4">
        <f>(Raw_Stock_Data!D365/Raw_Stock_Data!D364)-1</f>
        <v>-7.8172744540531691E-2</v>
      </c>
      <c r="E365" s="4">
        <f>(Raw_Stock_Data!E365/Raw_Stock_Data!E364)-1</f>
        <v>-8.257751529213242E-2</v>
      </c>
      <c r="F365" s="4">
        <f>(Raw_Stock_Data!F365/Raw_Stock_Data!F364)-1</f>
        <v>-5.4537163702690461E-2</v>
      </c>
      <c r="G365" s="4">
        <f>(Raw_Stock_Data!G365/Raw_Stock_Data!G364)-1</f>
        <v>-7.1020109374327123E-2</v>
      </c>
      <c r="H365" s="4">
        <f>(Raw_Stock_Data!H365/Raw_Stock_Data!H364)-1</f>
        <v>-4.2912216393857006E-2</v>
      </c>
      <c r="I365" s="4">
        <f>(Raw_Stock_Data!I365/Raw_Stock_Data!I364)-1</f>
        <v>-6.4418750355983434E-2</v>
      </c>
      <c r="J365" s="4">
        <f>(Raw_Stock_Data!J365/Raw_Stock_Data!J364)-1</f>
        <v>-4.6806795755210406E-2</v>
      </c>
    </row>
    <row r="366" spans="1:10" x14ac:dyDescent="0.2">
      <c r="A366" s="2">
        <v>44726</v>
      </c>
      <c r="B366" s="4">
        <f>(Raw_Stock_Data!B366/Raw_Stock_Data!B365)-1</f>
        <v>6.67052692530401E-3</v>
      </c>
      <c r="C366" s="4">
        <f>(Raw_Stock_Data!C366/Raw_Stock_Data!C365)-1</f>
        <v>9.2041353256653302E-3</v>
      </c>
      <c r="D366" s="4">
        <f>(Raw_Stock_Data!D366/Raw_Stock_Data!D365)-1</f>
        <v>1.2081653548345672E-2</v>
      </c>
      <c r="E366" s="4">
        <f>(Raw_Stock_Data!E366/Raw_Stock_Data!E365)-1</f>
        <v>0</v>
      </c>
      <c r="F366" s="4">
        <f>(Raw_Stock_Data!F366/Raw_Stock_Data!F365)-1</f>
        <v>-1.3118549242789657E-2</v>
      </c>
      <c r="G366" s="4">
        <f>(Raw_Stock_Data!G366/Raw_Stock_Data!G365)-1</f>
        <v>2.3885564367725376E-2</v>
      </c>
      <c r="H366" s="4">
        <f>(Raw_Stock_Data!H366/Raw_Stock_Data!H365)-1</f>
        <v>3.0375066032752862E-3</v>
      </c>
      <c r="I366" s="4">
        <f>(Raw_Stock_Data!I366/Raw_Stock_Data!I365)-1</f>
        <v>-3.2265919883112115E-3</v>
      </c>
      <c r="J366" s="4">
        <f>(Raw_Stock_Data!J366/Raw_Stock_Data!J365)-1</f>
        <v>1.768858651356453E-3</v>
      </c>
    </row>
    <row r="367" spans="1:10" x14ac:dyDescent="0.2">
      <c r="A367" s="2">
        <v>44727</v>
      </c>
      <c r="B367" s="4">
        <f>(Raw_Stock_Data!B367/Raw_Stock_Data!B366)-1</f>
        <v>2.0101388920844343E-2</v>
      </c>
      <c r="C367" s="4">
        <f>(Raw_Stock_Data!C367/Raw_Stock_Data!C366)-1</f>
        <v>2.9737757928467223E-2</v>
      </c>
      <c r="D367" s="4">
        <f>(Raw_Stock_Data!D367/Raw_Stock_Data!D366)-1</f>
        <v>4.3627258817132253E-2</v>
      </c>
      <c r="E367" s="4">
        <f>(Raw_Stock_Data!E367/Raw_Stock_Data!E366)-1</f>
        <v>2.6554776411081837E-2</v>
      </c>
      <c r="F367" s="4">
        <f>(Raw_Stock_Data!F367/Raw_Stock_Data!F366)-1</f>
        <v>5.2389795718893462E-2</v>
      </c>
      <c r="G367" s="4">
        <f>(Raw_Stock_Data!G367/Raw_Stock_Data!G366)-1</f>
        <v>5.4823667888994621E-2</v>
      </c>
      <c r="H367" s="4">
        <f>(Raw_Stock_Data!H367/Raw_Stock_Data!H366)-1</f>
        <v>2.857142857142847E-2</v>
      </c>
      <c r="I367" s="4">
        <f>(Raw_Stock_Data!I367/Raw_Stock_Data!I366)-1</f>
        <v>3.4324803029377682E-2</v>
      </c>
      <c r="J367" s="4">
        <f>(Raw_Stock_Data!J367/Raw_Stock_Data!J366)-1</f>
        <v>2.5008426953321505E-2</v>
      </c>
    </row>
    <row r="368" spans="1:10" x14ac:dyDescent="0.2">
      <c r="A368" s="2">
        <v>44728</v>
      </c>
      <c r="B368" s="4">
        <f>(Raw_Stock_Data!B368/Raw_Stock_Data!B367)-1</f>
        <v>-3.963611758514396E-2</v>
      </c>
      <c r="C368" s="4">
        <f>(Raw_Stock_Data!C368/Raw_Stock_Data!C367)-1</f>
        <v>-2.6972090702174989E-2</v>
      </c>
      <c r="D368" s="4">
        <f>(Raw_Stock_Data!D368/Raw_Stock_Data!D367)-1</f>
        <v>-5.6022731403506776E-2</v>
      </c>
      <c r="E368" s="4">
        <f>(Raw_Stock_Data!E368/Raw_Stock_Data!E367)-1</f>
        <v>-8.1187010078387467E-2</v>
      </c>
      <c r="F368" s="4">
        <f>(Raw_Stock_Data!F368/Raw_Stock_Data!F367)-1</f>
        <v>-3.7243428996006411E-2</v>
      </c>
      <c r="G368" s="4">
        <f>(Raw_Stock_Data!G368/Raw_Stock_Data!G367)-1</f>
        <v>-8.540772532188845E-2</v>
      </c>
      <c r="H368" s="4">
        <f>(Raw_Stock_Data!H368/Raw_Stock_Data!H367)-1</f>
        <v>-3.3986175115207407E-2</v>
      </c>
      <c r="I368" s="4">
        <f>(Raw_Stock_Data!I368/Raw_Stock_Data!I367)-1</f>
        <v>-5.0073811632713294E-2</v>
      </c>
      <c r="J368" s="4">
        <f>(Raw_Stock_Data!J368/Raw_Stock_Data!J367)-1</f>
        <v>-4.081844105179222E-2</v>
      </c>
    </row>
    <row r="369" spans="1:10" x14ac:dyDescent="0.2">
      <c r="A369" s="2">
        <v>44729</v>
      </c>
      <c r="B369" s="4">
        <f>(Raw_Stock_Data!B369/Raw_Stock_Data!B368)-1</f>
        <v>1.1531415866852468E-2</v>
      </c>
      <c r="C369" s="4">
        <f>(Raw_Stock_Data!C369/Raw_Stock_Data!C368)-1</f>
        <v>1.0936959250132272E-2</v>
      </c>
      <c r="D369" s="4">
        <f>(Raw_Stock_Data!D369/Raw_Stock_Data!D368)-1</f>
        <v>1.7880637438948632E-2</v>
      </c>
      <c r="E369" s="4">
        <f>(Raw_Stock_Data!E369/Raw_Stock_Data!E368)-1</f>
        <v>-5.8500914076783372E-3</v>
      </c>
      <c r="F369" s="4">
        <f>(Raw_Stock_Data!F369/Raw_Stock_Data!F368)-1</f>
        <v>2.4696121937102022E-2</v>
      </c>
      <c r="G369" s="4">
        <f>(Raw_Stock_Data!G369/Raw_Stock_Data!G368)-1</f>
        <v>1.717503519474417E-2</v>
      </c>
      <c r="H369" s="4">
        <f>(Raw_Stock_Data!H369/Raw_Stock_Data!H368)-1</f>
        <v>1.0458963947336031E-2</v>
      </c>
      <c r="I369" s="4">
        <f>(Raw_Stock_Data!I369/Raw_Stock_Data!I368)-1</f>
        <v>1.7840492322993784E-2</v>
      </c>
      <c r="J369" s="4">
        <f>(Raw_Stock_Data!J369/Raw_Stock_Data!J368)-1</f>
        <v>1.4301011638064631E-2</v>
      </c>
    </row>
    <row r="370" spans="1:10" x14ac:dyDescent="0.2">
      <c r="A370" s="2">
        <v>44733</v>
      </c>
      <c r="B370" s="4">
        <f>(Raw_Stock_Data!B370/Raw_Stock_Data!B369)-1</f>
        <v>3.2768107978422778E-2</v>
      </c>
      <c r="C370" s="4">
        <f>(Raw_Stock_Data!C370/Raw_Stock_Data!C369)-1</f>
        <v>2.4590434395261651E-2</v>
      </c>
      <c r="D370" s="4">
        <f>(Raw_Stock_Data!D370/Raw_Stock_Data!D369)-1</f>
        <v>4.3197538414976311E-2</v>
      </c>
      <c r="E370" s="4">
        <f>(Raw_Stock_Data!E370/Raw_Stock_Data!E369)-1</f>
        <v>2.7215888194189297E-2</v>
      </c>
      <c r="F370" s="4">
        <f>(Raw_Stock_Data!F370/Raw_Stock_Data!F369)-1</f>
        <v>2.3159480323856174E-2</v>
      </c>
      <c r="G370" s="4">
        <f>(Raw_Stock_Data!G370/Raw_Stock_Data!G369)-1</f>
        <v>9.3545857169219593E-2</v>
      </c>
      <c r="H370" s="4">
        <f>(Raw_Stock_Data!H370/Raw_Stock_Data!H369)-1</f>
        <v>4.10749747086816E-2</v>
      </c>
      <c r="I370" s="4">
        <f>(Raw_Stock_Data!I370/Raw_Stock_Data!I369)-1</f>
        <v>-4.08574569439355E-2</v>
      </c>
      <c r="J370" s="4">
        <f>(Raw_Stock_Data!J370/Raw_Stock_Data!J369)-1</f>
        <v>2.5091796431862212E-2</v>
      </c>
    </row>
    <row r="371" spans="1:10" x14ac:dyDescent="0.2">
      <c r="A371" s="2">
        <v>44734</v>
      </c>
      <c r="B371" s="4">
        <f>(Raw_Stock_Data!B371/Raw_Stock_Data!B370)-1</f>
        <v>-3.8517741391582705E-3</v>
      </c>
      <c r="C371" s="4">
        <f>(Raw_Stock_Data!C371/Raw_Stock_Data!C370)-1</f>
        <v>-2.4072717318669445E-3</v>
      </c>
      <c r="D371" s="4">
        <f>(Raw_Stock_Data!D371/Raw_Stock_Data!D370)-1</f>
        <v>-1.2432909433779837E-2</v>
      </c>
      <c r="E371" s="4">
        <f>(Raw_Stock_Data!E371/Raw_Stock_Data!E370)-1</f>
        <v>-4.7738393603058427E-4</v>
      </c>
      <c r="F371" s="4">
        <f>(Raw_Stock_Data!F371/Raw_Stock_Data!F370)-1</f>
        <v>2.4843577475155421E-3</v>
      </c>
      <c r="G371" s="4">
        <f>(Raw_Stock_Data!G371/Raw_Stock_Data!G370)-1</f>
        <v>-4.0078131262208938E-3</v>
      </c>
      <c r="H371" s="4">
        <f>(Raw_Stock_Data!H371/Raw_Stock_Data!H370)-1</f>
        <v>-5.0386446046024602E-4</v>
      </c>
      <c r="I371" s="4">
        <f>(Raw_Stock_Data!I371/Raw_Stock_Data!I370)-1</f>
        <v>-7.6408787010506796E-3</v>
      </c>
      <c r="J371" s="4">
        <f>(Raw_Stock_Data!J371/Raw_Stock_Data!J370)-1</f>
        <v>-1.4653139764935208E-3</v>
      </c>
    </row>
    <row r="372" spans="1:10" x14ac:dyDescent="0.2">
      <c r="A372" s="2">
        <v>44735</v>
      </c>
      <c r="B372" s="4">
        <f>(Raw_Stock_Data!B372/Raw_Stock_Data!B371)-1</f>
        <v>2.1590148272411902E-2</v>
      </c>
      <c r="C372" s="4">
        <f>(Raw_Stock_Data!C372/Raw_Stock_Data!C371)-1</f>
        <v>2.2641798753914255E-2</v>
      </c>
      <c r="D372" s="4">
        <f>(Raw_Stock_Data!D372/Raw_Stock_Data!D371)-1</f>
        <v>-8.2501484169873462E-3</v>
      </c>
      <c r="E372" s="4">
        <f>(Raw_Stock_Data!E372/Raw_Stock_Data!E371)-1</f>
        <v>-1.5761194029850656E-2</v>
      </c>
      <c r="F372" s="4">
        <f>(Raw_Stock_Data!F372/Raw_Stock_Data!F371)-1</f>
        <v>3.2033042680128521E-2</v>
      </c>
      <c r="G372" s="4">
        <f>(Raw_Stock_Data!G372/Raw_Stock_Data!G371)-1</f>
        <v>-4.3077340133086395E-3</v>
      </c>
      <c r="H372" s="4">
        <f>(Raw_Stock_Data!H372/Raw_Stock_Data!H371)-1</f>
        <v>6.7605887383535013E-3</v>
      </c>
      <c r="I372" s="4">
        <f>(Raw_Stock_Data!I372/Raw_Stock_Data!I371)-1</f>
        <v>1.8607635547000401E-2</v>
      </c>
      <c r="J372" s="4">
        <f>(Raw_Stock_Data!J372/Raw_Stock_Data!J371)-1</f>
        <v>1.6204533035135915E-2</v>
      </c>
    </row>
    <row r="373" spans="1:10" x14ac:dyDescent="0.2">
      <c r="A373" s="2">
        <v>44736</v>
      </c>
      <c r="B373" s="4">
        <f>(Raw_Stock_Data!B373/Raw_Stock_Data!B372)-1</f>
        <v>2.4513810649406276E-2</v>
      </c>
      <c r="C373" s="4">
        <f>(Raw_Stock_Data!C373/Raw_Stock_Data!C372)-1</f>
        <v>3.4143954669392018E-2</v>
      </c>
      <c r="D373" s="4">
        <f>(Raw_Stock_Data!D373/Raw_Stock_Data!D372)-1</f>
        <v>5.5522299636516115E-2</v>
      </c>
      <c r="E373" s="4">
        <f>(Raw_Stock_Data!E373/Raw_Stock_Data!E372)-1</f>
        <v>5.6411500667232772E-2</v>
      </c>
      <c r="F373" s="4">
        <f>(Raw_Stock_Data!F373/Raw_Stock_Data!F372)-1</f>
        <v>3.5752401280682911E-2</v>
      </c>
      <c r="G373" s="4">
        <f>(Raw_Stock_Data!G373/Raw_Stock_Data!G372)-1</f>
        <v>4.5250350959288754E-2</v>
      </c>
      <c r="H373" s="4">
        <f>(Raw_Stock_Data!H373/Raw_Stock_Data!H372)-1</f>
        <v>5.1083729747129825E-2</v>
      </c>
      <c r="I373" s="4">
        <f>(Raw_Stock_Data!I373/Raw_Stock_Data!I372)-1</f>
        <v>7.1874015748031539E-2</v>
      </c>
      <c r="J373" s="4">
        <f>(Raw_Stock_Data!J373/Raw_Stock_Data!J372)-1</f>
        <v>3.3424470205721368E-2</v>
      </c>
    </row>
    <row r="374" spans="1:10" x14ac:dyDescent="0.2">
      <c r="A374" s="2">
        <v>44739</v>
      </c>
      <c r="B374" s="4">
        <f>(Raw_Stock_Data!B374/Raw_Stock_Data!B373)-1</f>
        <v>0</v>
      </c>
      <c r="C374" s="4">
        <f>(Raw_Stock_Data!C374/Raw_Stock_Data!C373)-1</f>
        <v>-1.0492979242979206E-2</v>
      </c>
      <c r="D374" s="4">
        <f>(Raw_Stock_Data!D374/Raw_Stock_Data!D373)-1</f>
        <v>-1.50023386342375E-2</v>
      </c>
      <c r="E374" s="4">
        <f>(Raw_Stock_Data!E374/Raw_Stock_Data!E373)-1</f>
        <v>-1.0564997703261358E-2</v>
      </c>
      <c r="F374" s="4">
        <f>(Raw_Stock_Data!F374/Raw_Stock_Data!F373)-1</f>
        <v>-2.7820710973724849E-2</v>
      </c>
      <c r="G374" s="4">
        <f>(Raw_Stock_Data!G374/Raw_Stock_Data!G373)-1</f>
        <v>-3.203001949476425E-3</v>
      </c>
      <c r="H374" s="4">
        <f>(Raw_Stock_Data!H374/Raw_Stock_Data!H373)-1</f>
        <v>-1.8145624377919112E-2</v>
      </c>
      <c r="I374" s="4">
        <f>(Raw_Stock_Data!I374/Raw_Stock_Data!I373)-1</f>
        <v>-3.9374706158908923E-3</v>
      </c>
      <c r="J374" s="4">
        <f>(Raw_Stock_Data!J374/Raw_Stock_Data!J373)-1</f>
        <v>-7.1565058125612202E-3</v>
      </c>
    </row>
    <row r="375" spans="1:10" x14ac:dyDescent="0.2">
      <c r="A375" s="2">
        <v>44740</v>
      </c>
      <c r="B375" s="4">
        <f>(Raw_Stock_Data!B375/Raw_Stock_Data!B374)-1</f>
        <v>-2.9785093078415925E-2</v>
      </c>
      <c r="C375" s="4">
        <f>(Raw_Stock_Data!C375/Raw_Stock_Data!C374)-1</f>
        <v>-3.1747194694019099E-2</v>
      </c>
      <c r="D375" s="4">
        <f>(Raw_Stock_Data!D375/Raw_Stock_Data!D374)-1</f>
        <v>-5.2577845839714143E-2</v>
      </c>
      <c r="E375" s="4">
        <f>(Raw_Stock_Data!E375/Raw_Stock_Data!E374)-1</f>
        <v>-6.2441968430826278E-2</v>
      </c>
      <c r="F375" s="4">
        <f>(Raw_Stock_Data!F375/Raw_Stock_Data!F374)-1</f>
        <v>-5.1404345521992467E-2</v>
      </c>
      <c r="G375" s="4">
        <f>(Raw_Stock_Data!G375/Raw_Stock_Data!G374)-1</f>
        <v>-5.0044912624530369E-2</v>
      </c>
      <c r="H375" s="4">
        <f>(Raw_Stock_Data!H375/Raw_Stock_Data!H374)-1</f>
        <v>-3.3028349622236108E-2</v>
      </c>
      <c r="I375" s="4">
        <f>(Raw_Stock_Data!I375/Raw_Stock_Data!I374)-1</f>
        <v>-5.1979467815210345E-2</v>
      </c>
      <c r="J375" s="4">
        <f>(Raw_Stock_Data!J375/Raw_Stock_Data!J374)-1</f>
        <v>-2.9763418094415739E-2</v>
      </c>
    </row>
    <row r="376" spans="1:10" x14ac:dyDescent="0.2">
      <c r="A376" s="2">
        <v>44741</v>
      </c>
      <c r="B376" s="4">
        <f>(Raw_Stock_Data!B376/Raw_Stock_Data!B375)-1</f>
        <v>1.3016164639295891E-2</v>
      </c>
      <c r="C376" s="4">
        <f>(Raw_Stock_Data!C376/Raw_Stock_Data!C375)-1</f>
        <v>1.4735341322277717E-2</v>
      </c>
      <c r="D376" s="4">
        <f>(Raw_Stock_Data!D376/Raw_Stock_Data!D375)-1</f>
        <v>-2.7534833600641573E-2</v>
      </c>
      <c r="E376" s="4">
        <f>(Raw_Stock_Data!E376/Raw_Stock_Data!E375)-1</f>
        <v>-3.4538252042584872E-2</v>
      </c>
      <c r="F376" s="4">
        <f>(Raw_Stock_Data!F376/Raw_Stock_Data!F375)-1</f>
        <v>1.4152700186219613E-2</v>
      </c>
      <c r="G376" s="4">
        <f>(Raw_Stock_Data!G376/Raw_Stock_Data!G375)-1</f>
        <v>-1.7935812742034596E-2</v>
      </c>
      <c r="H376" s="4">
        <f>(Raw_Stock_Data!H376/Raw_Stock_Data!H375)-1</f>
        <v>-2.7418372101357669E-3</v>
      </c>
      <c r="I376" s="4">
        <f>(Raw_Stock_Data!I376/Raw_Stock_Data!I375)-1</f>
        <v>2.0288772715957082E-2</v>
      </c>
      <c r="J376" s="4">
        <f>(Raw_Stock_Data!J376/Raw_Stock_Data!J375)-1</f>
        <v>-3.264308851912423E-4</v>
      </c>
    </row>
    <row r="377" spans="1:10" x14ac:dyDescent="0.2">
      <c r="A377" s="2">
        <v>44742</v>
      </c>
      <c r="B377" s="4">
        <f>(Raw_Stock_Data!B377/Raw_Stock_Data!B376)-1</f>
        <v>-1.801920390806111E-2</v>
      </c>
      <c r="C377" s="4">
        <f>(Raw_Stock_Data!C377/Raw_Stock_Data!C376)-1</f>
        <v>-1.3175194370420362E-2</v>
      </c>
      <c r="D377" s="4">
        <f>(Raw_Stock_Data!D377/Raw_Stock_Data!D376)-1</f>
        <v>-2.463584179975653E-2</v>
      </c>
      <c r="E377" s="4">
        <f>(Raw_Stock_Data!E377/Raw_Stock_Data!E376)-1</f>
        <v>-1.9489678163867152E-2</v>
      </c>
      <c r="F377" s="4">
        <f>(Raw_Stock_Data!F377/Raw_Stock_Data!F376)-1</f>
        <v>-2.4880646345942004E-2</v>
      </c>
      <c r="G377" s="4">
        <f>(Raw_Stock_Data!G377/Raw_Stock_Data!G376)-1</f>
        <v>-1.7580638102323909E-2</v>
      </c>
      <c r="H377" s="4">
        <f>(Raw_Stock_Data!H377/Raw_Stock_Data!H376)-1</f>
        <v>-2.4510772880015907E-2</v>
      </c>
      <c r="I377" s="4">
        <f>(Raw_Stock_Data!I377/Raw_Stock_Data!I376)-1</f>
        <v>-1.6408442112968102E-2</v>
      </c>
      <c r="J377" s="4">
        <f>(Raw_Stock_Data!J377/Raw_Stock_Data!J376)-1</f>
        <v>-1.3343305400214112E-2</v>
      </c>
    </row>
    <row r="378" spans="1:10" x14ac:dyDescent="0.2">
      <c r="A378" s="2">
        <v>44743</v>
      </c>
      <c r="B378" s="4">
        <f>(Raw_Stock_Data!B378/Raw_Stock_Data!B377)-1</f>
        <v>1.6160382487209635E-2</v>
      </c>
      <c r="C378" s="4">
        <f>(Raw_Stock_Data!C378/Raw_Stock_Data!C377)-1</f>
        <v>1.0702354438434591E-2</v>
      </c>
      <c r="D378" s="4">
        <f>(Raw_Stock_Data!D378/Raw_Stock_Data!D377)-1</f>
        <v>-4.1962522374947908E-2</v>
      </c>
      <c r="E378" s="4">
        <f>(Raw_Stock_Data!E378/Raw_Stock_Data!E377)-1</f>
        <v>-3.6615666274355974E-2</v>
      </c>
      <c r="F378" s="4">
        <f>(Raw_Stock_Data!F378/Raw_Stock_Data!F377)-1</f>
        <v>3.1541286131249402E-2</v>
      </c>
      <c r="G378" s="4">
        <f>(Raw_Stock_Data!G378/Raw_Stock_Data!G377)-1</f>
        <v>1.2429111741723897E-2</v>
      </c>
      <c r="H378" s="4">
        <f>(Raw_Stock_Data!H378/Raw_Stock_Data!H377)-1</f>
        <v>-2.0723956894168616E-3</v>
      </c>
      <c r="I378" s="4">
        <f>(Raw_Stock_Data!I378/Raw_Stock_Data!I377)-1</f>
        <v>-7.5658914728682358E-3</v>
      </c>
      <c r="J378" s="4">
        <f>(Raw_Stock_Data!J378/Raw_Stock_Data!J377)-1</f>
        <v>8.9856139504602695E-3</v>
      </c>
    </row>
    <row r="379" spans="1:10" x14ac:dyDescent="0.2">
      <c r="A379" s="2">
        <v>44747</v>
      </c>
      <c r="B379" s="4">
        <f>(Raw_Stock_Data!B379/Raw_Stock_Data!B378)-1</f>
        <v>1.8922820980732613E-2</v>
      </c>
      <c r="C379" s="4">
        <f>(Raw_Stock_Data!C379/Raw_Stock_Data!C378)-1</f>
        <v>1.2599800890092272E-2</v>
      </c>
      <c r="D379" s="4">
        <f>(Raw_Stock_Data!D379/Raw_Stock_Data!D378)-1</f>
        <v>3.0383883511210463E-2</v>
      </c>
      <c r="E379" s="4">
        <f>(Raw_Stock_Data!E379/Raw_Stock_Data!E378)-1</f>
        <v>2.0768291027555286E-2</v>
      </c>
      <c r="F379" s="4">
        <f>(Raw_Stock_Data!F379/Raw_Stock_Data!F378)-1</f>
        <v>3.5962029937933515E-2</v>
      </c>
      <c r="G379" s="4">
        <f>(Raw_Stock_Data!G379/Raw_Stock_Data!G378)-1</f>
        <v>2.5538693056062822E-2</v>
      </c>
      <c r="H379" s="4">
        <f>(Raw_Stock_Data!H379/Raw_Stock_Data!H378)-1</f>
        <v>4.1617056624671189E-2</v>
      </c>
      <c r="I379" s="4">
        <f>(Raw_Stock_Data!I379/Raw_Stock_Data!I378)-1</f>
        <v>5.0990439292632583E-2</v>
      </c>
      <c r="J379" s="4">
        <f>(Raw_Stock_Data!J379/Raw_Stock_Data!J378)-1</f>
        <v>1.7469697623258451E-2</v>
      </c>
    </row>
    <row r="380" spans="1:10" x14ac:dyDescent="0.2">
      <c r="A380" s="2">
        <v>44748</v>
      </c>
      <c r="B380" s="4">
        <f>(Raw_Stock_Data!B380/Raw_Stock_Data!B379)-1</f>
        <v>9.6165603354647633E-3</v>
      </c>
      <c r="C380" s="4">
        <f>(Raw_Stock_Data!C380/Raw_Stock_Data!C379)-1</f>
        <v>1.2777218623339914E-2</v>
      </c>
      <c r="D380" s="4">
        <f>(Raw_Stock_Data!D380/Raw_Stock_Data!D379)-1</f>
        <v>1.1080554830680267E-2</v>
      </c>
      <c r="E380" s="4">
        <f>(Raw_Stock_Data!E380/Raw_Stock_Data!E379)-1</f>
        <v>1.9946808510638014E-3</v>
      </c>
      <c r="F380" s="4">
        <f>(Raw_Stock_Data!F380/Raw_Stock_Data!F379)-1</f>
        <v>7.312775330396537E-3</v>
      </c>
      <c r="G380" s="4">
        <f>(Raw_Stock_Data!G380/Raw_Stock_Data!G379)-1</f>
        <v>-5.7236760244908647E-3</v>
      </c>
      <c r="H380" s="4">
        <f>(Raw_Stock_Data!H380/Raw_Stock_Data!H379)-1</f>
        <v>1.1554752157655113E-2</v>
      </c>
      <c r="I380" s="4">
        <f>(Raw_Stock_Data!I380/Raw_Stock_Data!I379)-1</f>
        <v>9.394137582495965E-3</v>
      </c>
      <c r="J380" s="4">
        <f>(Raw_Stock_Data!J380/Raw_Stock_Data!J379)-1</f>
        <v>3.4984243400599802E-3</v>
      </c>
    </row>
    <row r="381" spans="1:10" x14ac:dyDescent="0.2">
      <c r="A381" s="2">
        <v>44749</v>
      </c>
      <c r="B381" s="4">
        <f>(Raw_Stock_Data!B381/Raw_Stock_Data!B380)-1</f>
        <v>2.4008320984839848E-2</v>
      </c>
      <c r="C381" s="4">
        <f>(Raw_Stock_Data!C381/Raw_Stock_Data!C380)-1</f>
        <v>8.2265051549952339E-3</v>
      </c>
      <c r="D381" s="4">
        <f>(Raw_Stock_Data!D381/Raw_Stock_Data!D380)-1</f>
        <v>4.8111603036259165E-2</v>
      </c>
      <c r="E381" s="4">
        <f>(Raw_Stock_Data!E381/Raw_Stock_Data!E380)-1</f>
        <v>5.2422030524220453E-2</v>
      </c>
      <c r="F381" s="4">
        <f>(Raw_Stock_Data!F381/Raw_Stock_Data!F380)-1</f>
        <v>1.7493221376716495E-2</v>
      </c>
      <c r="G381" s="4">
        <f>(Raw_Stock_Data!G381/Raw_Stock_Data!G380)-1</f>
        <v>5.5279135902094323E-2</v>
      </c>
      <c r="H381" s="4">
        <f>(Raw_Stock_Data!H381/Raw_Stock_Data!H380)-1</f>
        <v>3.675607491371613E-2</v>
      </c>
      <c r="I381" s="4">
        <f>(Raw_Stock_Data!I381/Raw_Stock_Data!I380)-1</f>
        <v>1.4254579725510919E-2</v>
      </c>
      <c r="J381" s="4">
        <f>(Raw_Stock_Data!J381/Raw_Stock_Data!J380)-1</f>
        <v>2.2839590383608277E-2</v>
      </c>
    </row>
    <row r="382" spans="1:10" x14ac:dyDescent="0.2">
      <c r="A382" s="2">
        <v>44750</v>
      </c>
      <c r="B382" s="4">
        <f>(Raw_Stock_Data!B382/Raw_Stock_Data!B381)-1</f>
        <v>4.709958396526881E-3</v>
      </c>
      <c r="C382" s="4">
        <f>(Raw_Stock_Data!C382/Raw_Stock_Data!C381)-1</f>
        <v>-2.7515080014461901E-3</v>
      </c>
      <c r="D382" s="4">
        <f>(Raw_Stock_Data!D382/Raw_Stock_Data!D381)-1</f>
        <v>-1.2564955770092423E-3</v>
      </c>
      <c r="E382" s="4">
        <f>(Raw_Stock_Data!E382/Raw_Stock_Data!E381)-1</f>
        <v>6.3051702395955367E-4</v>
      </c>
      <c r="F382" s="4">
        <f>(Raw_Stock_Data!F382/Raw_Stock_Data!F381)-1</f>
        <v>-6.7910255308174516E-3</v>
      </c>
      <c r="G382" s="4">
        <f>(Raw_Stock_Data!G382/Raw_Stock_Data!G381)-1</f>
        <v>2.5435199535460029E-2</v>
      </c>
      <c r="H382" s="4">
        <f>(Raw_Stock_Data!H382/Raw_Stock_Data!H381)-1</f>
        <v>4.8076110651098514E-3</v>
      </c>
      <c r="I382" s="4">
        <f>(Raw_Stock_Data!I382/Raw_Stock_Data!I381)-1</f>
        <v>-7.6078750217782876E-3</v>
      </c>
      <c r="J382" s="4">
        <f>(Raw_Stock_Data!J382/Raw_Stock_Data!J381)-1</f>
        <v>1.201237377757236E-3</v>
      </c>
    </row>
    <row r="383" spans="1:10" x14ac:dyDescent="0.2">
      <c r="A383" s="2">
        <v>44753</v>
      </c>
      <c r="B383" s="4">
        <f>(Raw_Stock_Data!B383/Raw_Stock_Data!B382)-1</f>
        <v>-1.4763009382681935E-2</v>
      </c>
      <c r="C383" s="4">
        <f>(Raw_Stock_Data!C383/Raw_Stock_Data!C382)-1</f>
        <v>-1.1772921898016264E-2</v>
      </c>
      <c r="D383" s="4">
        <f>(Raw_Stock_Data!D383/Raw_Stock_Data!D382)-1</f>
        <v>-4.3311965001454067E-2</v>
      </c>
      <c r="E383" s="4">
        <f>(Raw_Stock_Data!E383/Raw_Stock_Data!E382)-1</f>
        <v>-3.02457466918713E-2</v>
      </c>
      <c r="F383" s="4">
        <f>(Raw_Stock_Data!F383/Raw_Stock_Data!F382)-1</f>
        <v>-3.2802492643240533E-2</v>
      </c>
      <c r="G383" s="4">
        <f>(Raw_Stock_Data!G383/Raw_Stock_Data!G382)-1</f>
        <v>-6.5480154568257731E-2</v>
      </c>
      <c r="H383" s="4">
        <f>(Raw_Stock_Data!H383/Raw_Stock_Data!H382)-1</f>
        <v>-3.0818260555149135E-2</v>
      </c>
      <c r="I383" s="4">
        <f>(Raw_Stock_Data!I383/Raw_Stock_Data!I382)-1</f>
        <v>-4.6816479400749067E-2</v>
      </c>
      <c r="J383" s="4">
        <f>(Raw_Stock_Data!J383/Raw_Stock_Data!J382)-1</f>
        <v>-2.2578685054373215E-2</v>
      </c>
    </row>
    <row r="384" spans="1:10" x14ac:dyDescent="0.2">
      <c r="A384" s="2">
        <v>44754</v>
      </c>
      <c r="B384" s="4">
        <f>(Raw_Stock_Data!B384/Raw_Stock_Data!B383)-1</f>
        <v>6.824427373614661E-3</v>
      </c>
      <c r="C384" s="4">
        <f>(Raw_Stock_Data!C384/Raw_Stock_Data!C383)-1</f>
        <v>-4.0979776565221226E-2</v>
      </c>
      <c r="D384" s="4">
        <f>(Raw_Stock_Data!D384/Raw_Stock_Data!D383)-1</f>
        <v>-4.6257442492086964E-3</v>
      </c>
      <c r="E384" s="4">
        <f>(Raw_Stock_Data!E384/Raw_Stock_Data!E383)-1</f>
        <v>-7.6673164392463411E-3</v>
      </c>
      <c r="F384" s="4">
        <f>(Raw_Stock_Data!F384/Raw_Stock_Data!F383)-1</f>
        <v>-2.2639821029082796E-2</v>
      </c>
      <c r="G384" s="4">
        <f>(Raw_Stock_Data!G384/Raw_Stock_Data!G383)-1</f>
        <v>-5.4322083441792346E-3</v>
      </c>
      <c r="H384" s="4">
        <f>(Raw_Stock_Data!H384/Raw_Stock_Data!H383)-1</f>
        <v>-1.4315709104790963E-2</v>
      </c>
      <c r="I384" s="4">
        <f>(Raw_Stock_Data!I384/Raw_Stock_Data!I383)-1</f>
        <v>2.3944007858547334E-3</v>
      </c>
      <c r="J384" s="4">
        <f>(Raw_Stock_Data!J384/Raw_Stock_Data!J383)-1</f>
        <v>-9.4850781703392784E-3</v>
      </c>
    </row>
    <row r="385" spans="1:10" x14ac:dyDescent="0.2">
      <c r="A385" s="2">
        <v>44755</v>
      </c>
      <c r="B385" s="4">
        <f>(Raw_Stock_Data!B385/Raw_Stock_Data!B384)-1</f>
        <v>-2.5339606572940543E-3</v>
      </c>
      <c r="C385" s="4">
        <f>(Raw_Stock_Data!C385/Raw_Stock_Data!C384)-1</f>
        <v>-3.7407638567316104E-3</v>
      </c>
      <c r="D385" s="4">
        <f>(Raw_Stock_Data!D385/Raw_Stock_Data!D384)-1</f>
        <v>5.4439111181927569E-3</v>
      </c>
      <c r="E385" s="4">
        <f>(Raw_Stock_Data!E385/Raw_Stock_Data!E384)-1</f>
        <v>1.5191199580932402E-2</v>
      </c>
      <c r="F385" s="4">
        <f>(Raw_Stock_Data!F385/Raw_Stock_Data!F384)-1</f>
        <v>1.0803882072880411E-2</v>
      </c>
      <c r="G385" s="4">
        <f>(Raw_Stock_Data!G385/Raw_Stock_Data!G384)-1</f>
        <v>1.7033509246149325E-2</v>
      </c>
      <c r="H385" s="4">
        <f>(Raw_Stock_Data!H385/Raw_Stock_Data!H384)-1</f>
        <v>-2.3378635307372719E-2</v>
      </c>
      <c r="I385" s="4">
        <f>(Raw_Stock_Data!I385/Raw_Stock_Data!I384)-1</f>
        <v>1.3474612604886804E-3</v>
      </c>
      <c r="J385" s="4">
        <f>(Raw_Stock_Data!J385/Raw_Stock_Data!J384)-1</f>
        <v>-1.5224510485382092E-3</v>
      </c>
    </row>
    <row r="386" spans="1:10" x14ac:dyDescent="0.2">
      <c r="A386" s="2">
        <v>44756</v>
      </c>
      <c r="B386" s="4">
        <f>(Raw_Stock_Data!B386/Raw_Stock_Data!B385)-1</f>
        <v>2.0477146916181077E-2</v>
      </c>
      <c r="C386" s="4">
        <f>(Raw_Stock_Data!C386/Raw_Stock_Data!C385)-1</f>
        <v>5.375561806835405E-3</v>
      </c>
      <c r="D386" s="4">
        <f>(Raw_Stock_Data!D386/Raw_Stock_Data!D385)-1</f>
        <v>1.3707765753035561E-2</v>
      </c>
      <c r="E386" s="4">
        <f>(Raw_Stock_Data!E386/Raw_Stock_Data!E385)-1</f>
        <v>1.393188854489158E-2</v>
      </c>
      <c r="F386" s="4">
        <f>(Raw_Stock_Data!F386/Raw_Stock_Data!F385)-1</f>
        <v>2.0833333333332149E-3</v>
      </c>
      <c r="G386" s="4">
        <f>(Raw_Stock_Data!G386/Raw_Stock_Data!G385)-1</f>
        <v>5.3704016199798144E-3</v>
      </c>
      <c r="H386" s="4">
        <f>(Raw_Stock_Data!H386/Raw_Stock_Data!H385)-1</f>
        <v>-8.8686999783689213E-3</v>
      </c>
      <c r="I386" s="4">
        <f>(Raw_Stock_Data!I386/Raw_Stock_Data!I385)-1</f>
        <v>-3.3274206373478443E-2</v>
      </c>
      <c r="J386" s="4">
        <f>(Raw_Stock_Data!J386/Raw_Stock_Data!J385)-1</f>
        <v>3.2095793050590515E-4</v>
      </c>
    </row>
    <row r="387" spans="1:10" x14ac:dyDescent="0.2">
      <c r="A387" s="2">
        <v>44757</v>
      </c>
      <c r="B387" s="4">
        <f>(Raw_Stock_Data!B387/Raw_Stock_Data!B386)-1</f>
        <v>1.146642709697776E-2</v>
      </c>
      <c r="C387" s="4">
        <f>(Raw_Stock_Data!C387/Raw_Stock_Data!C386)-1</f>
        <v>1.0396147073721718E-2</v>
      </c>
      <c r="D387" s="4">
        <f>(Raw_Stock_Data!D387/Raw_Stock_Data!D386)-1</f>
        <v>2.537730502921387E-2</v>
      </c>
      <c r="E387" s="4">
        <f>(Raw_Stock_Data!E387/Raw_Stock_Data!E386)-1</f>
        <v>3.1933842239185717E-2</v>
      </c>
      <c r="F387" s="4">
        <f>(Raw_Stock_Data!F387/Raw_Stock_Data!F386)-1</f>
        <v>2.6394287263852512E-2</v>
      </c>
      <c r="G387" s="4">
        <f>(Raw_Stock_Data!G387/Raw_Stock_Data!G386)-1</f>
        <v>7.3600684813670547E-3</v>
      </c>
      <c r="H387" s="4">
        <f>(Raw_Stock_Data!H387/Raw_Stock_Data!H386)-1</f>
        <v>1.2785537610941367E-2</v>
      </c>
      <c r="I387" s="4">
        <f>(Raw_Stock_Data!I387/Raw_Stock_Data!I386)-1</f>
        <v>4.207529262891474E-2</v>
      </c>
      <c r="J387" s="4">
        <f>(Raw_Stock_Data!J387/Raw_Stock_Data!J386)-1</f>
        <v>1.7885219252363527E-2</v>
      </c>
    </row>
    <row r="388" spans="1:10" x14ac:dyDescent="0.2">
      <c r="A388" s="2">
        <v>44760</v>
      </c>
      <c r="B388" s="4">
        <f>(Raw_Stock_Data!B388/Raw_Stock_Data!B387)-1</f>
        <v>-2.0645607469031657E-2</v>
      </c>
      <c r="C388" s="4">
        <f>(Raw_Stock_Data!C388/Raw_Stock_Data!C387)-1</f>
        <v>-9.6247194945330294E-3</v>
      </c>
      <c r="D388" s="4">
        <f>(Raw_Stock_Data!D388/Raw_Stock_Data!D387)-1</f>
        <v>2.1503122240644545E-2</v>
      </c>
      <c r="E388" s="4">
        <f>(Raw_Stock_Data!E388/Raw_Stock_Data!E387)-1</f>
        <v>3.945259524103184E-3</v>
      </c>
      <c r="F388" s="4">
        <f>(Raw_Stock_Data!F388/Raw_Stock_Data!F387)-1</f>
        <v>1.8494055482167759E-3</v>
      </c>
      <c r="G388" s="4">
        <f>(Raw_Stock_Data!G388/Raw_Stock_Data!G387)-1</f>
        <v>1.9994418224911215E-3</v>
      </c>
      <c r="H388" s="4">
        <f>(Raw_Stock_Data!H388/Raw_Stock_Data!H387)-1</f>
        <v>-2.4583834647224689E-2</v>
      </c>
      <c r="I388" s="4">
        <f>(Raw_Stock_Data!I388/Raw_Stock_Data!I387)-1</f>
        <v>1.5361262902246597E-2</v>
      </c>
      <c r="J388" s="4">
        <f>(Raw_Stock_Data!J388/Raw_Stock_Data!J387)-1</f>
        <v>-8.0655442255873622E-3</v>
      </c>
    </row>
    <row r="389" spans="1:10" x14ac:dyDescent="0.2">
      <c r="A389" s="2">
        <v>44761</v>
      </c>
      <c r="B389" s="4">
        <f>(Raw_Stock_Data!B389/Raw_Stock_Data!B388)-1</f>
        <v>2.6716236049957098E-2</v>
      </c>
      <c r="C389" s="4">
        <f>(Raw_Stock_Data!C389/Raw_Stock_Data!C388)-1</f>
        <v>2.0762274368956168E-2</v>
      </c>
      <c r="D389" s="4">
        <f>(Raw_Stock_Data!D389/Raw_Stock_Data!D388)-1</f>
        <v>5.5334444416805351E-2</v>
      </c>
      <c r="E389" s="4">
        <f>(Raw_Stock_Data!E389/Raw_Stock_Data!E388)-1</f>
        <v>5.4648164067296889E-2</v>
      </c>
      <c r="F389" s="4">
        <f>(Raw_Stock_Data!F389/Raw_Stock_Data!F388)-1</f>
        <v>3.911744022503516E-2</v>
      </c>
      <c r="G389" s="4">
        <f>(Raw_Stock_Data!G389/Raw_Stock_Data!G388)-1</f>
        <v>2.071528640972442E-2</v>
      </c>
      <c r="H389" s="4">
        <f>(Raw_Stock_Data!H389/Raw_Stock_Data!H388)-1</f>
        <v>4.3843661401377076E-2</v>
      </c>
      <c r="I389" s="4">
        <f>(Raw_Stock_Data!I389/Raw_Stock_Data!I388)-1</f>
        <v>5.1127190097470576E-2</v>
      </c>
      <c r="J389" s="4">
        <f>(Raw_Stock_Data!J389/Raw_Stock_Data!J388)-1</f>
        <v>3.108260967161236E-2</v>
      </c>
    </row>
    <row r="390" spans="1:10" x14ac:dyDescent="0.2">
      <c r="A390" s="2">
        <v>44762</v>
      </c>
      <c r="B390" s="4">
        <f>(Raw_Stock_Data!B390/Raw_Stock_Data!B389)-1</f>
        <v>1.3512875666709334E-2</v>
      </c>
      <c r="C390" s="4">
        <f>(Raw_Stock_Data!C390/Raw_Stock_Data!C389)-1</f>
        <v>1.0563560439387443E-2</v>
      </c>
      <c r="D390" s="4">
        <f>(Raw_Stock_Data!D390/Raw_Stock_Data!D389)-1</f>
        <v>4.7966435280668573E-2</v>
      </c>
      <c r="E390" s="4">
        <f>(Raw_Stock_Data!E390/Raw_Stock_Data!E389)-1</f>
        <v>4.1336748952026214E-2</v>
      </c>
      <c r="F390" s="4">
        <f>(Raw_Stock_Data!F390/Raw_Stock_Data!F389)-1</f>
        <v>3.8575416631418724E-2</v>
      </c>
      <c r="G390" s="4">
        <f>(Raw_Stock_Data!G390/Raw_Stock_Data!G389)-1</f>
        <v>8.0234594550563365E-3</v>
      </c>
      <c r="H390" s="4">
        <f>(Raw_Stock_Data!H390/Raw_Stock_Data!H389)-1</f>
        <v>7.8483937248119418E-4</v>
      </c>
      <c r="I390" s="4">
        <f>(Raw_Stock_Data!I390/Raw_Stock_Data!I389)-1</f>
        <v>4.1586073500967213E-2</v>
      </c>
      <c r="J390" s="4">
        <f>(Raw_Stock_Data!J390/Raw_Stock_Data!J389)-1</f>
        <v>1.5751527129764353E-2</v>
      </c>
    </row>
    <row r="391" spans="1:10" x14ac:dyDescent="0.2">
      <c r="A391" s="2">
        <v>44763</v>
      </c>
      <c r="B391" s="4">
        <f>(Raw_Stock_Data!B391/Raw_Stock_Data!B390)-1</f>
        <v>1.5095770656057272E-2</v>
      </c>
      <c r="C391" s="4">
        <f>(Raw_Stock_Data!C391/Raw_Stock_Data!C390)-1</f>
        <v>9.8066325239032359E-3</v>
      </c>
      <c r="D391" s="4">
        <f>(Raw_Stock_Data!D391/Raw_Stock_Data!D390)-1</f>
        <v>1.3646945041104086E-2</v>
      </c>
      <c r="E391" s="4">
        <f>(Raw_Stock_Data!E391/Raw_Stock_Data!E390)-1</f>
        <v>1.8562003801856131E-2</v>
      </c>
      <c r="F391" s="4">
        <f>(Raw_Stock_Data!F391/Raw_Stock_Data!F390)-1</f>
        <v>1.5150281013276867E-2</v>
      </c>
      <c r="G391" s="4">
        <f>(Raw_Stock_Data!G391/Raw_Stock_Data!G390)-1</f>
        <v>9.7806060606060674E-2</v>
      </c>
      <c r="H391" s="4">
        <f>(Raw_Stock_Data!H391/Raw_Stock_Data!H390)-1</f>
        <v>3.868250387706329E-3</v>
      </c>
      <c r="I391" s="4">
        <f>(Raw_Stock_Data!I391/Raw_Stock_Data!I390)-1</f>
        <v>4.3694357966028718E-4</v>
      </c>
      <c r="J391" s="4">
        <f>(Raw_Stock_Data!J391/Raw_Stock_Data!J390)-1</f>
        <v>1.3612772270154228E-2</v>
      </c>
    </row>
    <row r="392" spans="1:10" x14ac:dyDescent="0.2">
      <c r="A392" s="2">
        <v>44764</v>
      </c>
      <c r="B392" s="4">
        <f>(Raw_Stock_Data!B392/Raw_Stock_Data!B391)-1</f>
        <v>-8.1205432046980164E-3</v>
      </c>
      <c r="C392" s="4">
        <f>(Raw_Stock_Data!C392/Raw_Stock_Data!C391)-1</f>
        <v>-1.6919736349857217E-2</v>
      </c>
      <c r="D392" s="4">
        <f>(Raw_Stock_Data!D392/Raw_Stock_Data!D391)-1</f>
        <v>-4.0489490705556741E-2</v>
      </c>
      <c r="E392" s="4">
        <f>(Raw_Stock_Data!E392/Raw_Stock_Data!E391)-1</f>
        <v>-3.2824678889010972E-2</v>
      </c>
      <c r="F392" s="4">
        <f>(Raw_Stock_Data!F392/Raw_Stock_Data!F391)-1</f>
        <v>-1.7732488164968307E-2</v>
      </c>
      <c r="G392" s="4">
        <f>(Raw_Stock_Data!G392/Raw_Stock_Data!G391)-1</f>
        <v>1.9727132536151437E-3</v>
      </c>
      <c r="H392" s="4">
        <f>(Raw_Stock_Data!H392/Raw_Stock_Data!H391)-1</f>
        <v>-5.6325541794306933E-2</v>
      </c>
      <c r="I392" s="4">
        <f>(Raw_Stock_Data!I392/Raw_Stock_Data!I391)-1</f>
        <v>-7.5885789157613015E-2</v>
      </c>
      <c r="J392" s="4">
        <f>(Raw_Stock_Data!J392/Raw_Stock_Data!J391)-1</f>
        <v>-1.8698780474658783E-2</v>
      </c>
    </row>
    <row r="393" spans="1:10" x14ac:dyDescent="0.2">
      <c r="A393" s="2">
        <v>44767</v>
      </c>
      <c r="B393" s="4">
        <f>(Raw_Stock_Data!B393/Raw_Stock_Data!B392)-1</f>
        <v>-7.3874862062812685E-3</v>
      </c>
      <c r="C393" s="4">
        <f>(Raw_Stock_Data!C393/Raw_Stock_Data!C392)-1</f>
        <v>-5.8769066599710929E-3</v>
      </c>
      <c r="D393" s="4">
        <f>(Raw_Stock_Data!D393/Raw_Stock_Data!D392)-1</f>
        <v>-1.7054980632479677E-2</v>
      </c>
      <c r="E393" s="4">
        <f>(Raw_Stock_Data!E393/Raw_Stock_Data!E392)-1</f>
        <v>-6.3564131668557566E-3</v>
      </c>
      <c r="F393" s="4">
        <f>(Raw_Stock_Data!F393/Raw_Stock_Data!F392)-1</f>
        <v>-1.0455807874530265E-2</v>
      </c>
      <c r="G393" s="4">
        <f>(Raw_Stock_Data!G393/Raw_Stock_Data!G392)-1</f>
        <v>-1.3994850188985608E-2</v>
      </c>
      <c r="H393" s="4">
        <f>(Raw_Stock_Data!H393/Raw_Stock_Data!H392)-1</f>
        <v>-3.6089666077574467E-3</v>
      </c>
      <c r="I393" s="4">
        <f>(Raw_Stock_Data!I393/Raw_Stock_Data!I392)-1</f>
        <v>-1.5478230046671038E-2</v>
      </c>
      <c r="J393" s="4">
        <f>(Raw_Stock_Data!J393/Raw_Stock_Data!J392)-1</f>
        <v>-4.3467569593319544E-3</v>
      </c>
    </row>
    <row r="394" spans="1:10" x14ac:dyDescent="0.2">
      <c r="A394" s="2">
        <v>44768</v>
      </c>
      <c r="B394" s="4">
        <f>(Raw_Stock_Data!B394/Raw_Stock_Data!B393)-1</f>
        <v>-8.8204554683494196E-3</v>
      </c>
      <c r="C394" s="4">
        <f>(Raw_Stock_Data!C394/Raw_Stock_Data!C393)-1</f>
        <v>-2.6776059795262763E-2</v>
      </c>
      <c r="D394" s="4">
        <f>(Raw_Stock_Data!D394/Raw_Stock_Data!D393)-1</f>
        <v>-2.8831902129161202E-2</v>
      </c>
      <c r="E394" s="4">
        <f>(Raw_Stock_Data!E394/Raw_Stock_Data!E393)-1</f>
        <v>-2.6159469956591352E-2</v>
      </c>
      <c r="F394" s="4">
        <f>(Raw_Stock_Data!F394/Raw_Stock_Data!F393)-1</f>
        <v>-5.225359088657755E-2</v>
      </c>
      <c r="G394" s="4">
        <f>(Raw_Stock_Data!G394/Raw_Stock_Data!G393)-1</f>
        <v>-3.5662530314827134E-2</v>
      </c>
      <c r="H394" s="4">
        <f>(Raw_Stock_Data!H394/Raw_Stock_Data!H393)-1</f>
        <v>-2.3160508579003314E-2</v>
      </c>
      <c r="I394" s="4">
        <f>(Raw_Stock_Data!I394/Raw_Stock_Data!I393)-1</f>
        <v>-4.5004500450045004E-2</v>
      </c>
      <c r="J394" s="4">
        <f>(Raw_Stock_Data!J394/Raw_Stock_Data!J393)-1</f>
        <v>-1.8679976609715876E-2</v>
      </c>
    </row>
    <row r="395" spans="1:10" x14ac:dyDescent="0.2">
      <c r="A395" s="2">
        <v>44769</v>
      </c>
      <c r="B395" s="4">
        <f>(Raw_Stock_Data!B395/Raw_Stock_Data!B394)-1</f>
        <v>3.4239123134578886E-2</v>
      </c>
      <c r="C395" s="4">
        <f>(Raw_Stock_Data!C395/Raw_Stock_Data!C394)-1</f>
        <v>6.6853734393564013E-2</v>
      </c>
      <c r="D395" s="4">
        <f>(Raw_Stock_Data!D395/Raw_Stock_Data!D394)-1</f>
        <v>7.6036531450235367E-2</v>
      </c>
      <c r="E395" s="4">
        <f>(Raw_Stock_Data!E395/Raw_Stock_Data!E394)-1</f>
        <v>5.3607038123167028E-2</v>
      </c>
      <c r="F395" s="4">
        <f>(Raw_Stock_Data!F395/Raw_Stock_Data!F394)-1</f>
        <v>5.3653862903928262E-2</v>
      </c>
      <c r="G395" s="4">
        <f>(Raw_Stock_Data!G395/Raw_Stock_Data!G394)-1</f>
        <v>6.1654948620876171E-2</v>
      </c>
      <c r="H395" s="4">
        <f>(Raw_Stock_Data!H395/Raw_Stock_Data!H394)-1</f>
        <v>7.6547433606330095E-2</v>
      </c>
      <c r="I395" s="4">
        <f>(Raw_Stock_Data!I395/Raw_Stock_Data!I394)-1</f>
        <v>6.5535658184103118E-2</v>
      </c>
      <c r="J395" s="4">
        <f>(Raw_Stock_Data!J395/Raw_Stock_Data!J394)-1</f>
        <v>4.0635429666588063E-2</v>
      </c>
    </row>
    <row r="396" spans="1:10" x14ac:dyDescent="0.2">
      <c r="A396" s="2">
        <v>44770</v>
      </c>
      <c r="B396" s="4">
        <f>(Raw_Stock_Data!B396/Raw_Stock_Data!B395)-1</f>
        <v>3.5586264221518782E-3</v>
      </c>
      <c r="C396" s="4">
        <f>(Raw_Stock_Data!C396/Raw_Stock_Data!C395)-1</f>
        <v>2.8544279741543166E-2</v>
      </c>
      <c r="D396" s="4">
        <f>(Raw_Stock_Data!D396/Raw_Stock_Data!D395)-1</f>
        <v>1.0902050395952045E-2</v>
      </c>
      <c r="E396" s="4">
        <f>(Raw_Stock_Data!E396/Raw_Stock_Data!E395)-1</f>
        <v>2.0596749053662933E-2</v>
      </c>
      <c r="F396" s="4">
        <f>(Raw_Stock_Data!F396/Raw_Stock_Data!F395)-1</f>
        <v>1.08291311895512E-2</v>
      </c>
      <c r="G396" s="4">
        <f>(Raw_Stock_Data!G396/Raw_Stock_Data!G395)-1</f>
        <v>2.2123571792445951E-2</v>
      </c>
      <c r="H396" s="4">
        <f>(Raw_Stock_Data!H396/Raw_Stock_Data!H395)-1</f>
        <v>1.0270658937781452E-2</v>
      </c>
      <c r="I396" s="4">
        <f>(Raw_Stock_Data!I396/Raw_Stock_Data!I395)-1</f>
        <v>-5.2246727208397292E-2</v>
      </c>
      <c r="J396" s="4">
        <f>(Raw_Stock_Data!J396/Raw_Stock_Data!J395)-1</f>
        <v>1.0818272633435377E-2</v>
      </c>
    </row>
    <row r="397" spans="1:10" x14ac:dyDescent="0.2">
      <c r="A397" s="2">
        <v>44771</v>
      </c>
      <c r="B397" s="4">
        <f>(Raw_Stock_Data!B397/Raw_Stock_Data!B396)-1</f>
        <v>3.2800569431862492E-2</v>
      </c>
      <c r="C397" s="4">
        <f>(Raw_Stock_Data!C397/Raw_Stock_Data!C396)-1</f>
        <v>1.5660914230811951E-2</v>
      </c>
      <c r="D397" s="4">
        <f>(Raw_Stock_Data!D397/Raw_Stock_Data!D396)-1</f>
        <v>9.9493346695620488E-3</v>
      </c>
      <c r="E397" s="4">
        <f>(Raw_Stock_Data!E397/Raw_Stock_Data!E396)-1</f>
        <v>3.0544343842042077E-2</v>
      </c>
      <c r="F397" s="4">
        <f>(Raw_Stock_Data!F397/Raw_Stock_Data!F396)-1</f>
        <v>0.10361465489041533</v>
      </c>
      <c r="G397" s="4">
        <f>(Raw_Stock_Data!G397/Raw_Stock_Data!G396)-1</f>
        <v>5.7849768600925611E-2</v>
      </c>
      <c r="H397" s="4">
        <f>(Raw_Stock_Data!H397/Raw_Stock_Data!H396)-1</f>
        <v>1.8381836074792712E-2</v>
      </c>
      <c r="I397" s="4">
        <f>(Raw_Stock_Data!I397/Raw_Stock_Data!I396)-1</f>
        <v>-1.0079641612742662E-2</v>
      </c>
      <c r="J397" s="4">
        <f>(Raw_Stock_Data!J397/Raw_Stock_Data!J396)-1</f>
        <v>1.8754229156783264E-2</v>
      </c>
    </row>
    <row r="398" spans="1:10" x14ac:dyDescent="0.2">
      <c r="A398" s="2">
        <v>44774</v>
      </c>
      <c r="B398" s="4">
        <f>(Raw_Stock_Data!B398/Raw_Stock_Data!B397)-1</f>
        <v>-6.158800568890288E-3</v>
      </c>
      <c r="C398" s="4">
        <f>(Raw_Stock_Data!C398/Raw_Stock_Data!C397)-1</f>
        <v>-9.7326522295960727E-3</v>
      </c>
      <c r="D398" s="4">
        <f>(Raw_Stock_Data!D398/Raw_Stock_Data!D397)-1</f>
        <v>1.5308963213283455E-2</v>
      </c>
      <c r="E398" s="4">
        <f>(Raw_Stock_Data!E398/Raw_Stock_Data!E397)-1</f>
        <v>2.4452207049857178E-2</v>
      </c>
      <c r="F398" s="4">
        <f>(Raw_Stock_Data!F398/Raw_Stock_Data!F397)-1</f>
        <v>3.260466839570153E-3</v>
      </c>
      <c r="G398" s="4">
        <f>(Raw_Stock_Data!G398/Raw_Stock_Data!G397)-1</f>
        <v>4.2739357226984076E-4</v>
      </c>
      <c r="H398" s="4">
        <f>(Raw_Stock_Data!H398/Raw_Stock_Data!H397)-1</f>
        <v>-1.2553925798101884E-2</v>
      </c>
      <c r="I398" s="4">
        <f>(Raw_Stock_Data!I398/Raw_Stock_Data!I397)-1</f>
        <v>5.2168447517284555E-3</v>
      </c>
      <c r="J398" s="4">
        <f>(Raw_Stock_Data!J398/Raw_Stock_Data!J397)-1</f>
        <v>-1.7521219560816537E-3</v>
      </c>
    </row>
    <row r="399" spans="1:10" x14ac:dyDescent="0.2">
      <c r="A399" s="2">
        <v>44775</v>
      </c>
      <c r="B399" s="4">
        <f>(Raw_Stock_Data!B399/Raw_Stock_Data!B398)-1</f>
        <v>-9.2922976056889484E-3</v>
      </c>
      <c r="C399" s="4">
        <f>(Raw_Stock_Data!C399/Raw_Stock_Data!C398)-1</f>
        <v>-1.1466971374823998E-2</v>
      </c>
      <c r="D399" s="4">
        <f>(Raw_Stock_Data!D399/Raw_Stock_Data!D398)-1</f>
        <v>4.6152008426814106E-3</v>
      </c>
      <c r="E399" s="4">
        <f>(Raw_Stock_Data!E399/Raw_Stock_Data!E398)-1</f>
        <v>2.593511056003317E-2</v>
      </c>
      <c r="F399" s="4">
        <f>(Raw_Stock_Data!F399/Raw_Stock_Data!F398)-1</f>
        <v>-9.0848659428317546E-3</v>
      </c>
      <c r="G399" s="4">
        <f>(Raw_Stock_Data!G399/Raw_Stock_Data!G398)-1</f>
        <v>1.1134396539254743E-2</v>
      </c>
      <c r="H399" s="4">
        <f>(Raw_Stock_Data!H399/Raw_Stock_Data!H398)-1</f>
        <v>2.3592118484863089E-3</v>
      </c>
      <c r="I399" s="4">
        <f>(Raw_Stock_Data!I399/Raw_Stock_Data!I398)-1</f>
        <v>1.6257112486712799E-3</v>
      </c>
      <c r="J399" s="4">
        <f>(Raw_Stock_Data!J399/Raw_Stock_Data!J398)-1</f>
        <v>-1.6347346345454428E-3</v>
      </c>
    </row>
    <row r="400" spans="1:10" x14ac:dyDescent="0.2">
      <c r="A400" s="2">
        <v>44776</v>
      </c>
      <c r="B400" s="4">
        <f>(Raw_Stock_Data!B400/Raw_Stock_Data!B399)-1</f>
        <v>3.8262319283241641E-2</v>
      </c>
      <c r="C400" s="4">
        <f>(Raw_Stock_Data!C400/Raw_Stock_Data!C399)-1</f>
        <v>2.7838484753876402E-2</v>
      </c>
      <c r="D400" s="4">
        <f>(Raw_Stock_Data!D400/Raw_Stock_Data!D399)-1</f>
        <v>1.9802836388792766E-2</v>
      </c>
      <c r="E400" s="4">
        <f>(Raw_Stock_Data!E400/Raw_Stock_Data!E399)-1</f>
        <v>-1.2085809245644064E-2</v>
      </c>
      <c r="F400" s="4">
        <f>(Raw_Stock_Data!F400/Raw_Stock_Data!F399)-1</f>
        <v>3.9952295766249257E-2</v>
      </c>
      <c r="G400" s="4">
        <f>(Raw_Stock_Data!G400/Raw_Stock_Data!G399)-1</f>
        <v>2.265567040490768E-2</v>
      </c>
      <c r="H400" s="4">
        <f>(Raw_Stock_Data!H400/Raw_Stock_Data!H399)-1</f>
        <v>2.5620014819334846E-2</v>
      </c>
      <c r="I400" s="4">
        <f>(Raw_Stock_Data!I400/Raw_Stock_Data!I399)-1</f>
        <v>5.3748673450277895E-2</v>
      </c>
      <c r="J400" s="4">
        <f>(Raw_Stock_Data!J400/Raw_Stock_Data!J399)-1</f>
        <v>2.586494514428983E-2</v>
      </c>
    </row>
    <row r="401" spans="1:10" x14ac:dyDescent="0.2">
      <c r="A401" s="2">
        <v>44777</v>
      </c>
      <c r="B401" s="4">
        <f>(Raw_Stock_Data!B401/Raw_Stock_Data!B400)-1</f>
        <v>-1.9366898538289989E-3</v>
      </c>
      <c r="C401" s="4">
        <f>(Raw_Stock_Data!C401/Raw_Stock_Data!C400)-1</f>
        <v>4.1729646852921576E-3</v>
      </c>
      <c r="D401" s="4">
        <f>(Raw_Stock_Data!D401/Raw_Stock_Data!D400)-1</f>
        <v>1.7044009157975104E-2</v>
      </c>
      <c r="E401" s="4">
        <f>(Raw_Stock_Data!E401/Raw_Stock_Data!E400)-1</f>
        <v>5.9333265368539001E-2</v>
      </c>
      <c r="F401" s="4">
        <f>(Raw_Stock_Data!F401/Raw_Stock_Data!F400)-1</f>
        <v>2.1860665137614532E-2</v>
      </c>
      <c r="G401" s="4">
        <f>(Raw_Stock_Data!G401/Raw_Stock_Data!G400)-1</f>
        <v>4.0208590194439342E-3</v>
      </c>
      <c r="H401" s="4">
        <f>(Raw_Stock_Data!H401/Raw_Stock_Data!H400)-1</f>
        <v>9.3494483825451447E-4</v>
      </c>
      <c r="I401" s="4">
        <f>(Raw_Stock_Data!I401/Raw_Stock_Data!I400)-1</f>
        <v>1.0485781990521303E-2</v>
      </c>
      <c r="J401" s="4">
        <f>(Raw_Stock_Data!J401/Raw_Stock_Data!J400)-1</f>
        <v>4.1379332120845547E-3</v>
      </c>
    </row>
    <row r="402" spans="1:10" x14ac:dyDescent="0.2">
      <c r="A402" s="2">
        <v>44778</v>
      </c>
      <c r="B402" s="4">
        <f>(Raw_Stock_Data!B402/Raw_Stock_Data!B401)-1</f>
        <v>-1.393929345589906E-3</v>
      </c>
      <c r="C402" s="4">
        <f>(Raw_Stock_Data!C402/Raw_Stock_Data!C401)-1</f>
        <v>-2.5999654298226593E-3</v>
      </c>
      <c r="D402" s="4">
        <f>(Raw_Stock_Data!D402/Raw_Stock_Data!D401)-1</f>
        <v>-1.1766299816574954E-2</v>
      </c>
      <c r="E402" s="4">
        <f>(Raw_Stock_Data!E402/Raw_Stock_Data!E401)-1</f>
        <v>-1.5397940525454623E-2</v>
      </c>
      <c r="F402" s="4">
        <f>(Raw_Stock_Data!F402/Raw_Stock_Data!F401)-1</f>
        <v>-1.2414954057655803E-2</v>
      </c>
      <c r="G402" s="4">
        <f>(Raw_Stock_Data!G402/Raw_Stock_Data!G401)-1</f>
        <v>-6.630204806355755E-2</v>
      </c>
      <c r="H402" s="4">
        <f>(Raw_Stock_Data!H402/Raw_Stock_Data!H401)-1</f>
        <v>-6.0969396419957578E-3</v>
      </c>
      <c r="I402" s="4">
        <f>(Raw_Stock_Data!I402/Raw_Stock_Data!I401)-1</f>
        <v>-2.0284927009438847E-2</v>
      </c>
      <c r="J402" s="4">
        <f>(Raw_Stock_Data!J402/Raw_Stock_Data!J401)-1</f>
        <v>-4.9549627454094081E-3</v>
      </c>
    </row>
    <row r="403" spans="1:10" x14ac:dyDescent="0.2">
      <c r="A403" s="2">
        <v>44781</v>
      </c>
      <c r="B403" s="4">
        <f>(Raw_Stock_Data!B403/Raw_Stock_Data!B402)-1</f>
        <v>-2.8962870952269348E-3</v>
      </c>
      <c r="C403" s="4">
        <f>(Raw_Stock_Data!C403/Raw_Stock_Data!C402)-1</f>
        <v>-9.1633149681920045E-3</v>
      </c>
      <c r="D403" s="4">
        <f>(Raw_Stock_Data!D403/Raw_Stock_Data!D402)-1</f>
        <v>-6.2975227529186051E-2</v>
      </c>
      <c r="E403" s="4">
        <f>(Raw_Stock_Data!E403/Raw_Stock_Data!E402)-1</f>
        <v>-2.1894242987000379E-2</v>
      </c>
      <c r="F403" s="4">
        <f>(Raw_Stock_Data!F403/Raw_Stock_Data!F402)-1</f>
        <v>-9.8721590909092161E-3</v>
      </c>
      <c r="G403" s="4">
        <f>(Raw_Stock_Data!G403/Raw_Stock_Data!G402)-1</f>
        <v>7.8183016969148866E-3</v>
      </c>
      <c r="H403" s="4">
        <f>(Raw_Stock_Data!H403/Raw_Stock_Data!H402)-1</f>
        <v>-1.4438767663996765E-3</v>
      </c>
      <c r="I403" s="4">
        <f>(Raw_Stock_Data!I403/Raw_Stock_Data!I402)-1</f>
        <v>1.8790018550655097E-2</v>
      </c>
      <c r="J403" s="4">
        <f>(Raw_Stock_Data!J403/Raw_Stock_Data!J402)-1</f>
        <v>-1.0341653795561401E-3</v>
      </c>
    </row>
    <row r="404" spans="1:10" x14ac:dyDescent="0.2">
      <c r="A404" s="2">
        <v>44782</v>
      </c>
      <c r="B404" s="4">
        <f>(Raw_Stock_Data!B404/Raw_Stock_Data!B403)-1</f>
        <v>3.0835455840527715E-4</v>
      </c>
      <c r="C404" s="4">
        <f>(Raw_Stock_Data!C404/Raw_Stock_Data!C403)-1</f>
        <v>7.0653995831451155E-3</v>
      </c>
      <c r="D404" s="4">
        <f>(Raw_Stock_Data!D404/Raw_Stock_Data!D403)-1</f>
        <v>-3.9746093200452415E-2</v>
      </c>
      <c r="E404" s="4">
        <f>(Raw_Stock_Data!E404/Raw_Stock_Data!E403)-1</f>
        <v>-4.526831218147287E-2</v>
      </c>
      <c r="F404" s="4">
        <f>(Raw_Stock_Data!F404/Raw_Stock_Data!F403)-1</f>
        <v>-1.1333476795064801E-2</v>
      </c>
      <c r="G404" s="4">
        <f>(Raw_Stock_Data!G404/Raw_Stock_Data!G403)-1</f>
        <v>-2.4412667040833447E-2</v>
      </c>
      <c r="H404" s="4">
        <f>(Raw_Stock_Data!H404/Raw_Stock_Data!H403)-1</f>
        <v>-5.7154102175790422E-3</v>
      </c>
      <c r="I404" s="4">
        <f>(Raw_Stock_Data!I404/Raw_Stock_Data!I403)-1</f>
        <v>-1.0102790014684282E-2</v>
      </c>
      <c r="J404" s="4">
        <f>(Raw_Stock_Data!J404/Raw_Stock_Data!J403)-1</f>
        <v>-1.1904818394775196E-2</v>
      </c>
    </row>
    <row r="405" spans="1:10" x14ac:dyDescent="0.2">
      <c r="A405" s="2">
        <v>44783</v>
      </c>
      <c r="B405" s="4">
        <f>(Raw_Stock_Data!B405/Raw_Stock_Data!B404)-1</f>
        <v>2.6189727560249398E-2</v>
      </c>
      <c r="C405" s="4">
        <f>(Raw_Stock_Data!C405/Raw_Stock_Data!C404)-1</f>
        <v>2.4300316598824034E-2</v>
      </c>
      <c r="D405" s="4">
        <f>(Raw_Stock_Data!D405/Raw_Stock_Data!D404)-1</f>
        <v>5.9183075480543801E-2</v>
      </c>
      <c r="E405" s="4">
        <f>(Raw_Stock_Data!E405/Raw_Stock_Data!E404)-1</f>
        <v>3.6738538831902812E-2</v>
      </c>
      <c r="F405" s="4">
        <f>(Raw_Stock_Data!F405/Raw_Stock_Data!F404)-1</f>
        <v>3.5260828556917811E-2</v>
      </c>
      <c r="G405" s="4">
        <f>(Raw_Stock_Data!G405/Raw_Stock_Data!G404)-1</f>
        <v>3.890828106856592E-2</v>
      </c>
      <c r="H405" s="4">
        <f>(Raw_Stock_Data!H405/Raw_Stock_Data!H404)-1</f>
        <v>2.6323262397921043E-2</v>
      </c>
      <c r="I405" s="4">
        <f>(Raw_Stock_Data!I405/Raw_Stock_Data!I404)-1</f>
        <v>5.8209220910223625E-2</v>
      </c>
      <c r="J405" s="4">
        <f>(Raw_Stock_Data!J405/Raw_Stock_Data!J404)-1</f>
        <v>2.8883625888731501E-2</v>
      </c>
    </row>
    <row r="406" spans="1:10" x14ac:dyDescent="0.2">
      <c r="A406" s="2">
        <v>44784</v>
      </c>
      <c r="B406" s="4">
        <f>(Raw_Stock_Data!B406/Raw_Stock_Data!B405)-1</f>
        <v>-4.4277826841856438E-3</v>
      </c>
      <c r="C406" s="4">
        <f>(Raw_Stock_Data!C406/Raw_Stock_Data!C405)-1</f>
        <v>-7.4039796390560353E-3</v>
      </c>
      <c r="D406" s="4">
        <f>(Raw_Stock_Data!D406/Raw_Stock_Data!D405)-1</f>
        <v>-8.5648365875653498E-3</v>
      </c>
      <c r="E406" s="4">
        <f>(Raw_Stock_Data!E406/Raw_Stock_Data!E405)-1</f>
        <v>-9.389197375063052E-3</v>
      </c>
      <c r="F406" s="4">
        <f>(Raw_Stock_Data!F406/Raw_Stock_Data!F405)-1</f>
        <v>-1.436680916672517E-2</v>
      </c>
      <c r="G406" s="4">
        <f>(Raw_Stock_Data!G406/Raw_Stock_Data!G405)-1</f>
        <v>-2.6250437394048864E-2</v>
      </c>
      <c r="H406" s="4">
        <f>(Raw_Stock_Data!H406/Raw_Stock_Data!H405)-1</f>
        <v>-7.1854982057215633E-3</v>
      </c>
      <c r="I406" s="4">
        <f>(Raw_Stock_Data!I406/Raw_Stock_Data!I405)-1</f>
        <v>-4.7661769653470909E-3</v>
      </c>
      <c r="J406" s="4">
        <f>(Raw_Stock_Data!J406/Raw_Stock_Data!J405)-1</f>
        <v>-5.8258393751750015E-3</v>
      </c>
    </row>
    <row r="407" spans="1:10" x14ac:dyDescent="0.2">
      <c r="A407" s="2">
        <v>44785</v>
      </c>
      <c r="B407" s="4">
        <f>(Raw_Stock_Data!B407/Raw_Stock_Data!B406)-1</f>
        <v>2.1422709278748675E-2</v>
      </c>
      <c r="C407" s="4">
        <f>(Raw_Stock_Data!C407/Raw_Stock_Data!C406)-1</f>
        <v>1.704300788270241E-2</v>
      </c>
      <c r="D407" s="4">
        <f>(Raw_Stock_Data!D407/Raw_Stock_Data!D406)-1</f>
        <v>4.2747682640311035E-2</v>
      </c>
      <c r="E407" s="4">
        <f>(Raw_Stock_Data!E407/Raw_Stock_Data!E406)-1</f>
        <v>2.7619241744802236E-2</v>
      </c>
      <c r="F407" s="4">
        <f>(Raw_Stock_Data!F407/Raw_Stock_Data!F406)-1</f>
        <v>2.0691126279863692E-2</v>
      </c>
      <c r="G407" s="4">
        <f>(Raw_Stock_Data!G407/Raw_Stock_Data!G406)-1</f>
        <v>4.6750165718870917E-2</v>
      </c>
      <c r="H407" s="4">
        <f>(Raw_Stock_Data!H407/Raw_Stock_Data!H406)-1</f>
        <v>2.3899806605805152E-2</v>
      </c>
      <c r="I407" s="4">
        <f>(Raw_Stock_Data!I407/Raw_Stock_Data!I406)-1</f>
        <v>1.6958701898698525E-2</v>
      </c>
      <c r="J407" s="4">
        <f>(Raw_Stock_Data!J407/Raw_Stock_Data!J406)-1</f>
        <v>2.0914075294740098E-2</v>
      </c>
    </row>
    <row r="408" spans="1:10" x14ac:dyDescent="0.2">
      <c r="A408" s="2">
        <v>44788</v>
      </c>
      <c r="B408" s="4">
        <f>(Raw_Stock_Data!B408/Raw_Stock_Data!B407)-1</f>
        <v>6.3274686580567785E-3</v>
      </c>
      <c r="C408" s="4">
        <f>(Raw_Stock_Data!C408/Raw_Stock_Data!C407)-1</f>
        <v>5.3396971139041405E-3</v>
      </c>
      <c r="D408" s="4">
        <f>(Raw_Stock_Data!D408/Raw_Stock_Data!D407)-1</f>
        <v>1.7254389861440567E-2</v>
      </c>
      <c r="E408" s="4">
        <f>(Raw_Stock_Data!E408/Raw_Stock_Data!E407)-1</f>
        <v>1.7851829812556286E-3</v>
      </c>
      <c r="F408" s="4">
        <f>(Raw_Stock_Data!F408/Raw_Stock_Data!F407)-1</f>
        <v>-2.5774991292233373E-3</v>
      </c>
      <c r="G408" s="4">
        <f>(Raw_Stock_Data!G408/Raw_Stock_Data!G407)-1</f>
        <v>3.0963570309635813E-2</v>
      </c>
      <c r="H408" s="4">
        <f>(Raw_Stock_Data!H408/Raw_Stock_Data!H407)-1</f>
        <v>3.2827178924621503E-3</v>
      </c>
      <c r="I408" s="4">
        <f>(Raw_Stock_Data!I408/Raw_Stock_Data!I407)-1</f>
        <v>2.160664819944591E-3</v>
      </c>
      <c r="J408" s="4">
        <f>(Raw_Stock_Data!J408/Raw_Stock_Data!J407)-1</f>
        <v>6.1975030638781181E-3</v>
      </c>
    </row>
    <row r="409" spans="1:10" x14ac:dyDescent="0.2">
      <c r="A409" s="2">
        <v>44789</v>
      </c>
      <c r="B409" s="4">
        <f>(Raw_Stock_Data!B409/Raw_Stock_Data!B408)-1</f>
        <v>-9.1585306429176061E-4</v>
      </c>
      <c r="C409" s="4">
        <f>(Raw_Stock_Data!C409/Raw_Stock_Data!C408)-1</f>
        <v>-2.5930179945007348E-3</v>
      </c>
      <c r="D409" s="4">
        <f>(Raw_Stock_Data!D409/Raw_Stock_Data!D408)-1</f>
        <v>-8.0336709193739031E-3</v>
      </c>
      <c r="E409" s="4">
        <f>(Raw_Stock_Data!E409/Raw_Stock_Data!E408)-1</f>
        <v>-8.0190080190080115E-3</v>
      </c>
      <c r="F409" s="4">
        <f>(Raw_Stock_Data!F409/Raw_Stock_Data!F408)-1</f>
        <v>1.1174745076127923E-2</v>
      </c>
      <c r="G409" s="4">
        <f>(Raw_Stock_Data!G409/Raw_Stock_Data!G408)-1</f>
        <v>-8.9130997025733683E-3</v>
      </c>
      <c r="H409" s="4">
        <f>(Raw_Stock_Data!H409/Raw_Stock_Data!H408)-1</f>
        <v>-3.1157770123068085E-3</v>
      </c>
      <c r="I409" s="4">
        <f>(Raw_Stock_Data!I409/Raw_Stock_Data!I408)-1</f>
        <v>-7.8500746309911884E-3</v>
      </c>
      <c r="J409" s="4">
        <f>(Raw_Stock_Data!J409/Raw_Stock_Data!J408)-1</f>
        <v>-1.9424057647555726E-3</v>
      </c>
    </row>
    <row r="410" spans="1:10" x14ac:dyDescent="0.2">
      <c r="A410" s="2">
        <v>44790</v>
      </c>
      <c r="B410" s="4">
        <f>(Raw_Stock_Data!B410/Raw_Stock_Data!B409)-1</f>
        <v>8.7849709420191324E-3</v>
      </c>
      <c r="C410" s="4">
        <f>(Raw_Stock_Data!C410/Raw_Stock_Data!C409)-1</f>
        <v>-2.6311657041160341E-3</v>
      </c>
      <c r="D410" s="4">
        <f>(Raw_Stock_Data!D410/Raw_Stock_Data!D409)-1</f>
        <v>-2.8814943674820293E-2</v>
      </c>
      <c r="E410" s="4">
        <f>(Raw_Stock_Data!E410/Raw_Stock_Data!E409)-1</f>
        <v>-1.9261477045908304E-2</v>
      </c>
      <c r="F410" s="4">
        <f>(Raw_Stock_Data!F410/Raw_Stock_Data!F409)-1</f>
        <v>-1.8510844039231977E-2</v>
      </c>
      <c r="G410" s="4">
        <f>(Raw_Stock_Data!G410/Raw_Stock_Data!G409)-1</f>
        <v>-8.3702208029017289E-3</v>
      </c>
      <c r="H410" s="4">
        <f>(Raw_Stock_Data!H410/Raw_Stock_Data!H409)-1</f>
        <v>-1.7664522513607173E-2</v>
      </c>
      <c r="I410" s="4">
        <f>(Raw_Stock_Data!I410/Raw_Stock_Data!I409)-1</f>
        <v>-2.5742463921546777E-2</v>
      </c>
      <c r="J410" s="4">
        <f>(Raw_Stock_Data!J410/Raw_Stock_Data!J409)-1</f>
        <v>-1.2549465562046946E-2</v>
      </c>
    </row>
    <row r="411" spans="1:10" x14ac:dyDescent="0.2">
      <c r="A411" s="2">
        <v>44791</v>
      </c>
      <c r="B411" s="4">
        <f>(Raw_Stock_Data!B411/Raw_Stock_Data!B410)-1</f>
        <v>-2.2950743277878605E-3</v>
      </c>
      <c r="C411" s="4">
        <f>(Raw_Stock_Data!C411/Raw_Stock_Data!C410)-1</f>
        <v>-3.9431652385665261E-3</v>
      </c>
      <c r="D411" s="4">
        <f>(Raw_Stock_Data!D411/Raw_Stock_Data!D410)-1</f>
        <v>2.3897550719493177E-2</v>
      </c>
      <c r="E411" s="4">
        <f>(Raw_Stock_Data!E411/Raw_Stock_Data!E410)-1</f>
        <v>2.208201892744488E-2</v>
      </c>
      <c r="F411" s="4">
        <f>(Raw_Stock_Data!F411/Raw_Stock_Data!F410)-1</f>
        <v>1.4074595355384467E-3</v>
      </c>
      <c r="G411" s="4">
        <f>(Raw_Stock_Data!G411/Raw_Stock_Data!G410)-1</f>
        <v>-3.7072734270404695E-3</v>
      </c>
      <c r="H411" s="4">
        <f>(Raw_Stock_Data!H411/Raw_Stock_Data!H410)-1</f>
        <v>5.1881327759029094E-3</v>
      </c>
      <c r="I411" s="4">
        <f>(Raw_Stock_Data!I411/Raw_Stock_Data!I410)-1</f>
        <v>-1.0866456963111171E-3</v>
      </c>
      <c r="J411" s="4">
        <f>(Raw_Stock_Data!J411/Raw_Stock_Data!J410)-1</f>
        <v>2.103860529968804E-3</v>
      </c>
    </row>
    <row r="412" spans="1:10" x14ac:dyDescent="0.2">
      <c r="A412" s="2">
        <v>44792</v>
      </c>
      <c r="B412" s="4">
        <f>(Raw_Stock_Data!B412/Raw_Stock_Data!B411)-1</f>
        <v>-1.5098261306180527E-2</v>
      </c>
      <c r="C412" s="4">
        <f>(Raw_Stock_Data!C412/Raw_Stock_Data!C411)-1</f>
        <v>-1.3857470036953479E-2</v>
      </c>
      <c r="D412" s="4">
        <f>(Raw_Stock_Data!D412/Raw_Stock_Data!D411)-1</f>
        <v>-4.9223696070744616E-2</v>
      </c>
      <c r="E412" s="4">
        <f>(Raw_Stock_Data!E412/Raw_Stock_Data!E411)-1</f>
        <v>-4.4703305455993547E-2</v>
      </c>
      <c r="F412" s="4">
        <f>(Raw_Stock_Data!F412/Raw_Stock_Data!F411)-1</f>
        <v>-2.8601546029515257E-2</v>
      </c>
      <c r="G412" s="4">
        <f>(Raw_Stock_Data!G412/Raw_Stock_Data!G411)-1</f>
        <v>-2.0480734308449322E-2</v>
      </c>
      <c r="H412" s="4">
        <f>(Raw_Stock_Data!H412/Raw_Stock_Data!H411)-1</f>
        <v>-2.4629184205251509E-2</v>
      </c>
      <c r="I412" s="4">
        <f>(Raw_Stock_Data!I412/Raw_Stock_Data!I411)-1</f>
        <v>-3.8360242757357055E-2</v>
      </c>
      <c r="J412" s="4">
        <f>(Raw_Stock_Data!J412/Raw_Stock_Data!J411)-1</f>
        <v>-2.006349235731586E-2</v>
      </c>
    </row>
    <row r="413" spans="1:10" x14ac:dyDescent="0.2">
      <c r="A413" s="2">
        <v>44795</v>
      </c>
      <c r="B413" s="4">
        <f>(Raw_Stock_Data!B413/Raw_Stock_Data!B412)-1</f>
        <v>-2.3041993692646923E-2</v>
      </c>
      <c r="C413" s="4">
        <f>(Raw_Stock_Data!C413/Raw_Stock_Data!C412)-1</f>
        <v>-2.9354667502555665E-2</v>
      </c>
      <c r="D413" s="4">
        <f>(Raw_Stock_Data!D413/Raw_Stock_Data!D412)-1</f>
        <v>-4.567434450415675E-2</v>
      </c>
      <c r="E413" s="4">
        <f>(Raw_Stock_Data!E413/Raw_Stock_Data!E412)-1</f>
        <v>-3.2412714955706079E-2</v>
      </c>
      <c r="F413" s="4">
        <f>(Raw_Stock_Data!F413/Raw_Stock_Data!F412)-1</f>
        <v>-3.6243941257324663E-2</v>
      </c>
      <c r="G413" s="4">
        <f>(Raw_Stock_Data!G413/Raw_Stock_Data!G412)-1</f>
        <v>-2.2766266554756553E-2</v>
      </c>
      <c r="H413" s="4">
        <f>(Raw_Stock_Data!H413/Raw_Stock_Data!H412)-1</f>
        <v>-2.5336724121691634E-2</v>
      </c>
      <c r="I413" s="4">
        <f>(Raw_Stock_Data!I413/Raw_Stock_Data!I412)-1</f>
        <v>-2.9233150750178627E-2</v>
      </c>
      <c r="J413" s="4">
        <f>(Raw_Stock_Data!J413/Raw_Stock_Data!J412)-1</f>
        <v>-2.5473014613689893E-2</v>
      </c>
    </row>
    <row r="414" spans="1:10" x14ac:dyDescent="0.2">
      <c r="A414" s="2">
        <v>44796</v>
      </c>
      <c r="B414" s="4">
        <f>(Raw_Stock_Data!B414/Raw_Stock_Data!B413)-1</f>
        <v>-2.0205697642668996E-3</v>
      </c>
      <c r="C414" s="4">
        <f>(Raw_Stock_Data!C414/Raw_Stock_Data!C413)-1</f>
        <v>-4.7229704438196407E-3</v>
      </c>
      <c r="D414" s="4">
        <f>(Raw_Stock_Data!D414/Raw_Stock_Data!D413)-1</f>
        <v>8.6409593228309323E-3</v>
      </c>
      <c r="E414" s="4">
        <f>(Raw_Stock_Data!E414/Raw_Stock_Data!E413)-1</f>
        <v>-3.7699267557088634E-3</v>
      </c>
      <c r="F414" s="4">
        <f>(Raw_Stock_Data!F414/Raw_Stock_Data!F413)-1</f>
        <v>3.002552169343975E-3</v>
      </c>
      <c r="G414" s="4">
        <f>(Raw_Stock_Data!G414/Raw_Stock_Data!G413)-1</f>
        <v>2.2558491685436444E-2</v>
      </c>
      <c r="H414" s="4">
        <f>(Raw_Stock_Data!H414/Raw_Stock_Data!H413)-1</f>
        <v>-3.3383701725411274E-3</v>
      </c>
      <c r="I414" s="4">
        <f>(Raw_Stock_Data!I414/Raw_Stock_Data!I413)-1</f>
        <v>-1.1898190739037084E-2</v>
      </c>
      <c r="J414" s="4">
        <f>(Raw_Stock_Data!J414/Raw_Stock_Data!J413)-1</f>
        <v>-2.1806604493690429E-5</v>
      </c>
    </row>
    <row r="415" spans="1:10" x14ac:dyDescent="0.2">
      <c r="A415" s="2">
        <v>44797</v>
      </c>
      <c r="B415" s="4">
        <f>(Raw_Stock_Data!B415/Raw_Stock_Data!B414)-1</f>
        <v>1.7875383043921556E-3</v>
      </c>
      <c r="C415" s="4">
        <f>(Raw_Stock_Data!C415/Raw_Stock_Data!C414)-1</f>
        <v>-2.3450376275299112E-3</v>
      </c>
      <c r="D415" s="4">
        <f>(Raw_Stock_Data!D415/Raw_Stock_Data!D414)-1</f>
        <v>2.3894166326710042E-3</v>
      </c>
      <c r="E415" s="4">
        <f>(Raw_Stock_Data!E415/Raw_Stock_Data!E414)-1</f>
        <v>2.5948751216349208E-3</v>
      </c>
      <c r="F415" s="4">
        <f>(Raw_Stock_Data!F415/Raw_Stock_Data!F414)-1</f>
        <v>1.3471037269869868E-3</v>
      </c>
      <c r="G415" s="4">
        <f>(Raw_Stock_Data!G415/Raw_Stock_Data!G414)-1</f>
        <v>2.1723510978131078E-3</v>
      </c>
      <c r="H415" s="4">
        <f>(Raw_Stock_Data!H415/Raw_Stock_Data!H414)-1</f>
        <v>-1.4808546646921661E-3</v>
      </c>
      <c r="I415" s="4">
        <f>(Raw_Stock_Data!I415/Raw_Stock_Data!I414)-1</f>
        <v>1.3344919620135176E-2</v>
      </c>
      <c r="J415" s="4">
        <f>(Raw_Stock_Data!J415/Raw_Stock_Data!J414)-1</f>
        <v>4.0569245555799327E-3</v>
      </c>
    </row>
    <row r="416" spans="1:10" x14ac:dyDescent="0.2">
      <c r="A416" s="2">
        <v>44798</v>
      </c>
      <c r="B416" s="4">
        <f>(Raw_Stock_Data!B416/Raw_Stock_Data!B415)-1</f>
        <v>1.4930264739084542E-2</v>
      </c>
      <c r="C416" s="4">
        <f>(Raw_Stock_Data!C416/Raw_Stock_Data!C415)-1</f>
        <v>1.1091194678000571E-2</v>
      </c>
      <c r="D416" s="4">
        <f>(Raw_Stock_Data!D416/Raw_Stock_Data!D415)-1</f>
        <v>4.0122093023255978E-2</v>
      </c>
      <c r="E416" s="4">
        <f>(Raw_Stock_Data!E416/Raw_Stock_Data!E415)-1</f>
        <v>4.7988784643588911E-2</v>
      </c>
      <c r="F416" s="4">
        <f>(Raw_Stock_Data!F416/Raw_Stock_Data!F415)-1</f>
        <v>2.6008968609865457E-2</v>
      </c>
      <c r="G416" s="4">
        <f>(Raw_Stock_Data!G416/Raw_Stock_Data!G415)-1</f>
        <v>-3.4567834747573079E-3</v>
      </c>
      <c r="H416" s="4">
        <f>(Raw_Stock_Data!H416/Raw_Stock_Data!H415)-1</f>
        <v>2.6032838983050866E-2</v>
      </c>
      <c r="I416" s="4">
        <f>(Raw_Stock_Data!I416/Raw_Stock_Data!I415)-1</f>
        <v>3.3811098860712985E-2</v>
      </c>
      <c r="J416" s="4">
        <f>(Raw_Stock_Data!J416/Raw_Stock_Data!J415)-1</f>
        <v>1.6710734720505105E-2</v>
      </c>
    </row>
    <row r="417" spans="1:10" x14ac:dyDescent="0.2">
      <c r="A417" s="2">
        <v>44799</v>
      </c>
      <c r="B417" s="4">
        <f>(Raw_Stock_Data!B417/Raw_Stock_Data!B416)-1</f>
        <v>-3.7703467164197035E-2</v>
      </c>
      <c r="C417" s="4">
        <f>(Raw_Stock_Data!C417/Raw_Stock_Data!C416)-1</f>
        <v>-3.8581600725209886E-2</v>
      </c>
      <c r="D417" s="4">
        <f>(Raw_Stock_Data!D417/Raw_Stock_Data!D416)-1</f>
        <v>-9.2280087869827443E-2</v>
      </c>
      <c r="E417" s="4">
        <f>(Raw_Stock_Data!E417/Raw_Stock_Data!E416)-1</f>
        <v>-6.1741098991561993E-2</v>
      </c>
      <c r="F417" s="4">
        <f>(Raw_Stock_Data!F417/Raw_Stock_Data!F416)-1</f>
        <v>-4.756701631701632E-2</v>
      </c>
      <c r="G417" s="4">
        <f>(Raw_Stock_Data!G417/Raw_Stock_Data!G416)-1</f>
        <v>-2.6953085418988776E-2</v>
      </c>
      <c r="H417" s="4">
        <f>(Raw_Stock_Data!H417/Raw_Stock_Data!H416)-1</f>
        <v>-5.4091491796367519E-2</v>
      </c>
      <c r="I417" s="4">
        <f>(Raw_Stock_Data!I417/Raw_Stock_Data!I416)-1</f>
        <v>-4.147410830667142E-2</v>
      </c>
      <c r="J417" s="4">
        <f>(Raw_Stock_Data!J417/Raw_Stock_Data!J416)-1</f>
        <v>-3.9366197573119432E-2</v>
      </c>
    </row>
    <row r="418" spans="1:10" x14ac:dyDescent="0.2">
      <c r="A418" s="2">
        <v>44802</v>
      </c>
      <c r="B418" s="4">
        <f>(Raw_Stock_Data!B418/Raw_Stock_Data!B417)-1</f>
        <v>-1.3689947241192879E-2</v>
      </c>
      <c r="C418" s="4">
        <f>(Raw_Stock_Data!C418/Raw_Stock_Data!C417)-1</f>
        <v>-1.0668349675501343E-2</v>
      </c>
      <c r="D418" s="4">
        <f>(Raw_Stock_Data!D418/Raw_Stock_Data!D417)-1</f>
        <v>-2.822799152667621E-2</v>
      </c>
      <c r="E418" s="4">
        <f>(Raw_Stock_Data!E418/Raw_Stock_Data!E417)-1</f>
        <v>-2.9502083790305056E-2</v>
      </c>
      <c r="F418" s="4">
        <f>(Raw_Stock_Data!F418/Raw_Stock_Data!F417)-1</f>
        <v>-7.3422562141491898E-3</v>
      </c>
      <c r="G418" s="4">
        <f>(Raw_Stock_Data!G418/Raw_Stock_Data!G417)-1</f>
        <v>-1.1350619598042178E-2</v>
      </c>
      <c r="H418" s="4">
        <f>(Raw_Stock_Data!H418/Raw_Stock_Data!H417)-1</f>
        <v>-8.3407614924231321E-3</v>
      </c>
      <c r="I418" s="4">
        <f>(Raw_Stock_Data!I418/Raw_Stock_Data!I417)-1</f>
        <v>-1.6133020150822186E-2</v>
      </c>
      <c r="J418" s="4">
        <f>(Raw_Stock_Data!J418/Raw_Stock_Data!J417)-1</f>
        <v>-1.0216023937320129E-2</v>
      </c>
    </row>
    <row r="419" spans="1:10" x14ac:dyDescent="0.2">
      <c r="A419" s="2">
        <v>44803</v>
      </c>
      <c r="B419" s="4">
        <f>(Raw_Stock_Data!B419/Raw_Stock_Data!B418)-1</f>
        <v>-1.5303872276616448E-2</v>
      </c>
      <c r="C419" s="4">
        <f>(Raw_Stock_Data!C419/Raw_Stock_Data!C418)-1</f>
        <v>-8.5237207693636963E-3</v>
      </c>
      <c r="D419" s="4">
        <f>(Raw_Stock_Data!D419/Raw_Stock_Data!D418)-1</f>
        <v>-2.1082581364696318E-2</v>
      </c>
      <c r="E419" s="4">
        <f>(Raw_Stock_Data!E419/Raw_Stock_Data!E418)-1</f>
        <v>-1.7516103514521375E-2</v>
      </c>
      <c r="F419" s="4">
        <f>(Raw_Stock_Data!F419/Raw_Stock_Data!F418)-1</f>
        <v>-8.1670390631018996E-3</v>
      </c>
      <c r="G419" s="4">
        <f>(Raw_Stock_Data!G419/Raw_Stock_Data!G418)-1</f>
        <v>-2.4998244505301637E-2</v>
      </c>
      <c r="H419" s="4">
        <f>(Raw_Stock_Data!H419/Raw_Stock_Data!H418)-1</f>
        <v>-4.3843155239624565E-3</v>
      </c>
      <c r="I419" s="4">
        <f>(Raw_Stock_Data!I419/Raw_Stock_Data!I418)-1</f>
        <v>-1.2628007790412732E-2</v>
      </c>
      <c r="J419" s="4">
        <f>(Raw_Stock_Data!J419/Raw_Stock_Data!J418)-1</f>
        <v>-1.119434965346866E-2</v>
      </c>
    </row>
    <row r="420" spans="1:10" x14ac:dyDescent="0.2">
      <c r="A420" s="2">
        <v>44804</v>
      </c>
      <c r="B420" s="4">
        <f>(Raw_Stock_Data!B420/Raw_Stock_Data!B419)-1</f>
        <v>-1.0634145717228871E-2</v>
      </c>
      <c r="C420" s="4">
        <f>(Raw_Stock_Data!C420/Raw_Stock_Data!C419)-1</f>
        <v>-5.697740671403273E-3</v>
      </c>
      <c r="D420" s="4">
        <f>(Raw_Stock_Data!D420/Raw_Stock_Data!D419)-1</f>
        <v>-2.417125730672387E-2</v>
      </c>
      <c r="E420" s="4">
        <f>(Raw_Stock_Data!E420/Raw_Stock_Data!E419)-1</f>
        <v>-2.3809523809523725E-2</v>
      </c>
      <c r="F420" s="4">
        <f>(Raw_Stock_Data!F420/Raw_Stock_Data!F419)-1</f>
        <v>-1.5225666122892778E-2</v>
      </c>
      <c r="G420" s="4">
        <f>(Raw_Stock_Data!G420/Raw_Stock_Data!G419)-1</f>
        <v>-7.5261073100467701E-3</v>
      </c>
      <c r="H420" s="4">
        <f>(Raw_Stock_Data!H420/Raw_Stock_Data!H419)-1</f>
        <v>-6.6146461901296361E-3</v>
      </c>
      <c r="I420" s="4">
        <f>(Raw_Stock_Data!I420/Raw_Stock_Data!I419)-1</f>
        <v>3.6714176635276319E-2</v>
      </c>
      <c r="J420" s="4">
        <f>(Raw_Stock_Data!J420/Raw_Stock_Data!J419)-1</f>
        <v>-5.6331912272344908E-3</v>
      </c>
    </row>
    <row r="421" spans="1:10" x14ac:dyDescent="0.2">
      <c r="A421" s="2">
        <v>44805</v>
      </c>
      <c r="B421" s="4">
        <f>(Raw_Stock_Data!B421/Raw_Stock_Data!B420)-1</f>
        <v>4.7081040180563249E-3</v>
      </c>
      <c r="C421" s="4">
        <f>(Raw_Stock_Data!C421/Raw_Stock_Data!C420)-1</f>
        <v>-4.0970346201374408E-3</v>
      </c>
      <c r="D421" s="4">
        <f>(Raw_Stock_Data!D421/Raw_Stock_Data!D420)-1</f>
        <v>-7.6651608323880405E-2</v>
      </c>
      <c r="E421" s="4">
        <f>(Raw_Stock_Data!E421/Raw_Stock_Data!E420)-1</f>
        <v>-2.9928125368210323E-2</v>
      </c>
      <c r="F421" s="4">
        <f>(Raw_Stock_Data!F421/Raw_Stock_Data!F420)-1</f>
        <v>8.2827167310877137E-3</v>
      </c>
      <c r="G421" s="4">
        <f>(Raw_Stock_Data!G421/Raw_Stock_Data!G420)-1</f>
        <v>5.623888828417023E-3</v>
      </c>
      <c r="H421" s="4">
        <f>(Raw_Stock_Data!H421/Raw_Stock_Data!H420)-1</f>
        <v>1.4050023648554566E-2</v>
      </c>
      <c r="I421" s="4">
        <f>(Raw_Stock_Data!I421/Raw_Stock_Data!I420)-1</f>
        <v>1.4914380408764583E-2</v>
      </c>
      <c r="J421" s="4">
        <f>(Raw_Stock_Data!J421/Raw_Stock_Data!J420)-1</f>
        <v>-2.6294409370187788E-3</v>
      </c>
    </row>
    <row r="422" spans="1:10" x14ac:dyDescent="0.2">
      <c r="A422" s="2">
        <v>44806</v>
      </c>
      <c r="B422" s="4">
        <f>(Raw_Stock_Data!B422/Raw_Stock_Data!B421)-1</f>
        <v>-1.360754401210118E-2</v>
      </c>
      <c r="C422" s="4">
        <f>(Raw_Stock_Data!C422/Raw_Stock_Data!C421)-1</f>
        <v>-1.6674756141477065E-2</v>
      </c>
      <c r="D422" s="4">
        <f>(Raw_Stock_Data!D422/Raw_Stock_Data!D421)-1</f>
        <v>-2.0805793436404429E-2</v>
      </c>
      <c r="E422" s="4">
        <f>(Raw_Stock_Data!E422/Raw_Stock_Data!E421)-1</f>
        <v>-2.5385643143447156E-2</v>
      </c>
      <c r="F422" s="4">
        <f>(Raw_Stock_Data!F422/Raw_Stock_Data!F421)-1</f>
        <v>-2.4252855578156263E-3</v>
      </c>
      <c r="G422" s="4">
        <f>(Raw_Stock_Data!G422/Raw_Stock_Data!G421)-1</f>
        <v>-2.5075768509164598E-2</v>
      </c>
      <c r="H422" s="4">
        <f>(Raw_Stock_Data!H422/Raw_Stock_Data!H421)-1</f>
        <v>-1.7230026338893811E-2</v>
      </c>
      <c r="I422" s="4">
        <f>(Raw_Stock_Data!I422/Raw_Stock_Data!I421)-1</f>
        <v>-3.0478955007257058E-2</v>
      </c>
      <c r="J422" s="4">
        <f>(Raw_Stock_Data!J422/Raw_Stock_Data!J421)-1</f>
        <v>-1.3090224715382792E-2</v>
      </c>
    </row>
    <row r="423" spans="1:10" x14ac:dyDescent="0.2">
      <c r="A423" s="2">
        <v>44810</v>
      </c>
      <c r="B423" s="4">
        <f>(Raw_Stock_Data!B423/Raw_Stock_Data!B422)-1</f>
        <v>-8.2288682532744017E-3</v>
      </c>
      <c r="C423" s="4">
        <f>(Raw_Stock_Data!C423/Raw_Stock_Data!C422)-1</f>
        <v>-1.0966658174638488E-2</v>
      </c>
      <c r="D423" s="4">
        <f>(Raw_Stock_Data!D423/Raw_Stock_Data!D422)-1</f>
        <v>-1.3338615953512822E-2</v>
      </c>
      <c r="E423" s="4">
        <f>(Raw_Stock_Data!E423/Raw_Stock_Data!E422)-1</f>
        <v>-1.8943170488534333E-2</v>
      </c>
      <c r="F423" s="4">
        <f>(Raw_Stock_Data!F423/Raw_Stock_Data!F422)-1</f>
        <v>-1.0979531017175193E-2</v>
      </c>
      <c r="G423" s="4">
        <f>(Raw_Stock_Data!G423/Raw_Stock_Data!G422)-1</f>
        <v>1.5580474445801462E-2</v>
      </c>
      <c r="H423" s="4">
        <f>(Raw_Stock_Data!H423/Raw_Stock_Data!H422)-1</f>
        <v>-9.6314907872696587E-3</v>
      </c>
      <c r="I423" s="4">
        <f>(Raw_Stock_Data!I423/Raw_Stock_Data!I422)-1</f>
        <v>-1.1102794411177674E-2</v>
      </c>
      <c r="J423" s="4">
        <f>(Raw_Stock_Data!J423/Raw_Stock_Data!J422)-1</f>
        <v>-7.3898232804797681E-3</v>
      </c>
    </row>
    <row r="424" spans="1:10" x14ac:dyDescent="0.2">
      <c r="A424" s="2">
        <v>44811</v>
      </c>
      <c r="B424" s="4">
        <f>(Raw_Stock_Data!B424/Raw_Stock_Data!B423)-1</f>
        <v>9.2643768916964575E-3</v>
      </c>
      <c r="C424" s="4">
        <f>(Raw_Stock_Data!C424/Raw_Stock_Data!C423)-1</f>
        <v>1.9113663713822282E-2</v>
      </c>
      <c r="D424" s="4">
        <f>(Raw_Stock_Data!D424/Raw_Stock_Data!D423)-1</f>
        <v>1.8806050060232726E-2</v>
      </c>
      <c r="E424" s="4">
        <f>(Raw_Stock_Data!E424/Raw_Stock_Data!E423)-1</f>
        <v>1.1305894308943021E-2</v>
      </c>
      <c r="F424" s="4">
        <f>(Raw_Stock_Data!F424/Raw_Stock_Data!F423)-1</f>
        <v>2.6722702402664167E-2</v>
      </c>
      <c r="G424" s="4">
        <f>(Raw_Stock_Data!G424/Raw_Stock_Data!G423)-1</f>
        <v>3.3816777202827719E-2</v>
      </c>
      <c r="H424" s="4">
        <f>(Raw_Stock_Data!H424/Raw_Stock_Data!H423)-1</f>
        <v>2.4712238665727027E-2</v>
      </c>
      <c r="I424" s="4">
        <f>(Raw_Stock_Data!I424/Raw_Stock_Data!I423)-1</f>
        <v>1.1668979437365889E-2</v>
      </c>
      <c r="J424" s="4">
        <f>(Raw_Stock_Data!J424/Raw_Stock_Data!J423)-1</f>
        <v>2.1393843693887638E-2</v>
      </c>
    </row>
    <row r="425" spans="1:10" x14ac:dyDescent="0.2">
      <c r="A425" s="2">
        <v>44812</v>
      </c>
      <c r="B425" s="4">
        <f>(Raw_Stock_Data!B425/Raw_Stock_Data!B424)-1</f>
        <v>-9.6226562703731755E-3</v>
      </c>
      <c r="C425" s="4">
        <f>(Raw_Stock_Data!C425/Raw_Stock_Data!C424)-1</f>
        <v>1.6587022629437342E-3</v>
      </c>
      <c r="D425" s="4">
        <f>(Raw_Stock_Data!D425/Raw_Stock_Data!D424)-1</f>
        <v>2.0108461611450634E-2</v>
      </c>
      <c r="E425" s="4">
        <f>(Raw_Stock_Data!E425/Raw_Stock_Data!E424)-1</f>
        <v>3.9819118201231074E-2</v>
      </c>
      <c r="F425" s="4">
        <f>(Raw_Stock_Data!F425/Raw_Stock_Data!F424)-1</f>
        <v>2.6258881680569779E-3</v>
      </c>
      <c r="G425" s="4">
        <f>(Raw_Stock_Data!G425/Raw_Stock_Data!G424)-1</f>
        <v>1.9598167077899298E-2</v>
      </c>
      <c r="H425" s="4">
        <f>(Raw_Stock_Data!H425/Raw_Stock_Data!H424)-1</f>
        <v>-9.774884232726655E-3</v>
      </c>
      <c r="I425" s="4">
        <f>(Raw_Stock_Data!I425/Raw_Stock_Data!I424)-1</f>
        <v>1.0412120456387619E-2</v>
      </c>
      <c r="J425" s="4">
        <f>(Raw_Stock_Data!J425/Raw_Stock_Data!J424)-1</f>
        <v>5.9557832071166494E-3</v>
      </c>
    </row>
    <row r="426" spans="1:10" x14ac:dyDescent="0.2">
      <c r="A426" s="2">
        <v>44813</v>
      </c>
      <c r="B426" s="4">
        <f>(Raw_Stock_Data!B426/Raw_Stock_Data!B425)-1</f>
        <v>1.8839854652693555E-2</v>
      </c>
      <c r="C426" s="4">
        <f>(Raw_Stock_Data!C426/Raw_Stock_Data!C425)-1</f>
        <v>2.2978354295627668E-2</v>
      </c>
      <c r="D426" s="4">
        <f>(Raw_Stock_Data!D426/Raw_Stock_Data!D425)-1</f>
        <v>2.8376812008986674E-2</v>
      </c>
      <c r="E426" s="4">
        <f>(Raw_Stock_Data!E426/Raw_Stock_Data!E425)-1</f>
        <v>3.2254167673350986E-2</v>
      </c>
      <c r="F426" s="4">
        <f>(Raw_Stock_Data!F426/Raw_Stock_Data!F425)-1</f>
        <v>2.6575258049607253E-2</v>
      </c>
      <c r="G426" s="4">
        <f>(Raw_Stock_Data!G426/Raw_Stock_Data!G425)-1</f>
        <v>3.6022955126875589E-2</v>
      </c>
      <c r="H426" s="4">
        <f>(Raw_Stock_Data!H426/Raw_Stock_Data!H425)-1</f>
        <v>2.0946577892192675E-2</v>
      </c>
      <c r="I426" s="4">
        <f>(Raw_Stock_Data!I426/Raw_Stock_Data!I425)-1</f>
        <v>4.3749228680735497E-2</v>
      </c>
      <c r="J426" s="4">
        <f>(Raw_Stock_Data!J426/Raw_Stock_Data!J425)-1</f>
        <v>2.1090647295215925E-2</v>
      </c>
    </row>
    <row r="427" spans="1:10" x14ac:dyDescent="0.2">
      <c r="A427" s="2">
        <v>44816</v>
      </c>
      <c r="B427" s="4">
        <f>(Raw_Stock_Data!B427/Raw_Stock_Data!B426)-1</f>
        <v>3.8507759701241762E-2</v>
      </c>
      <c r="C427" s="4">
        <f>(Raw_Stock_Data!C427/Raw_Stock_Data!C426)-1</f>
        <v>8.2865049449236672E-3</v>
      </c>
      <c r="D427" s="4">
        <f>(Raw_Stock_Data!D427/Raw_Stock_Data!D426)-1</f>
        <v>8.2029945452521957E-3</v>
      </c>
      <c r="E427" s="4">
        <f>(Raw_Stock_Data!E427/Raw_Stock_Data!E426)-1</f>
        <v>-9.4792276184904045E-3</v>
      </c>
      <c r="F427" s="4">
        <f>(Raw_Stock_Data!F427/Raw_Stock_Data!F426)-1</f>
        <v>2.3861334133713274E-2</v>
      </c>
      <c r="G427" s="4">
        <f>(Raw_Stock_Data!G427/Raw_Stock_Data!G426)-1</f>
        <v>1.5816871329418003E-2</v>
      </c>
      <c r="H427" s="4">
        <f>(Raw_Stock_Data!H427/Raw_Stock_Data!H426)-1</f>
        <v>1.886604203136466E-3</v>
      </c>
      <c r="I427" s="4">
        <f>(Raw_Stock_Data!I427/Raw_Stock_Data!I426)-1</f>
        <v>-1.1232633757020105E-3</v>
      </c>
      <c r="J427" s="4">
        <f>(Raw_Stock_Data!J427/Raw_Stock_Data!J426)-1</f>
        <v>1.272259379094498E-2</v>
      </c>
    </row>
    <row r="428" spans="1:10" x14ac:dyDescent="0.2">
      <c r="A428" s="2">
        <v>44817</v>
      </c>
      <c r="B428" s="4">
        <f>(Raw_Stock_Data!B428/Raw_Stock_Data!B427)-1</f>
        <v>-5.8687023280699968E-2</v>
      </c>
      <c r="C428" s="4">
        <f>(Raw_Stock_Data!C428/Raw_Stock_Data!C427)-1</f>
        <v>-5.4983028041955984E-2</v>
      </c>
      <c r="D428" s="4">
        <f>(Raw_Stock_Data!D428/Raw_Stock_Data!D427)-1</f>
        <v>-9.4729723201777638E-2</v>
      </c>
      <c r="E428" s="4">
        <f>(Raw_Stock_Data!E428/Raw_Stock_Data!E427)-1</f>
        <v>-8.9910207939508546E-2</v>
      </c>
      <c r="F428" s="4">
        <f>(Raw_Stock_Data!F428/Raw_Stock_Data!F427)-1</f>
        <v>-7.0575302308537924E-2</v>
      </c>
      <c r="G428" s="4">
        <f>(Raw_Stock_Data!G428/Raw_Stock_Data!G427)-1</f>
        <v>-4.0371854674463026E-2</v>
      </c>
      <c r="H428" s="4">
        <f>(Raw_Stock_Data!H428/Raw_Stock_Data!H427)-1</f>
        <v>-5.8990213563403615E-2</v>
      </c>
      <c r="I428" s="4">
        <f>(Raw_Stock_Data!I428/Raw_Stock_Data!I427)-1</f>
        <v>-9.3690814393939448E-2</v>
      </c>
      <c r="J428" s="4">
        <f>(Raw_Stock_Data!J428/Raw_Stock_Data!J427)-1</f>
        <v>-5.1591296883114146E-2</v>
      </c>
    </row>
    <row r="429" spans="1:10" x14ac:dyDescent="0.2">
      <c r="A429" s="2">
        <v>44818</v>
      </c>
      <c r="B429" s="4">
        <f>(Raw_Stock_Data!B429/Raw_Stock_Data!B428)-1</f>
        <v>9.5571080164706945E-3</v>
      </c>
      <c r="C429" s="4">
        <f>(Raw_Stock_Data!C429/Raw_Stock_Data!C428)-1</f>
        <v>9.1819564443573753E-4</v>
      </c>
      <c r="D429" s="4">
        <f>(Raw_Stock_Data!D429/Raw_Stock_Data!D428)-1</f>
        <v>-2.2869339838393898E-4</v>
      </c>
      <c r="E429" s="4">
        <f>(Raw_Stock_Data!E429/Raw_Stock_Data!E428)-1</f>
        <v>5.4524211346229645E-3</v>
      </c>
      <c r="F429" s="4">
        <f>(Raw_Stock_Data!F429/Raw_Stock_Data!F428)-1</f>
        <v>1.3641381485570259E-2</v>
      </c>
      <c r="G429" s="4">
        <f>(Raw_Stock_Data!G429/Raw_Stock_Data!G428)-1</f>
        <v>3.5874439461883512E-2</v>
      </c>
      <c r="H429" s="4">
        <f>(Raw_Stock_Data!H429/Raw_Stock_Data!H428)-1</f>
        <v>6.5228057685462471E-3</v>
      </c>
      <c r="I429" s="4">
        <f>(Raw_Stock_Data!I429/Raw_Stock_Data!I428)-1</f>
        <v>-1.0840462352249669E-2</v>
      </c>
      <c r="J429" s="4">
        <f>(Raw_Stock_Data!J429/Raw_Stock_Data!J428)-1</f>
        <v>7.4018551485055539E-3</v>
      </c>
    </row>
    <row r="430" spans="1:10" x14ac:dyDescent="0.2">
      <c r="A430" s="2">
        <v>44819</v>
      </c>
      <c r="B430" s="4">
        <f>(Raw_Stock_Data!B430/Raw_Stock_Data!B429)-1</f>
        <v>-1.8920175191656896E-2</v>
      </c>
      <c r="C430" s="4">
        <f>(Raw_Stock_Data!C430/Raw_Stock_Data!C429)-1</f>
        <v>-2.7124562034503752E-2</v>
      </c>
      <c r="D430" s="4">
        <f>(Raw_Stock_Data!D430/Raw_Stock_Data!D429)-1</f>
        <v>-1.5150590926420127E-2</v>
      </c>
      <c r="E430" s="4">
        <f>(Raw_Stock_Data!E430/Raw_Stock_Data!E429)-1</f>
        <v>-1.0200129115558454E-2</v>
      </c>
      <c r="F430" s="4">
        <f>(Raw_Stock_Data!F430/Raw_Stock_Data!F429)-1</f>
        <v>-1.765849863866209E-2</v>
      </c>
      <c r="G430" s="4">
        <f>(Raw_Stock_Data!G430/Raw_Stock_Data!G429)-1</f>
        <v>3.7672251412708135E-3</v>
      </c>
      <c r="H430" s="4">
        <f>(Raw_Stock_Data!H430/Raw_Stock_Data!H429)-1</f>
        <v>-1.99099607153439E-2</v>
      </c>
      <c r="I430" s="4">
        <f>(Raw_Stock_Data!I430/Raw_Stock_Data!I429)-1</f>
        <v>-1.2675777381659703E-2</v>
      </c>
      <c r="J430" s="4">
        <f>(Raw_Stock_Data!J430/Raw_Stock_Data!J429)-1</f>
        <v>-1.4276840323285245E-2</v>
      </c>
    </row>
    <row r="431" spans="1:10" x14ac:dyDescent="0.2">
      <c r="A431" s="2">
        <v>44820</v>
      </c>
      <c r="B431" s="4">
        <f>(Raw_Stock_Data!B431/Raw_Stock_Data!B430)-1</f>
        <v>-1.0963785475486598E-2</v>
      </c>
      <c r="C431" s="4">
        <f>(Raw_Stock_Data!C431/Raw_Stock_Data!C430)-1</f>
        <v>-2.6127881232371752E-3</v>
      </c>
      <c r="D431" s="4">
        <f>(Raw_Stock_Data!D431/Raw_Stock_Data!D430)-1</f>
        <v>2.0803171186795089E-2</v>
      </c>
      <c r="E431" s="4">
        <f>(Raw_Stock_Data!E431/Raw_Stock_Data!E430)-1</f>
        <v>-1.9566918862509164E-3</v>
      </c>
      <c r="F431" s="4">
        <f>(Raw_Stock_Data!F431/Raw_Stock_Data!F430)-1</f>
        <v>-2.1777003484320545E-2</v>
      </c>
      <c r="G431" s="4">
        <f>(Raw_Stock_Data!G431/Raw_Stock_Data!G430)-1</f>
        <v>-1.3168724279835065E-3</v>
      </c>
      <c r="H431" s="4">
        <f>(Raw_Stock_Data!H431/Raw_Stock_Data!H430)-1</f>
        <v>-1.0630205387270886E-3</v>
      </c>
      <c r="I431" s="4">
        <f>(Raw_Stock_Data!I431/Raw_Stock_Data!I430)-1</f>
        <v>-2.1798729521899207E-2</v>
      </c>
      <c r="J431" s="4">
        <f>(Raw_Stock_Data!J431/Raw_Stock_Data!J430)-1</f>
        <v>-8.9990270386312021E-3</v>
      </c>
    </row>
    <row r="432" spans="1:10" x14ac:dyDescent="0.2">
      <c r="A432" s="2">
        <v>44823</v>
      </c>
      <c r="B432" s="4">
        <f>(Raw_Stock_Data!B432/Raw_Stock_Data!B431)-1</f>
        <v>2.5085349562119497E-2</v>
      </c>
      <c r="C432" s="4">
        <f>(Raw_Stock_Data!C432/Raw_Stock_Data!C431)-1</f>
        <v>-8.9125817333735036E-4</v>
      </c>
      <c r="D432" s="4">
        <f>(Raw_Stock_Data!D432/Raw_Stock_Data!D431)-1</f>
        <v>1.3947667804323105E-2</v>
      </c>
      <c r="E432" s="4">
        <f>(Raw_Stock_Data!E432/Raw_Stock_Data!E431)-1</f>
        <v>3.3982485949548558E-3</v>
      </c>
      <c r="F432" s="4">
        <f>(Raw_Stock_Data!F432/Raw_Stock_Data!F431)-1</f>
        <v>9.1475754877357041E-3</v>
      </c>
      <c r="G432" s="4">
        <f>(Raw_Stock_Data!G432/Raw_Stock_Data!G431)-1</f>
        <v>1.8856106807318085E-2</v>
      </c>
      <c r="H432" s="4">
        <f>(Raw_Stock_Data!H432/Raw_Stock_Data!H431)-1</f>
        <v>2.6262093742981385E-3</v>
      </c>
      <c r="I432" s="4">
        <f>(Raw_Stock_Data!I432/Raw_Stock_Data!I431)-1</f>
        <v>1.1825825415271218E-2</v>
      </c>
      <c r="J432" s="4">
        <f>(Raw_Stock_Data!J432/Raw_Stock_Data!J431)-1</f>
        <v>7.5661227769820982E-3</v>
      </c>
    </row>
    <row r="433" spans="1:10" x14ac:dyDescent="0.2">
      <c r="A433" s="2">
        <v>44824</v>
      </c>
      <c r="B433" s="4">
        <f>(Raw_Stock_Data!B433/Raw_Stock_Data!B432)-1</f>
        <v>1.565173893583971E-2</v>
      </c>
      <c r="C433" s="4">
        <f>(Raw_Stock_Data!C433/Raw_Stock_Data!C432)-1</f>
        <v>-8.4620002000865835E-3</v>
      </c>
      <c r="D433" s="4">
        <f>(Raw_Stock_Data!D433/Raw_Stock_Data!D432)-1</f>
        <v>-1.540141672089701E-2</v>
      </c>
      <c r="E433" s="4">
        <f>(Raw_Stock_Data!E433/Raw_Stock_Data!E432)-1</f>
        <v>-1.9799400807607115E-2</v>
      </c>
      <c r="F433" s="4">
        <f>(Raw_Stock_Data!F433/Raw_Stock_Data!F432)-1</f>
        <v>-1.981389379111187E-2</v>
      </c>
      <c r="G433" s="4">
        <f>(Raw_Stock_Data!G433/Raw_Stock_Data!G432)-1</f>
        <v>-1.1000744167987131E-3</v>
      </c>
      <c r="H433" s="4">
        <f>(Raw_Stock_Data!H433/Raw_Stock_Data!H432)-1</f>
        <v>-1.8724804767376035E-2</v>
      </c>
      <c r="I433" s="4">
        <f>(Raw_Stock_Data!I433/Raw_Stock_Data!I432)-1</f>
        <v>-1.3038778543440155E-2</v>
      </c>
      <c r="J433" s="4">
        <f>(Raw_Stock_Data!J433/Raw_Stock_Data!J432)-1</f>
        <v>-9.533576881531336E-3</v>
      </c>
    </row>
    <row r="434" spans="1:10" x14ac:dyDescent="0.2">
      <c r="A434" s="2">
        <v>44825</v>
      </c>
      <c r="B434" s="4">
        <f>(Raw_Stock_Data!B434/Raw_Stock_Data!B433)-1</f>
        <v>-2.0257922364072312E-2</v>
      </c>
      <c r="C434" s="4">
        <f>(Raw_Stock_Data!C434/Raw_Stock_Data!C433)-1</f>
        <v>-1.443249560677029E-2</v>
      </c>
      <c r="D434" s="4">
        <f>(Raw_Stock_Data!D434/Raw_Stock_Data!D433)-1</f>
        <v>6.4498974397932951E-3</v>
      </c>
      <c r="E434" s="4">
        <f>(Raw_Stock_Data!E434/Raw_Stock_Data!E433)-1</f>
        <v>-1.0232558139534831E-2</v>
      </c>
      <c r="F434" s="4">
        <f>(Raw_Stock_Data!F434/Raw_Stock_Data!F433)-1</f>
        <v>-2.9871511580325638E-2</v>
      </c>
      <c r="G434" s="4">
        <f>(Raw_Stock_Data!G434/Raw_Stock_Data!G433)-1</f>
        <v>-2.5685874388624352E-2</v>
      </c>
      <c r="H434" s="4">
        <f>(Raw_Stock_Data!H434/Raw_Stock_Data!H433)-1</f>
        <v>-1.8393450756636121E-2</v>
      </c>
      <c r="I434" s="4">
        <f>(Raw_Stock_Data!I434/Raw_Stock_Data!I433)-1</f>
        <v>-2.7175029091655811E-2</v>
      </c>
      <c r="J434" s="4">
        <f>(Raw_Stock_Data!J434/Raw_Stock_Data!J433)-1</f>
        <v>-1.7930774920022152E-2</v>
      </c>
    </row>
    <row r="435" spans="1:10" x14ac:dyDescent="0.2">
      <c r="A435" s="2">
        <v>44826</v>
      </c>
      <c r="B435" s="4">
        <f>(Raw_Stock_Data!B435/Raw_Stock_Data!B434)-1</f>
        <v>-6.3697216636681153E-3</v>
      </c>
      <c r="C435" s="4">
        <f>(Raw_Stock_Data!C435/Raw_Stock_Data!C434)-1</f>
        <v>8.4928316405967763E-3</v>
      </c>
      <c r="D435" s="4">
        <f>(Raw_Stock_Data!D435/Raw_Stock_Data!D434)-1</f>
        <v>-5.2778176163769341E-2</v>
      </c>
      <c r="E435" s="4">
        <f>(Raw_Stock_Data!E435/Raw_Stock_Data!E434)-1</f>
        <v>-6.6863587540279323E-2</v>
      </c>
      <c r="F435" s="4">
        <f>(Raw_Stock_Data!F435/Raw_Stock_Data!F434)-1</f>
        <v>-1.0376244305719595E-2</v>
      </c>
      <c r="G435" s="4">
        <f>(Raw_Stock_Data!G435/Raw_Stock_Data!G434)-1</f>
        <v>-4.0591755319149048E-2</v>
      </c>
      <c r="H435" s="4">
        <f>(Raw_Stock_Data!H435/Raw_Stock_Data!H434)-1</f>
        <v>8.65940029154455E-3</v>
      </c>
      <c r="I435" s="4">
        <f>(Raw_Stock_Data!I435/Raw_Stock_Data!I434)-1</f>
        <v>4.9254151421334047E-3</v>
      </c>
      <c r="J435" s="4">
        <f>(Raw_Stock_Data!J435/Raw_Stock_Data!J434)-1</f>
        <v>-1.3670891491142423E-2</v>
      </c>
    </row>
    <row r="436" spans="1:10" x14ac:dyDescent="0.2">
      <c r="A436" s="2">
        <v>44827</v>
      </c>
      <c r="B436" s="4">
        <f>(Raw_Stock_Data!B436/Raw_Stock_Data!B435)-1</f>
        <v>-1.5117726549550459E-2</v>
      </c>
      <c r="C436" s="4">
        <f>(Raw_Stock_Data!C436/Raw_Stock_Data!C435)-1</f>
        <v>-1.2705985855919977E-2</v>
      </c>
      <c r="D436" s="4">
        <f>(Raw_Stock_Data!D436/Raw_Stock_Data!D435)-1</f>
        <v>-3.5860288316718059E-3</v>
      </c>
      <c r="E436" s="4">
        <f>(Raw_Stock_Data!E436/Raw_Stock_Data!E435)-1</f>
        <v>-2.2158273381295057E-2</v>
      </c>
      <c r="F436" s="4">
        <f>(Raw_Stock_Data!F436/Raw_Stock_Data!F435)-1</f>
        <v>-3.009121132043302E-2</v>
      </c>
      <c r="G436" s="4">
        <f>(Raw_Stock_Data!G436/Raw_Stock_Data!G435)-1</f>
        <v>-4.5947538029730728E-2</v>
      </c>
      <c r="H436" s="4">
        <f>(Raw_Stock_Data!H436/Raw_Stock_Data!H435)-1</f>
        <v>-1.3978031229329058E-2</v>
      </c>
      <c r="I436" s="4">
        <f>(Raw_Stock_Data!I436/Raw_Stock_Data!I435)-1</f>
        <v>-1.6874387340708563E-2</v>
      </c>
      <c r="J436" s="4">
        <f>(Raw_Stock_Data!J436/Raw_Stock_Data!J435)-1</f>
        <v>-1.7969964217298462E-2</v>
      </c>
    </row>
    <row r="437" spans="1:10" x14ac:dyDescent="0.2">
      <c r="A437" s="2">
        <v>44830</v>
      </c>
      <c r="B437" s="4">
        <f>(Raw_Stock_Data!B437/Raw_Stock_Data!B436)-1</f>
        <v>2.2507603920243202E-3</v>
      </c>
      <c r="C437" s="4">
        <f>(Raw_Stock_Data!C437/Raw_Stock_Data!C436)-1</f>
        <v>-1.9706965984062075E-3</v>
      </c>
      <c r="D437" s="4">
        <f>(Raw_Stock_Data!D437/Raw_Stock_Data!D436)-1</f>
        <v>-2.3009189279973197E-2</v>
      </c>
      <c r="E437" s="4">
        <f>(Raw_Stock_Data!E437/Raw_Stock_Data!E436)-1</f>
        <v>-2.4426133019423091E-2</v>
      </c>
      <c r="F437" s="4">
        <f>(Raw_Stock_Data!F437/Raw_Stock_Data!F436)-1</f>
        <v>1.2040780453506761E-2</v>
      </c>
      <c r="G437" s="4">
        <f>(Raw_Stock_Data!G437/Raw_Stock_Data!G436)-1</f>
        <v>2.4697635564594478E-3</v>
      </c>
      <c r="H437" s="4">
        <f>(Raw_Stock_Data!H437/Raw_Stock_Data!H436)-1</f>
        <v>-5.7713046828069547E-3</v>
      </c>
      <c r="I437" s="4">
        <f>(Raw_Stock_Data!I437/Raw_Stock_Data!I436)-1</f>
        <v>-2.8772879424542319E-2</v>
      </c>
      <c r="J437" s="4">
        <f>(Raw_Stock_Data!J437/Raw_Stock_Data!J436)-1</f>
        <v>-5.981819904986474E-3</v>
      </c>
    </row>
    <row r="438" spans="1:10" x14ac:dyDescent="0.2">
      <c r="A438" s="2">
        <v>44831</v>
      </c>
      <c r="B438" s="4">
        <f>(Raw_Stock_Data!B438/Raw_Stock_Data!B437)-1</f>
        <v>6.5617771423562843E-3</v>
      </c>
      <c r="C438" s="4">
        <f>(Raw_Stock_Data!C438/Raw_Stock_Data!C437)-1</f>
        <v>-4.3784340659340781E-3</v>
      </c>
      <c r="D438" s="4">
        <f>(Raw_Stock_Data!D438/Raw_Stock_Data!D437)-1</f>
        <v>1.511951538965306E-2</v>
      </c>
      <c r="E438" s="4">
        <f>(Raw_Stock_Data!E438/Raw_Stock_Data!E437)-1</f>
        <v>1.3122171945701533E-2</v>
      </c>
      <c r="F438" s="4">
        <f>(Raw_Stock_Data!F438/Raw_Stock_Data!F437)-1</f>
        <v>-6.4264003473730735E-3</v>
      </c>
      <c r="G438" s="4">
        <f>(Raw_Stock_Data!G438/Raw_Stock_Data!G437)-1</f>
        <v>2.5107785949784356E-2</v>
      </c>
      <c r="H438" s="4">
        <f>(Raw_Stock_Data!H438/Raw_Stock_Data!H437)-1</f>
        <v>-6.8261165152762038E-3</v>
      </c>
      <c r="I438" s="4">
        <f>(Raw_Stock_Data!I438/Raw_Stock_Data!I437)-1</f>
        <v>-1.444599252034906E-2</v>
      </c>
      <c r="J438" s="4">
        <f>(Raw_Stock_Data!J438/Raw_Stock_Data!J437)-1</f>
        <v>2.4604458794474926E-3</v>
      </c>
    </row>
    <row r="439" spans="1:10" x14ac:dyDescent="0.2">
      <c r="A439" s="2">
        <v>44832</v>
      </c>
      <c r="B439" s="4">
        <f>(Raw_Stock_Data!B439/Raw_Stock_Data!B438)-1</f>
        <v>-1.2649407729002582E-2</v>
      </c>
      <c r="C439" s="4">
        <f>(Raw_Stock_Data!C439/Raw_Stock_Data!C438)-1</f>
        <v>1.9707683021471079E-2</v>
      </c>
      <c r="D439" s="4">
        <f>(Raw_Stock_Data!D439/Raw_Stock_Data!D438)-1</f>
        <v>2.6030788584515241E-2</v>
      </c>
      <c r="E439" s="4">
        <f>(Raw_Stock_Data!E439/Raw_Stock_Data!E438)-1</f>
        <v>1.7716242370105606E-2</v>
      </c>
      <c r="F439" s="4">
        <f>(Raw_Stock_Data!F439/Raw_Stock_Data!F438)-1</f>
        <v>3.1465780963202628E-2</v>
      </c>
      <c r="G439" s="4">
        <f>(Raw_Stock_Data!G439/Raw_Stock_Data!G438)-1</f>
        <v>1.7212129780165508E-2</v>
      </c>
      <c r="H439" s="4">
        <f>(Raw_Stock_Data!H439/Raw_Stock_Data!H438)-1</f>
        <v>2.615499270184185E-2</v>
      </c>
      <c r="I439" s="4">
        <f>(Raw_Stock_Data!I439/Raw_Stock_Data!I438)-1</f>
        <v>5.3645833333333393E-2</v>
      </c>
      <c r="J439" s="4">
        <f>(Raw_Stock_Data!J439/Raw_Stock_Data!J438)-1</f>
        <v>2.051248903458136E-2</v>
      </c>
    </row>
    <row r="440" spans="1:10" x14ac:dyDescent="0.2">
      <c r="A440" s="2">
        <v>44833</v>
      </c>
      <c r="B440" s="4">
        <f>(Raw_Stock_Data!B440/Raw_Stock_Data!B439)-1</f>
        <v>-4.9108354595298831E-2</v>
      </c>
      <c r="C440" s="4">
        <f>(Raw_Stock_Data!C440/Raw_Stock_Data!C439)-1</f>
        <v>-1.4802694166444752E-2</v>
      </c>
      <c r="D440" s="4">
        <f>(Raw_Stock_Data!D440/Raw_Stock_Data!D439)-1</f>
        <v>-4.0515581404487744E-2</v>
      </c>
      <c r="E440" s="4">
        <f>(Raw_Stock_Data!E440/Raw_Stock_Data!E439)-1</f>
        <v>-6.1732007021650048E-2</v>
      </c>
      <c r="F440" s="4">
        <f>(Raw_Stock_Data!F440/Raw_Stock_Data!F439)-1</f>
        <v>-2.7201084653842966E-2</v>
      </c>
      <c r="G440" s="4">
        <f>(Raw_Stock_Data!G440/Raw_Stock_Data!G439)-1</f>
        <v>-6.8100482957506814E-2</v>
      </c>
      <c r="H440" s="4">
        <f>(Raw_Stock_Data!H440/Raw_Stock_Data!H439)-1</f>
        <v>-2.6287834027327039E-2</v>
      </c>
      <c r="I440" s="4">
        <f>(Raw_Stock_Data!I440/Raw_Stock_Data!I439)-1</f>
        <v>-3.6720570581173728E-2</v>
      </c>
      <c r="J440" s="4">
        <f>(Raw_Stock_Data!J440/Raw_Stock_Data!J439)-1</f>
        <v>-2.8423835738406122E-2</v>
      </c>
    </row>
    <row r="441" spans="1:10" x14ac:dyDescent="0.2">
      <c r="A441" s="2">
        <v>44834</v>
      </c>
      <c r="B441" s="4">
        <f>(Raw_Stock_Data!B441/Raw_Stock_Data!B440)-1</f>
        <v>-3.0050452790603144E-2</v>
      </c>
      <c r="C441" s="4">
        <f>(Raw_Stock_Data!C441/Raw_Stock_Data!C440)-1</f>
        <v>-1.9372559117634358E-2</v>
      </c>
      <c r="D441" s="4">
        <f>(Raw_Stock_Data!D441/Raw_Stock_Data!D440)-1</f>
        <v>-6.6349934469199789E-3</v>
      </c>
      <c r="E441" s="4">
        <f>(Raw_Stock_Data!E441/Raw_Stock_Data!E440)-1</f>
        <v>-1.2160898035547207E-2</v>
      </c>
      <c r="F441" s="4">
        <f>(Raw_Stock_Data!F441/Raw_Stock_Data!F440)-1</f>
        <v>-1.5679442508710784E-2</v>
      </c>
      <c r="G441" s="4">
        <f>(Raw_Stock_Data!G441/Raw_Stock_Data!G440)-1</f>
        <v>-1.1036128406845314E-2</v>
      </c>
      <c r="H441" s="4">
        <f>(Raw_Stock_Data!H441/Raw_Stock_Data!H440)-1</f>
        <v>-1.8168687756327739E-2</v>
      </c>
      <c r="I441" s="4">
        <f>(Raw_Stock_Data!I441/Raw_Stock_Data!I440)-1</f>
        <v>-5.3515138186349676E-3</v>
      </c>
      <c r="J441" s="4">
        <f>(Raw_Stock_Data!J441/Raw_Stock_Data!J440)-1</f>
        <v>-1.5077052314735884E-2</v>
      </c>
    </row>
    <row r="442" spans="1:10" x14ac:dyDescent="0.2">
      <c r="A442" s="2">
        <v>44837</v>
      </c>
      <c r="B442" s="4">
        <f>(Raw_Stock_Data!B442/Raw_Stock_Data!B441)-1</f>
        <v>3.076074161271336E-2</v>
      </c>
      <c r="C442" s="4">
        <f>(Raw_Stock_Data!C442/Raw_Stock_Data!C441)-1</f>
        <v>3.3654856102513842E-2</v>
      </c>
      <c r="D442" s="4">
        <f>(Raw_Stock_Data!D442/Raw_Stock_Data!D441)-1</f>
        <v>3.0733074956708073E-2</v>
      </c>
      <c r="E442" s="4">
        <f>(Raw_Stock_Data!E442/Raw_Stock_Data!E441)-1</f>
        <v>4.3402777777777679E-2</v>
      </c>
      <c r="F442" s="4">
        <f>(Raw_Stock_Data!F442/Raw_Stock_Data!F441)-1</f>
        <v>2.5486725663716792E-2</v>
      </c>
      <c r="G442" s="4">
        <f>(Raw_Stock_Data!G442/Raw_Stock_Data!G441)-1</f>
        <v>-8.6145146088595692E-2</v>
      </c>
      <c r="H442" s="4">
        <f>(Raw_Stock_Data!H442/Raw_Stock_Data!H441)-1</f>
        <v>3.1259804101590127E-2</v>
      </c>
      <c r="I442" s="4">
        <f>(Raw_Stock_Data!I442/Raw_Stock_Data!I441)-1</f>
        <v>2.1594929245283057E-2</v>
      </c>
      <c r="J442" s="4">
        <f>(Raw_Stock_Data!J442/Raw_Stock_Data!J441)-1</f>
        <v>2.2675739105603165E-2</v>
      </c>
    </row>
    <row r="443" spans="1:10" x14ac:dyDescent="0.2">
      <c r="A443" s="2">
        <v>44838</v>
      </c>
      <c r="B443" s="4">
        <f>(Raw_Stock_Data!B443/Raw_Stock_Data!B442)-1</f>
        <v>2.5624370989500544E-2</v>
      </c>
      <c r="C443" s="4">
        <f>(Raw_Stock_Data!C443/Raw_Stock_Data!C442)-1</f>
        <v>3.3820802249074911E-2</v>
      </c>
      <c r="D443" s="4">
        <f>(Raw_Stock_Data!D443/Raw_Stock_Data!D442)-1</f>
        <v>5.2345256286150832E-2</v>
      </c>
      <c r="E443" s="4">
        <f>(Raw_Stock_Data!E443/Raw_Stock_Data!E442)-1</f>
        <v>2.7076085312358389E-2</v>
      </c>
      <c r="F443" s="4">
        <f>(Raw_Stock_Data!F443/Raw_Stock_Data!F442)-1</f>
        <v>4.4960303762513032E-2</v>
      </c>
      <c r="G443" s="4">
        <f>(Raw_Stock_Data!G443/Raw_Stock_Data!G442)-1</f>
        <v>2.9042904290428995E-2</v>
      </c>
      <c r="H443" s="4">
        <f>(Raw_Stock_Data!H443/Raw_Stock_Data!H442)-1</f>
        <v>3.0404838238690779E-2</v>
      </c>
      <c r="I443" s="4">
        <f>(Raw_Stock_Data!I443/Raw_Stock_Data!I442)-1</f>
        <v>1.2048192771084265E-2</v>
      </c>
      <c r="J443" s="4">
        <f>(Raw_Stock_Data!J443/Raw_Stock_Data!J442)-1</f>
        <v>3.3376389103345838E-2</v>
      </c>
    </row>
    <row r="444" spans="1:10" x14ac:dyDescent="0.2">
      <c r="A444" s="2">
        <v>44839</v>
      </c>
      <c r="B444" s="4">
        <f>(Raw_Stock_Data!B444/Raw_Stock_Data!B443)-1</f>
        <v>2.0390977862219106E-3</v>
      </c>
      <c r="C444" s="4">
        <f>(Raw_Stock_Data!C444/Raw_Stock_Data!C443)-1</f>
        <v>1.2777773227288236E-3</v>
      </c>
      <c r="D444" s="4">
        <f>(Raw_Stock_Data!D444/Raw_Stock_Data!D443)-1</f>
        <v>3.1929451117531649E-3</v>
      </c>
      <c r="E444" s="4">
        <f>(Raw_Stock_Data!E444/Raw_Stock_Data!E443)-1</f>
        <v>5.8910162002923094E-4</v>
      </c>
      <c r="F444" s="4">
        <f>(Raw_Stock_Data!F444/Raw_Stock_Data!F443)-1</f>
        <v>-1.1561648360723931E-3</v>
      </c>
      <c r="G444" s="4">
        <f>(Raw_Stock_Data!G444/Raw_Stock_Data!G443)-1</f>
        <v>-3.4597498396407911E-2</v>
      </c>
      <c r="H444" s="4">
        <f>(Raw_Stock_Data!H444/Raw_Stock_Data!H443)-1</f>
        <v>-2.0538747136426005E-3</v>
      </c>
      <c r="I444" s="4">
        <f>(Raw_Stock_Data!I444/Raw_Stock_Data!I443)-1</f>
        <v>-9.2671799258626786E-3</v>
      </c>
      <c r="J444" s="4">
        <f>(Raw_Stock_Data!J444/Raw_Stock_Data!J443)-1</f>
        <v>-2.4846976802032072E-3</v>
      </c>
    </row>
    <row r="445" spans="1:10" x14ac:dyDescent="0.2">
      <c r="A445" s="2">
        <v>44840</v>
      </c>
      <c r="B445" s="4">
        <f>(Raw_Stock_Data!B445/Raw_Stock_Data!B444)-1</f>
        <v>-6.6049005445051323E-3</v>
      </c>
      <c r="C445" s="4">
        <f>(Raw_Stock_Data!C445/Raw_Stock_Data!C444)-1</f>
        <v>-9.6651751020507826E-3</v>
      </c>
      <c r="D445" s="4">
        <f>(Raw_Stock_Data!D445/Raw_Stock_Data!D444)-1</f>
        <v>-5.9866626250377752E-3</v>
      </c>
      <c r="E445" s="4">
        <f>(Raw_Stock_Data!E445/Raw_Stock_Data!E444)-1</f>
        <v>-1.324698263173385E-3</v>
      </c>
      <c r="F445" s="4">
        <f>(Raw_Stock_Data!F445/Raw_Stock_Data!F444)-1</f>
        <v>-5.3741215378255713E-3</v>
      </c>
      <c r="G445" s="4">
        <f>(Raw_Stock_Data!G445/Raw_Stock_Data!G444)-1</f>
        <v>-1.1129105934138961E-2</v>
      </c>
      <c r="H445" s="4">
        <f>(Raw_Stock_Data!H445/Raw_Stock_Data!H444)-1</f>
        <v>-9.8947201773058602E-5</v>
      </c>
      <c r="I445" s="4">
        <f>(Raw_Stock_Data!I445/Raw_Stock_Data!I444)-1</f>
        <v>6.4757519067493163E-4</v>
      </c>
      <c r="J445" s="4">
        <f>(Raw_Stock_Data!J445/Raw_Stock_Data!J444)-1</f>
        <v>-6.7568779689719527E-3</v>
      </c>
    </row>
    <row r="446" spans="1:10" x14ac:dyDescent="0.2">
      <c r="A446" s="2">
        <v>44841</v>
      </c>
      <c r="B446" s="4">
        <f>(Raw_Stock_Data!B446/Raw_Stock_Data!B445)-1</f>
        <v>-3.6725790551830562E-2</v>
      </c>
      <c r="C446" s="4">
        <f>(Raw_Stock_Data!C446/Raw_Stock_Data!C445)-1</f>
        <v>-5.0850187714508666E-2</v>
      </c>
      <c r="D446" s="4">
        <f>(Raw_Stock_Data!D446/Raw_Stock_Data!D445)-1</f>
        <v>-8.0269878783258419E-2</v>
      </c>
      <c r="E446" s="4">
        <f>(Raw_Stock_Data!E446/Raw_Stock_Data!E445)-1</f>
        <v>-0.13868828297715541</v>
      </c>
      <c r="F446" s="4">
        <f>(Raw_Stock_Data!F446/Raw_Stock_Data!F445)-1</f>
        <v>-4.7714048212801341E-2</v>
      </c>
      <c r="G446" s="4">
        <f>(Raw_Stock_Data!G446/Raw_Stock_Data!G445)-1</f>
        <v>-6.3242766556082852E-2</v>
      </c>
      <c r="H446" s="4">
        <f>(Raw_Stock_Data!H446/Raw_Stock_Data!H445)-1</f>
        <v>-2.7019217448097099E-2</v>
      </c>
      <c r="I446" s="4">
        <f>(Raw_Stock_Data!I446/Raw_Stock_Data!I445)-1</f>
        <v>-4.041130366002732E-2</v>
      </c>
      <c r="J446" s="4">
        <f>(Raw_Stock_Data!J446/Raw_Stock_Data!J445)-1</f>
        <v>-3.8011217964637467E-2</v>
      </c>
    </row>
    <row r="447" spans="1:10" x14ac:dyDescent="0.2">
      <c r="A447" s="2">
        <v>44844</v>
      </c>
      <c r="B447" s="4">
        <f>(Raw_Stock_Data!B447/Raw_Stock_Data!B446)-1</f>
        <v>2.3443170271448821E-3</v>
      </c>
      <c r="C447" s="4">
        <f>(Raw_Stock_Data!C447/Raw_Stock_Data!C446)-1</f>
        <v>-2.1300111831026425E-2</v>
      </c>
      <c r="D447" s="4">
        <f>(Raw_Stock_Data!D447/Raw_Stock_Data!D446)-1</f>
        <v>-3.3620410971394454E-2</v>
      </c>
      <c r="E447" s="4">
        <f>(Raw_Stock_Data!E447/Raw_Stock_Data!E446)-1</f>
        <v>-1.0780287474332573E-2</v>
      </c>
      <c r="F447" s="4">
        <f>(Raw_Stock_Data!F447/Raw_Stock_Data!F446)-1</f>
        <v>-7.7688547486033377E-3</v>
      </c>
      <c r="G447" s="4">
        <f>(Raw_Stock_Data!G447/Raw_Stock_Data!G446)-1</f>
        <v>-4.9311875196123012E-4</v>
      </c>
      <c r="H447" s="4">
        <f>(Raw_Stock_Data!H447/Raw_Stock_Data!H446)-1</f>
        <v>-8.3092970558441559E-3</v>
      </c>
      <c r="I447" s="4">
        <f>(Raw_Stock_Data!I447/Raw_Stock_Data!I446)-1</f>
        <v>2.5477707006369421E-3</v>
      </c>
      <c r="J447" s="4">
        <f>(Raw_Stock_Data!J447/Raw_Stock_Data!J446)-1</f>
        <v>-1.0354474109120826E-2</v>
      </c>
    </row>
    <row r="448" spans="1:10" x14ac:dyDescent="0.2">
      <c r="A448" s="2">
        <v>44845</v>
      </c>
      <c r="B448" s="4">
        <f>(Raw_Stock_Data!B448/Raw_Stock_Data!B447)-1</f>
        <v>-1.0260457774269982E-2</v>
      </c>
      <c r="C448" s="4">
        <f>(Raw_Stock_Data!C448/Raw_Stock_Data!C447)-1</f>
        <v>-1.6752921090540496E-2</v>
      </c>
      <c r="D448" s="4">
        <f>(Raw_Stock_Data!D448/Raw_Stock_Data!D447)-1</f>
        <v>-7.2050435304712446E-3</v>
      </c>
      <c r="E448" s="4">
        <f>(Raw_Stock_Data!E448/Raw_Stock_Data!E447)-1</f>
        <v>-3.1136481577581643E-3</v>
      </c>
      <c r="F448" s="4">
        <f>(Raw_Stock_Data!F448/Raw_Stock_Data!F447)-1</f>
        <v>-1.2844198117357375E-2</v>
      </c>
      <c r="G448" s="4">
        <f>(Raw_Stock_Data!G448/Raw_Stock_Data!G447)-1</f>
        <v>-2.8973806960889914E-2</v>
      </c>
      <c r="H448" s="4">
        <f>(Raw_Stock_Data!H448/Raw_Stock_Data!H447)-1</f>
        <v>-6.9492731774055683E-3</v>
      </c>
      <c r="I448" s="4">
        <f>(Raw_Stock_Data!I448/Raw_Stock_Data!I447)-1</f>
        <v>-3.9240600941774395E-2</v>
      </c>
      <c r="J448" s="4">
        <f>(Raw_Stock_Data!J448/Raw_Stock_Data!J447)-1</f>
        <v>-1.0994963052902151E-2</v>
      </c>
    </row>
    <row r="449" spans="1:10" x14ac:dyDescent="0.2">
      <c r="A449" s="2">
        <v>44846</v>
      </c>
      <c r="B449" s="4">
        <f>(Raw_Stock_Data!B449/Raw_Stock_Data!B448)-1</f>
        <v>-4.5944720015218543E-3</v>
      </c>
      <c r="C449" s="4">
        <f>(Raw_Stock_Data!C449/Raw_Stock_Data!C448)-1</f>
        <v>1.5103007940384661E-3</v>
      </c>
      <c r="D449" s="4">
        <f>(Raw_Stock_Data!D449/Raw_Stock_Data!D448)-1</f>
        <v>-7.4042075251631312E-3</v>
      </c>
      <c r="E449" s="4">
        <f>(Raw_Stock_Data!E449/Raw_Stock_Data!E448)-1</f>
        <v>3.8174561860142564E-3</v>
      </c>
      <c r="F449" s="4">
        <f>(Raw_Stock_Data!F449/Raw_Stock_Data!F448)-1</f>
        <v>6.1491845646557408E-3</v>
      </c>
      <c r="G449" s="4">
        <f>(Raw_Stock_Data!G449/Raw_Stock_Data!G448)-1</f>
        <v>3.4180138568129514E-3</v>
      </c>
      <c r="H449" s="4">
        <f>(Raw_Stock_Data!H449/Raw_Stock_Data!H448)-1</f>
        <v>3.911018393250032E-3</v>
      </c>
      <c r="I449" s="4">
        <f>(Raw_Stock_Data!I449/Raw_Stock_Data!I448)-1</f>
        <v>-8.0908666562936604E-3</v>
      </c>
      <c r="J449" s="4">
        <f>(Raw_Stock_Data!J449/Raw_Stock_Data!J448)-1</f>
        <v>-8.7184292632302984E-4</v>
      </c>
    </row>
    <row r="450" spans="1:10" x14ac:dyDescent="0.2">
      <c r="A450" s="2">
        <v>44847</v>
      </c>
      <c r="B450" s="4">
        <f>(Raw_Stock_Data!B450/Raw_Stock_Data!B449)-1</f>
        <v>3.3610666039483261E-2</v>
      </c>
      <c r="C450" s="4">
        <f>(Raw_Stock_Data!C450/Raw_Stock_Data!C449)-1</f>
        <v>3.7605764802557395E-2</v>
      </c>
      <c r="D450" s="4">
        <f>(Raw_Stock_Data!D450/Raw_Stock_Data!D449)-1</f>
        <v>3.998676972355697E-2</v>
      </c>
      <c r="E450" s="4">
        <f>(Raw_Stock_Data!E450/Raw_Stock_Data!E449)-1</f>
        <v>1.884183232497838E-2</v>
      </c>
      <c r="F450" s="4">
        <f>(Raw_Stock_Data!F450/Raw_Stock_Data!F449)-1</f>
        <v>-3.2772364924712472E-3</v>
      </c>
      <c r="G450" s="4">
        <f>(Raw_Stock_Data!G450/Raw_Stock_Data!G449)-1</f>
        <v>2.0622353157797813E-2</v>
      </c>
      <c r="H450" s="4">
        <f>(Raw_Stock_Data!H450/Raw_Stock_Data!H449)-1</f>
        <v>1.5374296480628713E-2</v>
      </c>
      <c r="I450" s="4">
        <f>(Raw_Stock_Data!I450/Raw_Stock_Data!I449)-1</f>
        <v>2.1882352941176464E-2</v>
      </c>
      <c r="J450" s="4">
        <f>(Raw_Stock_Data!J450/Raw_Stock_Data!J449)-1</f>
        <v>2.2275873323669648E-2</v>
      </c>
    </row>
    <row r="451" spans="1:10" x14ac:dyDescent="0.2">
      <c r="A451" s="2">
        <v>44848</v>
      </c>
      <c r="B451" s="4">
        <f>(Raw_Stock_Data!B451/Raw_Stock_Data!B450)-1</f>
        <v>-3.2240402187284412E-2</v>
      </c>
      <c r="C451" s="4">
        <f>(Raw_Stock_Data!C451/Raw_Stock_Data!C450)-1</f>
        <v>-2.4250362254200186E-2</v>
      </c>
      <c r="D451" s="4">
        <f>(Raw_Stock_Data!D451/Raw_Stock_Data!D450)-1</f>
        <v>-6.1289566629283088E-2</v>
      </c>
      <c r="E451" s="4">
        <f>(Raw_Stock_Data!E451/Raw_Stock_Data!E450)-1</f>
        <v>-5.08992195453003E-2</v>
      </c>
      <c r="F451" s="4">
        <f>(Raw_Stock_Data!F451/Raw_Stock_Data!F450)-1</f>
        <v>-5.0031102817026496E-2</v>
      </c>
      <c r="G451" s="4">
        <f>(Raw_Stock_Data!G451/Raw_Stock_Data!G450)-1</f>
        <v>-7.5455529496662455E-2</v>
      </c>
      <c r="H451" s="4">
        <f>(Raw_Stock_Data!H451/Raw_Stock_Data!H450)-1</f>
        <v>-2.5237532699372456E-2</v>
      </c>
      <c r="I451" s="4">
        <f>(Raw_Stock_Data!I451/Raw_Stock_Data!I450)-1</f>
        <v>-2.7093407015119975E-2</v>
      </c>
      <c r="J451" s="4">
        <f>(Raw_Stock_Data!J451/Raw_Stock_Data!J450)-1</f>
        <v>-3.0778043318011372E-2</v>
      </c>
    </row>
    <row r="452" spans="1:10" x14ac:dyDescent="0.2">
      <c r="A452" s="2">
        <v>44851</v>
      </c>
      <c r="B452" s="4">
        <f>(Raw_Stock_Data!B452/Raw_Stock_Data!B451)-1</f>
        <v>2.9126284929131385E-2</v>
      </c>
      <c r="C452" s="4">
        <f>(Raw_Stock_Data!C452/Raw_Stock_Data!C451)-1</f>
        <v>3.9244017517102492E-2</v>
      </c>
      <c r="D452" s="4">
        <f>(Raw_Stock_Data!D452/Raw_Stock_Data!D451)-1</f>
        <v>5.8889612068581343E-2</v>
      </c>
      <c r="E452" s="4">
        <f>(Raw_Stock_Data!E452/Raw_Stock_Data!E451)-1</f>
        <v>3.6110117983553902E-2</v>
      </c>
      <c r="F452" s="4">
        <f>(Raw_Stock_Data!F452/Raw_Stock_Data!F451)-1</f>
        <v>6.4452759588400355E-2</v>
      </c>
      <c r="G452" s="4">
        <f>(Raw_Stock_Data!G452/Raw_Stock_Data!G451)-1</f>
        <v>7.0052197668178939E-2</v>
      </c>
      <c r="H452" s="4">
        <f>(Raw_Stock_Data!H452/Raw_Stock_Data!H451)-1</f>
        <v>3.5315015299673957E-2</v>
      </c>
      <c r="I452" s="4">
        <f>(Raw_Stock_Data!I452/Raw_Stock_Data!I451)-1</f>
        <v>5.7431366361628156E-2</v>
      </c>
      <c r="J452" s="4">
        <f>(Raw_Stock_Data!J452/Raw_Stock_Data!J451)-1</f>
        <v>3.4337429357867544E-2</v>
      </c>
    </row>
    <row r="453" spans="1:10" x14ac:dyDescent="0.2">
      <c r="A453" s="2">
        <v>44852</v>
      </c>
      <c r="B453" s="4">
        <f>(Raw_Stock_Data!B453/Raw_Stock_Data!B452)-1</f>
        <v>9.4030458157514651E-3</v>
      </c>
      <c r="C453" s="4">
        <f>(Raw_Stock_Data!C453/Raw_Stock_Data!C452)-1</f>
        <v>4.0894618045126396E-3</v>
      </c>
      <c r="D453" s="4">
        <f>(Raw_Stock_Data!D453/Raw_Stock_Data!D452)-1</f>
        <v>6.6350072412515448E-3</v>
      </c>
      <c r="E453" s="4">
        <f>(Raw_Stock_Data!E453/Raw_Stock_Data!E452)-1</f>
        <v>-6.9013112491367323E-4</v>
      </c>
      <c r="F453" s="4">
        <f>(Raw_Stock_Data!F453/Raw_Stock_Data!F452)-1</f>
        <v>2.2585464452060666E-2</v>
      </c>
      <c r="G453" s="4">
        <f>(Raw_Stock_Data!G453/Raw_Stock_Data!G452)-1</f>
        <v>3.8294962388876197E-3</v>
      </c>
      <c r="H453" s="4">
        <f>(Raw_Stock_Data!H453/Raw_Stock_Data!H452)-1</f>
        <v>8.0022969835025215E-3</v>
      </c>
      <c r="I453" s="4">
        <f>(Raw_Stock_Data!I453/Raw_Stock_Data!I452)-1</f>
        <v>-9.2509698597431633E-3</v>
      </c>
      <c r="J453" s="4">
        <f>(Raw_Stock_Data!J453/Raw_Stock_Data!J452)-1</f>
        <v>9.0485022199742193E-3</v>
      </c>
    </row>
    <row r="454" spans="1:10" x14ac:dyDescent="0.2">
      <c r="A454" s="2">
        <v>44853</v>
      </c>
      <c r="B454" s="4">
        <f>(Raw_Stock_Data!B454/Raw_Stock_Data!B453)-1</f>
        <v>7.7805599173852436E-4</v>
      </c>
      <c r="C454" s="4">
        <f>(Raw_Stock_Data!C454/Raw_Stock_Data!C453)-1</f>
        <v>-8.470411255133814E-3</v>
      </c>
      <c r="D454" s="4">
        <f>(Raw_Stock_Data!D454/Raw_Stock_Data!D453)-1</f>
        <v>7.0262312633833091E-3</v>
      </c>
      <c r="E454" s="4">
        <f>(Raw_Stock_Data!E454/Raw_Stock_Data!E453)-1</f>
        <v>-1.191298342541447E-2</v>
      </c>
      <c r="F454" s="4">
        <f>(Raw_Stock_Data!F454/Raw_Stock_Data!F453)-1</f>
        <v>-1.1086283946373343E-2</v>
      </c>
      <c r="G454" s="4">
        <f>(Raw_Stock_Data!G454/Raw_Stock_Data!G453)-1</f>
        <v>8.401834779054429E-3</v>
      </c>
      <c r="H454" s="4">
        <f>(Raw_Stock_Data!H454/Raw_Stock_Data!H453)-1</f>
        <v>-1.1313068940103199E-2</v>
      </c>
      <c r="I454" s="4">
        <f>(Raw_Stock_Data!I454/Raw_Stock_Data!I453)-1</f>
        <v>3.237951807228745E-3</v>
      </c>
      <c r="J454" s="4">
        <f>(Raw_Stock_Data!J454/Raw_Stock_Data!J453)-1</f>
        <v>-8.5301325609891121E-3</v>
      </c>
    </row>
    <row r="455" spans="1:10" x14ac:dyDescent="0.2">
      <c r="A455" s="2">
        <v>44854</v>
      </c>
      <c r="B455" s="4">
        <f>(Raw_Stock_Data!B455/Raw_Stock_Data!B454)-1</f>
        <v>-3.2652945832861713E-3</v>
      </c>
      <c r="C455" s="4">
        <f>(Raw_Stock_Data!C455/Raw_Stock_Data!C454)-1</f>
        <v>-1.3964975496639775E-3</v>
      </c>
      <c r="D455" s="4">
        <f>(Raw_Stock_Data!D455/Raw_Stock_Data!D454)-1</f>
        <v>1.1861253239418001E-2</v>
      </c>
      <c r="E455" s="4">
        <f>(Raw_Stock_Data!E455/Raw_Stock_Data!E454)-1</f>
        <v>9.4356106936921424E-3</v>
      </c>
      <c r="F455" s="4">
        <f>(Raw_Stock_Data!F455/Raw_Stock_Data!F454)-1</f>
        <v>1.5642652298601956E-3</v>
      </c>
      <c r="G455" s="4">
        <f>(Raw_Stock_Data!G455/Raw_Stock_Data!G454)-1</f>
        <v>-6.6474509097459888E-2</v>
      </c>
      <c r="H455" s="4">
        <f>(Raw_Stock_Data!H455/Raw_Stock_Data!H454)-1</f>
        <v>3.412910836193328E-3</v>
      </c>
      <c r="I455" s="4">
        <f>(Raw_Stock_Data!I455/Raw_Stock_Data!I454)-1</f>
        <v>-1.2759888913908224E-2</v>
      </c>
      <c r="J455" s="4">
        <f>(Raw_Stock_Data!J455/Raw_Stock_Data!J454)-1</f>
        <v>-6.1485827923947189E-3</v>
      </c>
    </row>
    <row r="456" spans="1:10" x14ac:dyDescent="0.2">
      <c r="A456" s="2">
        <v>44855</v>
      </c>
      <c r="B456" s="4">
        <f>(Raw_Stock_Data!B456/Raw_Stock_Data!B455)-1</f>
        <v>2.7044658431778501E-2</v>
      </c>
      <c r="C456" s="4">
        <f>(Raw_Stock_Data!C456/Raw_Stock_Data!C455)-1</f>
        <v>2.5280013811856517E-2</v>
      </c>
      <c r="D456" s="4">
        <f>(Raw_Stock_Data!D456/Raw_Stock_Data!D455)-1</f>
        <v>2.2303398456739343E-2</v>
      </c>
      <c r="E456" s="4">
        <f>(Raw_Stock_Data!E456/Raw_Stock_Data!E455)-1</f>
        <v>1.8175523628180645E-2</v>
      </c>
      <c r="F456" s="4">
        <f>(Raw_Stock_Data!F456/Raw_Stock_Data!F455)-1</f>
        <v>3.5314533622559541E-2</v>
      </c>
      <c r="G456" s="4">
        <f>(Raw_Stock_Data!G456/Raw_Stock_Data!G455)-1</f>
        <v>3.4542647626399026E-2</v>
      </c>
      <c r="H456" s="4">
        <f>(Raw_Stock_Data!H456/Raw_Stock_Data!H455)-1</f>
        <v>1.1606392601464233E-2</v>
      </c>
      <c r="I456" s="4">
        <f>(Raw_Stock_Data!I456/Raw_Stock_Data!I455)-1</f>
        <v>-1.1556298943206977E-2</v>
      </c>
      <c r="J456" s="4">
        <f>(Raw_Stock_Data!J456/Raw_Stock_Data!J455)-1</f>
        <v>2.3069589367338494E-2</v>
      </c>
    </row>
    <row r="457" spans="1:10" x14ac:dyDescent="0.2">
      <c r="A457" s="2">
        <v>44858</v>
      </c>
      <c r="B457" s="4">
        <f>(Raw_Stock_Data!B457/Raw_Stock_Data!B456)-1</f>
        <v>1.4816349074841195E-2</v>
      </c>
      <c r="C457" s="4">
        <f>(Raw_Stock_Data!C457/Raw_Stock_Data!C456)-1</f>
        <v>2.1187832046543287E-2</v>
      </c>
      <c r="D457" s="4">
        <f>(Raw_Stock_Data!D457/Raw_Stock_Data!D456)-1</f>
        <v>1.0679557079422253E-2</v>
      </c>
      <c r="E457" s="4">
        <f>(Raw_Stock_Data!E457/Raw_Stock_Data!E456)-1</f>
        <v>-2.0401224073444135E-3</v>
      </c>
      <c r="F457" s="4">
        <f>(Raw_Stock_Data!F457/Raw_Stock_Data!F456)-1</f>
        <v>4.1904123365739121E-3</v>
      </c>
      <c r="G457" s="4">
        <f>(Raw_Stock_Data!G457/Raw_Stock_Data!G456)-1</f>
        <v>-1.4875955978362221E-2</v>
      </c>
      <c r="H457" s="4">
        <f>(Raw_Stock_Data!H457/Raw_Stock_Data!H456)-1</f>
        <v>1.3734927802312225E-2</v>
      </c>
      <c r="I457" s="4">
        <f>(Raw_Stock_Data!I457/Raw_Stock_Data!I456)-1</f>
        <v>-2.2305976463348198E-3</v>
      </c>
      <c r="J457" s="4">
        <f>(Raw_Stock_Data!J457/Raw_Stock_Data!J456)-1</f>
        <v>8.5536275336750567E-3</v>
      </c>
    </row>
    <row r="458" spans="1:10" x14ac:dyDescent="0.2">
      <c r="A458" s="2">
        <v>44859</v>
      </c>
      <c r="B458" s="4">
        <f>(Raw_Stock_Data!B458/Raw_Stock_Data!B457)-1</f>
        <v>1.9328371409522038E-2</v>
      </c>
      <c r="C458" s="4">
        <f>(Raw_Stock_Data!C458/Raw_Stock_Data!C457)-1</f>
        <v>1.3793672060187667E-2</v>
      </c>
      <c r="D458" s="4">
        <f>(Raw_Stock_Data!D458/Raw_Stock_Data!D457)-1</f>
        <v>5.2531640541206182E-2</v>
      </c>
      <c r="E458" s="4">
        <f>(Raw_Stock_Data!E458/Raw_Stock_Data!E457)-1</f>
        <v>4.7189097103918165E-2</v>
      </c>
      <c r="F458" s="4">
        <f>(Raw_Stock_Data!F458/Raw_Stock_Data!F457)-1</f>
        <v>6.5097646469705062E-3</v>
      </c>
      <c r="G458" s="4">
        <f>(Raw_Stock_Data!G458/Raw_Stock_Data!G457)-1</f>
        <v>5.2852071005917045E-2</v>
      </c>
      <c r="H458" s="4">
        <f>(Raw_Stock_Data!H458/Raw_Stock_Data!H457)-1</f>
        <v>1.9128919519525445E-2</v>
      </c>
      <c r="I458" s="4">
        <f>(Raw_Stock_Data!I458/Raw_Stock_Data!I457)-1</f>
        <v>6.0052420598211365E-2</v>
      </c>
      <c r="J458" s="4">
        <f>(Raw_Stock_Data!J458/Raw_Stock_Data!J457)-1</f>
        <v>2.2506964093490067E-2</v>
      </c>
    </row>
    <row r="459" spans="1:10" x14ac:dyDescent="0.2">
      <c r="A459" s="2">
        <v>44860</v>
      </c>
      <c r="B459" s="4">
        <f>(Raw_Stock_Data!B459/Raw_Stock_Data!B458)-1</f>
        <v>-1.961595707048791E-2</v>
      </c>
      <c r="C459" s="4">
        <f>(Raw_Stock_Data!C459/Raw_Stock_Data!C458)-1</f>
        <v>-7.7158925020636704E-2</v>
      </c>
      <c r="D459" s="4">
        <f>(Raw_Stock_Data!D459/Raw_Stock_Data!D458)-1</f>
        <v>-2.7521343005306509E-2</v>
      </c>
      <c r="E459" s="4">
        <f>(Raw_Stock_Data!E459/Raw_Stock_Data!E458)-1</f>
        <v>-2.8306490971205522E-2</v>
      </c>
      <c r="F459" s="4">
        <f>(Raw_Stock_Data!F459/Raw_Stock_Data!F458)-1</f>
        <v>-4.0961857379767763E-2</v>
      </c>
      <c r="G459" s="4">
        <f>(Raw_Stock_Data!G459/Raw_Stock_Data!G458)-1</f>
        <v>1.0003821684688496E-2</v>
      </c>
      <c r="H459" s="4">
        <f>(Raw_Stock_Data!H459/Raw_Stock_Data!H458)-1</f>
        <v>-9.1408508880627681E-2</v>
      </c>
      <c r="I459" s="4">
        <f>(Raw_Stock_Data!I459/Raw_Stock_Data!I458)-1</f>
        <v>-5.5923205585048374E-2</v>
      </c>
      <c r="J459" s="4">
        <f>(Raw_Stock_Data!J459/Raw_Stock_Data!J458)-1</f>
        <v>-2.0370350527541548E-2</v>
      </c>
    </row>
    <row r="460" spans="1:10" x14ac:dyDescent="0.2">
      <c r="A460" s="2">
        <v>44861</v>
      </c>
      <c r="B460" s="4">
        <f>(Raw_Stock_Data!B460/Raw_Stock_Data!B459)-1</f>
        <v>-3.0458580687326542E-2</v>
      </c>
      <c r="C460" s="4">
        <f>(Raw_Stock_Data!C460/Raw_Stock_Data!C459)-1</f>
        <v>-1.9758004106703808E-2</v>
      </c>
      <c r="D460" s="4">
        <f>(Raw_Stock_Data!D460/Raw_Stock_Data!D459)-1</f>
        <v>2.1710276093857894E-2</v>
      </c>
      <c r="E460" s="4">
        <f>(Raw_Stock_Data!E460/Raw_Stock_Data!E459)-1</f>
        <v>-1.8918466432278458E-2</v>
      </c>
      <c r="F460" s="4">
        <f>(Raw_Stock_Data!F460/Raw_Stock_Data!F459)-1</f>
        <v>-4.0636347916306437E-2</v>
      </c>
      <c r="G460" s="4">
        <f>(Raw_Stock_Data!G460/Raw_Stock_Data!G459)-1</f>
        <v>2.0032051282052876E-3</v>
      </c>
      <c r="H460" s="4">
        <f>(Raw_Stock_Data!H460/Raw_Stock_Data!H459)-1</f>
        <v>-2.8547233185075016E-2</v>
      </c>
      <c r="I460" s="4">
        <f>(Raw_Stock_Data!I460/Raw_Stock_Data!I459)-1</f>
        <v>-0.24557079032506546</v>
      </c>
      <c r="J460" s="4">
        <f>(Raw_Stock_Data!J460/Raw_Stock_Data!J459)-1</f>
        <v>-1.6253774727713721E-2</v>
      </c>
    </row>
    <row r="461" spans="1:10" x14ac:dyDescent="0.2">
      <c r="A461" s="2">
        <v>44862</v>
      </c>
      <c r="B461" s="4">
        <f>(Raw_Stock_Data!B461/Raw_Stock_Data!B460)-1</f>
        <v>7.5547347873102577E-2</v>
      </c>
      <c r="C461" s="4">
        <f>(Raw_Stock_Data!C461/Raw_Stock_Data!C460)-1</f>
        <v>4.0218104665066479E-2</v>
      </c>
      <c r="D461" s="4">
        <f>(Raw_Stock_Data!D461/Raw_Stock_Data!D460)-1</f>
        <v>4.9958216212109718E-2</v>
      </c>
      <c r="E461" s="4">
        <f>(Raw_Stock_Data!E461/Raw_Stock_Data!E460)-1</f>
        <v>5.8191126279863337E-2</v>
      </c>
      <c r="F461" s="4">
        <f>(Raw_Stock_Data!F461/Raw_Stock_Data!F460)-1</f>
        <v>-6.8042537851477958E-2</v>
      </c>
      <c r="G461" s="4">
        <f>(Raw_Stock_Data!G461/Raw_Stock_Data!G460)-1</f>
        <v>1.5238349104802484E-2</v>
      </c>
      <c r="H461" s="4">
        <f>(Raw_Stock_Data!H461/Raw_Stock_Data!H460)-1</f>
        <v>4.413251508103988E-2</v>
      </c>
      <c r="I461" s="4">
        <f>(Raw_Stock_Data!I461/Raw_Stock_Data!I460)-1</f>
        <v>1.2865019399632471E-2</v>
      </c>
      <c r="J461" s="4">
        <f>(Raw_Stock_Data!J461/Raw_Stock_Data!J460)-1</f>
        <v>2.8702814039528679E-2</v>
      </c>
    </row>
    <row r="462" spans="1:10" x14ac:dyDescent="0.2">
      <c r="A462" s="2">
        <v>44865</v>
      </c>
      <c r="B462" s="4">
        <f>(Raw_Stock_Data!B462/Raw_Stock_Data!B461)-1</f>
        <v>-1.5420472276445607E-2</v>
      </c>
      <c r="C462" s="4">
        <f>(Raw_Stock_Data!C462/Raw_Stock_Data!C461)-1</f>
        <v>-1.5855044531543627E-2</v>
      </c>
      <c r="D462" s="4">
        <f>(Raw_Stock_Data!D462/Raw_Stock_Data!D461)-1</f>
        <v>-2.4376655137982484E-2</v>
      </c>
      <c r="E462" s="4">
        <f>(Raw_Stock_Data!E462/Raw_Stock_Data!E461)-1</f>
        <v>-3.1446540880503027E-2</v>
      </c>
      <c r="F462" s="4">
        <f>(Raw_Stock_Data!F462/Raw_Stock_Data!F461)-1</f>
        <v>-9.3801373174741132E-3</v>
      </c>
      <c r="G462" s="4">
        <f>(Raw_Stock_Data!G462/Raw_Stock_Data!G461)-1</f>
        <v>-4.2884649046036616E-3</v>
      </c>
      <c r="H462" s="4">
        <f>(Raw_Stock_Data!H462/Raw_Stock_Data!H461)-1</f>
        <v>-1.8484064868290351E-2</v>
      </c>
      <c r="I462" s="4">
        <f>(Raw_Stock_Data!I462/Raw_Stock_Data!I461)-1</f>
        <v>-6.0887096774193572E-2</v>
      </c>
      <c r="J462" s="4">
        <f>(Raw_Stock_Data!J462/Raw_Stock_Data!J461)-1</f>
        <v>-1.0295024971965772E-2</v>
      </c>
    </row>
    <row r="463" spans="1:10" x14ac:dyDescent="0.2">
      <c r="A463" s="2">
        <v>44866</v>
      </c>
      <c r="B463" s="4">
        <f>(Raw_Stock_Data!B463/Raw_Stock_Data!B462)-1</f>
        <v>-1.7531877648182204E-2</v>
      </c>
      <c r="C463" s="4">
        <f>(Raw_Stock_Data!C463/Raw_Stock_Data!C462)-1</f>
        <v>-1.7050144902081343E-2</v>
      </c>
      <c r="D463" s="4">
        <f>(Raw_Stock_Data!D463/Raw_Stock_Data!D462)-1</f>
        <v>3.4115265097858227E-3</v>
      </c>
      <c r="E463" s="4">
        <f>(Raw_Stock_Data!E463/Raw_Stock_Data!E462)-1</f>
        <v>-6.6600066600067676E-3</v>
      </c>
      <c r="F463" s="4">
        <f>(Raw_Stock_Data!F463/Raw_Stock_Data!F462)-1</f>
        <v>-5.5154236626317799E-2</v>
      </c>
      <c r="G463" s="4">
        <f>(Raw_Stock_Data!G463/Raw_Stock_Data!G462)-1</f>
        <v>1.2305528698250967E-3</v>
      </c>
      <c r="H463" s="4">
        <f>(Raw_Stock_Data!H463/Raw_Stock_Data!H462)-1</f>
        <v>-4.274774951762117E-2</v>
      </c>
      <c r="I463" s="4">
        <f>(Raw_Stock_Data!I463/Raw_Stock_Data!I462)-1</f>
        <v>2.1897810218978186E-2</v>
      </c>
      <c r="J463" s="4">
        <f>(Raw_Stock_Data!J463/Raw_Stock_Data!J462)-1</f>
        <v>-8.8549937887633101E-3</v>
      </c>
    </row>
    <row r="464" spans="1:10" x14ac:dyDescent="0.2">
      <c r="A464" s="2">
        <v>44867</v>
      </c>
      <c r="B464" s="4">
        <f>(Raw_Stock_Data!B464/Raw_Stock_Data!B463)-1</f>
        <v>-3.7316001538804211E-2</v>
      </c>
      <c r="C464" s="4">
        <f>(Raw_Stock_Data!C464/Raw_Stock_Data!C463)-1</f>
        <v>-3.5384196160942016E-2</v>
      </c>
      <c r="D464" s="4">
        <f>(Raw_Stock_Data!D464/Raw_Stock_Data!D463)-1</f>
        <v>-2.3925142464356286E-2</v>
      </c>
      <c r="E464" s="4">
        <f>(Raw_Stock_Data!E464/Raw_Stock_Data!E463)-1</f>
        <v>-1.726449882668446E-2</v>
      </c>
      <c r="F464" s="4">
        <f>(Raw_Stock_Data!F464/Raw_Stock_Data!F463)-1</f>
        <v>-4.8248786031614865E-2</v>
      </c>
      <c r="G464" s="4">
        <f>(Raw_Stock_Data!G464/Raw_Stock_Data!G463)-1</f>
        <v>-5.6360284435080343E-2</v>
      </c>
      <c r="H464" s="4">
        <f>(Raw_Stock_Data!H464/Raw_Stock_Data!H463)-1</f>
        <v>-3.8686223697405819E-2</v>
      </c>
      <c r="I464" s="4">
        <f>(Raw_Stock_Data!I464/Raw_Stock_Data!I463)-1</f>
        <v>-4.894957983193271E-2</v>
      </c>
      <c r="J464" s="4">
        <f>(Raw_Stock_Data!J464/Raw_Stock_Data!J463)-1</f>
        <v>-3.3610783364016683E-2</v>
      </c>
    </row>
    <row r="465" spans="1:10" x14ac:dyDescent="0.2">
      <c r="A465" s="2">
        <v>44868</v>
      </c>
      <c r="B465" s="4">
        <f>(Raw_Stock_Data!B465/Raw_Stock_Data!B464)-1</f>
        <v>-4.2401043200269273E-2</v>
      </c>
      <c r="C465" s="4">
        <f>(Raw_Stock_Data!C465/Raw_Stock_Data!C464)-1</f>
        <v>-2.6577319205690619E-2</v>
      </c>
      <c r="D465" s="4">
        <f>(Raw_Stock_Data!D465/Raw_Stock_Data!D464)-1</f>
        <v>1.5288505224897886E-2</v>
      </c>
      <c r="E465" s="4">
        <f>(Raw_Stock_Data!E465/Raw_Stock_Data!E464)-1</f>
        <v>2.524304963329338E-2</v>
      </c>
      <c r="F465" s="4">
        <f>(Raw_Stock_Data!F465/Raw_Stock_Data!F464)-1</f>
        <v>-3.0612244897959218E-2</v>
      </c>
      <c r="G465" s="4">
        <f>(Raw_Stock_Data!G465/Raw_Stock_Data!G464)-1</f>
        <v>1.5350265140943176E-3</v>
      </c>
      <c r="H465" s="4">
        <f>(Raw_Stock_Data!H465/Raw_Stock_Data!H464)-1</f>
        <v>-4.0703518167834019E-2</v>
      </c>
      <c r="I465" s="4">
        <f>(Raw_Stock_Data!I465/Raw_Stock_Data!I464)-1</f>
        <v>-1.800309255577659E-2</v>
      </c>
      <c r="J465" s="4">
        <f>(Raw_Stock_Data!J465/Raw_Stock_Data!J464)-1</f>
        <v>-1.7279188203101148E-2</v>
      </c>
    </row>
    <row r="466" spans="1:10" x14ac:dyDescent="0.2">
      <c r="A466" s="2">
        <v>44869</v>
      </c>
      <c r="B466" s="4">
        <f>(Raw_Stock_Data!B466/Raw_Stock_Data!B465)-1</f>
        <v>-1.9474339263488849E-3</v>
      </c>
      <c r="C466" s="4">
        <f>(Raw_Stock_Data!C466/Raw_Stock_Data!C465)-1</f>
        <v>3.333539489145898E-2</v>
      </c>
      <c r="D466" s="4">
        <f>(Raw_Stock_Data!D466/Raw_Stock_Data!D465)-1</f>
        <v>5.4751303336092905E-2</v>
      </c>
      <c r="E466" s="4">
        <f>(Raw_Stock_Data!E466/Raw_Stock_Data!E465)-1</f>
        <v>3.4603227416403204E-2</v>
      </c>
      <c r="F466" s="4">
        <f>(Raw_Stock_Data!F466/Raw_Stock_Data!F465)-1</f>
        <v>1.8812989921612511E-2</v>
      </c>
      <c r="G466" s="4">
        <f>(Raw_Stock_Data!G466/Raw_Stock_Data!G465)-1</f>
        <v>-3.6412614369978225E-2</v>
      </c>
      <c r="H466" s="4">
        <f>(Raw_Stock_Data!H466/Raw_Stock_Data!H465)-1</f>
        <v>3.7754710467022834E-2</v>
      </c>
      <c r="I466" s="4">
        <f>(Raw_Stock_Data!I466/Raw_Stock_Data!I465)-1</f>
        <v>2.1144978067709097E-2</v>
      </c>
      <c r="J466" s="4">
        <f>(Raw_Stock_Data!J466/Raw_Stock_Data!J465)-1</f>
        <v>1.2792300835158921E-2</v>
      </c>
    </row>
    <row r="467" spans="1:10" x14ac:dyDescent="0.2">
      <c r="A467" s="2">
        <v>44872</v>
      </c>
      <c r="B467" s="4">
        <f>(Raw_Stock_Data!B467/Raw_Stock_Data!B466)-1</f>
        <v>3.8951321850881904E-3</v>
      </c>
      <c r="C467" s="4">
        <f>(Raw_Stock_Data!C467/Raw_Stock_Data!C466)-1</f>
        <v>2.9267416806320279E-2</v>
      </c>
      <c r="D467" s="4">
        <f>(Raw_Stock_Data!D467/Raw_Stock_Data!D466)-1</f>
        <v>1.0239004384104078E-2</v>
      </c>
      <c r="E467" s="4">
        <f>(Raw_Stock_Data!E467/Raw_Stock_Data!E466)-1</f>
        <v>1.4310982473066503E-2</v>
      </c>
      <c r="F467" s="4">
        <f>(Raw_Stock_Data!F467/Raw_Stock_Data!F466)-1</f>
        <v>-4.9461420092328234E-3</v>
      </c>
      <c r="G467" s="4">
        <f>(Raw_Stock_Data!G467/Raw_Stock_Data!G466)-1</f>
        <v>-5.0079529570540293E-2</v>
      </c>
      <c r="H467" s="4">
        <f>(Raw_Stock_Data!H467/Raw_Stock_Data!H466)-1</f>
        <v>2.2062846597548091E-2</v>
      </c>
      <c r="I467" s="4">
        <f>(Raw_Stock_Data!I467/Raw_Stock_Data!I466)-1</f>
        <v>6.5315563388038234E-2</v>
      </c>
      <c r="J467" s="4">
        <f>(Raw_Stock_Data!J467/Raw_Stock_Data!J466)-1</f>
        <v>8.5219923152193289E-3</v>
      </c>
    </row>
    <row r="468" spans="1:10" x14ac:dyDescent="0.2">
      <c r="A468" s="2">
        <v>44873</v>
      </c>
      <c r="B468" s="4">
        <f>(Raw_Stock_Data!B468/Raw_Stock_Data!B467)-1</f>
        <v>4.1649921449711247E-3</v>
      </c>
      <c r="C468" s="4">
        <f>(Raw_Stock_Data!C468/Raw_Stock_Data!C467)-1</f>
        <v>4.3835910556850877E-3</v>
      </c>
      <c r="D468" s="4">
        <f>(Raw_Stock_Data!D468/Raw_Stock_Data!D467)-1</f>
        <v>2.1061399333650588E-2</v>
      </c>
      <c r="E468" s="4">
        <f>(Raw_Stock_Data!E468/Raw_Stock_Data!E467)-1</f>
        <v>1.220672162333547E-2</v>
      </c>
      <c r="F468" s="4">
        <f>(Raw_Stock_Data!F468/Raw_Stock_Data!F467)-1</f>
        <v>-6.0753341433779084E-3</v>
      </c>
      <c r="G468" s="4">
        <f>(Raw_Stock_Data!G468/Raw_Stock_Data!G467)-1</f>
        <v>-2.9328191597320918E-2</v>
      </c>
      <c r="H468" s="4">
        <f>(Raw_Stock_Data!H468/Raw_Stock_Data!H467)-1</f>
        <v>4.6319347173942038E-3</v>
      </c>
      <c r="I468" s="4">
        <f>(Raw_Stock_Data!I468/Raw_Stock_Data!I467)-1</f>
        <v>-2.5847808105872172E-3</v>
      </c>
      <c r="J468" s="4">
        <f>(Raw_Stock_Data!J468/Raw_Stock_Data!J467)-1</f>
        <v>4.8918455358124557E-3</v>
      </c>
    </row>
    <row r="469" spans="1:10" x14ac:dyDescent="0.2">
      <c r="A469" s="2">
        <v>44874</v>
      </c>
      <c r="B469" s="4">
        <f>(Raw_Stock_Data!B469/Raw_Stock_Data!B468)-1</f>
        <v>-3.3189012188466482E-2</v>
      </c>
      <c r="C469" s="4">
        <f>(Raw_Stock_Data!C469/Raw_Stock_Data!C468)-1</f>
        <v>-1.9047746291323109E-2</v>
      </c>
      <c r="D469" s="4">
        <f>(Raw_Stock_Data!D469/Raw_Stock_Data!D468)-1</f>
        <v>-5.6554494539920563E-2</v>
      </c>
      <c r="E469" s="4">
        <f>(Raw_Stock_Data!E469/Raw_Stock_Data!E468)-1</f>
        <v>-6.1550509005481646E-2</v>
      </c>
      <c r="F469" s="4">
        <f>(Raw_Stock_Data!F469/Raw_Stock_Data!F468)-1</f>
        <v>-4.2676150255612444E-2</v>
      </c>
      <c r="G469" s="4">
        <f>(Raw_Stock_Data!G469/Raw_Stock_Data!G468)-1</f>
        <v>-7.1667537898588596E-2</v>
      </c>
      <c r="H469" s="4">
        <f>(Raw_Stock_Data!H469/Raw_Stock_Data!H468)-1</f>
        <v>-1.777285561234121E-2</v>
      </c>
      <c r="I469" s="4">
        <f>(Raw_Stock_Data!I469/Raw_Stock_Data!I468)-1</f>
        <v>5.1829584326733791E-2</v>
      </c>
      <c r="J469" s="4">
        <f>(Raw_Stock_Data!J469/Raw_Stock_Data!J468)-1</f>
        <v>-2.4776285299824896E-2</v>
      </c>
    </row>
    <row r="470" spans="1:10" x14ac:dyDescent="0.2">
      <c r="A470" s="2">
        <v>44875</v>
      </c>
      <c r="B470" s="4">
        <f>(Raw_Stock_Data!B470/Raw_Stock_Data!B469)-1</f>
        <v>8.8993256262042353E-2</v>
      </c>
      <c r="C470" s="4">
        <f>(Raw_Stock_Data!C470/Raw_Stock_Data!C469)-1</f>
        <v>8.226945846802014E-2</v>
      </c>
      <c r="D470" s="4">
        <f>(Raw_Stock_Data!D470/Raw_Stock_Data!D469)-1</f>
        <v>0.14327857179187231</v>
      </c>
      <c r="E470" s="4">
        <f>(Raw_Stock_Data!E470/Raw_Stock_Data!E469)-1</f>
        <v>0.14269025367156196</v>
      </c>
      <c r="F470" s="4">
        <f>(Raw_Stock_Data!F470/Raw_Stock_Data!F469)-1</f>
        <v>0.12177850011609004</v>
      </c>
      <c r="G470" s="4">
        <f>(Raw_Stock_Data!G470/Raw_Stock_Data!G469)-1</f>
        <v>7.3934343149952175E-2</v>
      </c>
      <c r="H470" s="4">
        <f>(Raw_Stock_Data!H470/Raw_Stock_Data!H469)-1</f>
        <v>7.5813232863549906E-2</v>
      </c>
      <c r="I470" s="4">
        <f>(Raw_Stock_Data!I470/Raw_Stock_Data!I469)-1</f>
        <v>0.10249334778752339</v>
      </c>
      <c r="J470" s="4">
        <f>(Raw_Stock_Data!J470/Raw_Stock_Data!J469)-1</f>
        <v>7.3502125435977561E-2</v>
      </c>
    </row>
    <row r="471" spans="1:10" x14ac:dyDescent="0.2">
      <c r="A471" s="2">
        <v>44876</v>
      </c>
      <c r="B471" s="4">
        <f>(Raw_Stock_Data!B471/Raw_Stock_Data!B470)-1</f>
        <v>1.9262136459139656E-2</v>
      </c>
      <c r="C471" s="4">
        <f>(Raw_Stock_Data!C471/Raw_Stock_Data!C470)-1</f>
        <v>1.6997713782326951E-2</v>
      </c>
      <c r="D471" s="4">
        <f>(Raw_Stock_Data!D471/Raw_Stock_Data!D470)-1</f>
        <v>3.6632643982052349E-2</v>
      </c>
      <c r="E471" s="4">
        <f>(Raw_Stock_Data!E471/Raw_Stock_Data!E470)-1</f>
        <v>5.6959252227252843E-2</v>
      </c>
      <c r="F471" s="4">
        <f>(Raw_Stock_Data!F471/Raw_Stock_Data!F470)-1</f>
        <v>4.3050812377108727E-2</v>
      </c>
      <c r="G471" s="4">
        <f>(Raw_Stock_Data!G471/Raw_Stock_Data!G470)-1</f>
        <v>2.752726510067105E-2</v>
      </c>
      <c r="H471" s="4">
        <f>(Raw_Stock_Data!H471/Raw_Stock_Data!H470)-1</f>
        <v>2.6293606778581724E-2</v>
      </c>
      <c r="I471" s="4">
        <f>(Raw_Stock_Data!I471/Raw_Stock_Data!I470)-1</f>
        <v>1.0279789040850806E-2</v>
      </c>
      <c r="J471" s="4">
        <f>(Raw_Stock_Data!J471/Raw_Stock_Data!J470)-1</f>
        <v>1.8821052442157038E-2</v>
      </c>
    </row>
    <row r="472" spans="1:10" x14ac:dyDescent="0.2">
      <c r="A472" s="2">
        <v>44879</v>
      </c>
      <c r="B472" s="4">
        <f>(Raw_Stock_Data!B472/Raw_Stock_Data!B471)-1</f>
        <v>-9.4795728089506204E-3</v>
      </c>
      <c r="C472" s="4">
        <f>(Raw_Stock_Data!C472/Raw_Stock_Data!C471)-1</f>
        <v>-2.2504815684074697E-2</v>
      </c>
      <c r="D472" s="4">
        <f>(Raw_Stock_Data!D472/Raw_Stock_Data!D471)-1</f>
        <v>-1.9618662252467445E-3</v>
      </c>
      <c r="E472" s="4">
        <f>(Raw_Stock_Data!E472/Raw_Stock_Data!E471)-1</f>
        <v>1.6028741191101314E-2</v>
      </c>
      <c r="F472" s="4">
        <f>(Raw_Stock_Data!F472/Raw_Stock_Data!F471)-1</f>
        <v>-2.2819724178986145E-2</v>
      </c>
      <c r="G472" s="4">
        <f>(Raw_Stock_Data!G472/Raw_Stock_Data!G471)-1</f>
        <v>-2.5616165739654084E-2</v>
      </c>
      <c r="H472" s="4">
        <f>(Raw_Stock_Data!H472/Raw_Stock_Data!H471)-1</f>
        <v>-7.3650504154618712E-3</v>
      </c>
      <c r="I472" s="4">
        <f>(Raw_Stock_Data!I472/Raw_Stock_Data!I471)-1</f>
        <v>1.0617589807113914E-2</v>
      </c>
      <c r="J472" s="4">
        <f>(Raw_Stock_Data!J472/Raw_Stock_Data!J471)-1</f>
        <v>-1.1225496386663703E-2</v>
      </c>
    </row>
    <row r="473" spans="1:10" x14ac:dyDescent="0.2">
      <c r="A473" s="2">
        <v>44880</v>
      </c>
      <c r="B473" s="4">
        <f>(Raw_Stock_Data!B473/Raw_Stock_Data!B472)-1</f>
        <v>1.1863606180302133E-2</v>
      </c>
      <c r="C473" s="4">
        <f>(Raw_Stock_Data!C473/Raw_Stock_Data!C472)-1</f>
        <v>1.7469754959258399E-3</v>
      </c>
      <c r="D473" s="4">
        <f>(Raw_Stock_Data!D473/Raw_Stock_Data!D472)-1</f>
        <v>2.2765526137969117E-2</v>
      </c>
      <c r="E473" s="4">
        <f>(Raw_Stock_Data!E473/Raw_Stock_Data!E472)-1</f>
        <v>3.8623691010472028E-2</v>
      </c>
      <c r="F473" s="4">
        <f>(Raw_Stock_Data!F473/Raw_Stock_Data!F472)-1</f>
        <v>4.5689917758149345E-3</v>
      </c>
      <c r="G473" s="4">
        <f>(Raw_Stock_Data!G473/Raw_Stock_Data!G472)-1</f>
        <v>1.8172296412673372E-2</v>
      </c>
      <c r="H473" s="4">
        <f>(Raw_Stock_Data!H473/Raw_Stock_Data!H472)-1</f>
        <v>2.8631115744124802E-2</v>
      </c>
      <c r="I473" s="4">
        <f>(Raw_Stock_Data!I473/Raw_Stock_Data!I472)-1</f>
        <v>2.503939765365093E-2</v>
      </c>
      <c r="J473" s="4">
        <f>(Raw_Stock_Data!J473/Raw_Stock_Data!J472)-1</f>
        <v>1.4486139071936854E-2</v>
      </c>
    </row>
    <row r="474" spans="1:10" x14ac:dyDescent="0.2">
      <c r="A474" s="2">
        <v>44881</v>
      </c>
      <c r="B474" s="4">
        <f>(Raw_Stock_Data!B474/Raw_Stock_Data!B473)-1</f>
        <v>-8.3417901359854607E-3</v>
      </c>
      <c r="C474" s="4">
        <f>(Raw_Stock_Data!C474/Raw_Stock_Data!C473)-1</f>
        <v>1.8197518903093624E-3</v>
      </c>
      <c r="D474" s="4">
        <f>(Raw_Stock_Data!D474/Raw_Stock_Data!D473)-1</f>
        <v>-4.5358447049778983E-2</v>
      </c>
      <c r="E474" s="4">
        <f>(Raw_Stock_Data!E474/Raw_Stock_Data!E473)-1</f>
        <v>-4.8055519182925277E-2</v>
      </c>
      <c r="F474" s="4">
        <f>(Raw_Stock_Data!F474/Raw_Stock_Data!F473)-1</f>
        <v>-1.8394986860723606E-2</v>
      </c>
      <c r="G474" s="4">
        <f>(Raw_Stock_Data!G474/Raw_Stock_Data!G473)-1</f>
        <v>-3.8576278160683097E-2</v>
      </c>
      <c r="H474" s="4">
        <f>(Raw_Stock_Data!H474/Raw_Stock_Data!H473)-1</f>
        <v>4.1658000660653727E-3</v>
      </c>
      <c r="I474" s="4">
        <f>(Raw_Stock_Data!I474/Raw_Stock_Data!I473)-1</f>
        <v>-3.2883498462589644E-2</v>
      </c>
      <c r="J474" s="4">
        <f>(Raw_Stock_Data!J474/Raw_Stock_Data!J473)-1</f>
        <v>-1.5385075904109868E-2</v>
      </c>
    </row>
    <row r="475" spans="1:10" x14ac:dyDescent="0.2">
      <c r="A475" s="2">
        <v>44882</v>
      </c>
      <c r="B475" s="4">
        <f>(Raw_Stock_Data!B475/Raw_Stock_Data!B474)-1</f>
        <v>1.2976114942999439E-2</v>
      </c>
      <c r="C475" s="4">
        <f>(Raw_Stock_Data!C475/Raw_Stock_Data!C474)-1</f>
        <v>-2.0603211578162917E-4</v>
      </c>
      <c r="D475" s="4">
        <f>(Raw_Stock_Data!D475/Raw_Stock_Data!D474)-1</f>
        <v>-1.4646668008858388E-2</v>
      </c>
      <c r="E475" s="4">
        <f>(Raw_Stock_Data!E475/Raw_Stock_Data!E474)-1</f>
        <v>1.6506189821182904E-2</v>
      </c>
      <c r="F475" s="4">
        <f>(Raw_Stock_Data!F475/Raw_Stock_Data!F474)-1</f>
        <v>-2.3373146622734819E-2</v>
      </c>
      <c r="G475" s="4">
        <f>(Raw_Stock_Data!G475/Raw_Stock_Data!G474)-1</f>
        <v>-2.0062058634710001E-2</v>
      </c>
      <c r="H475" s="4">
        <f>(Raw_Stock_Data!H475/Raw_Stock_Data!H474)-1</f>
        <v>-4.9577127308538804E-3</v>
      </c>
      <c r="I475" s="4">
        <f>(Raw_Stock_Data!I475/Raw_Stock_Data!I474)-1</f>
        <v>-1.5720215490594325E-2</v>
      </c>
      <c r="J475" s="4">
        <f>(Raw_Stock_Data!J475/Raw_Stock_Data!J474)-1</f>
        <v>-3.4604056274959438E-3</v>
      </c>
    </row>
    <row r="476" spans="1:10" x14ac:dyDescent="0.2">
      <c r="A476" s="2">
        <v>44883</v>
      </c>
      <c r="B476" s="4">
        <f>(Raw_Stock_Data!B476/Raw_Stock_Data!B475)-1</f>
        <v>3.7917820028421367E-3</v>
      </c>
      <c r="C476" s="4">
        <f>(Raw_Stock_Data!C476/Raw_Stock_Data!C475)-1</f>
        <v>-1.9051384064127097E-3</v>
      </c>
      <c r="D476" s="4">
        <f>(Raw_Stock_Data!D476/Raw_Stock_Data!D475)-1</f>
        <v>-1.7099146958165168E-2</v>
      </c>
      <c r="E476" s="4">
        <f>(Raw_Stock_Data!E476/Raw_Stock_Data!E475)-1</f>
        <v>-4.465493910690288E-3</v>
      </c>
      <c r="F476" s="4">
        <f>(Raw_Stock_Data!F476/Raw_Stock_Data!F475)-1</f>
        <v>-7.485503426462814E-3</v>
      </c>
      <c r="G476" s="4">
        <f>(Raw_Stock_Data!G476/Raw_Stock_Data!G475)-1</f>
        <v>-1.6269039689905451E-2</v>
      </c>
      <c r="H476" s="4">
        <f>(Raw_Stock_Data!H476/Raw_Stock_Data!H475)-1</f>
        <v>-9.4556689628150226E-3</v>
      </c>
      <c r="I476" s="4">
        <f>(Raw_Stock_Data!I476/Raw_Stock_Data!I475)-1</f>
        <v>5.3835800807535694E-3</v>
      </c>
      <c r="J476" s="4">
        <f>(Raw_Stock_Data!J476/Raw_Stock_Data!J475)-1</f>
        <v>9.8699322384376842E-5</v>
      </c>
    </row>
    <row r="477" spans="1:10" x14ac:dyDescent="0.2">
      <c r="A477" s="2">
        <v>44886</v>
      </c>
      <c r="B477" s="4">
        <f>(Raw_Stock_Data!B477/Raw_Stock_Data!B476)-1</f>
        <v>-2.1691872089746544E-2</v>
      </c>
      <c r="C477" s="4">
        <f>(Raw_Stock_Data!C477/Raw_Stock_Data!C476)-1</f>
        <v>3.4383229748236044E-3</v>
      </c>
      <c r="D477" s="4">
        <f>(Raw_Stock_Data!D477/Raw_Stock_Data!D476)-1</f>
        <v>-5.9699359482389136E-3</v>
      </c>
      <c r="E477" s="4">
        <f>(Raw_Stock_Data!E477/Raw_Stock_Data!E476)-1</f>
        <v>-1.5087671605273911E-2</v>
      </c>
      <c r="F477" s="4">
        <f>(Raw_Stock_Data!F477/Raw_Stock_Data!F476)-1</f>
        <v>-1.7845761631612556E-2</v>
      </c>
      <c r="G477" s="4">
        <f>(Raw_Stock_Data!G477/Raw_Stock_Data!G476)-1</f>
        <v>-6.8372273711082676E-2</v>
      </c>
      <c r="H477" s="4">
        <f>(Raw_Stock_Data!H477/Raw_Stock_Data!H476)-1</f>
        <v>-1.8781804322297591E-2</v>
      </c>
      <c r="I477" s="4">
        <f>(Raw_Stock_Data!I477/Raw_Stock_Data!I476)-1</f>
        <v>-1.9544846050870146E-2</v>
      </c>
      <c r="J477" s="4">
        <f>(Raw_Stock_Data!J477/Raw_Stock_Data!J476)-1</f>
        <v>-1.0905198787732995E-2</v>
      </c>
    </row>
    <row r="478" spans="1:10" x14ac:dyDescent="0.2">
      <c r="A478" s="2">
        <v>44887</v>
      </c>
      <c r="B478" s="4">
        <f>(Raw_Stock_Data!B478/Raw_Stock_Data!B477)-1</f>
        <v>1.4676734632293131E-2</v>
      </c>
      <c r="C478" s="4">
        <f>(Raw_Stock_Data!C478/Raw_Stock_Data!C477)-1</f>
        <v>1.2320432012967064E-2</v>
      </c>
      <c r="D478" s="4">
        <f>(Raw_Stock_Data!D478/Raw_Stock_Data!D477)-1</f>
        <v>4.7072585757324426E-2</v>
      </c>
      <c r="E478" s="4">
        <f>(Raw_Stock_Data!E478/Raw_Stock_Data!E477)-1</f>
        <v>3.8504002208114896E-2</v>
      </c>
      <c r="F478" s="4">
        <f>(Raw_Stock_Data!F478/Raw_Stock_Data!F477)-1</f>
        <v>8.0034609560892811E-3</v>
      </c>
      <c r="G478" s="4">
        <f>(Raw_Stock_Data!G478/Raw_Stock_Data!G477)-1</f>
        <v>1.2152260677905424E-2</v>
      </c>
      <c r="H478" s="4">
        <f>(Raw_Stock_Data!H478/Raw_Stock_Data!H477)-1</f>
        <v>1.516670568486389E-2</v>
      </c>
      <c r="I478" s="4">
        <f>(Raw_Stock_Data!I478/Raw_Stock_Data!I477)-1</f>
        <v>1.4381940651738478E-2</v>
      </c>
      <c r="J478" s="4">
        <f>(Raw_Stock_Data!J478/Raw_Stock_Data!J477)-1</f>
        <v>1.3596976192139065E-2</v>
      </c>
    </row>
    <row r="479" spans="1:10" x14ac:dyDescent="0.2">
      <c r="A479" s="2">
        <v>44888</v>
      </c>
      <c r="B479" s="4">
        <f>(Raw_Stock_Data!B479/Raw_Stock_Data!B478)-1</f>
        <v>5.9344774212735096E-3</v>
      </c>
      <c r="C479" s="4">
        <f>(Raw_Stock_Data!C479/Raw_Stock_Data!C478)-1</f>
        <v>1.0395105257699822E-2</v>
      </c>
      <c r="D479" s="4">
        <f>(Raw_Stock_Data!D479/Raw_Stock_Data!D478)-1</f>
        <v>2.9989639375366695E-2</v>
      </c>
      <c r="E479" s="4">
        <f>(Raw_Stock_Data!E479/Raw_Stock_Data!E478)-1</f>
        <v>1.5282392026578107E-2</v>
      </c>
      <c r="F479" s="4">
        <f>(Raw_Stock_Data!F479/Raw_Stock_Data!F478)-1</f>
        <v>9.9785407725321296E-3</v>
      </c>
      <c r="G479" s="4">
        <f>(Raw_Stock_Data!G479/Raw_Stock_Data!G478)-1</f>
        <v>7.8217880054146205E-2</v>
      </c>
      <c r="H479" s="4">
        <f>(Raw_Stock_Data!H479/Raw_Stock_Data!H478)-1</f>
        <v>1.4529562748062608E-2</v>
      </c>
      <c r="I479" s="4">
        <f>(Raw_Stock_Data!I479/Raw_Stock_Data!I478)-1</f>
        <v>7.1787508973437664E-3</v>
      </c>
      <c r="J479" s="4">
        <f>(Raw_Stock_Data!J479/Raw_Stock_Data!J478)-1</f>
        <v>9.9253562380474669E-3</v>
      </c>
    </row>
    <row r="480" spans="1:10" x14ac:dyDescent="0.2">
      <c r="A480" s="2">
        <v>44890</v>
      </c>
      <c r="B480" s="4">
        <f>(Raw_Stock_Data!B480/Raw_Stock_Data!B479)-1</f>
        <v>-1.960665739415568E-2</v>
      </c>
      <c r="C480" s="4">
        <f>(Raw_Stock_Data!C480/Raw_Stock_Data!C479)-1</f>
        <v>-3.5717071528562627E-4</v>
      </c>
      <c r="D480" s="4">
        <f>(Raw_Stock_Data!D480/Raw_Stock_Data!D479)-1</f>
        <v>-1.5070261229980564E-2</v>
      </c>
      <c r="E480" s="4">
        <f>(Raw_Stock_Data!E480/Raw_Stock_Data!E479)-1</f>
        <v>-1.6492146596858714E-2</v>
      </c>
      <c r="F480" s="4">
        <f>(Raw_Stock_Data!F480/Raw_Stock_Data!F479)-1</f>
        <v>-7.6489960692659453E-3</v>
      </c>
      <c r="G480" s="4">
        <f>(Raw_Stock_Data!G480/Raw_Stock_Data!G479)-1</f>
        <v>-1.8558951965064185E-3</v>
      </c>
      <c r="H480" s="4">
        <f>(Raw_Stock_Data!H480/Raw_Stock_Data!H479)-1</f>
        <v>-1.0156527128242887E-2</v>
      </c>
      <c r="I480" s="4">
        <f>(Raw_Stock_Data!I480/Raw_Stock_Data!I479)-1</f>
        <v>-7.3948681397005833E-3</v>
      </c>
      <c r="J480" s="4">
        <f>(Raw_Stock_Data!J480/Raw_Stock_Data!J479)-1</f>
        <v>-5.2244863238258832E-3</v>
      </c>
    </row>
    <row r="481" spans="1:10" x14ac:dyDescent="0.2">
      <c r="A481" s="2">
        <v>44893</v>
      </c>
      <c r="B481" s="4">
        <f>(Raw_Stock_Data!B481/Raw_Stock_Data!B480)-1</f>
        <v>-2.6269798298939717E-2</v>
      </c>
      <c r="C481" s="4">
        <f>(Raw_Stock_Data!C481/Raw_Stock_Data!C480)-1</f>
        <v>-2.3150467773333183E-2</v>
      </c>
      <c r="D481" s="4">
        <f>(Raw_Stock_Data!D481/Raw_Stock_Data!D480)-1</f>
        <v>-2.7224067921742368E-2</v>
      </c>
      <c r="E481" s="4">
        <f>(Raw_Stock_Data!E481/Raw_Stock_Data!E480)-1</f>
        <v>-2.595155709342567E-2</v>
      </c>
      <c r="F481" s="4">
        <f>(Raw_Stock_Data!F481/Raw_Stock_Data!F480)-1</f>
        <v>5.7809656353711159E-3</v>
      </c>
      <c r="G481" s="4">
        <f>(Raw_Stock_Data!G481/Raw_Stock_Data!G480)-1</f>
        <v>3.2811987312686419E-4</v>
      </c>
      <c r="H481" s="4">
        <f>(Raw_Stock_Data!H481/Raw_Stock_Data!H480)-1</f>
        <v>-1.4467397124850678E-2</v>
      </c>
      <c r="I481" s="4">
        <f>(Raw_Stock_Data!I481/Raw_Stock_Data!I480)-1</f>
        <v>-2.3606498518983887E-2</v>
      </c>
      <c r="J481" s="4">
        <f>(Raw_Stock_Data!J481/Raw_Stock_Data!J480)-1</f>
        <v>-1.5753993280101519E-2</v>
      </c>
    </row>
    <row r="482" spans="1:10" x14ac:dyDescent="0.2">
      <c r="A482" s="2">
        <v>44894</v>
      </c>
      <c r="B482" s="4">
        <f>(Raw_Stock_Data!B482/Raw_Stock_Data!B481)-1</f>
        <v>-2.1150651763844674E-2</v>
      </c>
      <c r="C482" s="4">
        <f>(Raw_Stock_Data!C482/Raw_Stock_Data!C481)-1</f>
        <v>-5.9153188680594049E-3</v>
      </c>
      <c r="D482" s="4">
        <f>(Raw_Stock_Data!D482/Raw_Stock_Data!D481)-1</f>
        <v>-1.1883755494418669E-2</v>
      </c>
      <c r="E482" s="4">
        <f>(Raw_Stock_Data!E482/Raw_Stock_Data!E481)-1</f>
        <v>2.7326137450471855E-3</v>
      </c>
      <c r="F482" s="4">
        <f>(Raw_Stock_Data!F482/Raw_Stock_Data!F481)-1</f>
        <v>-1.6285258116019219E-2</v>
      </c>
      <c r="G482" s="4">
        <f>(Raw_Stock_Data!G482/Raw_Stock_Data!G481)-1</f>
        <v>-1.1425759895035914E-2</v>
      </c>
      <c r="H482" s="4">
        <f>(Raw_Stock_Data!H482/Raw_Stock_Data!H481)-1</f>
        <v>-8.953732951179294E-3</v>
      </c>
      <c r="I482" s="4">
        <f>(Raw_Stock_Data!I482/Raw_Stock_Data!I481)-1</f>
        <v>6.2511491082919424E-3</v>
      </c>
      <c r="J482" s="4">
        <f>(Raw_Stock_Data!J482/Raw_Stock_Data!J481)-1</f>
        <v>-5.9477804425539516E-3</v>
      </c>
    </row>
    <row r="483" spans="1:10" x14ac:dyDescent="0.2">
      <c r="A483" s="2">
        <v>44895</v>
      </c>
      <c r="B483" s="4">
        <f>(Raw_Stock_Data!B483/Raw_Stock_Data!B482)-1</f>
        <v>4.8593883699693086E-2</v>
      </c>
      <c r="C483" s="4">
        <f>(Raw_Stock_Data!C483/Raw_Stock_Data!C482)-1</f>
        <v>6.1628251215901875E-2</v>
      </c>
      <c r="D483" s="4">
        <f>(Raw_Stock_Data!D483/Raw_Stock_Data!D482)-1</f>
        <v>8.2375380834122769E-2</v>
      </c>
      <c r="E483" s="4">
        <f>(Raw_Stock_Data!E483/Raw_Stock_Data!E482)-1</f>
        <v>5.7773538629241061E-2</v>
      </c>
      <c r="F483" s="4">
        <f>(Raw_Stock_Data!F483/Raw_Stock_Data!F482)-1</f>
        <v>4.4579095433888716E-2</v>
      </c>
      <c r="G483" s="4">
        <f>(Raw_Stock_Data!G483/Raw_Stock_Data!G482)-1</f>
        <v>7.6701874688934302E-2</v>
      </c>
      <c r="H483" s="4">
        <f>(Raw_Stock_Data!H483/Raw_Stock_Data!H482)-1</f>
        <v>6.092811309256474E-2</v>
      </c>
      <c r="I483" s="4">
        <f>(Raw_Stock_Data!I483/Raw_Stock_Data!I482)-1</f>
        <v>7.893294354101954E-2</v>
      </c>
      <c r="J483" s="4">
        <f>(Raw_Stock_Data!J483/Raw_Stock_Data!J482)-1</f>
        <v>4.4085005344243866E-2</v>
      </c>
    </row>
    <row r="484" spans="1:10" x14ac:dyDescent="0.2">
      <c r="A484" s="2">
        <v>44896</v>
      </c>
      <c r="B484" s="4">
        <f>(Raw_Stock_Data!B484/Raw_Stock_Data!B483)-1</f>
        <v>1.8994850132689756E-3</v>
      </c>
      <c r="C484" s="4">
        <f>(Raw_Stock_Data!C484/Raw_Stock_Data!C483)-1</f>
        <v>-1.7727529857940461E-3</v>
      </c>
      <c r="D484" s="4">
        <f>(Raw_Stock_Data!D484/Raw_Stock_Data!D483)-1</f>
        <v>1.2530602107553745E-2</v>
      </c>
      <c r="E484" s="4">
        <f>(Raw_Stock_Data!E484/Raw_Stock_Data!E483)-1</f>
        <v>-1.9322426896817291E-3</v>
      </c>
      <c r="F484" s="4">
        <f>(Raw_Stock_Data!F484/Raw_Stock_Data!F483)-1</f>
        <v>-1.077273668945522E-2</v>
      </c>
      <c r="G484" s="4">
        <f>(Raw_Stock_Data!G484/Raw_Stock_Data!G483)-1</f>
        <v>0</v>
      </c>
      <c r="H484" s="4">
        <f>(Raw_Stock_Data!H484/Raw_Stock_Data!H483)-1</f>
        <v>0</v>
      </c>
      <c r="I484" s="4">
        <f>(Raw_Stock_Data!I484/Raw_Stock_Data!I483)-1</f>
        <v>1.9813717188823077E-2</v>
      </c>
      <c r="J484" s="4">
        <f>(Raw_Stock_Data!J484/Raw_Stock_Data!J483)-1</f>
        <v>1.2600279037322526E-3</v>
      </c>
    </row>
    <row r="485" spans="1:10" x14ac:dyDescent="0.2">
      <c r="A485" s="2">
        <v>44897</v>
      </c>
      <c r="B485" s="4">
        <f>(Raw_Stock_Data!B485/Raw_Stock_Data!B484)-1</f>
        <v>-3.3674181758448496E-3</v>
      </c>
      <c r="C485" s="4">
        <f>(Raw_Stock_Data!C485/Raw_Stock_Data!C484)-1</f>
        <v>1.3009972982356288E-3</v>
      </c>
      <c r="D485" s="4">
        <f>(Raw_Stock_Data!D485/Raw_Stock_Data!D484)-1</f>
        <v>-1.5114615272302401E-2</v>
      </c>
      <c r="E485" s="4">
        <f>(Raw_Stock_Data!E485/Raw_Stock_Data!E484)-1</f>
        <v>-3.2266391326793986E-2</v>
      </c>
      <c r="F485" s="4">
        <f>(Raw_Stock_Data!F485/Raw_Stock_Data!F484)-1</f>
        <v>-1.4345549738219998E-2</v>
      </c>
      <c r="G485" s="4">
        <f>(Raw_Stock_Data!G485/Raw_Stock_Data!G484)-1</f>
        <v>8.2177709296371582E-4</v>
      </c>
      <c r="H485" s="4">
        <f>(Raw_Stock_Data!H485/Raw_Stock_Data!H484)-1</f>
        <v>-5.4459627329193072E-3</v>
      </c>
      <c r="I485" s="4">
        <f>(Raw_Stock_Data!I485/Raw_Stock_Data!I484)-1</f>
        <v>2.5323812686814939E-2</v>
      </c>
      <c r="J485" s="4">
        <f>(Raw_Stock_Data!J485/Raw_Stock_Data!J484)-1</f>
        <v>-1.8245235119683789E-3</v>
      </c>
    </row>
    <row r="486" spans="1:10" x14ac:dyDescent="0.2">
      <c r="A486" s="2">
        <v>44900</v>
      </c>
      <c r="B486" s="4">
        <f>(Raw_Stock_Data!B486/Raw_Stock_Data!B485)-1</f>
        <v>-7.986869394426388E-3</v>
      </c>
      <c r="C486" s="4">
        <f>(Raw_Stock_Data!C486/Raw_Stock_Data!C485)-1</f>
        <v>-1.8903719764211679E-2</v>
      </c>
      <c r="D486" s="4">
        <f>(Raw_Stock_Data!D486/Raw_Stock_Data!D485)-1</f>
        <v>-1.5761665589402174E-2</v>
      </c>
      <c r="E486" s="4">
        <f>(Raw_Stock_Data!E486/Raw_Stock_Data!E485)-1</f>
        <v>-1.813817017871433E-2</v>
      </c>
      <c r="F486" s="4">
        <f>(Raw_Stock_Data!F486/Raw_Stock_Data!F485)-1</f>
        <v>-3.3145649633485541E-2</v>
      </c>
      <c r="G486" s="4">
        <f>(Raw_Stock_Data!G486/Raw_Stock_Data!G485)-1</f>
        <v>-6.3686749461151715E-2</v>
      </c>
      <c r="H486" s="4">
        <f>(Raw_Stock_Data!H486/Raw_Stock_Data!H485)-1</f>
        <v>-9.5556421555401672E-3</v>
      </c>
      <c r="I486" s="4">
        <f>(Raw_Stock_Data!I486/Raw_Stock_Data!I485)-1</f>
        <v>-8.5836909871244149E-3</v>
      </c>
      <c r="J486" s="4">
        <f>(Raw_Stock_Data!J486/Raw_Stock_Data!J485)-1</f>
        <v>-1.9330803123500329E-2</v>
      </c>
    </row>
    <row r="487" spans="1:10" x14ac:dyDescent="0.2">
      <c r="A487" s="2">
        <v>44901</v>
      </c>
      <c r="B487" s="4">
        <f>(Raw_Stock_Data!B487/Raw_Stock_Data!B486)-1</f>
        <v>-2.5365002665263536E-2</v>
      </c>
      <c r="C487" s="4">
        <f>(Raw_Stock_Data!C487/Raw_Stock_Data!C486)-1</f>
        <v>-2.0299805004874827E-2</v>
      </c>
      <c r="D487" s="4">
        <f>(Raw_Stock_Data!D487/Raw_Stock_Data!D486)-1</f>
        <v>-3.7504744576120963E-2</v>
      </c>
      <c r="E487" s="4">
        <f>(Raw_Stock_Data!E487/Raw_Stock_Data!E486)-1</f>
        <v>-4.550393914697104E-2</v>
      </c>
      <c r="F487" s="4">
        <f>(Raw_Stock_Data!F487/Raw_Stock_Data!F486)-1</f>
        <v>-3.0326337765080869E-2</v>
      </c>
      <c r="G487" s="4">
        <f>(Raw_Stock_Data!G487/Raw_Stock_Data!G486)-1</f>
        <v>-1.4414908194025688E-2</v>
      </c>
      <c r="H487" s="4">
        <f>(Raw_Stock_Data!H487/Raw_Stock_Data!H486)-1</f>
        <v>-2.5130976677929073E-2</v>
      </c>
      <c r="I487" s="4">
        <f>(Raw_Stock_Data!I487/Raw_Stock_Data!I486)-1</f>
        <v>-6.7875520705709347E-2</v>
      </c>
      <c r="J487" s="4">
        <f>(Raw_Stock_Data!J487/Raw_Stock_Data!J486)-1</f>
        <v>-2.0022348873748541E-2</v>
      </c>
    </row>
    <row r="488" spans="1:10" x14ac:dyDescent="0.2">
      <c r="A488" s="2">
        <v>44902</v>
      </c>
      <c r="B488" s="4">
        <f>(Raw_Stock_Data!B488/Raw_Stock_Data!B487)-1</f>
        <v>-1.3800990148238212E-2</v>
      </c>
      <c r="C488" s="4">
        <f>(Raw_Stock_Data!C488/Raw_Stock_Data!C487)-1</f>
        <v>-3.0643174948064011E-3</v>
      </c>
      <c r="D488" s="4">
        <f>(Raw_Stock_Data!D488/Raw_Stock_Data!D487)-1</f>
        <v>8.3190405248068089E-3</v>
      </c>
      <c r="E488" s="4">
        <f>(Raw_Stock_Data!E488/Raw_Stock_Data!E487)-1</f>
        <v>-1.8500071154119446E-3</v>
      </c>
      <c r="F488" s="4">
        <f>(Raw_Stock_Data!F488/Raw_Stock_Data!F487)-1</f>
        <v>2.3796033994334387E-3</v>
      </c>
      <c r="G488" s="4">
        <f>(Raw_Stock_Data!G488/Raw_Stock_Data!G487)-1</f>
        <v>-3.2143254365476603E-2</v>
      </c>
      <c r="H488" s="4">
        <f>(Raw_Stock_Data!H488/Raw_Stock_Data!H487)-1</f>
        <v>-2.1034940603147922E-2</v>
      </c>
      <c r="I488" s="4">
        <f>(Raw_Stock_Data!I488/Raw_Stock_Data!I487)-1</f>
        <v>-1.6649141254819755E-3</v>
      </c>
      <c r="J488" s="4">
        <f>(Raw_Stock_Data!J488/Raw_Stock_Data!J487)-1</f>
        <v>-5.1148944746611802E-3</v>
      </c>
    </row>
    <row r="489" spans="1:10" x14ac:dyDescent="0.2">
      <c r="A489" s="2">
        <v>44903</v>
      </c>
      <c r="B489" s="4">
        <f>(Raw_Stock_Data!B489/Raw_Stock_Data!B488)-1</f>
        <v>1.2135922330097193E-2</v>
      </c>
      <c r="C489" s="4">
        <f>(Raw_Stock_Data!C489/Raw_Stock_Data!C488)-1</f>
        <v>1.239892855954472E-2</v>
      </c>
      <c r="D489" s="4">
        <f>(Raw_Stock_Data!D489/Raw_Stock_Data!D488)-1</f>
        <v>6.507204360484975E-2</v>
      </c>
      <c r="E489" s="4">
        <f>(Raw_Stock_Data!E489/Raw_Stock_Data!E488)-1</f>
        <v>4.7048759623609104E-3</v>
      </c>
      <c r="F489" s="4">
        <f>(Raw_Stock_Data!F489/Raw_Stock_Data!F488)-1</f>
        <v>2.1365588966764548E-2</v>
      </c>
      <c r="G489" s="4">
        <f>(Raw_Stock_Data!G489/Raw_Stock_Data!G488)-1</f>
        <v>-3.4474833371638258E-3</v>
      </c>
      <c r="H489" s="4">
        <f>(Raw_Stock_Data!H489/Raw_Stock_Data!H488)-1</f>
        <v>-1.2954942593377594E-2</v>
      </c>
      <c r="I489" s="4">
        <f>(Raw_Stock_Data!I489/Raw_Stock_Data!I488)-1</f>
        <v>1.2288247169314426E-2</v>
      </c>
      <c r="J489" s="4">
        <f>(Raw_Stock_Data!J489/Raw_Stock_Data!J488)-1</f>
        <v>1.1265176506015884E-2</v>
      </c>
    </row>
    <row r="490" spans="1:10" x14ac:dyDescent="0.2">
      <c r="A490" s="2">
        <v>44904</v>
      </c>
      <c r="B490" s="4">
        <f>(Raw_Stock_Data!B490/Raw_Stock_Data!B489)-1</f>
        <v>-3.4298970319293076E-3</v>
      </c>
      <c r="C490" s="4">
        <f>(Raw_Stock_Data!C490/Raw_Stock_Data!C489)-1</f>
        <v>-7.9990139890306899E-3</v>
      </c>
      <c r="D490" s="4">
        <f>(Raw_Stock_Data!D490/Raw_Stock_Data!D489)-1</f>
        <v>-9.7922070352346458E-3</v>
      </c>
      <c r="E490" s="4">
        <f>(Raw_Stock_Data!E490/Raw_Stock_Data!E489)-1</f>
        <v>-2.667801901518374E-2</v>
      </c>
      <c r="F490" s="4">
        <f>(Raw_Stock_Data!F490/Raw_Stock_Data!F489)-1</f>
        <v>-1.3945766463752007E-2</v>
      </c>
      <c r="G490" s="4">
        <f>(Raw_Stock_Data!G490/Raw_Stock_Data!G489)-1</f>
        <v>3.2345479704797064E-2</v>
      </c>
      <c r="H490" s="4">
        <f>(Raw_Stock_Data!H490/Raw_Stock_Data!H489)-1</f>
        <v>-9.3915066251408774E-3</v>
      </c>
      <c r="I490" s="4">
        <f>(Raw_Stock_Data!I490/Raw_Stock_Data!I489)-1</f>
        <v>4.9423393739704835E-3</v>
      </c>
      <c r="J490" s="4">
        <f>(Raw_Stock_Data!J490/Raw_Stock_Data!J489)-1</f>
        <v>-6.9824941346326996E-3</v>
      </c>
    </row>
    <row r="491" spans="1:10" x14ac:dyDescent="0.2">
      <c r="A491" s="2">
        <v>44907</v>
      </c>
      <c r="B491" s="4">
        <f>(Raw_Stock_Data!B491/Raw_Stock_Data!B490)-1</f>
        <v>1.6401636593429414E-2</v>
      </c>
      <c r="C491" s="4">
        <f>(Raw_Stock_Data!C491/Raw_Stock_Data!C490)-1</f>
        <v>2.8887011405710261E-2</v>
      </c>
      <c r="D491" s="4">
        <f>(Raw_Stock_Data!D491/Raw_Stock_Data!D490)-1</f>
        <v>3.1427141890102206E-2</v>
      </c>
      <c r="E491" s="4">
        <f>(Raw_Stock_Data!E491/Raw_Stock_Data!E490)-1</f>
        <v>3.0325120279924178E-2</v>
      </c>
      <c r="F491" s="4">
        <f>(Raw_Stock_Data!F491/Raw_Stock_Data!F490)-1</f>
        <v>1.6387922325737936E-2</v>
      </c>
      <c r="G491" s="4">
        <f>(Raw_Stock_Data!G491/Raw_Stock_Data!G490)-1</f>
        <v>-6.2719910639486232E-2</v>
      </c>
      <c r="H491" s="4">
        <f>(Raw_Stock_Data!H491/Raw_Stock_Data!H490)-1</f>
        <v>5.1700259582441177E-3</v>
      </c>
      <c r="I491" s="4">
        <f>(Raw_Stock_Data!I491/Raw_Stock_Data!I490)-1</f>
        <v>-1.0267471958585128E-2</v>
      </c>
      <c r="J491" s="4">
        <f>(Raw_Stock_Data!J491/Raw_Stock_Data!J490)-1</f>
        <v>1.2641963102769438E-2</v>
      </c>
    </row>
    <row r="492" spans="1:10" x14ac:dyDescent="0.2">
      <c r="A492" s="2">
        <v>44908</v>
      </c>
      <c r="B492" s="4">
        <f>(Raw_Stock_Data!B492/Raw_Stock_Data!B491)-1</f>
        <v>6.7653009610519899E-3</v>
      </c>
      <c r="C492" s="4">
        <f>(Raw_Stock_Data!C492/Raw_Stock_Data!C491)-1</f>
        <v>1.7461448358309761E-2</v>
      </c>
      <c r="D492" s="4">
        <f>(Raw_Stock_Data!D492/Raw_Stock_Data!D491)-1</f>
        <v>3.061795187873817E-2</v>
      </c>
      <c r="E492" s="4">
        <f>(Raw_Stock_Data!E492/Raw_Stock_Data!E491)-1</f>
        <v>1.3867270411773047E-2</v>
      </c>
      <c r="F492" s="4">
        <f>(Raw_Stock_Data!F492/Raw_Stock_Data!F491)-1</f>
        <v>2.1424627277746966E-2</v>
      </c>
      <c r="G492" s="4">
        <f>(Raw_Stock_Data!G492/Raw_Stock_Data!G491)-1</f>
        <v>-4.093671791204867E-2</v>
      </c>
      <c r="H492" s="4">
        <f>(Raw_Stock_Data!H492/Raw_Stock_Data!H491)-1</f>
        <v>2.4864234631811977E-2</v>
      </c>
      <c r="I492" s="4">
        <f>(Raw_Stock_Data!I492/Raw_Stock_Data!I491)-1</f>
        <v>4.7423938627844331E-2</v>
      </c>
      <c r="J492" s="4">
        <f>(Raw_Stock_Data!J492/Raw_Stock_Data!J491)-1</f>
        <v>1.014650377700832E-2</v>
      </c>
    </row>
    <row r="493" spans="1:10" x14ac:dyDescent="0.2">
      <c r="A493" s="2">
        <v>44909</v>
      </c>
      <c r="B493" s="4">
        <f>(Raw_Stock_Data!B493/Raw_Stock_Data!B492)-1</f>
        <v>-1.5533086311205979E-2</v>
      </c>
      <c r="C493" s="4">
        <f>(Raw_Stock_Data!C493/Raw_Stock_Data!C492)-1</f>
        <v>1.1670642597449987E-3</v>
      </c>
      <c r="D493" s="4">
        <f>(Raw_Stock_Data!D493/Raw_Stock_Data!D492)-1</f>
        <v>-2.2027919751479885E-2</v>
      </c>
      <c r="E493" s="4">
        <f>(Raw_Stock_Data!E493/Raw_Stock_Data!E492)-1</f>
        <v>-3.796231681786455E-2</v>
      </c>
      <c r="F493" s="4">
        <f>(Raw_Stock_Data!F493/Raw_Stock_Data!F492)-1</f>
        <v>-9.8389015028651494E-3</v>
      </c>
      <c r="G493" s="4">
        <f>(Raw_Stock_Data!G493/Raw_Stock_Data!G492)-1</f>
        <v>-2.5784405094749774E-2</v>
      </c>
      <c r="H493" s="4">
        <f>(Raw_Stock_Data!H493/Raw_Stock_Data!H492)-1</f>
        <v>-5.8561404466198619E-3</v>
      </c>
      <c r="I493" s="4">
        <f>(Raw_Stock_Data!I493/Raw_Stock_Data!I492)-1</f>
        <v>1.1985018726591745E-2</v>
      </c>
      <c r="J493" s="4">
        <f>(Raw_Stock_Data!J493/Raw_Stock_Data!J492)-1</f>
        <v>-7.6327129977320496E-3</v>
      </c>
    </row>
    <row r="494" spans="1:10" x14ac:dyDescent="0.2">
      <c r="A494" s="2">
        <v>44910</v>
      </c>
      <c r="B494" s="4">
        <f>(Raw_Stock_Data!B494/Raw_Stock_Data!B493)-1</f>
        <v>-4.6859605474869004E-2</v>
      </c>
      <c r="C494" s="4">
        <f>(Raw_Stock_Data!C494/Raw_Stock_Data!C493)-1</f>
        <v>-3.1916575122695301E-2</v>
      </c>
      <c r="D494" s="4">
        <f>(Raw_Stock_Data!D494/Raw_Stock_Data!D493)-1</f>
        <v>-4.0852495031453495E-2</v>
      </c>
      <c r="E494" s="4">
        <f>(Raw_Stock_Data!E494/Raw_Stock_Data!E493)-1</f>
        <v>-3.4817931234585875E-2</v>
      </c>
      <c r="F494" s="4">
        <f>(Raw_Stock_Data!F494/Raw_Stock_Data!F493)-1</f>
        <v>-3.4177768071631309E-2</v>
      </c>
      <c r="G494" s="4">
        <f>(Raw_Stock_Data!G494/Raw_Stock_Data!G493)-1</f>
        <v>5.5484693877549951E-3</v>
      </c>
      <c r="H494" s="4">
        <f>(Raw_Stock_Data!H494/Raw_Stock_Data!H493)-1</f>
        <v>-4.4284287623539753E-2</v>
      </c>
      <c r="I494" s="4">
        <f>(Raw_Stock_Data!I494/Raw_Stock_Data!I493)-1</f>
        <v>-4.4740521424459279E-2</v>
      </c>
      <c r="J494" s="4">
        <f>(Raw_Stock_Data!J494/Raw_Stock_Data!J493)-1</f>
        <v>-3.2258844192360581E-2</v>
      </c>
    </row>
    <row r="495" spans="1:10" x14ac:dyDescent="0.2">
      <c r="A495" s="2">
        <v>44911</v>
      </c>
      <c r="B495" s="4">
        <f>(Raw_Stock_Data!B495/Raw_Stock_Data!B494)-1</f>
        <v>-1.4560868595225651E-2</v>
      </c>
      <c r="C495" s="4">
        <f>(Raw_Stock_Data!C495/Raw_Stock_Data!C494)-1</f>
        <v>-1.7347717652629324E-2</v>
      </c>
      <c r="D495" s="4">
        <f>(Raw_Stock_Data!D495/Raw_Stock_Data!D494)-1</f>
        <v>-2.2473966327421935E-2</v>
      </c>
      <c r="E495" s="4">
        <f>(Raw_Stock_Data!E495/Raw_Stock_Data!E494)-1</f>
        <v>-1.6834510747031461E-2</v>
      </c>
      <c r="F495" s="4">
        <f>(Raw_Stock_Data!F495/Raw_Stock_Data!F494)-1</f>
        <v>-6.6704352741662198E-3</v>
      </c>
      <c r="G495" s="4">
        <f>(Raw_Stock_Data!G495/Raw_Stock_Data!G494)-1</f>
        <v>-4.7187163062091697E-2</v>
      </c>
      <c r="H495" s="4">
        <f>(Raw_Stock_Data!H495/Raw_Stock_Data!H494)-1</f>
        <v>-6.6032119136171241E-3</v>
      </c>
      <c r="I495" s="4">
        <f>(Raw_Stock_Data!I495/Raw_Stock_Data!I494)-1</f>
        <v>2.8239345673697791E-2</v>
      </c>
      <c r="J495" s="4">
        <f>(Raw_Stock_Data!J495/Raw_Stock_Data!J494)-1</f>
        <v>-9.7238525770707573E-3</v>
      </c>
    </row>
    <row r="496" spans="1:10" x14ac:dyDescent="0.2">
      <c r="A496" s="2">
        <v>44914</v>
      </c>
      <c r="B496" s="4">
        <f>(Raw_Stock_Data!B496/Raw_Stock_Data!B495)-1</f>
        <v>-1.5915539724704275E-2</v>
      </c>
      <c r="C496" s="4">
        <f>(Raw_Stock_Data!C496/Raw_Stock_Data!C495)-1</f>
        <v>-1.7329971462870519E-2</v>
      </c>
      <c r="D496" s="4">
        <f>(Raw_Stock_Data!D496/Raw_Stock_Data!D495)-1</f>
        <v>-1.9125666559976828E-2</v>
      </c>
      <c r="E496" s="4">
        <f>(Raw_Stock_Data!E496/Raw_Stock_Data!E495)-1</f>
        <v>-1.2536309432808368E-2</v>
      </c>
      <c r="F496" s="4">
        <f>(Raw_Stock_Data!F496/Raw_Stock_Data!F495)-1</f>
        <v>-3.3462326428408851E-2</v>
      </c>
      <c r="G496" s="4">
        <f>(Raw_Stock_Data!G496/Raw_Stock_Data!G495)-1</f>
        <v>-2.3963256340276962E-3</v>
      </c>
      <c r="H496" s="4">
        <f>(Raw_Stock_Data!H496/Raw_Stock_Data!H495)-1</f>
        <v>-2.0163698004867836E-2</v>
      </c>
      <c r="I496" s="4">
        <f>(Raw_Stock_Data!I496/Raw_Stock_Data!I495)-1</f>
        <v>-4.1446872645064081E-2</v>
      </c>
      <c r="J496" s="4">
        <f>(Raw_Stock_Data!J496/Raw_Stock_Data!J495)-1</f>
        <v>-1.4887799719954575E-2</v>
      </c>
    </row>
    <row r="497" spans="1:10" x14ac:dyDescent="0.2">
      <c r="A497" s="2">
        <v>44915</v>
      </c>
      <c r="B497" s="4">
        <f>(Raw_Stock_Data!B497/Raw_Stock_Data!B496)-1</f>
        <v>-5.2912893108281178E-4</v>
      </c>
      <c r="C497" s="4">
        <f>(Raw_Stock_Data!C497/Raw_Stock_Data!C496)-1</f>
        <v>5.6220859206905782E-3</v>
      </c>
      <c r="D497" s="4">
        <f>(Raw_Stock_Data!D497/Raw_Stock_Data!D496)-1</f>
        <v>-1.0398837595892219E-2</v>
      </c>
      <c r="E497" s="4">
        <f>(Raw_Stock_Data!E497/Raw_Stock_Data!E496)-1</f>
        <v>7.1218454869172998E-3</v>
      </c>
      <c r="F497" s="4">
        <f>(Raw_Stock_Data!F497/Raw_Stock_Data!F496)-1</f>
        <v>3.1794630240224997E-3</v>
      </c>
      <c r="G497" s="4">
        <f>(Raw_Stock_Data!G497/Raw_Stock_Data!G496)-1</f>
        <v>-8.0536464936278085E-2</v>
      </c>
      <c r="H497" s="4">
        <f>(Raw_Stock_Data!H497/Raw_Stock_Data!H496)-1</f>
        <v>6.5580653763879226E-3</v>
      </c>
      <c r="I497" s="4">
        <f>(Raw_Stock_Data!I497/Raw_Stock_Data!I496)-1</f>
        <v>2.2798742138364858E-2</v>
      </c>
      <c r="J497" s="4">
        <f>(Raw_Stock_Data!J497/Raw_Stock_Data!J496)-1</f>
        <v>1.0240820479356927E-4</v>
      </c>
    </row>
    <row r="498" spans="1:10" x14ac:dyDescent="0.2">
      <c r="A498" s="2">
        <v>44916</v>
      </c>
      <c r="B498" s="4">
        <f>(Raw_Stock_Data!B498/Raw_Stock_Data!B497)-1</f>
        <v>2.3823407552902465E-2</v>
      </c>
      <c r="C498" s="4">
        <f>(Raw_Stock_Data!C498/Raw_Stock_Data!C497)-1</f>
        <v>1.0874454070459061E-2</v>
      </c>
      <c r="D498" s="4">
        <f>(Raw_Stock_Data!D498/Raw_Stock_Data!D497)-1</f>
        <v>2.586276620233563E-2</v>
      </c>
      <c r="E498" s="4">
        <f>(Raw_Stock_Data!E498/Raw_Stock_Data!E497)-1</f>
        <v>4.0430438124519741E-2</v>
      </c>
      <c r="F498" s="4">
        <f>(Raw_Stock_Data!F498/Raw_Stock_Data!F497)-1</f>
        <v>1.854677779082059E-2</v>
      </c>
      <c r="G498" s="4">
        <f>(Raw_Stock_Data!G498/Raw_Stock_Data!G497)-1</f>
        <v>-1.6690856313499314E-3</v>
      </c>
      <c r="H498" s="4">
        <f>(Raw_Stock_Data!H498/Raw_Stock_Data!H497)-1</f>
        <v>6.2909815735119334E-3</v>
      </c>
      <c r="I498" s="4">
        <f>(Raw_Stock_Data!I498/Raw_Stock_Data!I497)-1</f>
        <v>2.2802972072764494E-2</v>
      </c>
      <c r="J498" s="4">
        <f>(Raw_Stock_Data!J498/Raw_Stock_Data!J497)-1</f>
        <v>1.5384309066654334E-2</v>
      </c>
    </row>
    <row r="499" spans="1:10" x14ac:dyDescent="0.2">
      <c r="A499" s="2">
        <v>44917</v>
      </c>
      <c r="B499" s="4">
        <f>(Raw_Stock_Data!B499/Raw_Stock_Data!B498)-1</f>
        <v>-2.3793643537496356E-2</v>
      </c>
      <c r="C499" s="4">
        <f>(Raw_Stock_Data!C499/Raw_Stock_Data!C498)-1</f>
        <v>-2.5527685833569014E-2</v>
      </c>
      <c r="D499" s="4">
        <f>(Raw_Stock_Data!D499/Raw_Stock_Data!D498)-1</f>
        <v>-7.0422706046455286E-2</v>
      </c>
      <c r="E499" s="4">
        <f>(Raw_Stock_Data!E499/Raw_Stock_Data!E498)-1</f>
        <v>-5.6442080378250714E-2</v>
      </c>
      <c r="F499" s="4">
        <f>(Raw_Stock_Data!F499/Raw_Stock_Data!F498)-1</f>
        <v>-3.4343667166071068E-2</v>
      </c>
      <c r="G499" s="4">
        <f>(Raw_Stock_Data!G499/Raw_Stock_Data!G498)-1</f>
        <v>-8.8827505996946998E-2</v>
      </c>
      <c r="H499" s="4">
        <f>(Raw_Stock_Data!H499/Raw_Stock_Data!H498)-1</f>
        <v>-2.0316750395489858E-2</v>
      </c>
      <c r="I499" s="4">
        <f>(Raw_Stock_Data!I499/Raw_Stock_Data!I498)-1</f>
        <v>-2.2044088176352727E-2</v>
      </c>
      <c r="J499" s="4">
        <f>(Raw_Stock_Data!J499/Raw_Stock_Data!J498)-1</f>
        <v>-2.1779992660632685E-2</v>
      </c>
    </row>
    <row r="500" spans="1:10" x14ac:dyDescent="0.2">
      <c r="A500" s="2">
        <v>44918</v>
      </c>
      <c r="B500" s="4">
        <f>(Raw_Stock_Data!B500/Raw_Stock_Data!B499)-1</f>
        <v>-2.7943253700178916E-3</v>
      </c>
      <c r="C500" s="4">
        <f>(Raw_Stock_Data!C500/Raw_Stock_Data!C499)-1</f>
        <v>2.2701572467942466E-3</v>
      </c>
      <c r="D500" s="4">
        <f>(Raw_Stock_Data!D500/Raw_Stock_Data!D499)-1</f>
        <v>-8.663996137736607E-3</v>
      </c>
      <c r="E500" s="4">
        <f>(Raw_Stock_Data!E500/Raw_Stock_Data!E499)-1</f>
        <v>1.0335108048856734E-2</v>
      </c>
      <c r="F500" s="4">
        <f>(Raw_Stock_Data!F500/Raw_Stock_Data!F499)-1</f>
        <v>1.7424513665114993E-2</v>
      </c>
      <c r="G500" s="4">
        <f>(Raw_Stock_Data!G500/Raw_Stock_Data!G499)-1</f>
        <v>-1.7550857598723435E-2</v>
      </c>
      <c r="H500" s="4">
        <f>(Raw_Stock_Data!H500/Raw_Stock_Data!H499)-1</f>
        <v>1.6750340221630244E-2</v>
      </c>
      <c r="I500" s="4">
        <f>(Raw_Stock_Data!I500/Raw_Stock_Data!I499)-1</f>
        <v>7.8551912568305404E-3</v>
      </c>
      <c r="J500" s="4">
        <f>(Raw_Stock_Data!J500/Raw_Stock_Data!J499)-1</f>
        <v>2.0751957785898334E-3</v>
      </c>
    </row>
    <row r="501" spans="1:10" x14ac:dyDescent="0.2">
      <c r="A501" s="2">
        <v>44922</v>
      </c>
      <c r="B501" s="4">
        <f>(Raw_Stock_Data!B501/Raw_Stock_Data!B500)-1</f>
        <v>-1.3872209391839863E-2</v>
      </c>
      <c r="C501" s="4">
        <f>(Raw_Stock_Data!C501/Raw_Stock_Data!C500)-1</f>
        <v>-7.4251629576331801E-3</v>
      </c>
      <c r="D501" s="4">
        <f>(Raw_Stock_Data!D501/Raw_Stock_Data!D500)-1</f>
        <v>-7.136558078315236E-2</v>
      </c>
      <c r="E501" s="4">
        <f>(Raw_Stock_Data!E501/Raw_Stock_Data!E500)-1</f>
        <v>-1.9373837569745755E-2</v>
      </c>
      <c r="F501" s="4">
        <f>(Raw_Stock_Data!F501/Raw_Stock_Data!F500)-1</f>
        <v>-2.5923753665689109E-2</v>
      </c>
      <c r="G501" s="4">
        <f>(Raw_Stock_Data!G501/Raw_Stock_Data!G500)-1</f>
        <v>-0.11408850994721897</v>
      </c>
      <c r="H501" s="4">
        <f>(Raw_Stock_Data!H501/Raw_Stock_Data!H500)-1</f>
        <v>-2.0621385999188058E-2</v>
      </c>
      <c r="I501" s="4">
        <f>(Raw_Stock_Data!I501/Raw_Stock_Data!I500)-1</f>
        <v>-9.8271772280583702E-3</v>
      </c>
      <c r="J501" s="4">
        <f>(Raw_Stock_Data!J501/Raw_Stock_Data!J500)-1</f>
        <v>-1.3777093617175384E-2</v>
      </c>
    </row>
    <row r="502" spans="1:10" x14ac:dyDescent="0.2">
      <c r="A502" s="2">
        <v>44923</v>
      </c>
      <c r="B502" s="4">
        <f>(Raw_Stock_Data!B502/Raw_Stock_Data!B501)-1</f>
        <v>-3.0687442426892031E-2</v>
      </c>
      <c r="C502" s="4">
        <f>(Raw_Stock_Data!C502/Raw_Stock_Data!C501)-1</f>
        <v>-1.0251658924305018E-2</v>
      </c>
      <c r="D502" s="4">
        <f>(Raw_Stock_Data!D502/Raw_Stock_Data!D501)-1</f>
        <v>-6.0238402335831553E-3</v>
      </c>
      <c r="E502" s="4">
        <f>(Raw_Stock_Data!E502/Raw_Stock_Data!E501)-1</f>
        <v>-1.1063695274221685E-2</v>
      </c>
      <c r="F502" s="4">
        <f>(Raw_Stock_Data!F502/Raw_Stock_Data!F501)-1</f>
        <v>-1.4691714836223668E-2</v>
      </c>
      <c r="G502" s="4">
        <f>(Raw_Stock_Data!G502/Raw_Stock_Data!G501)-1</f>
        <v>3.3088909257561916E-2</v>
      </c>
      <c r="H502" s="4">
        <f>(Raw_Stock_Data!H502/Raw_Stock_Data!H501)-1</f>
        <v>-1.5676267279782885E-2</v>
      </c>
      <c r="I502" s="4">
        <f>(Raw_Stock_Data!I502/Raw_Stock_Data!I501)-1</f>
        <v>-1.0780287474332573E-2</v>
      </c>
      <c r="J502" s="4">
        <f>(Raw_Stock_Data!J502/Raw_Stock_Data!J501)-1</f>
        <v>-1.3516554737023956E-2</v>
      </c>
    </row>
    <row r="503" spans="1:10" x14ac:dyDescent="0.2">
      <c r="A503" s="2">
        <v>44924</v>
      </c>
      <c r="B503" s="4">
        <f>(Raw_Stock_Data!B503/Raw_Stock_Data!B502)-1</f>
        <v>2.8316702505496671E-2</v>
      </c>
      <c r="C503" s="4">
        <f>(Raw_Stock_Data!C503/Raw_Stock_Data!C502)-1</f>
        <v>2.7632474224570158E-2</v>
      </c>
      <c r="D503" s="4">
        <f>(Raw_Stock_Data!D503/Raw_Stock_Data!D502)-1</f>
        <v>4.0411818389231025E-2</v>
      </c>
      <c r="E503" s="4">
        <f>(Raw_Stock_Data!E503/Raw_Stock_Data!E502)-1</f>
        <v>3.5959725107879148E-2</v>
      </c>
      <c r="F503" s="4">
        <f>(Raw_Stock_Data!F503/Raw_Stock_Data!F502)-1</f>
        <v>2.8843803471034102E-2</v>
      </c>
      <c r="G503" s="4">
        <f>(Raw_Stock_Data!G503/Raw_Stock_Data!G502)-1</f>
        <v>8.0826900896105114E-2</v>
      </c>
      <c r="H503" s="4">
        <f>(Raw_Stock_Data!H503/Raw_Stock_Data!H502)-1</f>
        <v>2.8248976482132093E-2</v>
      </c>
      <c r="I503" s="4">
        <f>(Raw_Stock_Data!I503/Raw_Stock_Data!I502)-1</f>
        <v>4.0131465144438661E-2</v>
      </c>
      <c r="J503" s="4">
        <f>(Raw_Stock_Data!J503/Raw_Stock_Data!J502)-1</f>
        <v>2.5927002953994194E-2</v>
      </c>
    </row>
    <row r="504" spans="1:10" x14ac:dyDescent="0.2">
      <c r="A504" s="2">
        <v>44925</v>
      </c>
      <c r="B504" s="4">
        <f>(Raw_Stock_Data!B504/Raw_Stock_Data!B503)-1</f>
        <v>2.4827110891818549E-3</v>
      </c>
      <c r="C504" s="4">
        <f>(Raw_Stock_Data!C504/Raw_Stock_Data!C503)-1</f>
        <v>-4.9342313353210043E-3</v>
      </c>
      <c r="D504" s="4">
        <f>(Raw_Stock_Data!D504/Raw_Stock_Data!D503)-1</f>
        <v>7.5381705545352062E-4</v>
      </c>
      <c r="E504" s="4">
        <f>(Raw_Stock_Data!E504/Raw_Stock_Data!E503)-1</f>
        <v>-7.7136686207956995E-4</v>
      </c>
      <c r="F504" s="4">
        <f>(Raw_Stock_Data!F504/Raw_Stock_Data!F503)-1</f>
        <v>-2.1382751247327469E-3</v>
      </c>
      <c r="G504" s="4">
        <f>(Raw_Stock_Data!G504/Raw_Stock_Data!G503)-1</f>
        <v>1.1164012477425933E-2</v>
      </c>
      <c r="H504" s="4">
        <f>(Raw_Stock_Data!H504/Raw_Stock_Data!H503)-1</f>
        <v>-2.4872206557321475E-3</v>
      </c>
      <c r="I504" s="4">
        <f>(Raw_Stock_Data!I504/Raw_Stock_Data!I503)-1</f>
        <v>6.6522534508561826E-4</v>
      </c>
      <c r="J504" s="4">
        <f>(Raw_Stock_Data!J504/Raw_Stock_Data!J503)-1</f>
        <v>-1.1080263674010382E-3</v>
      </c>
    </row>
    <row r="505" spans="1:10" x14ac:dyDescent="0.2">
      <c r="A505" s="2">
        <v>44929</v>
      </c>
      <c r="B505" s="4">
        <f>(Raw_Stock_Data!B505/Raw_Stock_Data!B504)-1</f>
        <v>-3.7406249999999974E-2</v>
      </c>
      <c r="C505" s="4">
        <f>(Raw_Stock_Data!C505/Raw_Stock_Data!C504)-1</f>
        <v>-1.0086925564423144E-3</v>
      </c>
      <c r="D505" s="4">
        <f>(Raw_Stock_Data!D505/Raw_Stock_Data!D504)-1</f>
        <v>-2.0467836257309968E-2</v>
      </c>
      <c r="E505" s="4">
        <f>(Raw_Stock_Data!E505/Raw_Stock_Data!E504)-1</f>
        <v>-1.1579434923575715E-2</v>
      </c>
      <c r="F505" s="4">
        <f>(Raw_Stock_Data!F505/Raw_Stock_Data!F504)-1</f>
        <v>2.1666666666666501E-2</v>
      </c>
      <c r="G505" s="4">
        <f>(Raw_Stock_Data!G505/Raw_Stock_Data!G504)-1</f>
        <v>-0.12242247118038652</v>
      </c>
      <c r="H505" s="4">
        <f>(Raw_Stock_Data!H505/Raw_Stock_Data!H504)-1</f>
        <v>1.0086302898489885E-2</v>
      </c>
      <c r="I505" s="4">
        <f>(Raw_Stock_Data!I505/Raw_Stock_Data!I504)-1</f>
        <v>3.6563071297988969E-2</v>
      </c>
      <c r="J505" s="4">
        <f>(Raw_Stock_Data!J505/Raw_Stock_Data!J504)-1</f>
        <v>-7.5956768655747187E-3</v>
      </c>
    </row>
    <row r="506" spans="1:10" x14ac:dyDescent="0.2">
      <c r="A506" s="2">
        <v>44930</v>
      </c>
      <c r="B506" s="4">
        <f>(Raw_Stock_Data!B506/Raw_Stock_Data!B505)-1</f>
        <v>1.0299321494659619E-2</v>
      </c>
      <c r="C506" s="4">
        <f>(Raw_Stock_Data!C506/Raw_Stock_Data!C505)-1</f>
        <v>-4.3735761165155762E-2</v>
      </c>
      <c r="D506" s="4">
        <f>(Raw_Stock_Data!D506/Raw_Stock_Data!D505)-1</f>
        <v>3.0326121150686891E-2</v>
      </c>
      <c r="E506" s="4">
        <f>(Raw_Stock_Data!E506/Raw_Stock_Data!E505)-1</f>
        <v>9.9968759762574244E-3</v>
      </c>
      <c r="F506" s="4">
        <f>(Raw_Stock_Data!F506/Raw_Stock_Data!F505)-1</f>
        <v>-7.9235609415053698E-3</v>
      </c>
      <c r="G506" s="4">
        <f>(Raw_Stock_Data!G506/Raw_Stock_Data!G505)-1</f>
        <v>5.1248843663274757E-2</v>
      </c>
      <c r="H506" s="4">
        <f>(Raw_Stock_Data!H506/Raw_Stock_Data!H505)-1</f>
        <v>-1.1669181738327539E-2</v>
      </c>
      <c r="I506" s="4">
        <f>(Raw_Stock_Data!I506/Raw_Stock_Data!I505)-1</f>
        <v>2.1083854417187853E-2</v>
      </c>
      <c r="J506" s="4">
        <f>(Raw_Stock_Data!J506/Raw_Stock_Data!J505)-1</f>
        <v>6.9105745847204414E-3</v>
      </c>
    </row>
    <row r="507" spans="1:10" x14ac:dyDescent="0.2">
      <c r="A507" s="2">
        <v>44931</v>
      </c>
      <c r="B507" s="4">
        <f>(Raw_Stock_Data!B507/Raw_Stock_Data!B506)-1</f>
        <v>-1.0587961214964525E-2</v>
      </c>
      <c r="C507" s="4">
        <f>(Raw_Stock_Data!C507/Raw_Stock_Data!C506)-1</f>
        <v>-2.9640375861793578E-2</v>
      </c>
      <c r="D507" s="4">
        <f>(Raw_Stock_Data!D507/Raw_Stock_Data!D506)-1</f>
        <v>-3.2826038281212888E-2</v>
      </c>
      <c r="E507" s="4">
        <f>(Raw_Stock_Data!E507/Raw_Stock_Data!E506)-1</f>
        <v>-3.6034642746674894E-2</v>
      </c>
      <c r="F507" s="4">
        <f>(Raw_Stock_Data!F507/Raw_Stock_Data!F506)-1</f>
        <v>-2.3725628376791152E-2</v>
      </c>
      <c r="G507" s="4">
        <f>(Raw_Stock_Data!G507/Raw_Stock_Data!G506)-1</f>
        <v>-2.9039070749735996E-2</v>
      </c>
      <c r="H507" s="4">
        <f>(Raw_Stock_Data!H507/Raw_Stock_Data!H506)-1</f>
        <v>-2.1342998890177656E-2</v>
      </c>
      <c r="I507" s="4">
        <f>(Raw_Stock_Data!I507/Raw_Stock_Data!I506)-1</f>
        <v>-3.3759912067206077E-3</v>
      </c>
      <c r="J507" s="4">
        <f>(Raw_Stock_Data!J507/Raw_Stock_Data!J506)-1</f>
        <v>-1.4678604346978097E-2</v>
      </c>
    </row>
    <row r="508" spans="1:10" x14ac:dyDescent="0.2">
      <c r="A508" s="2">
        <v>44932</v>
      </c>
      <c r="B508" s="4">
        <f>(Raw_Stock_Data!B508/Raw_Stock_Data!B507)-1</f>
        <v>3.6780526619195619E-2</v>
      </c>
      <c r="C508" s="4">
        <f>(Raw_Stock_Data!C508/Raw_Stock_Data!C507)-1</f>
        <v>1.1777561368135681E-2</v>
      </c>
      <c r="D508" s="4">
        <f>(Raw_Stock_Data!D508/Raw_Stock_Data!D507)-1</f>
        <v>4.1657020589989102E-2</v>
      </c>
      <c r="E508" s="4">
        <f>(Raw_Stock_Data!E508/Raw_Stock_Data!E507)-1</f>
        <v>2.6151131076528111E-2</v>
      </c>
      <c r="F508" s="4">
        <f>(Raw_Stock_Data!F508/Raw_Stock_Data!F507)-1</f>
        <v>3.5611164581328181E-2</v>
      </c>
      <c r="G508" s="4">
        <f>(Raw_Stock_Data!G508/Raw_Stock_Data!G507)-1</f>
        <v>2.465107848468362E-2</v>
      </c>
      <c r="H508" s="4">
        <f>(Raw_Stock_Data!H508/Raw_Stock_Data!H507)-1</f>
        <v>1.3225255475982411E-2</v>
      </c>
      <c r="I508" s="4">
        <f>(Raw_Stock_Data!I508/Raw_Stock_Data!I507)-1</f>
        <v>2.4263431542461023E-2</v>
      </c>
      <c r="J508" s="4">
        <f>(Raw_Stock_Data!J508/Raw_Stock_Data!J507)-1</f>
        <v>2.5622886997294758E-2</v>
      </c>
    </row>
    <row r="509" spans="1:10" x14ac:dyDescent="0.2">
      <c r="A509" s="2">
        <v>44935</v>
      </c>
      <c r="B509" s="4">
        <f>(Raw_Stock_Data!B509/Raw_Stock_Data!B508)-1</f>
        <v>4.0957609265974693E-3</v>
      </c>
      <c r="C509" s="4">
        <f>(Raw_Stock_Data!C509/Raw_Stock_Data!C508)-1</f>
        <v>9.7380443476413614E-3</v>
      </c>
      <c r="D509" s="4">
        <f>(Raw_Stock_Data!D509/Raw_Stock_Data!D508)-1</f>
        <v>5.1743297212475392E-2</v>
      </c>
      <c r="E509" s="4">
        <f>(Raw_Stock_Data!E509/Raw_Stock_Data!E508)-1</f>
        <v>5.12820512820511E-2</v>
      </c>
      <c r="F509" s="4">
        <f>(Raw_Stock_Data!F509/Raw_Stock_Data!F508)-1</f>
        <v>1.4869888475836479E-2</v>
      </c>
      <c r="G509" s="4">
        <f>(Raw_Stock_Data!G509/Raw_Stock_Data!G508)-1</f>
        <v>5.934901822041394E-2</v>
      </c>
      <c r="H509" s="4">
        <f>(Raw_Stock_Data!H509/Raw_Stock_Data!H508)-1</f>
        <v>7.7851550021488247E-3</v>
      </c>
      <c r="I509" s="4">
        <f>(Raw_Stock_Data!I509/Raw_Stock_Data!I508)-1</f>
        <v>-4.2301184433165551E-3</v>
      </c>
      <c r="J509" s="4">
        <f>(Raw_Stock_Data!J509/Raw_Stock_Data!J508)-1</f>
        <v>6.2785674345200437E-3</v>
      </c>
    </row>
    <row r="510" spans="1:10" x14ac:dyDescent="0.2">
      <c r="A510" s="2">
        <v>44936</v>
      </c>
      <c r="B510" s="4">
        <f>(Raw_Stock_Data!B510/Raw_Stock_Data!B509)-1</f>
        <v>4.461221688400796E-3</v>
      </c>
      <c r="C510" s="4">
        <f>(Raw_Stock_Data!C510/Raw_Stock_Data!C509)-1</f>
        <v>7.6168483611693816E-3</v>
      </c>
      <c r="D510" s="4">
        <f>(Raw_Stock_Data!D510/Raw_Stock_Data!D509)-1</f>
        <v>1.79872699563286E-2</v>
      </c>
      <c r="E510" s="4">
        <f>(Raw_Stock_Data!E510/Raw_Stock_Data!E509)-1</f>
        <v>1.2046400951814418E-2</v>
      </c>
      <c r="F510" s="4">
        <f>(Raw_Stock_Data!F510/Raw_Stock_Data!F509)-1</f>
        <v>2.8731684981684991E-2</v>
      </c>
      <c r="G510" s="4">
        <f>(Raw_Stock_Data!G510/Raw_Stock_Data!G509)-1</f>
        <v>-7.681389329548316E-3</v>
      </c>
      <c r="H510" s="4">
        <f>(Raw_Stock_Data!H510/Raw_Stock_Data!H509)-1</f>
        <v>4.5437908556351658E-3</v>
      </c>
      <c r="I510" s="4">
        <f>(Raw_Stock_Data!I510/Raw_Stock_Data!I509)-1</f>
        <v>2.7187765505522599E-2</v>
      </c>
      <c r="J510" s="4">
        <f>(Raw_Stock_Data!J510/Raw_Stock_Data!J509)-1</f>
        <v>1.0058623591411964E-2</v>
      </c>
    </row>
    <row r="511" spans="1:10" x14ac:dyDescent="0.2">
      <c r="A511" s="2">
        <v>44937</v>
      </c>
      <c r="B511" s="4">
        <f>(Raw_Stock_Data!B511/Raw_Stock_Data!B510)-1</f>
        <v>2.1112215423797265E-2</v>
      </c>
      <c r="C511" s="4">
        <f>(Raw_Stock_Data!C511/Raw_Stock_Data!C510)-1</f>
        <v>3.0245964983966589E-2</v>
      </c>
      <c r="D511" s="4">
        <f>(Raw_Stock_Data!D511/Raw_Stock_Data!D510)-1</f>
        <v>5.774492844786927E-3</v>
      </c>
      <c r="E511" s="4">
        <f>(Raw_Stock_Data!E511/Raw_Stock_Data!E510)-1</f>
        <v>1.4842027920646705E-2</v>
      </c>
      <c r="F511" s="4">
        <f>(Raw_Stock_Data!F511/Raw_Stock_Data!F510)-1</f>
        <v>5.8083898965171965E-2</v>
      </c>
      <c r="G511" s="4">
        <f>(Raw_Stock_Data!G511/Raw_Stock_Data!G510)-1</f>
        <v>3.6769036600757365E-2</v>
      </c>
      <c r="H511" s="4">
        <f>(Raw_Stock_Data!H511/Raw_Stock_Data!H510)-1</f>
        <v>3.5061055202802116E-2</v>
      </c>
      <c r="I511" s="4">
        <f>(Raw_Stock_Data!I511/Raw_Stock_Data!I510)-1</f>
        <v>-7.5193623580738223E-4</v>
      </c>
      <c r="J511" s="4">
        <f>(Raw_Stock_Data!J511/Raw_Stock_Data!J510)-1</f>
        <v>1.7597180578685201E-2</v>
      </c>
    </row>
    <row r="512" spans="1:10" x14ac:dyDescent="0.2">
      <c r="A512" s="2">
        <v>44938</v>
      </c>
      <c r="B512" s="4">
        <f>(Raw_Stock_Data!B512/Raw_Stock_Data!B511)-1</f>
        <v>-5.9312432037839091E-4</v>
      </c>
      <c r="C512" s="4">
        <f>(Raw_Stock_Data!C512/Raw_Stock_Data!C511)-1</f>
        <v>1.1613871117932106E-2</v>
      </c>
      <c r="D512" s="4">
        <f>(Raw_Stock_Data!D512/Raw_Stock_Data!D511)-1</f>
        <v>3.1871313941198132E-2</v>
      </c>
      <c r="E512" s="4">
        <f>(Raw_Stock_Data!E512/Raw_Stock_Data!E511)-1</f>
        <v>2.5195482189400487E-2</v>
      </c>
      <c r="F512" s="4">
        <f>(Raw_Stock_Data!F512/Raw_Stock_Data!F511)-1</f>
        <v>1.8929435271846096E-3</v>
      </c>
      <c r="G512" s="4">
        <f>(Raw_Stock_Data!G512/Raw_Stock_Data!G511)-1</f>
        <v>2.7592923226749111E-3</v>
      </c>
      <c r="H512" s="4">
        <f>(Raw_Stock_Data!H512/Raw_Stock_Data!H511)-1</f>
        <v>-4.2625521578690817E-3</v>
      </c>
      <c r="I512" s="4">
        <f>(Raw_Stock_Data!I512/Raw_Stock_Data!I511)-1</f>
        <v>2.8745579050342585E-2</v>
      </c>
      <c r="J512" s="4">
        <f>(Raw_Stock_Data!J512/Raw_Stock_Data!J511)-1</f>
        <v>6.3512711232593944E-3</v>
      </c>
    </row>
    <row r="513" spans="1:10" x14ac:dyDescent="0.2">
      <c r="A513" s="2">
        <v>44939</v>
      </c>
      <c r="B513" s="4">
        <f>(Raw_Stock_Data!B513/Raw_Stock_Data!B512)-1</f>
        <v>1.0104314877234177E-2</v>
      </c>
      <c r="C513" s="4">
        <f>(Raw_Stock_Data!C513/Raw_Stock_Data!C512)-1</f>
        <v>3.0214184046570836E-3</v>
      </c>
      <c r="D513" s="4">
        <f>(Raw_Stock_Data!D513/Raw_Stock_Data!D512)-1</f>
        <v>2.350459727618226E-2</v>
      </c>
      <c r="E513" s="4">
        <f>(Raw_Stock_Data!E513/Raw_Stock_Data!E512)-1</f>
        <v>2.8248587570622874E-3</v>
      </c>
      <c r="F513" s="4">
        <f>(Raw_Stock_Data!F513/Raw_Stock_Data!F512)-1</f>
        <v>2.9914978482208587E-2</v>
      </c>
      <c r="G513" s="4">
        <f>(Raw_Stock_Data!G513/Raw_Stock_Data!G512)-1</f>
        <v>-9.3881515053415576E-3</v>
      </c>
      <c r="H513" s="4">
        <f>(Raw_Stock_Data!H513/Raw_Stock_Data!H512)-1</f>
        <v>1.08644417229804E-2</v>
      </c>
      <c r="I513" s="4">
        <f>(Raw_Stock_Data!I513/Raw_Stock_Data!I512)-1</f>
        <v>1.9749835418036987E-3</v>
      </c>
      <c r="J513" s="4">
        <f>(Raw_Stock_Data!J513/Raw_Stock_Data!J512)-1</f>
        <v>7.0956540709565807E-3</v>
      </c>
    </row>
    <row r="514" spans="1:10" x14ac:dyDescent="0.2">
      <c r="A514" s="2">
        <v>44943</v>
      </c>
      <c r="B514" s="4">
        <f>(Raw_Stock_Data!B514/Raw_Stock_Data!B513)-1</f>
        <v>8.7603666849958017E-3</v>
      </c>
      <c r="C514" s="4">
        <f>(Raw_Stock_Data!C514/Raw_Stock_Data!C513)-1</f>
        <v>4.6862984190647605E-3</v>
      </c>
      <c r="D514" s="4">
        <f>(Raw_Stock_Data!D514/Raw_Stock_Data!D513)-1</f>
        <v>4.7516684728218017E-2</v>
      </c>
      <c r="E514" s="4">
        <f>(Raw_Stock_Data!E514/Raw_Stock_Data!E513)-1</f>
        <v>8.3098591549295442E-3</v>
      </c>
      <c r="F514" s="4">
        <f>(Raw_Stock_Data!F514/Raw_Stock_Data!F513)-1</f>
        <v>-2.1096616388096234E-2</v>
      </c>
      <c r="G514" s="4">
        <f>(Raw_Stock_Data!G514/Raw_Stock_Data!G513)-1</f>
        <v>7.4264705882352899E-2</v>
      </c>
      <c r="H514" s="4">
        <f>(Raw_Stock_Data!H514/Raw_Stock_Data!H513)-1</f>
        <v>-9.00996107304608E-3</v>
      </c>
      <c r="I514" s="4">
        <f>(Raw_Stock_Data!I514/Raw_Stock_Data!I513)-1</f>
        <v>-1.1826544021024787E-2</v>
      </c>
      <c r="J514" s="4">
        <f>(Raw_Stock_Data!J514/Raw_Stock_Data!J513)-1</f>
        <v>1.4396398282903178E-3</v>
      </c>
    </row>
    <row r="515" spans="1:10" x14ac:dyDescent="0.2">
      <c r="A515" s="2">
        <v>44944</v>
      </c>
      <c r="B515" s="4">
        <f>(Raw_Stock_Data!B515/Raw_Stock_Data!B514)-1</f>
        <v>-5.3614097968935903E-3</v>
      </c>
      <c r="C515" s="4">
        <f>(Raw_Stock_Data!C515/Raw_Stock_Data!C514)-1</f>
        <v>-1.8886116632130912E-2</v>
      </c>
      <c r="D515" s="4">
        <f>(Raw_Stock_Data!D515/Raw_Stock_Data!D514)-1</f>
        <v>-1.8355936706785481E-2</v>
      </c>
      <c r="E515" s="4">
        <f>(Raw_Stock_Data!E515/Raw_Stock_Data!E514)-1</f>
        <v>-1.4806537225869554E-2</v>
      </c>
      <c r="F515" s="4">
        <f>(Raw_Stock_Data!F515/Raw_Stock_Data!F514)-1</f>
        <v>-6.1426340447683359E-3</v>
      </c>
      <c r="G515" s="4">
        <f>(Raw_Stock_Data!G515/Raw_Stock_Data!G514)-1</f>
        <v>-2.0609932314244461E-2</v>
      </c>
      <c r="H515" s="4">
        <f>(Raw_Stock_Data!H515/Raw_Stock_Data!H514)-1</f>
        <v>-1.8634503184355999E-3</v>
      </c>
      <c r="I515" s="4">
        <f>(Raw_Stock_Data!I515/Raw_Stock_Data!I514)-1</f>
        <v>-1.7287234042553168E-2</v>
      </c>
      <c r="J515" s="4">
        <f>(Raw_Stock_Data!J515/Raw_Stock_Data!J514)-1</f>
        <v>-1.2446924816428173E-2</v>
      </c>
    </row>
    <row r="516" spans="1:10" x14ac:dyDescent="0.2">
      <c r="A516" s="2">
        <v>44945</v>
      </c>
      <c r="B516" s="4">
        <f>(Raw_Stock_Data!B516/Raw_Stock_Data!B515)-1</f>
        <v>4.4293629224778641E-4</v>
      </c>
      <c r="C516" s="4">
        <f>(Raw_Stock_Data!C516/Raw_Stock_Data!C515)-1</f>
        <v>-1.6460923087532886E-2</v>
      </c>
      <c r="D516" s="4">
        <f>(Raw_Stock_Data!D516/Raw_Stock_Data!D515)-1</f>
        <v>-3.5221487641381222E-2</v>
      </c>
      <c r="E516" s="4">
        <f>(Raw_Stock_Data!E516/Raw_Stock_Data!E515)-1</f>
        <v>-3.998298596341987E-2</v>
      </c>
      <c r="F516" s="4">
        <f>(Raw_Stock_Data!F516/Raw_Stock_Data!F515)-1</f>
        <v>-1.8646553530274335E-2</v>
      </c>
      <c r="G516" s="4">
        <f>(Raw_Stock_Data!G516/Raw_Stock_Data!G515)-1</f>
        <v>-1.2501941295232188E-2</v>
      </c>
      <c r="H516" s="4">
        <f>(Raw_Stock_Data!H516/Raw_Stock_Data!H515)-1</f>
        <v>2.1180560144860472E-2</v>
      </c>
      <c r="I516" s="4">
        <f>(Raw_Stock_Data!I516/Raw_Stock_Data!I515)-1</f>
        <v>2.3530296196060618E-2</v>
      </c>
      <c r="J516" s="4">
        <f>(Raw_Stock_Data!J516/Raw_Stock_Data!J515)-1</f>
        <v>-9.5591771842865603E-3</v>
      </c>
    </row>
    <row r="517" spans="1:10" x14ac:dyDescent="0.2">
      <c r="A517" s="2">
        <v>44946</v>
      </c>
      <c r="B517" s="4">
        <f>(Raw_Stock_Data!B517/Raw_Stock_Data!B516)-1</f>
        <v>1.9217925724705598E-2</v>
      </c>
      <c r="C517" s="4">
        <f>(Raw_Stock_Data!C517/Raw_Stock_Data!C516)-1</f>
        <v>3.5742927887459697E-2</v>
      </c>
      <c r="D517" s="4">
        <f>(Raw_Stock_Data!D517/Raw_Stock_Data!D516)-1</f>
        <v>6.4066902249176216E-2</v>
      </c>
      <c r="E517" s="4">
        <f>(Raw_Stock_Data!E517/Raw_Stock_Data!E516)-1</f>
        <v>3.4854526657805307E-2</v>
      </c>
      <c r="F517" s="4">
        <f>(Raw_Stock_Data!F517/Raw_Stock_Data!F516)-1</f>
        <v>3.8108454312553386E-2</v>
      </c>
      <c r="G517" s="4">
        <f>(Raw_Stock_Data!G517/Raw_Stock_Data!G516)-1</f>
        <v>4.9146811354879194E-2</v>
      </c>
      <c r="H517" s="4">
        <f>(Raw_Stock_Data!H517/Raw_Stock_Data!H516)-1</f>
        <v>5.3413839148001685E-2</v>
      </c>
      <c r="I517" s="4">
        <f>(Raw_Stock_Data!I517/Raw_Stock_Data!I516)-1</f>
        <v>2.3650385604113033E-2</v>
      </c>
      <c r="J517" s="4">
        <f>(Raw_Stock_Data!J517/Raw_Stock_Data!J516)-1</f>
        <v>2.6552970023782985E-2</v>
      </c>
    </row>
    <row r="518" spans="1:10" x14ac:dyDescent="0.2">
      <c r="A518" s="2">
        <v>44949</v>
      </c>
      <c r="B518" s="4">
        <f>(Raw_Stock_Data!B518/Raw_Stock_Data!B517)-1</f>
        <v>2.3479259619207493E-2</v>
      </c>
      <c r="C518" s="4">
        <f>(Raw_Stock_Data!C518/Raw_Stock_Data!C517)-1</f>
        <v>9.8247870661458681E-3</v>
      </c>
      <c r="D518" s="4">
        <f>(Raw_Stock_Data!D518/Raw_Stock_Data!D517)-1</f>
        <v>7.589433471146223E-2</v>
      </c>
      <c r="E518" s="4">
        <f>(Raw_Stock_Data!E518/Raw_Stock_Data!E517)-1</f>
        <v>9.2193520764949355E-2</v>
      </c>
      <c r="F518" s="4">
        <f>(Raw_Stock_Data!F518/Raw_Stock_Data!F517)-1</f>
        <v>2.7763496143957678E-3</v>
      </c>
      <c r="G518" s="4">
        <f>(Raw_Stock_Data!G518/Raw_Stock_Data!G517)-1</f>
        <v>7.7424673961924873E-2</v>
      </c>
      <c r="H518" s="4">
        <f>(Raw_Stock_Data!H518/Raw_Stock_Data!H517)-1</f>
        <v>1.805643724530559E-2</v>
      </c>
      <c r="I518" s="4">
        <f>(Raw_Stock_Data!I518/Raw_Stock_Data!I517)-1</f>
        <v>2.7983066657099931E-2</v>
      </c>
      <c r="J518" s="4">
        <f>(Raw_Stock_Data!J518/Raw_Stock_Data!J517)-1</f>
        <v>2.01051485445356E-2</v>
      </c>
    </row>
    <row r="519" spans="1:10" x14ac:dyDescent="0.2">
      <c r="A519" s="2">
        <v>44950</v>
      </c>
      <c r="B519" s="4">
        <f>(Raw_Stock_Data!B519/Raw_Stock_Data!B518)-1</f>
        <v>1.0063951773600754E-2</v>
      </c>
      <c r="C519" s="4">
        <f>(Raw_Stock_Data!C519/Raw_Stock_Data!C518)-1</f>
        <v>-2.2290845250416691E-3</v>
      </c>
      <c r="D519" s="4">
        <f>(Raw_Stock_Data!D519/Raw_Stock_Data!D518)-1</f>
        <v>3.7541060534962423E-3</v>
      </c>
      <c r="E519" s="4">
        <f>(Raw_Stock_Data!E519/Raw_Stock_Data!E518)-1</f>
        <v>-2.3912191297530305E-2</v>
      </c>
      <c r="F519" s="4">
        <f>(Raw_Stock_Data!F519/Raw_Stock_Data!F518)-1</f>
        <v>-1.2305168170631653E-2</v>
      </c>
      <c r="G519" s="4">
        <f>(Raw_Stock_Data!G519/Raw_Stock_Data!G518)-1</f>
        <v>9.7391304347826946E-4</v>
      </c>
      <c r="H519" s="4">
        <f>(Raw_Stock_Data!H519/Raw_Stock_Data!H518)-1</f>
        <v>-2.0943482568050786E-2</v>
      </c>
      <c r="I519" s="4">
        <f>(Raw_Stock_Data!I519/Raw_Stock_Data!I518)-1</f>
        <v>-9.0737767850923579E-4</v>
      </c>
      <c r="J519" s="4">
        <f>(Raw_Stock_Data!J519/Raw_Stock_Data!J518)-1</f>
        <v>-2.6521394423467681E-3</v>
      </c>
    </row>
    <row r="520" spans="1:10" x14ac:dyDescent="0.2">
      <c r="A520" s="2">
        <v>44951</v>
      </c>
      <c r="B520" s="4">
        <f>(Raw_Stock_Data!B520/Raw_Stock_Data!B519)-1</f>
        <v>-4.6933979061319908E-3</v>
      </c>
      <c r="C520" s="4">
        <f>(Raw_Stock_Data!C520/Raw_Stock_Data!C519)-1</f>
        <v>-5.9085125414163331E-3</v>
      </c>
      <c r="D520" s="4">
        <f>(Raw_Stock_Data!D520/Raw_Stock_Data!D519)-1</f>
        <v>3.0076359669628516E-3</v>
      </c>
      <c r="E520" s="4">
        <f>(Raw_Stock_Data!E520/Raw_Stock_Data!E519)-1</f>
        <v>2.8112449799195804E-3</v>
      </c>
      <c r="F520" s="4">
        <f>(Raw_Stock_Data!F520/Raw_Stock_Data!F519)-1</f>
        <v>8.9285714285716189E-3</v>
      </c>
      <c r="G520" s="4">
        <f>(Raw_Stock_Data!G520/Raw_Stock_Data!G519)-1</f>
        <v>3.7528667732296128E-3</v>
      </c>
      <c r="H520" s="4">
        <f>(Raw_Stock_Data!H520/Raw_Stock_Data!H519)-1</f>
        <v>-2.5383396115549406E-2</v>
      </c>
      <c r="I520" s="4">
        <f>(Raw_Stock_Data!I520/Raw_Stock_Data!I519)-1</f>
        <v>-1.1457314517255734E-2</v>
      </c>
      <c r="J520" s="4">
        <f>(Raw_Stock_Data!J520/Raw_Stock_Data!J519)-1</f>
        <v>-1.8448475287777821E-3</v>
      </c>
    </row>
    <row r="521" spans="1:10" x14ac:dyDescent="0.2">
      <c r="A521" s="2">
        <v>44952</v>
      </c>
      <c r="B521" s="4">
        <f>(Raw_Stock_Data!B521/Raw_Stock_Data!B520)-1</f>
        <v>1.4812058589920518E-2</v>
      </c>
      <c r="C521" s="4">
        <f>(Raw_Stock_Data!C521/Raw_Stock_Data!C520)-1</f>
        <v>3.0710870042750305E-2</v>
      </c>
      <c r="D521" s="4">
        <f>(Raw_Stock_Data!D521/Raw_Stock_Data!D520)-1</f>
        <v>2.47968553361404E-2</v>
      </c>
      <c r="E521" s="4">
        <f>(Raw_Stock_Data!E521/Raw_Stock_Data!E520)-1</f>
        <v>3.3373381391001988E-3</v>
      </c>
      <c r="F521" s="4">
        <f>(Raw_Stock_Data!F521/Raw_Stock_Data!F520)-1</f>
        <v>2.0991973657131124E-2</v>
      </c>
      <c r="G521" s="4">
        <f>(Raw_Stock_Data!G521/Raw_Stock_Data!G520)-1</f>
        <v>0.10967250571210974</v>
      </c>
      <c r="H521" s="4">
        <f>(Raw_Stock_Data!H521/Raw_Stock_Data!H520)-1</f>
        <v>2.4153606651200921E-2</v>
      </c>
      <c r="I521" s="4">
        <f>(Raw_Stock_Data!I521/Raw_Stock_Data!I520)-1</f>
        <v>4.0989399293286377E-2</v>
      </c>
      <c r="J521" s="4">
        <f>(Raw_Stock_Data!J521/Raw_Stock_Data!J520)-1</f>
        <v>1.7594242559239692E-2</v>
      </c>
    </row>
    <row r="522" spans="1:10" x14ac:dyDescent="0.2">
      <c r="A522" s="2">
        <v>44953</v>
      </c>
      <c r="B522" s="4">
        <f>(Raw_Stock_Data!B522/Raw_Stock_Data!B521)-1</f>
        <v>1.3693317632790691E-2</v>
      </c>
      <c r="C522" s="4">
        <f>(Raw_Stock_Data!C522/Raw_Stock_Data!C521)-1</f>
        <v>6.5165536857469952E-4</v>
      </c>
      <c r="D522" s="4">
        <f>(Raw_Stock_Data!D522/Raw_Stock_Data!D521)-1</f>
        <v>2.8421696306291322E-2</v>
      </c>
      <c r="E522" s="4">
        <f>(Raw_Stock_Data!E522/Raw_Stock_Data!E521)-1</f>
        <v>3.1931878658861823E-3</v>
      </c>
      <c r="F522" s="4">
        <f>(Raw_Stock_Data!F522/Raw_Stock_Data!F521)-1</f>
        <v>3.0437411812134663E-2</v>
      </c>
      <c r="G522" s="4">
        <f>(Raw_Stock_Data!G522/Raw_Stock_Data!G521)-1</f>
        <v>0.11000187184126786</v>
      </c>
      <c r="H522" s="4">
        <f>(Raw_Stock_Data!H522/Raw_Stock_Data!H521)-1</f>
        <v>1.8971324833252146E-2</v>
      </c>
      <c r="I522" s="4">
        <f>(Raw_Stock_Data!I522/Raw_Stock_Data!I521)-1</f>
        <v>3.0142566191446063E-2</v>
      </c>
      <c r="J522" s="4">
        <f>(Raw_Stock_Data!J522/Raw_Stock_Data!J521)-1</f>
        <v>9.4941024511809857E-3</v>
      </c>
    </row>
    <row r="523" spans="1:10" x14ac:dyDescent="0.2">
      <c r="A523" s="2">
        <v>44956</v>
      </c>
      <c r="B523" s="4">
        <f>(Raw_Stock_Data!B523/Raw_Stock_Data!B522)-1</f>
        <v>-2.0081662180115867E-2</v>
      </c>
      <c r="C523" s="4">
        <f>(Raw_Stock_Data!C523/Raw_Stock_Data!C522)-1</f>
        <v>-2.19534472236671E-2</v>
      </c>
      <c r="D523" s="4">
        <f>(Raw_Stock_Data!D523/Raw_Stock_Data!D522)-1</f>
        <v>-5.907096279625168E-2</v>
      </c>
      <c r="E523" s="4">
        <f>(Raw_Stock_Data!E523/Raw_Stock_Data!E522)-1</f>
        <v>-3.9124668435013277E-2</v>
      </c>
      <c r="F523" s="4">
        <f>(Raw_Stock_Data!F523/Raw_Stock_Data!F522)-1</f>
        <v>-1.6529733959311455E-2</v>
      </c>
      <c r="G523" s="4">
        <f>(Raw_Stock_Data!G523/Raw_Stock_Data!G522)-1</f>
        <v>-6.3181562675660552E-2</v>
      </c>
      <c r="H523" s="4">
        <f>(Raw_Stock_Data!H523/Raw_Stock_Data!H522)-1</f>
        <v>-2.4453823864193036E-2</v>
      </c>
      <c r="I523" s="4">
        <f>(Raw_Stock_Data!I523/Raw_Stock_Data!I522)-1</f>
        <v>-3.084223013048637E-2</v>
      </c>
      <c r="J523" s="4">
        <f>(Raw_Stock_Data!J523/Raw_Stock_Data!J522)-1</f>
        <v>-1.960985087392475E-2</v>
      </c>
    </row>
    <row r="524" spans="1:10" x14ac:dyDescent="0.2">
      <c r="A524" s="2">
        <v>44957</v>
      </c>
      <c r="B524" s="4">
        <f>(Raw_Stock_Data!B524/Raw_Stock_Data!B523)-1</f>
        <v>9.0150203015415542E-3</v>
      </c>
      <c r="C524" s="4">
        <f>(Raw_Stock_Data!C524/Raw_Stock_Data!C523)-1</f>
        <v>2.1009828596315616E-2</v>
      </c>
      <c r="D524" s="4">
        <f>(Raw_Stock_Data!D524/Raw_Stock_Data!D523)-1</f>
        <v>1.9579068310006331E-2</v>
      </c>
      <c r="E524" s="4">
        <f>(Raw_Stock_Data!E524/Raw_Stock_Data!E523)-1</f>
        <v>3.7267080745341685E-2</v>
      </c>
      <c r="F524" s="4">
        <f>(Raw_Stock_Data!F524/Raw_Stock_Data!F523)-1</f>
        <v>2.5658876181004375E-2</v>
      </c>
      <c r="G524" s="4">
        <f>(Raw_Stock_Data!G524/Raw_Stock_Data!G523)-1</f>
        <v>3.9361574462978499E-2</v>
      </c>
      <c r="H524" s="4">
        <f>(Raw_Stock_Data!H524/Raw_Stock_Data!H523)-1</f>
        <v>1.9599357696819197E-2</v>
      </c>
      <c r="I524" s="4">
        <f>(Raw_Stock_Data!I524/Raw_Stock_Data!I523)-1</f>
        <v>1.2987896096831264E-2</v>
      </c>
      <c r="J524" s="4">
        <f>(Raw_Stock_Data!J524/Raw_Stock_Data!J523)-1</f>
        <v>1.6740668836850769E-2</v>
      </c>
    </row>
    <row r="525" spans="1:10" x14ac:dyDescent="0.2">
      <c r="A525" s="2">
        <v>44958</v>
      </c>
      <c r="B525" s="4">
        <f>(Raw_Stock_Data!B525/Raw_Stock_Data!B524)-1</f>
        <v>7.8862577912850451E-3</v>
      </c>
      <c r="C525" s="4">
        <f>(Raw_Stock_Data!C525/Raw_Stock_Data!C524)-1</f>
        <v>1.9937656371764811E-2</v>
      </c>
      <c r="D525" s="4">
        <f>(Raw_Stock_Data!D525/Raw_Stock_Data!D524)-1</f>
        <v>7.1961645042488698E-2</v>
      </c>
      <c r="E525" s="4">
        <f>(Raw_Stock_Data!E525/Raw_Stock_Data!E524)-1</f>
        <v>0.12628077178975383</v>
      </c>
      <c r="F525" s="4">
        <f>(Raw_Stock_Data!F525/Raw_Stock_Data!F524)-1</f>
        <v>1.9586929118588392E-2</v>
      </c>
      <c r="G525" s="4">
        <f>(Raw_Stock_Data!G525/Raw_Stock_Data!G524)-1</f>
        <v>4.7280914444059574E-2</v>
      </c>
      <c r="H525" s="4">
        <f>(Raw_Stock_Data!H525/Raw_Stock_Data!H524)-1</f>
        <v>1.6083994191890882E-2</v>
      </c>
      <c r="I525" s="4">
        <f>(Raw_Stock_Data!I525/Raw_Stock_Data!I524)-1</f>
        <v>2.785795797811641E-2</v>
      </c>
      <c r="J525" s="4">
        <f>(Raw_Stock_Data!J525/Raw_Stock_Data!J524)-1</f>
        <v>2.0006819427599742E-2</v>
      </c>
    </row>
    <row r="526" spans="1:10" x14ac:dyDescent="0.2">
      <c r="A526" s="2">
        <v>44959</v>
      </c>
      <c r="B526" s="4">
        <f>(Raw_Stock_Data!B526/Raw_Stock_Data!B525)-1</f>
        <v>3.7070644321441915E-2</v>
      </c>
      <c r="C526" s="4">
        <f>(Raw_Stock_Data!C526/Raw_Stock_Data!C525)-1</f>
        <v>4.6881220568542492E-2</v>
      </c>
      <c r="D526" s="4">
        <f>(Raw_Stock_Data!D526/Raw_Stock_Data!D525)-1</f>
        <v>3.6573361748487576E-2</v>
      </c>
      <c r="E526" s="4">
        <f>(Raw_Stock_Data!E526/Raw_Stock_Data!E525)-1</f>
        <v>4.3360113421550217E-2</v>
      </c>
      <c r="F526" s="4">
        <f>(Raw_Stock_Data!F526/Raw_Stock_Data!F525)-1</f>
        <v>7.37993342843557E-2</v>
      </c>
      <c r="G526" s="4">
        <f>(Raw_Stock_Data!G526/Raw_Stock_Data!G525)-1</f>
        <v>3.7814894438013447E-2</v>
      </c>
      <c r="H526" s="4">
        <f>(Raw_Stock_Data!H526/Raw_Stock_Data!H525)-1</f>
        <v>7.2781236571497043E-2</v>
      </c>
      <c r="I526" s="4">
        <f>(Raw_Stock_Data!I526/Raw_Stock_Data!I525)-1</f>
        <v>0.23282392894461856</v>
      </c>
      <c r="J526" s="4">
        <f>(Raw_Stock_Data!J526/Raw_Stock_Data!J525)-1</f>
        <v>3.2539741645453146E-2</v>
      </c>
    </row>
    <row r="527" spans="1:10" x14ac:dyDescent="0.2">
      <c r="A527" s="2">
        <v>44960</v>
      </c>
      <c r="B527" s="4">
        <f>(Raw_Stock_Data!B527/Raw_Stock_Data!B526)-1</f>
        <v>2.4397959321029949E-2</v>
      </c>
      <c r="C527" s="4">
        <f>(Raw_Stock_Data!C527/Raw_Stock_Data!C526)-1</f>
        <v>-2.3623952767459655E-2</v>
      </c>
      <c r="D527" s="4">
        <f>(Raw_Stock_Data!D527/Raw_Stock_Data!D526)-1</f>
        <v>-2.8054874338502511E-2</v>
      </c>
      <c r="E527" s="4">
        <f>(Raw_Stock_Data!E527/Raw_Stock_Data!E526)-1</f>
        <v>-2.5138715887215501E-2</v>
      </c>
      <c r="F527" s="4">
        <f>(Raw_Stock_Data!F527/Raw_Stock_Data!F526)-1</f>
        <v>-8.4314941103533769E-2</v>
      </c>
      <c r="G527" s="4">
        <f>(Raw_Stock_Data!G527/Raw_Stock_Data!G526)-1</f>
        <v>9.0827003771178916E-3</v>
      </c>
      <c r="H527" s="4">
        <f>(Raw_Stock_Data!H527/Raw_Stock_Data!H526)-1</f>
        <v>-2.747088961341404E-2</v>
      </c>
      <c r="I527" s="4">
        <f>(Raw_Stock_Data!I527/Raw_Stock_Data!I526)-1</f>
        <v>-1.1866292313397309E-2</v>
      </c>
      <c r="J527" s="4">
        <f>(Raw_Stock_Data!J527/Raw_Stock_Data!J526)-1</f>
        <v>-1.5889095978794954E-2</v>
      </c>
    </row>
    <row r="528" spans="1:10" x14ac:dyDescent="0.2">
      <c r="A528" s="2">
        <v>44963</v>
      </c>
      <c r="B528" s="4">
        <f>(Raw_Stock_Data!B528/Raw_Stock_Data!B527)-1</f>
        <v>-1.7916861034276588E-2</v>
      </c>
      <c r="C528" s="4">
        <f>(Raw_Stock_Data!C528/Raw_Stock_Data!C527)-1</f>
        <v>-6.1216701615790514E-3</v>
      </c>
      <c r="D528" s="4">
        <f>(Raw_Stock_Data!D528/Raw_Stock_Data!D527)-1</f>
        <v>-5.21707786725778E-4</v>
      </c>
      <c r="E528" s="4">
        <f>(Raw_Stock_Data!E528/Raw_Stock_Data!E527)-1</f>
        <v>-2.799395980950159E-2</v>
      </c>
      <c r="F528" s="4">
        <f>(Raw_Stock_Data!F528/Raw_Stock_Data!F527)-1</f>
        <v>-1.1703259502853225E-2</v>
      </c>
      <c r="G528" s="4">
        <f>(Raw_Stock_Data!G528/Raw_Stock_Data!G527)-1</f>
        <v>2.5160543215075215E-2</v>
      </c>
      <c r="H528" s="4">
        <f>(Raw_Stock_Data!H528/Raw_Stock_Data!H527)-1</f>
        <v>-1.7940441183513456E-2</v>
      </c>
      <c r="I528" s="4">
        <f>(Raw_Stock_Data!I528/Raw_Stock_Data!I527)-1</f>
        <v>-2.5197019246233632E-3</v>
      </c>
      <c r="J528" s="4">
        <f>(Raw_Stock_Data!J528/Raw_Stock_Data!J527)-1</f>
        <v>-9.9533936983214888E-3</v>
      </c>
    </row>
    <row r="529" spans="1:10" x14ac:dyDescent="0.2">
      <c r="A529" s="2">
        <v>44964</v>
      </c>
      <c r="B529" s="4">
        <f>(Raw_Stock_Data!B529/Raw_Stock_Data!B528)-1</f>
        <v>1.9240546977441264E-2</v>
      </c>
      <c r="C529" s="4">
        <f>(Raw_Stock_Data!C529/Raw_Stock_Data!C528)-1</f>
        <v>4.202705216864655E-2</v>
      </c>
      <c r="D529" s="4">
        <f>(Raw_Stock_Data!D529/Raw_Stock_Data!D528)-1</f>
        <v>5.1410295345835522E-2</v>
      </c>
      <c r="E529" s="4">
        <f>(Raw_Stock_Data!E529/Raw_Stock_Data!E528)-1</f>
        <v>2.6649139579349779E-2</v>
      </c>
      <c r="F529" s="4">
        <f>(Raw_Stock_Data!F529/Raw_Stock_Data!F528)-1</f>
        <v>-6.8506557056180473E-4</v>
      </c>
      <c r="G529" s="4">
        <f>(Raw_Stock_Data!G529/Raw_Stock_Data!G528)-1</f>
        <v>1.0525775313205976E-2</v>
      </c>
      <c r="H529" s="4">
        <f>(Raw_Stock_Data!H529/Raw_Stock_Data!H528)-1</f>
        <v>4.6075218476903768E-2</v>
      </c>
      <c r="I529" s="4">
        <f>(Raw_Stock_Data!I529/Raw_Stock_Data!I528)-1</f>
        <v>2.9882833494571548E-2</v>
      </c>
      <c r="J529" s="4">
        <f>(Raw_Stock_Data!J529/Raw_Stock_Data!J528)-1</f>
        <v>1.9040248329120324E-2</v>
      </c>
    </row>
    <row r="530" spans="1:10" x14ac:dyDescent="0.2">
      <c r="A530" s="2">
        <v>44965</v>
      </c>
      <c r="B530" s="4">
        <f>(Raw_Stock_Data!B530/Raw_Stock_Data!B529)-1</f>
        <v>-1.7656479731148922E-2</v>
      </c>
      <c r="C530" s="4">
        <f>(Raw_Stock_Data!C530/Raw_Stock_Data!C529)-1</f>
        <v>-3.0998328521502083E-3</v>
      </c>
      <c r="D530" s="4">
        <f>(Raw_Stock_Data!D530/Raw_Stock_Data!D529)-1</f>
        <v>1.4397255946201337E-3</v>
      </c>
      <c r="E530" s="4">
        <f>(Raw_Stock_Data!E530/Raw_Stock_Data!E529)-1</f>
        <v>-1.4200907926900208E-2</v>
      </c>
      <c r="F530" s="4">
        <f>(Raw_Stock_Data!F530/Raw_Stock_Data!F529)-1</f>
        <v>-2.0174321809812934E-2</v>
      </c>
      <c r="G530" s="4">
        <f>(Raw_Stock_Data!G530/Raw_Stock_Data!G529)-1</f>
        <v>2.2763070982165567E-2</v>
      </c>
      <c r="H530" s="4">
        <f>(Raw_Stock_Data!H530/Raw_Stock_Data!H529)-1</f>
        <v>-7.683679558423151E-2</v>
      </c>
      <c r="I530" s="4">
        <f>(Raw_Stock_Data!I530/Raw_Stock_Data!I529)-1</f>
        <v>-4.2740841248303907E-2</v>
      </c>
      <c r="J530" s="4">
        <f>(Raw_Stock_Data!J530/Raw_Stock_Data!J529)-1</f>
        <v>-1.6780049844020817E-2</v>
      </c>
    </row>
    <row r="531" spans="1:10" x14ac:dyDescent="0.2">
      <c r="A531" s="2">
        <v>44966</v>
      </c>
      <c r="B531" s="4">
        <f>(Raw_Stock_Data!B531/Raw_Stock_Data!B530)-1</f>
        <v>-6.9089013911348696E-3</v>
      </c>
      <c r="C531" s="4">
        <f>(Raw_Stock_Data!C531/Raw_Stock_Data!C530)-1</f>
        <v>-1.166051885498276E-2</v>
      </c>
      <c r="D531" s="4">
        <f>(Raw_Stock_Data!D531/Raw_Stock_Data!D530)-1</f>
        <v>5.9489204061491385E-3</v>
      </c>
      <c r="E531" s="4">
        <f>(Raw_Stock_Data!E531/Raw_Stock_Data!E530)-1</f>
        <v>-1.7475498878261941E-2</v>
      </c>
      <c r="F531" s="4">
        <f>(Raw_Stock_Data!F531/Raw_Stock_Data!F530)-1</f>
        <v>-1.8090954522738678E-2</v>
      </c>
      <c r="G531" s="4">
        <f>(Raw_Stock_Data!G531/Raw_Stock_Data!G530)-1</f>
        <v>2.995677877688907E-2</v>
      </c>
      <c r="H531" s="4">
        <f>(Raw_Stock_Data!H531/Raw_Stock_Data!H530)-1</f>
        <v>-4.387689865075739E-2</v>
      </c>
      <c r="I531" s="4">
        <f>(Raw_Stock_Data!I531/Raw_Stock_Data!I530)-1</f>
        <v>-3.0038706863653841E-2</v>
      </c>
      <c r="J531" s="4">
        <f>(Raw_Stock_Data!J531/Raw_Stock_Data!J530)-1</f>
        <v>-1.01540486897298E-2</v>
      </c>
    </row>
    <row r="532" spans="1:10" x14ac:dyDescent="0.2">
      <c r="A532" s="2">
        <v>44967</v>
      </c>
      <c r="B532" s="4">
        <f>(Raw_Stock_Data!B532/Raw_Stock_Data!B531)-1</f>
        <v>2.4625238851361253E-3</v>
      </c>
      <c r="C532" s="4">
        <f>(Raw_Stock_Data!C532/Raw_Stock_Data!C531)-1</f>
        <v>-1.9663484523680941E-3</v>
      </c>
      <c r="D532" s="4">
        <f>(Raw_Stock_Data!D532/Raw_Stock_Data!D531)-1</f>
        <v>-4.799985663660522E-2</v>
      </c>
      <c r="E532" s="4">
        <f>(Raw_Stock_Data!E532/Raw_Stock_Data!E531)-1</f>
        <v>-2.0790770340103237E-2</v>
      </c>
      <c r="F532" s="4">
        <f>(Raw_Stock_Data!F532/Raw_Stock_Data!F531)-1</f>
        <v>-6.4128664495113341E-3</v>
      </c>
      <c r="G532" s="4">
        <f>(Raw_Stock_Data!G532/Raw_Stock_Data!G531)-1</f>
        <v>-5.030870152421385E-2</v>
      </c>
      <c r="H532" s="4">
        <f>(Raw_Stock_Data!H532/Raw_Stock_Data!H531)-1</f>
        <v>-4.6309793929867338E-3</v>
      </c>
      <c r="I532" s="4">
        <f>(Raw_Stock_Data!I532/Raw_Stock_Data!I531)-1</f>
        <v>-2.1189298561150927E-2</v>
      </c>
      <c r="J532" s="4">
        <f>(Raw_Stock_Data!J532/Raw_Stock_Data!J531)-1</f>
        <v>-6.0612846259153752E-3</v>
      </c>
    </row>
    <row r="533" spans="1:10" x14ac:dyDescent="0.2">
      <c r="A533" s="2">
        <v>44970</v>
      </c>
      <c r="B533" s="4">
        <f>(Raw_Stock_Data!B533/Raw_Stock_Data!B532)-1</f>
        <v>1.8806126421198055E-2</v>
      </c>
      <c r="C533" s="4">
        <f>(Raw_Stock_Data!C533/Raw_Stock_Data!C532)-1</f>
        <v>3.1237686108771756E-2</v>
      </c>
      <c r="D533" s="4">
        <f>(Raw_Stock_Data!D533/Raw_Stock_Data!D532)-1</f>
        <v>2.459351984752578E-2</v>
      </c>
      <c r="E533" s="4">
        <f>(Raw_Stock_Data!E533/Raw_Stock_Data!E532)-1</f>
        <v>2.0250368188512446E-2</v>
      </c>
      <c r="F533" s="4">
        <f>(Raw_Stock_Data!F533/Raw_Stock_Data!F532)-1</f>
        <v>1.9772564286446137E-2</v>
      </c>
      <c r="G533" s="4">
        <f>(Raw_Stock_Data!G533/Raw_Stock_Data!G532)-1</f>
        <v>-1.1427700746609815E-2</v>
      </c>
      <c r="H533" s="4">
        <f>(Raw_Stock_Data!H533/Raw_Stock_Data!H532)-1</f>
        <v>4.2343921790033434E-4</v>
      </c>
      <c r="I533" s="4">
        <f>(Raw_Stock_Data!I533/Raw_Stock_Data!I532)-1</f>
        <v>3.0318690783807112E-2</v>
      </c>
      <c r="J533" s="4">
        <f>(Raw_Stock_Data!J533/Raw_Stock_Data!J532)-1</f>
        <v>1.4820636757432171E-2</v>
      </c>
    </row>
    <row r="534" spans="1:10" x14ac:dyDescent="0.2">
      <c r="A534" s="2">
        <v>44971</v>
      </c>
      <c r="B534" s="4">
        <f>(Raw_Stock_Data!B534/Raw_Stock_Data!B533)-1</f>
        <v>-4.2359482463305564E-3</v>
      </c>
      <c r="C534" s="4">
        <f>(Raw_Stock_Data!C534/Raw_Stock_Data!C533)-1</f>
        <v>3.1280437551508555E-3</v>
      </c>
      <c r="D534" s="4">
        <f>(Raw_Stock_Data!D534/Raw_Stock_Data!D533)-1</f>
        <v>5.429425732933435E-2</v>
      </c>
      <c r="E534" s="4">
        <f>(Raw_Stock_Data!E534/Raw_Stock_Data!E533)-1</f>
        <v>3.3922771562612919E-2</v>
      </c>
      <c r="F534" s="4">
        <f>(Raw_Stock_Data!F534/Raw_Stock_Data!F533)-1</f>
        <v>1.6073940124572417E-3</v>
      </c>
      <c r="G534" s="4">
        <f>(Raw_Stock_Data!G534/Raw_Stock_Data!G533)-1</f>
        <v>7.5061652281134483E-2</v>
      </c>
      <c r="H534" s="4">
        <f>(Raw_Stock_Data!H534/Raw_Stock_Data!H533)-1</f>
        <v>7.4043978728788318E-4</v>
      </c>
      <c r="I534" s="4">
        <f>(Raw_Stock_Data!I534/Raw_Stock_Data!I533)-1</f>
        <v>2.7866020174993622E-4</v>
      </c>
      <c r="J534" s="4">
        <f>(Raw_Stock_Data!J534/Raw_Stock_Data!J533)-1</f>
        <v>5.7485037996802824E-3</v>
      </c>
    </row>
    <row r="535" spans="1:10" x14ac:dyDescent="0.2">
      <c r="A535" s="2">
        <v>44972</v>
      </c>
      <c r="B535" s="4">
        <f>(Raw_Stock_Data!B535/Raw_Stock_Data!B534)-1</f>
        <v>1.3913054984022954E-2</v>
      </c>
      <c r="C535" s="4">
        <f>(Raw_Stock_Data!C535/Raw_Stock_Data!C534)-1</f>
        <v>-7.9917841471384143E-3</v>
      </c>
      <c r="D535" s="4">
        <f>(Raw_Stock_Data!D535/Raw_Stock_Data!D534)-1</f>
        <v>-9.0136009967675124E-3</v>
      </c>
      <c r="E535" s="4">
        <f>(Raw_Stock_Data!E535/Raw_Stock_Data!E534)-1</f>
        <v>-8.9586969168120589E-3</v>
      </c>
      <c r="F535" s="4">
        <f>(Raw_Stock_Data!F535/Raw_Stock_Data!F534)-1</f>
        <v>1.4643931795386145E-2</v>
      </c>
      <c r="G535" s="4">
        <f>(Raw_Stock_Data!G535/Raw_Stock_Data!G534)-1</f>
        <v>2.3847072879330966E-2</v>
      </c>
      <c r="H535" s="4">
        <f>(Raw_Stock_Data!H535/Raw_Stock_Data!H534)-1</f>
        <v>2.3869465253169242E-2</v>
      </c>
      <c r="I535" s="4">
        <f>(Raw_Stock_Data!I535/Raw_Stock_Data!I534)-1</f>
        <v>-1.2926231334967619E-2</v>
      </c>
      <c r="J535" s="4">
        <f>(Raw_Stock_Data!J535/Raw_Stock_Data!J534)-1</f>
        <v>9.2339979013642548E-3</v>
      </c>
    </row>
    <row r="536" spans="1:10" x14ac:dyDescent="0.2">
      <c r="A536" s="2">
        <v>44973</v>
      </c>
      <c r="B536" s="4">
        <f>(Raw_Stock_Data!B536/Raw_Stock_Data!B535)-1</f>
        <v>-1.0433522994205746E-2</v>
      </c>
      <c r="C536" s="4">
        <f>(Raw_Stock_Data!C536/Raw_Stock_Data!C535)-1</f>
        <v>-2.6626762286596217E-2</v>
      </c>
      <c r="D536" s="4">
        <f>(Raw_Stock_Data!D536/Raw_Stock_Data!D535)-1</f>
        <v>-3.3463312129351608E-2</v>
      </c>
      <c r="E536" s="4">
        <f>(Raw_Stock_Data!E536/Raw_Stock_Data!E535)-1</f>
        <v>-5.987320967363241E-2</v>
      </c>
      <c r="F536" s="4">
        <f>(Raw_Stock_Data!F536/Raw_Stock_Data!F535)-1</f>
        <v>-2.9754843811783172E-2</v>
      </c>
      <c r="G536" s="4">
        <f>(Raw_Stock_Data!G536/Raw_Stock_Data!G535)-1</f>
        <v>-5.6945481702763368E-2</v>
      </c>
      <c r="H536" s="4">
        <f>(Raw_Stock_Data!H536/Raw_Stock_Data!H535)-1</f>
        <v>-1.4752059997991451E-2</v>
      </c>
      <c r="I536" s="4">
        <f>(Raw_Stock_Data!I536/Raw_Stock_Data!I535)-1</f>
        <v>-2.6642582975840989E-2</v>
      </c>
      <c r="J536" s="4">
        <f>(Raw_Stock_Data!J536/Raw_Stock_Data!J535)-1</f>
        <v>-1.779200519610058E-2</v>
      </c>
    </row>
    <row r="537" spans="1:10" x14ac:dyDescent="0.2">
      <c r="A537" s="2">
        <v>44974</v>
      </c>
      <c r="B537" s="4">
        <f>(Raw_Stock_Data!B537/Raw_Stock_Data!B536)-1</f>
        <v>-7.5499317538920696E-3</v>
      </c>
      <c r="C537" s="4">
        <f>(Raw_Stock_Data!C537/Raw_Stock_Data!C536)-1</f>
        <v>-1.559393878450821E-2</v>
      </c>
      <c r="D537" s="4">
        <f>(Raw_Stock_Data!D537/Raw_Stock_Data!D536)-1</f>
        <v>-2.7913090543570829E-2</v>
      </c>
      <c r="E537" s="4">
        <f>(Raw_Stock_Data!E537/Raw_Stock_Data!E536)-1</f>
        <v>-1.9730269730269701E-2</v>
      </c>
      <c r="F537" s="4">
        <f>(Raw_Stock_Data!F537/Raw_Stock_Data!F536)-1</f>
        <v>-9.679062659195159E-3</v>
      </c>
      <c r="G537" s="4">
        <f>(Raw_Stock_Data!G537/Raw_Stock_Data!G536)-1</f>
        <v>3.1033458721045459E-2</v>
      </c>
      <c r="H537" s="4">
        <f>(Raw_Stock_Data!H537/Raw_Stock_Data!H536)-1</f>
        <v>-1.2145221457468547E-2</v>
      </c>
      <c r="I537" s="4">
        <f>(Raw_Stock_Data!I537/Raw_Stock_Data!I536)-1</f>
        <v>2.5516121549524762E-3</v>
      </c>
      <c r="J537" s="4">
        <f>(Raw_Stock_Data!J537/Raw_Stock_Data!J536)-1</f>
        <v>-5.7828089640286073E-3</v>
      </c>
    </row>
    <row r="538" spans="1:10" x14ac:dyDescent="0.2">
      <c r="A538" s="2">
        <v>44978</v>
      </c>
      <c r="B538" s="4">
        <f>(Raw_Stock_Data!B538/Raw_Stock_Data!B537)-1</f>
        <v>-2.6682257893058337E-2</v>
      </c>
      <c r="C538" s="4">
        <f>(Raw_Stock_Data!C538/Raw_Stock_Data!C537)-1</f>
        <v>-2.0889482575727869E-2</v>
      </c>
      <c r="D538" s="4">
        <f>(Raw_Stock_Data!D538/Raw_Stock_Data!D537)-1</f>
        <v>-3.426849581703495E-2</v>
      </c>
      <c r="E538" s="4">
        <f>(Raw_Stock_Data!E538/Raw_Stock_Data!E537)-1</f>
        <v>-2.2038216560509638E-2</v>
      </c>
      <c r="F538" s="4">
        <f>(Raw_Stock_Data!F538/Raw_Stock_Data!F537)-1</f>
        <v>-2.6954732510288126E-2</v>
      </c>
      <c r="G538" s="4">
        <f>(Raw_Stock_Data!G538/Raw_Stock_Data!G537)-1</f>
        <v>-5.2517882002784289E-2</v>
      </c>
      <c r="H538" s="4">
        <f>(Raw_Stock_Data!H538/Raw_Stock_Data!H537)-1</f>
        <v>-2.7132450866510949E-2</v>
      </c>
      <c r="I538" s="4">
        <f>(Raw_Stock_Data!I538/Raw_Stock_Data!I537)-1</f>
        <v>-4.6274872744098694E-3</v>
      </c>
      <c r="J538" s="4">
        <f>(Raw_Stock_Data!J538/Raw_Stock_Data!J537)-1</f>
        <v>-2.5024454347783776E-2</v>
      </c>
    </row>
    <row r="539" spans="1:10" x14ac:dyDescent="0.2">
      <c r="A539" s="2">
        <v>44979</v>
      </c>
      <c r="B539" s="4">
        <f>(Raw_Stock_Data!B539/Raw_Stock_Data!B538)-1</f>
        <v>2.9011031017911471E-3</v>
      </c>
      <c r="C539" s="4">
        <f>(Raw_Stock_Data!C539/Raw_Stock_Data!C538)-1</f>
        <v>-4.5904507389261662E-3</v>
      </c>
      <c r="D539" s="4">
        <f>(Raw_Stock_Data!D539/Raw_Stock_Data!D538)-1</f>
        <v>4.796511627906952E-3</v>
      </c>
      <c r="E539" s="4">
        <f>(Raw_Stock_Data!E539/Raw_Stock_Data!E538)-1</f>
        <v>-2.0841474534323279E-3</v>
      </c>
      <c r="F539" s="4">
        <f>(Raw_Stock_Data!F539/Raw_Stock_Data!F538)-1</f>
        <v>1.2793402410657739E-2</v>
      </c>
      <c r="G539" s="4">
        <f>(Raw_Stock_Data!G539/Raw_Stock_Data!G538)-1</f>
        <v>1.7682525206464961E-2</v>
      </c>
      <c r="H539" s="4">
        <f>(Raw_Stock_Data!H539/Raw_Stock_Data!H538)-1</f>
        <v>-1.526375350568876E-3</v>
      </c>
      <c r="I539" s="4">
        <f>(Raw_Stock_Data!I539/Raw_Stock_Data!I538)-1</f>
        <v>-5.5788005578800703E-3</v>
      </c>
      <c r="J539" s="4">
        <f>(Raw_Stock_Data!J539/Raw_Stock_Data!J538)-1</f>
        <v>1.2852083568999362E-3</v>
      </c>
    </row>
    <row r="540" spans="1:10" x14ac:dyDescent="0.2">
      <c r="A540" s="2">
        <v>44980</v>
      </c>
      <c r="B540" s="4">
        <f>(Raw_Stock_Data!B540/Raw_Stock_Data!B539)-1</f>
        <v>3.2874810272187638E-3</v>
      </c>
      <c r="C540" s="4">
        <f>(Raw_Stock_Data!C540/Raw_Stock_Data!C539)-1</f>
        <v>1.2960103842076132E-2</v>
      </c>
      <c r="D540" s="4">
        <f>(Raw_Stock_Data!D540/Raw_Stock_Data!D539)-1</f>
        <v>0.14021891123004959</v>
      </c>
      <c r="E540" s="4">
        <f>(Raw_Stock_Data!E540/Raw_Stock_Data!E539)-1</f>
        <v>4.0986816342513999E-2</v>
      </c>
      <c r="F540" s="4">
        <f>(Raw_Stock_Data!F540/Raw_Stock_Data!F539)-1</f>
        <v>3.1318509238942305E-4</v>
      </c>
      <c r="G540" s="4">
        <f>(Raw_Stock_Data!G540/Raw_Stock_Data!G539)-1</f>
        <v>6.0240963855420215E-3</v>
      </c>
      <c r="H540" s="4">
        <f>(Raw_Stock_Data!H540/Raw_Stock_Data!H539)-1</f>
        <v>-8.2918212987672657E-3</v>
      </c>
      <c r="I540" s="4">
        <f>(Raw_Stock_Data!I540/Raw_Stock_Data!I539)-1</f>
        <v>5.3763440860215006E-3</v>
      </c>
      <c r="J540" s="4">
        <f>(Raw_Stock_Data!J540/Raw_Stock_Data!J539)-1</f>
        <v>7.2416349253110468E-3</v>
      </c>
    </row>
    <row r="541" spans="1:10" x14ac:dyDescent="0.2">
      <c r="A541" s="2">
        <v>44981</v>
      </c>
      <c r="B541" s="4">
        <f>(Raw_Stock_Data!B541/Raw_Stock_Data!B540)-1</f>
        <v>-1.8004938807630655E-2</v>
      </c>
      <c r="C541" s="4">
        <f>(Raw_Stock_Data!C541/Raw_Stock_Data!C540)-1</f>
        <v>-2.178411677623715E-2</v>
      </c>
      <c r="D541" s="4">
        <f>(Raw_Stock_Data!D541/Raw_Stock_Data!D540)-1</f>
        <v>-1.598088552459076E-2</v>
      </c>
      <c r="E541" s="4">
        <f>(Raw_Stock_Data!E541/Raw_Stock_Data!E540)-1</f>
        <v>-2.0815047021943478E-2</v>
      </c>
      <c r="F541" s="4">
        <f>(Raw_Stock_Data!F541/Raw_Stock_Data!F540)-1</f>
        <v>-2.4212064287205126E-2</v>
      </c>
      <c r="G541" s="4">
        <f>(Raw_Stock_Data!G541/Raw_Stock_Data!G540)-1</f>
        <v>-2.5684168852377898E-2</v>
      </c>
      <c r="H541" s="4">
        <f>(Raw_Stock_Data!H541/Raw_Stock_Data!H540)-1</f>
        <v>-1.9364698321696627E-2</v>
      </c>
      <c r="I541" s="4">
        <f>(Raw_Stock_Data!I541/Raw_Stock_Data!I540)-1</f>
        <v>-9.5907928388747621E-3</v>
      </c>
      <c r="J541" s="4">
        <f>(Raw_Stock_Data!J541/Raw_Stock_Data!J540)-1</f>
        <v>-1.686395637769178E-2</v>
      </c>
    </row>
    <row r="542" spans="1:10" x14ac:dyDescent="0.2">
      <c r="A542" s="2">
        <v>44984</v>
      </c>
      <c r="B542" s="4">
        <f>(Raw_Stock_Data!B542/Raw_Stock_Data!B541)-1</f>
        <v>8.2556131260793642E-3</v>
      </c>
      <c r="C542" s="4">
        <f>(Raw_Stock_Data!C542/Raw_Stock_Data!C541)-1</f>
        <v>3.7671372198038178E-3</v>
      </c>
      <c r="D542" s="4">
        <f>(Raw_Stock_Data!D542/Raw_Stock_Data!D541)-1</f>
        <v>9.235423802381737E-3</v>
      </c>
      <c r="E542" s="4">
        <f>(Raw_Stock_Data!E542/Raw_Stock_Data!E541)-1</f>
        <v>8.7079011397104278E-3</v>
      </c>
      <c r="F542" s="4">
        <f>(Raw_Stock_Data!F542/Raw_Stock_Data!F541)-1</f>
        <v>2.7807486631017397E-3</v>
      </c>
      <c r="G542" s="4">
        <f>(Raw_Stock_Data!G542/Raw_Stock_Data!G541)-1</f>
        <v>5.460178789110115E-2</v>
      </c>
      <c r="H542" s="4">
        <f>(Raw_Stock_Data!H542/Raw_Stock_Data!H541)-1</f>
        <v>8.3033060084676258E-3</v>
      </c>
      <c r="I542" s="4">
        <f>(Raw_Stock_Data!I542/Raw_Stock_Data!I541)-1</f>
        <v>-4.9885556664123198E-3</v>
      </c>
      <c r="J542" s="4">
        <f>(Raw_Stock_Data!J542/Raw_Stock_Data!J541)-1</f>
        <v>6.3221043726424675E-3</v>
      </c>
    </row>
    <row r="543" spans="1:10" x14ac:dyDescent="0.2">
      <c r="A543" s="2">
        <v>44985</v>
      </c>
      <c r="B543" s="4">
        <f>(Raw_Stock_Data!B543/Raw_Stock_Data!B542)-1</f>
        <v>-3.4533557161944284E-3</v>
      </c>
      <c r="C543" s="4">
        <f>(Raw_Stock_Data!C543/Raw_Stock_Data!C542)-1</f>
        <v>-2.9464691005771648E-3</v>
      </c>
      <c r="D543" s="4">
        <f>(Raw_Stock_Data!D543/Raw_Stock_Data!D542)-1</f>
        <v>-1.2127405893374243E-2</v>
      </c>
      <c r="E543" s="4">
        <f>(Raw_Stock_Data!E543/Raw_Stock_Data!E542)-1</f>
        <v>-2.4120858194743855E-3</v>
      </c>
      <c r="F543" s="4">
        <f>(Raw_Stock_Data!F543/Raw_Stock_Data!F542)-1</f>
        <v>5.0127986348122988E-3</v>
      </c>
      <c r="G543" s="4">
        <f>(Raw_Stock_Data!G543/Raw_Stock_Data!G542)-1</f>
        <v>-9.247218610027419E-3</v>
      </c>
      <c r="H543" s="4">
        <f>(Raw_Stock_Data!H543/Raw_Stock_Data!H542)-1</f>
        <v>2.1151281919562503E-3</v>
      </c>
      <c r="I543" s="4">
        <f>(Raw_Stock_Data!I543/Raw_Stock_Data!I542)-1</f>
        <v>3.1850890645275465E-2</v>
      </c>
      <c r="J543" s="4">
        <f>(Raw_Stock_Data!J543/Raw_Stock_Data!J542)-1</f>
        <v>-9.9764715731598397E-4</v>
      </c>
    </row>
    <row r="544" spans="1:10" x14ac:dyDescent="0.2">
      <c r="A544" s="2">
        <v>44986</v>
      </c>
      <c r="B544" s="4">
        <f>(Raw_Stock_Data!B544/Raw_Stock_Data!B543)-1</f>
        <v>-1.4246326689172917E-2</v>
      </c>
      <c r="C544" s="4">
        <f>(Raw_Stock_Data!C544/Raw_Stock_Data!C543)-1</f>
        <v>-1.2637749025442124E-2</v>
      </c>
      <c r="D544" s="4">
        <f>(Raw_Stock_Data!D544/Raw_Stock_Data!D543)-1</f>
        <v>-2.2319735163281562E-2</v>
      </c>
      <c r="E544" s="4">
        <f>(Raw_Stock_Data!E544/Raw_Stock_Data!E543)-1</f>
        <v>-3.6905064902009732E-3</v>
      </c>
      <c r="F544" s="4">
        <f>(Raw_Stock_Data!F544/Raw_Stock_Data!F543)-1</f>
        <v>-2.1861402950228204E-2</v>
      </c>
      <c r="G544" s="4">
        <f>(Raw_Stock_Data!G544/Raw_Stock_Data!G543)-1</f>
        <v>-1.4291964415925285E-2</v>
      </c>
      <c r="H544" s="4">
        <f>(Raw_Stock_Data!H544/Raw_Stock_Data!H543)-1</f>
        <v>3.3298118455715731E-3</v>
      </c>
      <c r="I544" s="4">
        <f>(Raw_Stock_Data!I544/Raw_Stock_Data!I543)-1</f>
        <v>-8.6886932662627592E-3</v>
      </c>
      <c r="J544" s="4">
        <f>(Raw_Stock_Data!J544/Raw_Stock_Data!J543)-1</f>
        <v>-6.6395822457956388E-3</v>
      </c>
    </row>
    <row r="545" spans="1:10" x14ac:dyDescent="0.2">
      <c r="A545" s="2">
        <v>44987</v>
      </c>
      <c r="B545" s="4">
        <f>(Raw_Stock_Data!B545/Raw_Stock_Data!B544)-1</f>
        <v>4.1222300497318898E-3</v>
      </c>
      <c r="C545" s="4">
        <f>(Raw_Stock_Data!C545/Raw_Stock_Data!C544)-1</f>
        <v>1.9658295594894959E-2</v>
      </c>
      <c r="D545" s="4">
        <f>(Raw_Stock_Data!D545/Raw_Stock_Data!D544)-1</f>
        <v>2.7145590660188512E-2</v>
      </c>
      <c r="E545" s="4">
        <f>(Raw_Stock_Data!E545/Raw_Stock_Data!E544)-1</f>
        <v>2.7462000255460417E-2</v>
      </c>
      <c r="F545" s="4">
        <f>(Raw_Stock_Data!F545/Raw_Stock_Data!F544)-1</f>
        <v>-4.3398068785949206E-4</v>
      </c>
      <c r="G545" s="4">
        <f>(Raw_Stock_Data!G545/Raw_Stock_Data!G544)-1</f>
        <v>-5.8539231641761669E-2</v>
      </c>
      <c r="H545" s="4">
        <f>(Raw_Stock_Data!H545/Raw_Stock_Data!H544)-1</f>
        <v>1.8148780011018051E-2</v>
      </c>
      <c r="I545" s="4">
        <f>(Raw_Stock_Data!I545/Raw_Stock_Data!I544)-1</f>
        <v>6.4006458309306957E-3</v>
      </c>
      <c r="J545" s="4">
        <f>(Raw_Stock_Data!J545/Raw_Stock_Data!J544)-1</f>
        <v>7.3377693884077999E-3</v>
      </c>
    </row>
    <row r="546" spans="1:10" x14ac:dyDescent="0.2">
      <c r="A546" s="2">
        <v>44988</v>
      </c>
      <c r="B546" s="4">
        <f>(Raw_Stock_Data!B546/Raw_Stock_Data!B545)-1</f>
        <v>3.5106974159488713E-2</v>
      </c>
      <c r="C546" s="4">
        <f>(Raw_Stock_Data!C546/Raw_Stock_Data!C545)-1</f>
        <v>1.6642777833854705E-2</v>
      </c>
      <c r="D546" s="4">
        <f>(Raw_Stock_Data!D546/Raw_Stock_Data!D545)-1</f>
        <v>2.4702645393632539E-2</v>
      </c>
      <c r="E546" s="4">
        <f>(Raw_Stock_Data!E546/Raw_Stock_Data!E545)-1</f>
        <v>1.3426156141223222E-2</v>
      </c>
      <c r="F546" s="4">
        <f>(Raw_Stock_Data!F546/Raw_Stock_Data!F545)-1</f>
        <v>3.0066210789102543E-2</v>
      </c>
      <c r="G546" s="4">
        <f>(Raw_Stock_Data!G546/Raw_Stock_Data!G545)-1</f>
        <v>3.6092194866422123E-2</v>
      </c>
      <c r="H546" s="4">
        <f>(Raw_Stock_Data!H546/Raw_Stock_Data!H545)-1</f>
        <v>1.7935453748107344E-2</v>
      </c>
      <c r="I546" s="4">
        <f>(Raw_Stock_Data!I546/Raw_Stock_Data!I545)-1</f>
        <v>6.142210508222079E-2</v>
      </c>
      <c r="J546" s="4">
        <f>(Raw_Stock_Data!J546/Raw_Stock_Data!J545)-1</f>
        <v>1.9718258253961896E-2</v>
      </c>
    </row>
    <row r="547" spans="1:10" x14ac:dyDescent="0.2">
      <c r="A547" s="2">
        <v>44991</v>
      </c>
      <c r="B547" s="4">
        <f>(Raw_Stock_Data!B547/Raw_Stock_Data!B546)-1</f>
        <v>1.8541881970821406E-2</v>
      </c>
      <c r="C547" s="4">
        <f>(Raw_Stock_Data!C547/Raw_Stock_Data!C546)-1</f>
        <v>6.1875240769349027E-3</v>
      </c>
      <c r="D547" s="4">
        <f>(Raw_Stock_Data!D547/Raw_Stock_Data!D546)-1</f>
        <v>-1.4057957658570874E-2</v>
      </c>
      <c r="E547" s="4">
        <f>(Raw_Stock_Data!E547/Raw_Stock_Data!E546)-1</f>
        <v>-4.4160942100097689E-3</v>
      </c>
      <c r="F547" s="4">
        <f>(Raw_Stock_Data!F547/Raw_Stock_Data!F546)-1</f>
        <v>-1.211801896733411E-2</v>
      </c>
      <c r="G547" s="4">
        <f>(Raw_Stock_Data!G547/Raw_Stock_Data!G546)-1</f>
        <v>-2.0122351989483755E-2</v>
      </c>
      <c r="H547" s="4">
        <f>(Raw_Stock_Data!H547/Raw_Stock_Data!H546)-1</f>
        <v>1.5804020288988418E-2</v>
      </c>
      <c r="I547" s="4">
        <f>(Raw_Stock_Data!I547/Raw_Stock_Data!I546)-1</f>
        <v>-1.8893387314439236E-3</v>
      </c>
      <c r="J547" s="4">
        <f>(Raw_Stock_Data!J547/Raw_Stock_Data!J546)-1</f>
        <v>-1.1352543970789553E-3</v>
      </c>
    </row>
    <row r="548" spans="1:10" x14ac:dyDescent="0.2">
      <c r="A548" s="2">
        <v>44992</v>
      </c>
      <c r="B548" s="4">
        <f>(Raw_Stock_Data!B548/Raw_Stock_Data!B547)-1</f>
        <v>-1.4501538441265782E-2</v>
      </c>
      <c r="C548" s="4">
        <f>(Raw_Stock_Data!C548/Raw_Stock_Data!C547)-1</f>
        <v>-1.0589883759941521E-2</v>
      </c>
      <c r="D548" s="4">
        <f>(Raw_Stock_Data!D548/Raw_Stock_Data!D547)-1</f>
        <v>-1.1127161490419368E-2</v>
      </c>
      <c r="E548" s="4">
        <f>(Raw_Stock_Data!E548/Raw_Stock_Data!E547)-1</f>
        <v>1.1705273533760607E-2</v>
      </c>
      <c r="F548" s="4">
        <f>(Raw_Stock_Data!F548/Raw_Stock_Data!F547)-1</f>
        <v>-2.1333333333333204E-3</v>
      </c>
      <c r="G548" s="4">
        <f>(Raw_Stock_Data!G548/Raw_Stock_Data!G547)-1</f>
        <v>-3.1474124142201076E-2</v>
      </c>
      <c r="H548" s="4">
        <f>(Raw_Stock_Data!H548/Raw_Stock_Data!H547)-1</f>
        <v>-1.3350016458057223E-2</v>
      </c>
      <c r="I548" s="4">
        <f>(Raw_Stock_Data!I548/Raw_Stock_Data!I547)-1</f>
        <v>-2.1092482422931935E-3</v>
      </c>
      <c r="J548" s="4">
        <f>(Raw_Stock_Data!J548/Raw_Stock_Data!J547)-1</f>
        <v>-1.2454028609749757E-2</v>
      </c>
    </row>
    <row r="549" spans="1:10" x14ac:dyDescent="0.2">
      <c r="A549" s="2">
        <v>44993</v>
      </c>
      <c r="B549" s="4">
        <f>(Raw_Stock_Data!B549/Raw_Stock_Data!B548)-1</f>
        <v>8.3703267903942891E-3</v>
      </c>
      <c r="C549" s="4">
        <f>(Raw_Stock_Data!C549/Raw_Stock_Data!C548)-1</f>
        <v>-1.7672496329864673E-3</v>
      </c>
      <c r="D549" s="4">
        <f>(Raw_Stock_Data!D549/Raw_Stock_Data!D548)-1</f>
        <v>3.8341403474098978E-2</v>
      </c>
      <c r="E549" s="4">
        <f>(Raw_Stock_Data!E549/Raw_Stock_Data!E548)-1</f>
        <v>3.9702837656801826E-2</v>
      </c>
      <c r="F549" s="4">
        <f>(Raw_Stock_Data!F549/Raw_Stock_Data!F548)-1</f>
        <v>3.9551042223411326E-3</v>
      </c>
      <c r="G549" s="4">
        <f>(Raw_Stock_Data!G549/Raw_Stock_Data!G548)-1</f>
        <v>-3.0419263757924475E-2</v>
      </c>
      <c r="H549" s="4">
        <f>(Raw_Stock_Data!H549/Raw_Stock_Data!H548)-1</f>
        <v>4.1552164754439236E-3</v>
      </c>
      <c r="I549" s="4">
        <f>(Raw_Stock_Data!I549/Raw_Stock_Data!I548)-1</f>
        <v>2.493089805430726E-3</v>
      </c>
      <c r="J549" s="4">
        <f>(Raw_Stock_Data!J549/Raw_Stock_Data!J548)-1</f>
        <v>3.9608580153387418E-3</v>
      </c>
    </row>
    <row r="550" spans="1:10" x14ac:dyDescent="0.2">
      <c r="A550" s="2">
        <v>44994</v>
      </c>
      <c r="B550" s="4">
        <f>(Raw_Stock_Data!B550/Raw_Stock_Data!B549)-1</f>
        <v>-1.4917654546901082E-2</v>
      </c>
      <c r="C550" s="4">
        <f>(Raw_Stock_Data!C550/Raw_Stock_Data!C549)-1</f>
        <v>-5.4390178596406269E-3</v>
      </c>
      <c r="D550" s="4">
        <f>(Raw_Stock_Data!D550/Raw_Stock_Data!D549)-1</f>
        <v>-3.0805834281576572E-2</v>
      </c>
      <c r="E550" s="4">
        <f>(Raw_Stock_Data!E550/Raw_Stock_Data!E549)-1</f>
        <v>-1.5696380461520443E-2</v>
      </c>
      <c r="F550" s="4">
        <f>(Raw_Stock_Data!F550/Raw_Stock_Data!F549)-1</f>
        <v>-1.778109028960817E-2</v>
      </c>
      <c r="G550" s="4">
        <f>(Raw_Stock_Data!G550/Raw_Stock_Data!G549)-1</f>
        <v>-4.9890109890110002E-2</v>
      </c>
      <c r="H550" s="4">
        <f>(Raw_Stock_Data!H550/Raw_Stock_Data!H549)-1</f>
        <v>-2.0477139717345216E-2</v>
      </c>
      <c r="I550" s="4">
        <f>(Raw_Stock_Data!I550/Raw_Stock_Data!I549)-1</f>
        <v>-1.7732605287343883E-2</v>
      </c>
      <c r="J550" s="4">
        <f>(Raw_Stock_Data!J550/Raw_Stock_Data!J549)-1</f>
        <v>-2.0529543883897716E-2</v>
      </c>
    </row>
    <row r="551" spans="1:10" x14ac:dyDescent="0.2">
      <c r="A551" s="2">
        <v>44995</v>
      </c>
      <c r="B551" s="4">
        <f>(Raw_Stock_Data!B551/Raw_Stock_Data!B550)-1</f>
        <v>-1.3878232308955685E-2</v>
      </c>
      <c r="C551" s="4">
        <f>(Raw_Stock_Data!C551/Raw_Stock_Data!C550)-1</f>
        <v>-1.4782937139367069E-2</v>
      </c>
      <c r="D551" s="4">
        <f>(Raw_Stock_Data!D551/Raw_Stock_Data!D550)-1</f>
        <v>-2.0104171113862312E-2</v>
      </c>
      <c r="E551" s="4">
        <f>(Raw_Stock_Data!E551/Raw_Stock_Data!E550)-1</f>
        <v>-1.6184695941925509E-2</v>
      </c>
      <c r="F551" s="4">
        <f>(Raw_Stock_Data!F551/Raw_Stock_Data!F550)-1</f>
        <v>-1.6476964769647662E-2</v>
      </c>
      <c r="G551" s="4">
        <f>(Raw_Stock_Data!G551/Raw_Stock_Data!G550)-1</f>
        <v>3.0071709461023666E-3</v>
      </c>
      <c r="H551" s="4">
        <f>(Raw_Stock_Data!H551/Raw_Stock_Data!H550)-1</f>
        <v>-1.8307014282515022E-2</v>
      </c>
      <c r="I551" s="4">
        <f>(Raw_Stock_Data!I551/Raw_Stock_Data!I550)-1</f>
        <v>-1.1998458913534127E-2</v>
      </c>
      <c r="J551" s="4">
        <f>(Raw_Stock_Data!J551/Raw_Stock_Data!J550)-1</f>
        <v>-1.7591624883691259E-2</v>
      </c>
    </row>
    <row r="552" spans="1:10" x14ac:dyDescent="0.2">
      <c r="A552" s="2">
        <v>44998</v>
      </c>
      <c r="B552" s="4">
        <f>(Raw_Stock_Data!B552/Raw_Stock_Data!B551)-1</f>
        <v>1.3261350296213559E-2</v>
      </c>
      <c r="C552" s="4">
        <f>(Raw_Stock_Data!C552/Raw_Stock_Data!C551)-1</f>
        <v>2.1444681449820369E-2</v>
      </c>
      <c r="D552" s="4">
        <f>(Raw_Stock_Data!D552/Raw_Stock_Data!D551)-1</f>
        <v>4.3568998043586049E-5</v>
      </c>
      <c r="E552" s="4">
        <f>(Raw_Stock_Data!E552/Raw_Stock_Data!E551)-1</f>
        <v>-7.9835490504415185E-3</v>
      </c>
      <c r="F552" s="4">
        <f>(Raw_Stock_Data!F552/Raw_Stock_Data!F551)-1</f>
        <v>1.8736911716080717E-2</v>
      </c>
      <c r="G552" s="4">
        <f>(Raw_Stock_Data!G552/Raw_Stock_Data!G551)-1</f>
        <v>5.996309963099522E-3</v>
      </c>
      <c r="H552" s="4">
        <f>(Raw_Stock_Data!H552/Raw_Stock_Data!H551)-1</f>
        <v>5.2977433650858163E-3</v>
      </c>
      <c r="I552" s="4">
        <f>(Raw_Stock_Data!I552/Raw_Stock_Data!I551)-1</f>
        <v>7.7433012088463649E-3</v>
      </c>
      <c r="J552" s="4">
        <f>(Raw_Stock_Data!J552/Raw_Stock_Data!J551)-1</f>
        <v>4.4842888294973626E-3</v>
      </c>
    </row>
    <row r="553" spans="1:10" x14ac:dyDescent="0.2">
      <c r="A553" s="2">
        <v>44999</v>
      </c>
      <c r="B553" s="4">
        <f>(Raw_Stock_Data!B553/Raw_Stock_Data!B552)-1</f>
        <v>1.4098168517907128E-2</v>
      </c>
      <c r="C553" s="4">
        <f>(Raw_Stock_Data!C553/Raw_Stock_Data!C552)-1</f>
        <v>2.7047638821786624E-2</v>
      </c>
      <c r="D553" s="4">
        <f>(Raw_Stock_Data!D553/Raw_Stock_Data!D552)-1</f>
        <v>4.7766968296221402E-2</v>
      </c>
      <c r="E553" s="4">
        <f>(Raw_Stock_Data!E553/Raw_Stock_Data!E552)-1</f>
        <v>6.6333373978783028E-2</v>
      </c>
      <c r="F553" s="4">
        <f>(Raw_Stock_Data!F553/Raw_Stock_Data!F552)-1</f>
        <v>2.650654549388709E-2</v>
      </c>
      <c r="G553" s="4">
        <f>(Raw_Stock_Data!G553/Raw_Stock_Data!G552)-1</f>
        <v>5.0320953690967452E-2</v>
      </c>
      <c r="H553" s="4">
        <f>(Raw_Stock_Data!H553/Raw_Stock_Data!H552)-1</f>
        <v>3.1389828268029607E-2</v>
      </c>
      <c r="I553" s="4">
        <f>(Raw_Stock_Data!I553/Raw_Stock_Data!I552)-1</f>
        <v>7.2526257600884492E-2</v>
      </c>
      <c r="J553" s="4">
        <f>(Raw_Stock_Data!J553/Raw_Stock_Data!J552)-1</f>
        <v>2.1388276175188903E-2</v>
      </c>
    </row>
    <row r="554" spans="1:10" x14ac:dyDescent="0.2">
      <c r="A554" s="2">
        <v>45000</v>
      </c>
      <c r="B554" s="4">
        <f>(Raw_Stock_Data!B554/Raw_Stock_Data!B553)-1</f>
        <v>2.6236781975663703E-3</v>
      </c>
      <c r="C554" s="4">
        <f>(Raw_Stock_Data!C554/Raw_Stock_Data!C553)-1</f>
        <v>1.7832914108879105E-2</v>
      </c>
      <c r="D554" s="4">
        <f>(Raw_Stock_Data!D554/Raw_Stock_Data!D553)-1</f>
        <v>6.8608494979107704E-3</v>
      </c>
      <c r="E554" s="4">
        <f>(Raw_Stock_Data!E554/Raw_Stock_Data!E553)-1</f>
        <v>2.5500285877644302E-2</v>
      </c>
      <c r="F554" s="4">
        <f>(Raw_Stock_Data!F554/Raw_Stock_Data!F553)-1</f>
        <v>1.3912310286678053E-2</v>
      </c>
      <c r="G554" s="4">
        <f>(Raw_Stock_Data!G554/Raw_Stock_Data!G553)-1</f>
        <v>-1.5333406089708679E-2</v>
      </c>
      <c r="H554" s="4">
        <f>(Raw_Stock_Data!H554/Raw_Stock_Data!H553)-1</f>
        <v>2.2772469684056329E-2</v>
      </c>
      <c r="I554" s="4">
        <f>(Raw_Stock_Data!I554/Raw_Stock_Data!I553)-1</f>
        <v>1.9224822183280033E-2</v>
      </c>
      <c r="J554" s="4">
        <f>(Raw_Stock_Data!J554/Raw_Stock_Data!J553)-1</f>
        <v>5.1626903742074681E-4</v>
      </c>
    </row>
    <row r="555" spans="1:10" x14ac:dyDescent="0.2">
      <c r="A555" s="2">
        <v>45001</v>
      </c>
      <c r="B555" s="4">
        <f>(Raw_Stock_Data!B555/Raw_Stock_Data!B554)-1</f>
        <v>1.8688678807793346E-2</v>
      </c>
      <c r="C555" s="4">
        <f>(Raw_Stock_Data!C555/Raw_Stock_Data!C554)-1</f>
        <v>4.0541159933997539E-2</v>
      </c>
      <c r="D555" s="4">
        <f>(Raw_Stock_Data!D555/Raw_Stock_Data!D554)-1</f>
        <v>5.4194800635982698E-2</v>
      </c>
      <c r="E555" s="4">
        <f>(Raw_Stock_Data!E555/Raw_Stock_Data!E554)-1</f>
        <v>7.7163247100802801E-2</v>
      </c>
      <c r="F555" s="4">
        <f>(Raw_Stock_Data!F555/Raw_Stock_Data!F554)-1</f>
        <v>3.9916839916839919E-2</v>
      </c>
      <c r="G555" s="4">
        <f>(Raw_Stock_Data!G555/Raw_Stock_Data!G554)-1</f>
        <v>2.0393460792463403E-2</v>
      </c>
      <c r="H555" s="4">
        <f>(Raw_Stock_Data!H555/Raw_Stock_Data!H554)-1</f>
        <v>4.3801977385790725E-2</v>
      </c>
      <c r="I555" s="4">
        <f>(Raw_Stock_Data!I555/Raw_Stock_Data!I554)-1</f>
        <v>3.6308470290771222E-2</v>
      </c>
      <c r="J555" s="4">
        <f>(Raw_Stock_Data!J555/Raw_Stock_Data!J554)-1</f>
        <v>2.4770750521468932E-2</v>
      </c>
    </row>
    <row r="556" spans="1:10" x14ac:dyDescent="0.2">
      <c r="A556" s="2">
        <v>45002</v>
      </c>
      <c r="B556" s="4">
        <f>(Raw_Stock_Data!B556/Raw_Stock_Data!B555)-1</f>
        <v>-5.4562717860673349E-3</v>
      </c>
      <c r="C556" s="4">
        <f>(Raw_Stock_Data!C556/Raw_Stock_Data!C555)-1</f>
        <v>1.1684078378398244E-2</v>
      </c>
      <c r="D556" s="4">
        <f>(Raw_Stock_Data!D556/Raw_Stock_Data!D555)-1</f>
        <v>7.2002757885829549E-3</v>
      </c>
      <c r="E556" s="4">
        <f>(Raw_Stock_Data!E556/Raw_Stock_Data!E555)-1</f>
        <v>1.2836438923395477E-2</v>
      </c>
      <c r="F556" s="4">
        <f>(Raw_Stock_Data!F556/Raw_Stock_Data!F555)-1</f>
        <v>-1.0895641743302709E-2</v>
      </c>
      <c r="G556" s="4">
        <f>(Raw_Stock_Data!G556/Raw_Stock_Data!G555)-1</f>
        <v>-2.1723782110465439E-2</v>
      </c>
      <c r="H556" s="4">
        <f>(Raw_Stock_Data!H556/Raw_Stock_Data!H555)-1</f>
        <v>1.2961521608205073E-2</v>
      </c>
      <c r="I556" s="4">
        <f>(Raw_Stock_Data!I556/Raw_Stock_Data!I555)-1</f>
        <v>-4.5478944029668678E-2</v>
      </c>
      <c r="J556" s="4">
        <f>(Raw_Stock_Data!J556/Raw_Stock_Data!J555)-1</f>
        <v>-7.4053022544481317E-3</v>
      </c>
    </row>
    <row r="557" spans="1:10" x14ac:dyDescent="0.2">
      <c r="A557" s="2">
        <v>45005</v>
      </c>
      <c r="B557" s="4">
        <f>(Raw_Stock_Data!B557/Raw_Stock_Data!B556)-1</f>
        <v>1.5484309712350042E-2</v>
      </c>
      <c r="C557" s="4">
        <f>(Raw_Stock_Data!C557/Raw_Stock_Data!C556)-1</f>
        <v>-2.5757878122675715E-2</v>
      </c>
      <c r="D557" s="4">
        <f>(Raw_Stock_Data!D557/Raw_Stock_Data!D556)-1</f>
        <v>6.8065311583549448E-3</v>
      </c>
      <c r="E557" s="4">
        <f>(Raw_Stock_Data!E557/Raw_Stock_Data!E556)-1</f>
        <v>-1.0527391659852836E-2</v>
      </c>
      <c r="F557" s="4">
        <f>(Raw_Stock_Data!F557/Raw_Stock_Data!F556)-1</f>
        <v>-1.2531581606872289E-2</v>
      </c>
      <c r="G557" s="4">
        <f>(Raw_Stock_Data!G557/Raw_Stock_Data!G556)-1</f>
        <v>1.7320823849442002E-2</v>
      </c>
      <c r="H557" s="4">
        <f>(Raw_Stock_Data!H557/Raw_Stock_Data!H556)-1</f>
        <v>-3.9406239815116262E-3</v>
      </c>
      <c r="I557" s="4">
        <f>(Raw_Stock_Data!I557/Raw_Stock_Data!I556)-1</f>
        <v>1.1246868769490215E-2</v>
      </c>
      <c r="J557" s="4">
        <f>(Raw_Stock_Data!J557/Raw_Stock_Data!J556)-1</f>
        <v>3.8717132782655206E-3</v>
      </c>
    </row>
    <row r="558" spans="1:10" x14ac:dyDescent="0.2">
      <c r="A558" s="2">
        <v>45006</v>
      </c>
      <c r="B558" s="4">
        <f>(Raw_Stock_Data!B558/Raw_Stock_Data!B557)-1</f>
        <v>1.1944854053845155E-2</v>
      </c>
      <c r="C558" s="4">
        <f>(Raw_Stock_Data!C558/Raw_Stock_Data!C557)-1</f>
        <v>5.6907480652201858E-3</v>
      </c>
      <c r="D558" s="4">
        <f>(Raw_Stock_Data!D558/Raw_Stock_Data!D557)-1</f>
        <v>1.1543097320517948E-2</v>
      </c>
      <c r="E558" s="4">
        <f>(Raw_Stock_Data!E558/Raw_Stock_Data!E557)-1</f>
        <v>-9.0899700444168063E-3</v>
      </c>
      <c r="F558" s="4">
        <f>(Raw_Stock_Data!F558/Raw_Stock_Data!F557)-1</f>
        <v>2.9679664312762366E-2</v>
      </c>
      <c r="G558" s="4">
        <f>(Raw_Stock_Data!G558/Raw_Stock_Data!G557)-1</f>
        <v>7.8199181446112043E-2</v>
      </c>
      <c r="H558" s="4">
        <f>(Raw_Stock_Data!H558/Raw_Stock_Data!H557)-1</f>
        <v>3.6557796418585253E-2</v>
      </c>
      <c r="I558" s="4">
        <f>(Raw_Stock_Data!I558/Raw_Stock_Data!I557)-1</f>
        <v>2.1990799251807358E-2</v>
      </c>
      <c r="J558" s="4">
        <f>(Raw_Stock_Data!J558/Raw_Stock_Data!J557)-1</f>
        <v>1.580826240156763E-2</v>
      </c>
    </row>
    <row r="559" spans="1:10" x14ac:dyDescent="0.2">
      <c r="A559" s="2">
        <v>45007</v>
      </c>
      <c r="B559" s="4">
        <f>(Raw_Stock_Data!B559/Raw_Stock_Data!B558)-1</f>
        <v>-9.1058338423944951E-3</v>
      </c>
      <c r="C559" s="4">
        <f>(Raw_Stock_Data!C559/Raw_Stock_Data!C558)-1</f>
        <v>-5.4400556966900382E-3</v>
      </c>
      <c r="D559" s="4">
        <f>(Raw_Stock_Data!D559/Raw_Stock_Data!D558)-1</f>
        <v>1.0269473426925968E-2</v>
      </c>
      <c r="E559" s="4">
        <f>(Raw_Stock_Data!E559/Raw_Stock_Data!E558)-1</f>
        <v>1.7200041697070789E-2</v>
      </c>
      <c r="F559" s="4">
        <f>(Raw_Stock_Data!F559/Raw_Stock_Data!F558)-1</f>
        <v>-1.8984196401948039E-2</v>
      </c>
      <c r="G559" s="4">
        <f>(Raw_Stock_Data!G559/Raw_Stock_Data!G558)-1</f>
        <v>-3.2543779734791056E-2</v>
      </c>
      <c r="H559" s="4">
        <f>(Raw_Stock_Data!H559/Raw_Stock_Data!H558)-1</f>
        <v>-1.4778890578815984E-2</v>
      </c>
      <c r="I559" s="4">
        <f>(Raw_Stock_Data!I559/Raw_Stock_Data!I558)-1</f>
        <v>-1.1624455876533379E-2</v>
      </c>
      <c r="J559" s="4">
        <f>(Raw_Stock_Data!J559/Raw_Stock_Data!J558)-1</f>
        <v>-1.6032734940907067E-2</v>
      </c>
    </row>
    <row r="560" spans="1:10" x14ac:dyDescent="0.2">
      <c r="A560" s="2">
        <v>45008</v>
      </c>
      <c r="B560" s="4">
        <f>(Raw_Stock_Data!B560/Raw_Stock_Data!B559)-1</f>
        <v>6.967589470912694E-3</v>
      </c>
      <c r="C560" s="4">
        <f>(Raw_Stock_Data!C560/Raw_Stock_Data!C559)-1</f>
        <v>1.9719620948373651E-2</v>
      </c>
      <c r="D560" s="4">
        <f>(Raw_Stock_Data!D560/Raw_Stock_Data!D559)-1</f>
        <v>2.7316062646248307E-2</v>
      </c>
      <c r="E560" s="4">
        <f>(Raw_Stock_Data!E560/Raw_Stock_Data!E559)-1</f>
        <v>2.7669604427136729E-2</v>
      </c>
      <c r="F560" s="4">
        <f>(Raw_Stock_Data!F560/Raw_Stock_Data!F559)-1</f>
        <v>1.0131712259364711E-4</v>
      </c>
      <c r="G560" s="4">
        <f>(Raw_Stock_Data!G560/Raw_Stock_Data!G559)-1</f>
        <v>5.5976981428196293E-3</v>
      </c>
      <c r="H560" s="4">
        <f>(Raw_Stock_Data!H560/Raw_Stock_Data!H559)-1</f>
        <v>2.1573653345761112E-2</v>
      </c>
      <c r="I560" s="4">
        <f>(Raw_Stock_Data!I560/Raw_Stock_Data!I559)-1</f>
        <v>2.2371252690055465E-2</v>
      </c>
      <c r="J560" s="4">
        <f>(Raw_Stock_Data!J560/Raw_Stock_Data!J559)-1</f>
        <v>1.0063444947540523E-2</v>
      </c>
    </row>
    <row r="561" spans="1:10" x14ac:dyDescent="0.2">
      <c r="A561" s="2">
        <v>45009</v>
      </c>
      <c r="B561" s="4">
        <f>(Raw_Stock_Data!B561/Raw_Stock_Data!B560)-1</f>
        <v>8.3160083160083165E-3</v>
      </c>
      <c r="C561" s="4">
        <f>(Raw_Stock_Data!C561/Raw_Stock_Data!C560)-1</f>
        <v>1.0479768933875144E-2</v>
      </c>
      <c r="D561" s="4">
        <f>(Raw_Stock_Data!D561/Raw_Stock_Data!D560)-1</f>
        <v>-1.5156811733926023E-2</v>
      </c>
      <c r="E561" s="4">
        <f>(Raw_Stock_Data!E561/Raw_Stock_Data!E560)-1</f>
        <v>-2.3234942161946548E-2</v>
      </c>
      <c r="F561" s="4">
        <f>(Raw_Stock_Data!F561/Raw_Stock_Data!F560)-1</f>
        <v>-5.8757977915104842E-3</v>
      </c>
      <c r="G561" s="4">
        <f>(Raw_Stock_Data!G561/Raw_Stock_Data!G560)-1</f>
        <v>-9.4162938299864329E-3</v>
      </c>
      <c r="H561" s="4">
        <f>(Raw_Stock_Data!H561/Raw_Stock_Data!H560)-1</f>
        <v>-1.5111482826133393E-3</v>
      </c>
      <c r="I561" s="4">
        <f>(Raw_Stock_Data!I561/Raw_Stock_Data!I560)-1</f>
        <v>8.4687683571567085E-3</v>
      </c>
      <c r="J561" s="4">
        <f>(Raw_Stock_Data!J561/Raw_Stock_Data!J560)-1</f>
        <v>3.1016169808439908E-3</v>
      </c>
    </row>
    <row r="562" spans="1:10" x14ac:dyDescent="0.2">
      <c r="A562" s="2">
        <v>45012</v>
      </c>
      <c r="B562" s="4">
        <f>(Raw_Stock_Data!B562/Raw_Stock_Data!B561)-1</f>
        <v>-1.2295237492884858E-2</v>
      </c>
      <c r="C562" s="4">
        <f>(Raw_Stock_Data!C562/Raw_Stock_Data!C561)-1</f>
        <v>-1.4935081360599178E-2</v>
      </c>
      <c r="D562" s="4">
        <f>(Raw_Stock_Data!D562/Raw_Stock_Data!D561)-1</f>
        <v>-9.254969361829235E-3</v>
      </c>
      <c r="E562" s="4">
        <f>(Raw_Stock_Data!E562/Raw_Stock_Data!E561)-1</f>
        <v>-1.3680449208779977E-2</v>
      </c>
      <c r="F562" s="4">
        <f>(Raw_Stock_Data!F562/Raw_Stock_Data!F561)-1</f>
        <v>-9.171507184345673E-4</v>
      </c>
      <c r="G562" s="4">
        <f>(Raw_Stock_Data!G562/Raw_Stock_Data!G561)-1</f>
        <v>7.3525550128670236E-3</v>
      </c>
      <c r="H562" s="4">
        <f>(Raw_Stock_Data!H562/Raw_Stock_Data!H561)-1</f>
        <v>-2.826031087293801E-2</v>
      </c>
      <c r="I562" s="4">
        <f>(Raw_Stock_Data!I562/Raw_Stock_Data!I561)-1</f>
        <v>-1.5387602543565748E-2</v>
      </c>
      <c r="J562" s="4">
        <f>(Raw_Stock_Data!J562/Raw_Stock_Data!J561)-1</f>
        <v>-4.6617207771337821E-3</v>
      </c>
    </row>
    <row r="563" spans="1:10" x14ac:dyDescent="0.2">
      <c r="A563" s="2">
        <v>45013</v>
      </c>
      <c r="B563" s="4">
        <f>(Raw_Stock_Data!B563/Raw_Stock_Data!B562)-1</f>
        <v>-3.9829412292047284E-3</v>
      </c>
      <c r="C563" s="4">
        <f>(Raw_Stock_Data!C563/Raw_Stock_Data!C562)-1</f>
        <v>-4.1563034211551386E-3</v>
      </c>
      <c r="D563" s="4">
        <f>(Raw_Stock_Data!D563/Raw_Stock_Data!D562)-1</f>
        <v>-4.563230918340877E-3</v>
      </c>
      <c r="E563" s="4">
        <f>(Raw_Stock_Data!E563/Raw_Stock_Data!E562)-1</f>
        <v>-2.1219335472518308E-2</v>
      </c>
      <c r="F563" s="4">
        <f>(Raw_Stock_Data!F563/Raw_Stock_Data!F562)-1</f>
        <v>-8.1599347205223438E-3</v>
      </c>
      <c r="G563" s="4">
        <f>(Raw_Stock_Data!G563/Raw_Stock_Data!G562)-1</f>
        <v>-1.3659350398832149E-2</v>
      </c>
      <c r="H563" s="4">
        <f>(Raw_Stock_Data!H563/Raw_Stock_Data!H562)-1</f>
        <v>-1.3958272112841619E-2</v>
      </c>
      <c r="I563" s="4">
        <f>(Raw_Stock_Data!I563/Raw_Stock_Data!I562)-1</f>
        <v>-1.0648787221455347E-2</v>
      </c>
      <c r="J563" s="4">
        <f>(Raw_Stock_Data!J563/Raw_Stock_Data!J562)-1</f>
        <v>-4.4830246651327288E-3</v>
      </c>
    </row>
    <row r="564" spans="1:10" x14ac:dyDescent="0.2">
      <c r="A564" s="2">
        <v>45014</v>
      </c>
      <c r="B564" s="4">
        <f>(Raw_Stock_Data!B564/Raw_Stock_Data!B563)-1</f>
        <v>1.9788612868384625E-2</v>
      </c>
      <c r="C564" s="4">
        <f>(Raw_Stock_Data!C564/Raw_Stock_Data!C563)-1</f>
        <v>1.9177426187538149E-2</v>
      </c>
      <c r="D564" s="4">
        <f>(Raw_Stock_Data!D564/Raw_Stock_Data!D563)-1</f>
        <v>2.1731141528984477E-2</v>
      </c>
      <c r="E564" s="4">
        <f>(Raw_Stock_Data!E564/Raw_Stock_Data!E563)-1</f>
        <v>1.6180203045685237E-2</v>
      </c>
      <c r="F564" s="4">
        <f>(Raw_Stock_Data!F564/Raw_Stock_Data!F563)-1</f>
        <v>3.0954339777869322E-2</v>
      </c>
      <c r="G564" s="4">
        <f>(Raw_Stock_Data!G564/Raw_Stock_Data!G563)-1</f>
        <v>2.4789893757598103E-2</v>
      </c>
      <c r="H564" s="4">
        <f>(Raw_Stock_Data!H564/Raw_Stock_Data!H563)-1</f>
        <v>3.5662842100034897E-3</v>
      </c>
      <c r="I564" s="4">
        <f>(Raw_Stock_Data!I564/Raw_Stock_Data!I563)-1</f>
        <v>2.3270879011361378E-2</v>
      </c>
      <c r="J564" s="4">
        <f>(Raw_Stock_Data!J564/Raw_Stock_Data!J563)-1</f>
        <v>1.7937740268076041E-2</v>
      </c>
    </row>
    <row r="565" spans="1:10" x14ac:dyDescent="0.2">
      <c r="A565" s="2">
        <v>45015</v>
      </c>
      <c r="B565" s="4">
        <f>(Raw_Stock_Data!B565/Raw_Stock_Data!B564)-1</f>
        <v>9.8914400272345215E-3</v>
      </c>
      <c r="C565" s="4">
        <f>(Raw_Stock_Data!C565/Raw_Stock_Data!C564)-1</f>
        <v>1.262148906101479E-2</v>
      </c>
      <c r="D565" s="4">
        <f>(Raw_Stock_Data!D565/Raw_Stock_Data!D564)-1</f>
        <v>1.4791111242950183E-2</v>
      </c>
      <c r="E565" s="4">
        <f>(Raw_Stock_Data!E565/Raw_Stock_Data!E564)-1</f>
        <v>1.862836923717337E-2</v>
      </c>
      <c r="F565" s="4">
        <f>(Raw_Stock_Data!F565/Raw_Stock_Data!F564)-1</f>
        <v>1.7456359102244301E-2</v>
      </c>
      <c r="G565" s="4">
        <f>(Raw_Stock_Data!G565/Raw_Stock_Data!G564)-1</f>
        <v>7.2209614194347349E-3</v>
      </c>
      <c r="H565" s="4">
        <f>(Raw_Stock_Data!H565/Raw_Stock_Data!H564)-1</f>
        <v>-4.9394203357617794E-3</v>
      </c>
      <c r="I565" s="4">
        <f>(Raw_Stock_Data!I565/Raw_Stock_Data!I564)-1</f>
        <v>1.212563915266629E-2</v>
      </c>
      <c r="J565" s="4">
        <f>(Raw_Stock_Data!J565/Raw_Stock_Data!J564)-1</f>
        <v>7.3141241497738374E-3</v>
      </c>
    </row>
    <row r="566" spans="1:10" x14ac:dyDescent="0.2">
      <c r="A566" s="2">
        <v>45016</v>
      </c>
      <c r="B566" s="4">
        <f>(Raw_Stock_Data!B566/Raw_Stock_Data!B565)-1</f>
        <v>1.5650067731645345E-2</v>
      </c>
      <c r="C566" s="4">
        <f>(Raw_Stock_Data!C566/Raw_Stock_Data!C565)-1</f>
        <v>1.4962718131944719E-2</v>
      </c>
      <c r="D566" s="4">
        <f>(Raw_Stock_Data!D566/Raw_Stock_Data!D565)-1</f>
        <v>1.4385518748310178E-2</v>
      </c>
      <c r="E566" s="4">
        <f>(Raw_Stock_Data!E566/Raw_Stock_Data!E565)-1</f>
        <v>1.3281569268492888E-3</v>
      </c>
      <c r="F566" s="4">
        <f>(Raw_Stock_Data!F566/Raw_Stock_Data!F565)-1</f>
        <v>1.2647058823529456E-2</v>
      </c>
      <c r="G566" s="4">
        <f>(Raw_Stock_Data!G566/Raw_Stock_Data!G565)-1</f>
        <v>6.2371978697255193E-2</v>
      </c>
      <c r="H566" s="4">
        <f>(Raw_Stock_Data!H566/Raw_Stock_Data!H565)-1</f>
        <v>2.8162148719224067E-2</v>
      </c>
      <c r="I566" s="4">
        <f>(Raw_Stock_Data!I566/Raw_Stock_Data!I565)-1</f>
        <v>1.9726712856042994E-2</v>
      </c>
      <c r="J566" s="4">
        <f>(Raw_Stock_Data!J566/Raw_Stock_Data!J565)-1</f>
        <v>1.7350524036768844E-2</v>
      </c>
    </row>
    <row r="567" spans="1:10" x14ac:dyDescent="0.2">
      <c r="A567" s="2">
        <v>45019</v>
      </c>
      <c r="B567" s="4">
        <f>(Raw_Stock_Data!B567/Raw_Stock_Data!B566)-1</f>
        <v>7.6952390318256736E-3</v>
      </c>
      <c r="C567" s="4">
        <f>(Raw_Stock_Data!C567/Raw_Stock_Data!C566)-1</f>
        <v>-3.7136677744370461E-3</v>
      </c>
      <c r="D567" s="4">
        <f>(Raw_Stock_Data!D567/Raw_Stock_Data!D566)-1</f>
        <v>6.7683662626298879E-3</v>
      </c>
      <c r="E567" s="4">
        <f>(Raw_Stock_Data!E567/Raw_Stock_Data!E566)-1</f>
        <v>-1.4794408733802666E-2</v>
      </c>
      <c r="F567" s="4">
        <f>(Raw_Stock_Data!F567/Raw_Stock_Data!F566)-1</f>
        <v>-8.5197018104367084E-3</v>
      </c>
      <c r="G567" s="4">
        <f>(Raw_Stock_Data!G567/Raw_Stock_Data!G566)-1</f>
        <v>-6.1168418008290759E-2</v>
      </c>
      <c r="H567" s="4">
        <f>(Raw_Stock_Data!H567/Raw_Stock_Data!H566)-1</f>
        <v>6.0664112388251201E-3</v>
      </c>
      <c r="I567" s="4">
        <f>(Raw_Stock_Data!I567/Raw_Stock_Data!I566)-1</f>
        <v>5.3316976502784108E-3</v>
      </c>
      <c r="J567" s="4">
        <f>(Raw_Stock_Data!J567/Raw_Stock_Data!J566)-1</f>
        <v>-2.6558860276338914E-3</v>
      </c>
    </row>
    <row r="568" spans="1:10" x14ac:dyDescent="0.2">
      <c r="A568" s="2">
        <v>45020</v>
      </c>
      <c r="B568" s="4">
        <f>(Raw_Stock_Data!B568/Raw_Stock_Data!B567)-1</f>
        <v>-3.2448917352850826E-3</v>
      </c>
      <c r="C568" s="4">
        <f>(Raw_Stock_Data!C568/Raw_Stock_Data!C567)-1</f>
        <v>-1.694322959134853E-4</v>
      </c>
      <c r="D568" s="4">
        <f>(Raw_Stock_Data!D568/Raw_Stock_Data!D567)-1</f>
        <v>-1.8308085325624224E-2</v>
      </c>
      <c r="E568" s="4">
        <f>(Raw_Stock_Data!E568/Raw_Stock_Data!E567)-1</f>
        <v>-7.1458160729079845E-3</v>
      </c>
      <c r="F568" s="4">
        <f>(Raw_Stock_Data!F568/Raw_Stock_Data!F567)-1</f>
        <v>1.5037593984962516E-2</v>
      </c>
      <c r="G568" s="4">
        <f>(Raw_Stock_Data!G568/Raw_Stock_Data!G567)-1</f>
        <v>-1.1244031421676848E-2</v>
      </c>
      <c r="H568" s="4">
        <f>(Raw_Stock_Data!H568/Raw_Stock_Data!H567)-1</f>
        <v>3.4428704692113232E-3</v>
      </c>
      <c r="I568" s="4">
        <f>(Raw_Stock_Data!I568/Raw_Stock_Data!I567)-1</f>
        <v>7.7439339184306455E-3</v>
      </c>
      <c r="J568" s="4">
        <f>(Raw_Stock_Data!J568/Raw_Stock_Data!J567)-1</f>
        <v>-5.1782484033324749E-3</v>
      </c>
    </row>
    <row r="569" spans="1:10" x14ac:dyDescent="0.2">
      <c r="A569" s="2">
        <v>45021</v>
      </c>
      <c r="B569" s="4">
        <f>(Raw_Stock_Data!B569/Raw_Stock_Data!B568)-1</f>
        <v>-1.1302304519698048E-2</v>
      </c>
      <c r="C569" s="4">
        <f>(Raw_Stock_Data!C569/Raw_Stock_Data!C568)-1</f>
        <v>-9.8852254714015819E-3</v>
      </c>
      <c r="D569" s="4">
        <f>(Raw_Stock_Data!D569/Raw_Stock_Data!D568)-1</f>
        <v>-2.0839939207732416E-2</v>
      </c>
      <c r="E569" s="4">
        <f>(Raw_Stock_Data!E569/Raw_Stock_Data!E568)-1</f>
        <v>-3.4525920517367248E-2</v>
      </c>
      <c r="F569" s="4">
        <f>(Raw_Stock_Data!F569/Raw_Stock_Data!F568)-1</f>
        <v>-2.7417027417027451E-2</v>
      </c>
      <c r="G569" s="4">
        <f>(Raw_Stock_Data!G569/Raw_Stock_Data!G568)-1</f>
        <v>-3.666008931353204E-2</v>
      </c>
      <c r="H569" s="4">
        <f>(Raw_Stock_Data!H569/Raw_Stock_Data!H568)-1</f>
        <v>-2.3768221504488762E-3</v>
      </c>
      <c r="I569" s="4">
        <f>(Raw_Stock_Data!I569/Raw_Stock_Data!I568)-1</f>
        <v>-1.5089418777943453E-2</v>
      </c>
      <c r="J569" s="4">
        <f>(Raw_Stock_Data!J569/Raw_Stock_Data!J568)-1</f>
        <v>-1.0676767002052556E-2</v>
      </c>
    </row>
    <row r="570" spans="1:10" x14ac:dyDescent="0.2">
      <c r="A570" s="2">
        <v>45022</v>
      </c>
      <c r="B570" s="4">
        <f>(Raw_Stock_Data!B570/Raw_Stock_Data!B569)-1</f>
        <v>5.5084142575092532E-3</v>
      </c>
      <c r="C570" s="4">
        <f>(Raw_Stock_Data!C570/Raw_Stock_Data!C569)-1</f>
        <v>2.5526740856691488E-2</v>
      </c>
      <c r="D570" s="4">
        <f>(Raw_Stock_Data!D570/Raw_Stock_Data!D569)-1</f>
        <v>5.8066173104194263E-3</v>
      </c>
      <c r="E570" s="4">
        <f>(Raw_Stock_Data!E570/Raw_Stock_Data!E569)-1</f>
        <v>-9.7234226447717731E-4</v>
      </c>
      <c r="F570" s="4">
        <f>(Raw_Stock_Data!F570/Raw_Stock_Data!F569)-1</f>
        <v>9.4955489614243493E-3</v>
      </c>
      <c r="G570" s="4">
        <f>(Raw_Stock_Data!G570/Raw_Stock_Data!G569)-1</f>
        <v>-2.4795170332040373E-3</v>
      </c>
      <c r="H570" s="4">
        <f>(Raw_Stock_Data!H570/Raw_Stock_Data!H569)-1</f>
        <v>3.7802734093550949E-2</v>
      </c>
      <c r="I570" s="4">
        <f>(Raw_Stock_Data!I570/Raw_Stock_Data!I569)-1</f>
        <v>2.1846037450349964E-2</v>
      </c>
      <c r="J570" s="4">
        <f>(Raw_Stock_Data!J570/Raw_Stock_Data!J569)-1</f>
        <v>7.5936536727108095E-3</v>
      </c>
    </row>
    <row r="571" spans="1:10" x14ac:dyDescent="0.2">
      <c r="A571" s="2">
        <v>45026</v>
      </c>
      <c r="B571" s="4">
        <f>(Raw_Stock_Data!B571/Raw_Stock_Data!B570)-1</f>
        <v>-1.5979219628095342E-2</v>
      </c>
      <c r="C571" s="4">
        <f>(Raw_Stock_Data!C571/Raw_Stock_Data!C570)-1</f>
        <v>-7.5762317026529802E-3</v>
      </c>
      <c r="D571" s="4">
        <f>(Raw_Stock_Data!D571/Raw_Stock_Data!D570)-1</f>
        <v>2.0043002157509315E-2</v>
      </c>
      <c r="E571" s="4">
        <f>(Raw_Stock_Data!E571/Raw_Stock_Data!E570)-1</f>
        <v>3.2551097653293004E-2</v>
      </c>
      <c r="F571" s="4">
        <f>(Raw_Stock_Data!F571/Raw_Stock_Data!F570)-1</f>
        <v>1.0777973740936364E-3</v>
      </c>
      <c r="G571" s="4">
        <f>(Raw_Stock_Data!G571/Raw_Stock_Data!G570)-1</f>
        <v>-2.9720090781368835E-3</v>
      </c>
      <c r="H571" s="4">
        <f>(Raw_Stock_Data!H571/Raw_Stock_Data!H570)-1</f>
        <v>-1.8263783463546512E-2</v>
      </c>
      <c r="I571" s="4">
        <f>(Raw_Stock_Data!I571/Raw_Stock_Data!I570)-1</f>
        <v>-6.2471078204534569E-3</v>
      </c>
      <c r="J571" s="4">
        <f>(Raw_Stock_Data!J571/Raw_Stock_Data!J570)-1</f>
        <v>-2.9781700137976319E-4</v>
      </c>
    </row>
    <row r="572" spans="1:10" x14ac:dyDescent="0.2">
      <c r="A572" s="2">
        <v>45027</v>
      </c>
      <c r="B572" s="4">
        <f>(Raw_Stock_Data!B572/Raw_Stock_Data!B571)-1</f>
        <v>-7.5876520814438519E-3</v>
      </c>
      <c r="C572" s="4">
        <f>(Raw_Stock_Data!C572/Raw_Stock_Data!C571)-1</f>
        <v>-2.2667474801265297E-2</v>
      </c>
      <c r="D572" s="4">
        <f>(Raw_Stock_Data!D572/Raw_Stock_Data!D571)-1</f>
        <v>-1.4860231828323744E-2</v>
      </c>
      <c r="E572" s="4">
        <f>(Raw_Stock_Data!E572/Raw_Stock_Data!E571)-1</f>
        <v>-1.518642647674906E-2</v>
      </c>
      <c r="F572" s="4">
        <f>(Raw_Stock_Data!F572/Raw_Stock_Data!F571)-1</f>
        <v>-2.2022119996084943E-2</v>
      </c>
      <c r="G572" s="4">
        <f>(Raw_Stock_Data!G572/Raw_Stock_Data!G571)-1</f>
        <v>1.2357053818221164E-2</v>
      </c>
      <c r="H572" s="4">
        <f>(Raw_Stock_Data!H572/Raw_Stock_Data!H571)-1</f>
        <v>-1.0230540757154349E-2</v>
      </c>
      <c r="I572" s="4">
        <f>(Raw_Stock_Data!I572/Raw_Stock_Data!I571)-1</f>
        <v>-4.1909196740396171E-3</v>
      </c>
      <c r="J572" s="4">
        <f>(Raw_Stock_Data!J572/Raw_Stock_Data!J571)-1</f>
        <v>-4.3428034252539494E-3</v>
      </c>
    </row>
    <row r="573" spans="1:10" x14ac:dyDescent="0.2">
      <c r="A573" s="2">
        <v>45028</v>
      </c>
      <c r="B573" s="4">
        <f>(Raw_Stock_Data!B573/Raw_Stock_Data!B572)-1</f>
        <v>-4.3554446209311815E-3</v>
      </c>
      <c r="C573" s="4">
        <f>(Raw_Stock_Data!C573/Raw_Stock_Data!C572)-1</f>
        <v>2.3300748133250337E-3</v>
      </c>
      <c r="D573" s="4">
        <f>(Raw_Stock_Data!D573/Raw_Stock_Data!D572)-1</f>
        <v>-2.4806749675000628E-2</v>
      </c>
      <c r="E573" s="4">
        <f>(Raw_Stock_Data!E573/Raw_Stock_Data!E572)-1</f>
        <v>-1.8079336382005762E-2</v>
      </c>
      <c r="F573" s="4">
        <f>(Raw_Stock_Data!F573/Raw_Stock_Data!F572)-1</f>
        <v>-2.0916733386709407E-2</v>
      </c>
      <c r="G573" s="4">
        <f>(Raw_Stock_Data!G573/Raw_Stock_Data!G572)-1</f>
        <v>-3.3460035333797267E-2</v>
      </c>
      <c r="H573" s="4">
        <f>(Raw_Stock_Data!H573/Raw_Stock_Data!H572)-1</f>
        <v>-6.7447842240639932E-3</v>
      </c>
      <c r="I573" s="4">
        <f>(Raw_Stock_Data!I573/Raw_Stock_Data!I572)-1</f>
        <v>7.0142623334112919E-4</v>
      </c>
      <c r="J573" s="4">
        <f>(Raw_Stock_Data!J573/Raw_Stock_Data!J572)-1</f>
        <v>-8.5223589331009375E-3</v>
      </c>
    </row>
    <row r="574" spans="1:10" x14ac:dyDescent="0.2">
      <c r="A574" s="2">
        <v>45029</v>
      </c>
      <c r="B574" s="4">
        <f>(Raw_Stock_Data!B574/Raw_Stock_Data!B573)-1</f>
        <v>3.4103354625508731E-2</v>
      </c>
      <c r="C574" s="4">
        <f>(Raw_Stock_Data!C574/Raw_Stock_Data!C573)-1</f>
        <v>2.2398975719839509E-2</v>
      </c>
      <c r="D574" s="4">
        <f>(Raw_Stock_Data!D574/Raw_Stock_Data!D573)-1</f>
        <v>-1.2084455236534009E-3</v>
      </c>
      <c r="E574" s="4">
        <f>(Raw_Stock_Data!E574/Raw_Stock_Data!E573)-1</f>
        <v>-2.5993718184771364E-3</v>
      </c>
      <c r="F574" s="4">
        <f>(Raw_Stock_Data!F574/Raw_Stock_Data!F573)-1</f>
        <v>4.6713687008075322E-2</v>
      </c>
      <c r="G574" s="4">
        <f>(Raw_Stock_Data!G574/Raw_Stock_Data!G573)-1</f>
        <v>2.9688711642849253E-2</v>
      </c>
      <c r="H574" s="4">
        <f>(Raw_Stock_Data!H574/Raw_Stock_Data!H573)-1</f>
        <v>2.6663597475590439E-2</v>
      </c>
      <c r="I574" s="4">
        <f>(Raw_Stock_Data!I574/Raw_Stock_Data!I573)-1</f>
        <v>2.9672897196261649E-2</v>
      </c>
      <c r="J574" s="4">
        <f>(Raw_Stock_Data!J574/Raw_Stock_Data!J573)-1</f>
        <v>1.9861115535310336E-2</v>
      </c>
    </row>
    <row r="575" spans="1:10" x14ac:dyDescent="0.2">
      <c r="A575" s="2">
        <v>45030</v>
      </c>
      <c r="B575" s="4">
        <f>(Raw_Stock_Data!B575/Raw_Stock_Data!B574)-1</f>
        <v>-2.1120552440190288E-3</v>
      </c>
      <c r="C575" s="4">
        <f>(Raw_Stock_Data!C575/Raw_Stock_Data!C574)-1</f>
        <v>-1.2764364720121435E-2</v>
      </c>
      <c r="D575" s="4">
        <f>(Raw_Stock_Data!D575/Raw_Stock_Data!D574)-1</f>
        <v>1.1142493090293026E-2</v>
      </c>
      <c r="E575" s="4">
        <f>(Raw_Stock_Data!E575/Raw_Stock_Data!E574)-1</f>
        <v>-3.6920403952654945E-3</v>
      </c>
      <c r="F575" s="4">
        <f>(Raw_Stock_Data!F575/Raw_Stock_Data!F574)-1</f>
        <v>1.0742187499999112E-3</v>
      </c>
      <c r="G575" s="4">
        <f>(Raw_Stock_Data!G575/Raw_Stock_Data!G574)-1</f>
        <v>-4.8413125336203011E-3</v>
      </c>
      <c r="H575" s="4">
        <f>(Raw_Stock_Data!H575/Raw_Stock_Data!H574)-1</f>
        <v>1.3405952803572374E-2</v>
      </c>
      <c r="I575" s="4">
        <f>(Raw_Stock_Data!I575/Raw_Stock_Data!I574)-1</f>
        <v>5.1735874744724963E-3</v>
      </c>
      <c r="J575" s="4">
        <f>(Raw_Stock_Data!J575/Raw_Stock_Data!J574)-1</f>
        <v>-3.5179229131032663E-3</v>
      </c>
    </row>
    <row r="576" spans="1:10" x14ac:dyDescent="0.2">
      <c r="A576" s="2">
        <v>45033</v>
      </c>
      <c r="B576" s="4">
        <f>(Raw_Stock_Data!B576/Raw_Stock_Data!B575)-1</f>
        <v>1.165622718599657E-4</v>
      </c>
      <c r="C576" s="4">
        <f>(Raw_Stock_Data!C576/Raw_Stock_Data!C575)-1</f>
        <v>9.2975462839930412E-3</v>
      </c>
      <c r="D576" s="4">
        <f>(Raw_Stock_Data!D576/Raw_Stock_Data!D575)-1</f>
        <v>9.1201435889765037E-3</v>
      </c>
      <c r="E576" s="4">
        <f>(Raw_Stock_Data!E576/Raw_Stock_Data!E575)-1</f>
        <v>-2.0490463215258825E-2</v>
      </c>
      <c r="F576" s="4">
        <f>(Raw_Stock_Data!F576/Raw_Stock_Data!F575)-1</f>
        <v>2.2436835430688085E-3</v>
      </c>
      <c r="G576" s="4">
        <f>(Raw_Stock_Data!G576/Raw_Stock_Data!G575)-1</f>
        <v>1.1027027027026959E-2</v>
      </c>
      <c r="H576" s="4">
        <f>(Raw_Stock_Data!H576/Raw_Stock_Data!H575)-1</f>
        <v>-2.6632373682900612E-2</v>
      </c>
      <c r="I576" s="4">
        <f>(Raw_Stock_Data!I576/Raw_Stock_Data!I575)-1</f>
        <v>-1.1874125242674616E-2</v>
      </c>
      <c r="J576" s="4">
        <f>(Raw_Stock_Data!J576/Raw_Stock_Data!J575)-1</f>
        <v>2.8250987547293605E-3</v>
      </c>
    </row>
    <row r="577" spans="1:10" x14ac:dyDescent="0.2">
      <c r="A577" s="2">
        <v>45034</v>
      </c>
      <c r="B577" s="4">
        <f>(Raw_Stock_Data!B577/Raw_Stock_Data!B576)-1</f>
        <v>7.5143232201790866E-3</v>
      </c>
      <c r="C577" s="4">
        <f>(Raw_Stock_Data!C577/Raw_Stock_Data!C576)-1</f>
        <v>-1.4920185782643092E-3</v>
      </c>
      <c r="D577" s="4">
        <f>(Raw_Stock_Data!D577/Raw_Stock_Data!D576)-1</f>
        <v>2.4626763355553916E-2</v>
      </c>
      <c r="E577" s="4">
        <f>(Raw_Stock_Data!E577/Raw_Stock_Data!E576)-1</f>
        <v>-1.0014465338823442E-3</v>
      </c>
      <c r="F577" s="4">
        <f>(Raw_Stock_Data!F577/Raw_Stock_Data!F576)-1</f>
        <v>-4.282655246252709E-3</v>
      </c>
      <c r="G577" s="4">
        <f>(Raw_Stock_Data!G577/Raw_Stock_Data!G576)-1</f>
        <v>-1.4595808383233488E-2</v>
      </c>
      <c r="H577" s="4">
        <f>(Raw_Stock_Data!H577/Raw_Stock_Data!H576)-1</f>
        <v>-1.3874682729097865E-2</v>
      </c>
      <c r="I577" s="4">
        <f>(Raw_Stock_Data!I577/Raw_Stock_Data!I576)-1</f>
        <v>-4.4320570227543987E-3</v>
      </c>
      <c r="J577" s="4">
        <f>(Raw_Stock_Data!J577/Raw_Stock_Data!J576)-1</f>
        <v>-3.5450725958485751E-4</v>
      </c>
    </row>
    <row r="578" spans="1:10" x14ac:dyDescent="0.2">
      <c r="A578" s="2">
        <v>45035</v>
      </c>
      <c r="B578" s="4">
        <f>(Raw_Stock_Data!B578/Raw_Stock_Data!B577)-1</f>
        <v>6.9590312151819322E-3</v>
      </c>
      <c r="C578" s="4">
        <f>(Raw_Stock_Data!C578/Raw_Stock_Data!C577)-1</f>
        <v>2.8127021629686944E-4</v>
      </c>
      <c r="D578" s="4">
        <f>(Raw_Stock_Data!D578/Raw_Stock_Data!D577)-1</f>
        <v>9.5437860513898354E-3</v>
      </c>
      <c r="E578" s="4">
        <f>(Raw_Stock_Data!E578/Raw_Stock_Data!E577)-1</f>
        <v>1.7821341055914708E-3</v>
      </c>
      <c r="F578" s="4">
        <f>(Raw_Stock_Data!F578/Raw_Stock_Data!F577)-1</f>
        <v>1.9550342130987275E-2</v>
      </c>
      <c r="G578" s="4">
        <f>(Raw_Stock_Data!G578/Raw_Stock_Data!G577)-1</f>
        <v>-2.0183386685475591E-2</v>
      </c>
      <c r="H578" s="4">
        <f>(Raw_Stock_Data!H578/Raw_Stock_Data!H577)-1</f>
        <v>-3.0636842964570921E-3</v>
      </c>
      <c r="I578" s="4">
        <f>(Raw_Stock_Data!I578/Raw_Stock_Data!I577)-1</f>
        <v>-1.0050943136444945E-2</v>
      </c>
      <c r="J578" s="4">
        <f>(Raw_Stock_Data!J578/Raw_Stock_Data!J577)-1</f>
        <v>3.1431507700308003E-4</v>
      </c>
    </row>
    <row r="579" spans="1:10" x14ac:dyDescent="0.2">
      <c r="A579" s="2">
        <v>45036</v>
      </c>
      <c r="B579" s="4">
        <f>(Raw_Stock_Data!B579/Raw_Stock_Data!B578)-1</f>
        <v>-5.8407400689278743E-3</v>
      </c>
      <c r="C579" s="4">
        <f>(Raw_Stock_Data!C579/Raw_Stock_Data!C578)-1</f>
        <v>-8.1158788628631351E-3</v>
      </c>
      <c r="D579" s="4">
        <f>(Raw_Stock_Data!D579/Raw_Stock_Data!D578)-1</f>
        <v>-2.960731352586754E-2</v>
      </c>
      <c r="E579" s="4">
        <f>(Raw_Stock_Data!E579/Raw_Stock_Data!E578)-1</f>
        <v>1.8901489882143796E-3</v>
      </c>
      <c r="F579" s="4">
        <f>(Raw_Stock_Data!F579/Raw_Stock_Data!F578)-1</f>
        <v>-4.6979865771811236E-3</v>
      </c>
      <c r="G579" s="4">
        <f>(Raw_Stock_Data!G579/Raw_Stock_Data!G578)-1</f>
        <v>-9.7458331026081146E-2</v>
      </c>
      <c r="H579" s="4">
        <f>(Raw_Stock_Data!H579/Raw_Stock_Data!H578)-1</f>
        <v>1.0654695387460889E-2</v>
      </c>
      <c r="I579" s="4">
        <f>(Raw_Stock_Data!I579/Raw_Stock_Data!I578)-1</f>
        <v>-1.2192860454334653E-2</v>
      </c>
      <c r="J579" s="4">
        <f>(Raw_Stock_Data!J579/Raw_Stock_Data!J578)-1</f>
        <v>-8.0339024596886022E-3</v>
      </c>
    </row>
    <row r="580" spans="1:10" x14ac:dyDescent="0.2">
      <c r="A580" s="2">
        <v>45037</v>
      </c>
      <c r="B580" s="4">
        <f>(Raw_Stock_Data!B580/Raw_Stock_Data!B579)-1</f>
        <v>-9.7856760570234069E-3</v>
      </c>
      <c r="C580" s="4">
        <f>(Raw_Stock_Data!C580/Raw_Stock_Data!C579)-1</f>
        <v>-1.2154715710768205E-3</v>
      </c>
      <c r="D580" s="4">
        <f>(Raw_Stock_Data!D580/Raw_Stock_Data!D579)-1</f>
        <v>5.5373234055289267E-4</v>
      </c>
      <c r="E580" s="4">
        <f>(Raw_Stock_Data!E580/Raw_Stock_Data!E579)-1</f>
        <v>-1.8643879702585631E-2</v>
      </c>
      <c r="F580" s="4">
        <f>(Raw_Stock_Data!F580/Raw_Stock_Data!F579)-1</f>
        <v>3.0343897505057171E-2</v>
      </c>
      <c r="G580" s="4">
        <f>(Raw_Stock_Data!G580/Raw_Stock_Data!G579)-1</f>
        <v>1.282287256886927E-2</v>
      </c>
      <c r="H580" s="4">
        <f>(Raw_Stock_Data!H580/Raw_Stock_Data!H579)-1</f>
        <v>1.134305595272167E-3</v>
      </c>
      <c r="I580" s="4">
        <f>(Raw_Stock_Data!I580/Raw_Stock_Data!I579)-1</f>
        <v>-8.4479279110150074E-4</v>
      </c>
      <c r="J580" s="4">
        <f>(Raw_Stock_Data!J580/Raw_Stock_Data!J579)-1</f>
        <v>1.0696907681539969E-3</v>
      </c>
    </row>
    <row r="581" spans="1:10" x14ac:dyDescent="0.2">
      <c r="A581" s="2">
        <v>45040</v>
      </c>
      <c r="B581" s="4">
        <f>(Raw_Stock_Data!B581/Raw_Stock_Data!B580)-1</f>
        <v>1.8855756533489032E-3</v>
      </c>
      <c r="C581" s="4">
        <f>(Raw_Stock_Data!C581/Raw_Stock_Data!C580)-1</f>
        <v>-1.3968323801143656E-2</v>
      </c>
      <c r="D581" s="4">
        <f>(Raw_Stock_Data!D581/Raw_Stock_Data!D580)-1</f>
        <v>-2.8409195724600211E-3</v>
      </c>
      <c r="E581" s="4">
        <f>(Raw_Stock_Data!E581/Raw_Stock_Data!E580)-1</f>
        <v>-9.7252063779261766E-3</v>
      </c>
      <c r="F581" s="4">
        <f>(Raw_Stock_Data!F581/Raw_Stock_Data!F580)-1</f>
        <v>-7.0119670905011144E-3</v>
      </c>
      <c r="G581" s="4">
        <f>(Raw_Stock_Data!G581/Raw_Stock_Data!G580)-1</f>
        <v>-1.5325902592682294E-2</v>
      </c>
      <c r="H581" s="4">
        <f>(Raw_Stock_Data!H581/Raw_Stock_Data!H580)-1</f>
        <v>5.322339544316268E-3</v>
      </c>
      <c r="I581" s="4">
        <f>(Raw_Stock_Data!I581/Raw_Stock_Data!I580)-1</f>
        <v>-4.6972614965468118E-4</v>
      </c>
      <c r="J581" s="4">
        <f>(Raw_Stock_Data!J581/Raw_Stock_Data!J580)-1</f>
        <v>-2.9206971901334366E-3</v>
      </c>
    </row>
    <row r="582" spans="1:10" x14ac:dyDescent="0.2">
      <c r="A582" s="2">
        <v>45041</v>
      </c>
      <c r="B582" s="4">
        <f>(Raw_Stock_Data!B582/Raw_Stock_Data!B581)-1</f>
        <v>-9.4469170314245288E-3</v>
      </c>
      <c r="C582" s="4">
        <f>(Raw_Stock_Data!C582/Raw_Stock_Data!C581)-1</f>
        <v>-2.2539265602792291E-2</v>
      </c>
      <c r="D582" s="4">
        <f>(Raw_Stock_Data!D582/Raw_Stock_Data!D581)-1</f>
        <v>-2.9618639207604214E-2</v>
      </c>
      <c r="E582" s="4">
        <f>(Raw_Stock_Data!E582/Raw_Stock_Data!E581)-1</f>
        <v>-4.3051273267100565E-2</v>
      </c>
      <c r="F582" s="4">
        <f>(Raw_Stock_Data!F582/Raw_Stock_Data!F581)-1</f>
        <v>-3.4271725826193422E-2</v>
      </c>
      <c r="G582" s="4">
        <f>(Raw_Stock_Data!G582/Raw_Stock_Data!G581)-1</f>
        <v>-1.156567210089221E-2</v>
      </c>
      <c r="H582" s="4">
        <f>(Raw_Stock_Data!H582/Raw_Stock_Data!H581)-1</f>
        <v>-2.001174375876047E-2</v>
      </c>
      <c r="I582" s="4">
        <f>(Raw_Stock_Data!I582/Raw_Stock_Data!I581)-1</f>
        <v>-2.4625217350439321E-2</v>
      </c>
      <c r="J582" s="4">
        <f>(Raw_Stock_Data!J582/Raw_Stock_Data!J581)-1</f>
        <v>-1.9775363041238947E-2</v>
      </c>
    </row>
    <row r="583" spans="1:10" x14ac:dyDescent="0.2">
      <c r="A583" s="2">
        <v>45042</v>
      </c>
      <c r="B583" s="4">
        <f>(Raw_Stock_Data!B583/Raw_Stock_Data!B582)-1</f>
        <v>-6.1888464608972349E-5</v>
      </c>
      <c r="C583" s="4">
        <f>(Raw_Stock_Data!C583/Raw_Stock_Data!C582)-1</f>
        <v>7.2438533265108518E-2</v>
      </c>
      <c r="D583" s="4">
        <f>(Raw_Stock_Data!D583/Raw_Stock_Data!D582)-1</f>
        <v>2.7243540859591686E-2</v>
      </c>
      <c r="E583" s="4">
        <f>(Raw_Stock_Data!E583/Raw_Stock_Data!E582)-1</f>
        <v>2.5536992840095474E-2</v>
      </c>
      <c r="F583" s="4">
        <f>(Raw_Stock_Data!F583/Raw_Stock_Data!F582)-1</f>
        <v>2.3496148971434261E-2</v>
      </c>
      <c r="G583" s="4">
        <f>(Raw_Stock_Data!G583/Raw_Stock_Data!G582)-1</f>
        <v>-4.3069645857969685E-2</v>
      </c>
      <c r="H583" s="4">
        <f>(Raw_Stock_Data!H583/Raw_Stock_Data!H582)-1</f>
        <v>-1.3433196424256222E-3</v>
      </c>
      <c r="I583" s="4">
        <f>(Raw_Stock_Data!I583/Raw_Stock_Data!I582)-1</f>
        <v>8.9135148157071242E-3</v>
      </c>
      <c r="J583" s="4">
        <f>(Raw_Stock_Data!J583/Raw_Stock_Data!J582)-1</f>
        <v>4.6774516151997236E-3</v>
      </c>
    </row>
    <row r="584" spans="1:10" x14ac:dyDescent="0.2">
      <c r="A584" s="2">
        <v>45043</v>
      </c>
      <c r="B584" s="4">
        <f>(Raw_Stock_Data!B584/Raw_Stock_Data!B583)-1</f>
        <v>2.8402374188437163E-2</v>
      </c>
      <c r="C584" s="4">
        <f>(Raw_Stock_Data!C584/Raw_Stock_Data!C583)-1</f>
        <v>3.2025647978745519E-2</v>
      </c>
      <c r="D584" s="4">
        <f>(Raw_Stock_Data!D584/Raw_Stock_Data!D583)-1</f>
        <v>1.0021936906339457E-2</v>
      </c>
      <c r="E584" s="4">
        <f>(Raw_Stock_Data!E584/Raw_Stock_Data!E583)-1</f>
        <v>1.7454037700721514E-2</v>
      </c>
      <c r="F584" s="4">
        <f>(Raw_Stock_Data!F584/Raw_Stock_Data!F583)-1</f>
        <v>4.6104019813297592E-2</v>
      </c>
      <c r="G584" s="4">
        <f>(Raw_Stock_Data!G584/Raw_Stock_Data!G583)-1</f>
        <v>4.1886178861788581E-2</v>
      </c>
      <c r="H584" s="4">
        <f>(Raw_Stock_Data!H584/Raw_Stock_Data!H583)-1</f>
        <v>3.7411937756445024E-2</v>
      </c>
      <c r="I584" s="4">
        <f>(Raw_Stock_Data!I584/Raw_Stock_Data!I583)-1</f>
        <v>0.13925501432664755</v>
      </c>
      <c r="J584" s="4">
        <f>(Raw_Stock_Data!J584/Raw_Stock_Data!J583)-1</f>
        <v>2.4285599800916824E-2</v>
      </c>
    </row>
    <row r="585" spans="1:10" x14ac:dyDescent="0.2">
      <c r="A585" s="2">
        <v>45044</v>
      </c>
      <c r="B585" s="4">
        <f>(Raw_Stock_Data!B585/Raw_Stock_Data!B584)-1</f>
        <v>7.5409244102071504E-3</v>
      </c>
      <c r="C585" s="4">
        <f>(Raw_Stock_Data!C585/Raw_Stock_Data!C584)-1</f>
        <v>7.9691610761694065E-3</v>
      </c>
      <c r="D585" s="4">
        <f>(Raw_Stock_Data!D585/Raw_Stock_Data!D584)-1</f>
        <v>1.9205538956815094E-2</v>
      </c>
      <c r="E585" s="4">
        <f>(Raw_Stock_Data!E585/Raw_Stock_Data!E584)-1</f>
        <v>2.2072278133577372E-2</v>
      </c>
      <c r="F585" s="4">
        <f>(Raw_Stock_Data!F585/Raw_Stock_Data!F584)-1</f>
        <v>-3.9792387543252539E-2</v>
      </c>
      <c r="G585" s="4">
        <f>(Raw_Stock_Data!G585/Raw_Stock_Data!G584)-1</f>
        <v>2.5719458143454776E-2</v>
      </c>
      <c r="H585" s="4">
        <f>(Raw_Stock_Data!H585/Raw_Stock_Data!H584)-1</f>
        <v>-2.3320460439171242E-3</v>
      </c>
      <c r="I585" s="4">
        <f>(Raw_Stock_Data!I585/Raw_Stock_Data!I584)-1</f>
        <v>7.3775989268947129E-3</v>
      </c>
      <c r="J585" s="4">
        <f>(Raw_Stock_Data!J585/Raw_Stock_Data!J584)-1</f>
        <v>6.9460000790628751E-3</v>
      </c>
    </row>
    <row r="586" spans="1:10" x14ac:dyDescent="0.2">
      <c r="A586" s="2">
        <v>45047</v>
      </c>
      <c r="B586" s="4">
        <f>(Raw_Stock_Data!B586/Raw_Stock_Data!B585)-1</f>
        <v>-5.2564615651129465E-4</v>
      </c>
      <c r="C586" s="4">
        <f>(Raw_Stock_Data!C586/Raw_Stock_Data!C585)-1</f>
        <v>-5.527049545462126E-3</v>
      </c>
      <c r="D586" s="4">
        <f>(Raw_Stock_Data!D586/Raw_Stock_Data!D585)-1</f>
        <v>4.1837488957398028E-2</v>
      </c>
      <c r="E586" s="4">
        <f>(Raw_Stock_Data!E586/Raw_Stock_Data!E585)-1</f>
        <v>3.5806198948191703E-3</v>
      </c>
      <c r="F586" s="4">
        <f>(Raw_Stock_Data!F586/Raw_Stock_Data!F585)-1</f>
        <v>-3.2242769084874445E-2</v>
      </c>
      <c r="G586" s="4">
        <f>(Raw_Stock_Data!G586/Raw_Stock_Data!G585)-1</f>
        <v>-1.5093420972551841E-2</v>
      </c>
      <c r="H586" s="4">
        <f>(Raw_Stock_Data!H586/Raw_Stock_Data!H585)-1</f>
        <v>-1.2996484404218522E-3</v>
      </c>
      <c r="I586" s="4">
        <f>(Raw_Stock_Data!I586/Raw_Stock_Data!I585)-1</f>
        <v>1.1900798934753709E-2</v>
      </c>
      <c r="J586" s="4">
        <f>(Raw_Stock_Data!J586/Raw_Stock_Data!J585)-1</f>
        <v>-1.1434105040002418E-3</v>
      </c>
    </row>
    <row r="587" spans="1:10" x14ac:dyDescent="0.2">
      <c r="A587" s="2">
        <v>45048</v>
      </c>
      <c r="B587" s="4">
        <f>(Raw_Stock_Data!B587/Raw_Stock_Data!B586)-1</f>
        <v>-6.1975197968024975E-3</v>
      </c>
      <c r="C587" s="4">
        <f>(Raw_Stock_Data!C587/Raw_Stock_Data!C586)-1</f>
        <v>-4.9107439113404983E-4</v>
      </c>
      <c r="D587" s="4">
        <f>(Raw_Stock_Data!D587/Raw_Stock_Data!D586)-1</f>
        <v>-2.4205884999550009E-2</v>
      </c>
      <c r="E587" s="4">
        <f>(Raw_Stock_Data!E587/Raw_Stock_Data!E586)-1</f>
        <v>2.4528932991414454E-3</v>
      </c>
      <c r="F587" s="4">
        <f>(Raw_Stock_Data!F587/Raw_Stock_Data!F586)-1</f>
        <v>1.5482606565409007E-2</v>
      </c>
      <c r="G587" s="4">
        <f>(Raw_Stock_Data!G587/Raw_Stock_Data!G586)-1</f>
        <v>-9.3925724525737442E-3</v>
      </c>
      <c r="H587" s="4">
        <f>(Raw_Stock_Data!H587/Raw_Stock_Data!H586)-1</f>
        <v>-1.7535318734611005E-2</v>
      </c>
      <c r="I587" s="4">
        <f>(Raw_Stock_Data!I587/Raw_Stock_Data!I586)-1</f>
        <v>-1.6201990295254487E-2</v>
      </c>
      <c r="J587" s="4">
        <f>(Raw_Stock_Data!J587/Raw_Stock_Data!J586)-1</f>
        <v>-1.0815878682671975E-2</v>
      </c>
    </row>
    <row r="588" spans="1:10" x14ac:dyDescent="0.2">
      <c r="A588" s="2">
        <v>45049</v>
      </c>
      <c r="B588" s="4">
        <f>(Raw_Stock_Data!B588/Raw_Stock_Data!B587)-1</f>
        <v>-6.4707014336573554E-3</v>
      </c>
      <c r="C588" s="4">
        <f>(Raw_Stock_Data!C588/Raw_Stock_Data!C587)-1</f>
        <v>-3.3097413289425726E-3</v>
      </c>
      <c r="D588" s="4">
        <f>(Raw_Stock_Data!D588/Raw_Stock_Data!D587)-1</f>
        <v>-1.4467411968334232E-2</v>
      </c>
      <c r="E588" s="4">
        <f>(Raw_Stock_Data!E588/Raw_Stock_Data!E587)-1</f>
        <v>-9.2203314425536531E-2</v>
      </c>
      <c r="F588" s="4">
        <f>(Raw_Stock_Data!F588/Raw_Stock_Data!F587)-1</f>
        <v>1.9299430666808171E-4</v>
      </c>
      <c r="G588" s="4">
        <f>(Raw_Stock_Data!G588/Raw_Stock_Data!G587)-1</f>
        <v>1.871374212463417E-3</v>
      </c>
      <c r="H588" s="4">
        <f>(Raw_Stock_Data!H588/Raw_Stock_Data!H587)-1</f>
        <v>8.4810367829235567E-4</v>
      </c>
      <c r="I588" s="4">
        <f>(Raw_Stock_Data!I588/Raw_Stock_Data!I587)-1</f>
        <v>-9.2375856880120288E-3</v>
      </c>
      <c r="J588" s="4">
        <f>(Raw_Stock_Data!J588/Raw_Stock_Data!J587)-1</f>
        <v>-4.567687953571542E-3</v>
      </c>
    </row>
    <row r="589" spans="1:10" x14ac:dyDescent="0.2">
      <c r="A589" s="2">
        <v>45050</v>
      </c>
      <c r="B589" s="4">
        <f>(Raw_Stock_Data!B589/Raw_Stock_Data!B588)-1</f>
        <v>-9.9024283950318592E-3</v>
      </c>
      <c r="C589" s="4">
        <f>(Raw_Stock_Data!C589/Raw_Stock_Data!C588)-1</f>
        <v>3.3207320931936124E-3</v>
      </c>
      <c r="D589" s="4">
        <f>(Raw_Stock_Data!D589/Raw_Stock_Data!D588)-1</f>
        <v>-8.6372878916020079E-3</v>
      </c>
      <c r="E589" s="4">
        <f>(Raw_Stock_Data!E589/Raw_Stock_Data!E588)-1</f>
        <v>6.1136976231315865E-2</v>
      </c>
      <c r="F589" s="4">
        <f>(Raw_Stock_Data!F589/Raw_Stock_Data!F588)-1</f>
        <v>3.3767486734201935E-3</v>
      </c>
      <c r="G589" s="4">
        <f>(Raw_Stock_Data!G589/Raw_Stock_Data!G588)-1</f>
        <v>3.6734948010708202E-3</v>
      </c>
      <c r="H589" s="4">
        <f>(Raw_Stock_Data!H589/Raw_Stock_Data!H588)-1</f>
        <v>-6.8362071427889859E-3</v>
      </c>
      <c r="I589" s="4">
        <f>(Raw_Stock_Data!I589/Raw_Stock_Data!I588)-1</f>
        <v>-1.4808252119984822E-2</v>
      </c>
      <c r="J589" s="4">
        <f>(Raw_Stock_Data!J589/Raw_Stock_Data!J588)-1</f>
        <v>-4.900489217343762E-3</v>
      </c>
    </row>
    <row r="590" spans="1:10" x14ac:dyDescent="0.2">
      <c r="A590" s="2">
        <v>45051</v>
      </c>
      <c r="B590" s="4">
        <f>(Raw_Stock_Data!B590/Raw_Stock_Data!B589)-1</f>
        <v>4.6920086076197132E-2</v>
      </c>
      <c r="C590" s="4">
        <f>(Raw_Stock_Data!C590/Raw_Stock_Data!C589)-1</f>
        <v>1.7152892123014629E-2</v>
      </c>
      <c r="D590" s="4">
        <f>(Raw_Stock_Data!D590/Raw_Stock_Data!D589)-1</f>
        <v>4.0564137004701184E-2</v>
      </c>
      <c r="E590" s="4">
        <f>(Raw_Stock_Data!E590/Raw_Stock_Data!E589)-1</f>
        <v>3.7293615055998153E-2</v>
      </c>
      <c r="F590" s="4">
        <f>(Raw_Stock_Data!F590/Raw_Stock_Data!F589)-1</f>
        <v>1.5913461538461515E-2</v>
      </c>
      <c r="G590" s="4">
        <f>(Raw_Stock_Data!G590/Raw_Stock_Data!G589)-1</f>
        <v>5.4962779156327635E-2</v>
      </c>
      <c r="H590" s="4">
        <f>(Raw_Stock_Data!H590/Raw_Stock_Data!H589)-1</f>
        <v>8.407550498029881E-3</v>
      </c>
      <c r="I590" s="4">
        <f>(Raw_Stock_Data!I590/Raw_Stock_Data!I589)-1</f>
        <v>-3.1688934566632687E-3</v>
      </c>
      <c r="J590" s="4">
        <f>(Raw_Stock_Data!J590/Raw_Stock_Data!J589)-1</f>
        <v>2.2480445246690683E-2</v>
      </c>
    </row>
    <row r="591" spans="1:10" x14ac:dyDescent="0.2">
      <c r="A591" s="2">
        <v>45054</v>
      </c>
      <c r="B591" s="4">
        <f>(Raw_Stock_Data!B591/Raw_Stock_Data!B590)-1</f>
        <v>-4.0291735522723915E-4</v>
      </c>
      <c r="C591" s="4">
        <f>(Raw_Stock_Data!C591/Raw_Stock_Data!C590)-1</f>
        <v>-6.4360523369854095E-3</v>
      </c>
      <c r="D591" s="4">
        <f>(Raw_Stock_Data!D591/Raw_Stock_Data!D590)-1</f>
        <v>1.6424841002096624E-2</v>
      </c>
      <c r="E591" s="4">
        <f>(Raw_Stock_Data!E591/Raw_Stock_Data!E590)-1</f>
        <v>5.7880676758682137E-2</v>
      </c>
      <c r="F591" s="4">
        <f>(Raw_Stock_Data!F591/Raw_Stock_Data!F590)-1</f>
        <v>1.6563342955846494E-3</v>
      </c>
      <c r="G591" s="4">
        <f>(Raw_Stock_Data!G591/Raw_Stock_Data!G590)-1</f>
        <v>1.0172880159943443E-2</v>
      </c>
      <c r="H591" s="4">
        <f>(Raw_Stock_Data!H591/Raw_Stock_Data!H590)-1</f>
        <v>2.0838878959577034E-2</v>
      </c>
      <c r="I591" s="4">
        <f>(Raw_Stock_Data!I591/Raw_Stock_Data!I590)-1</f>
        <v>2.1049918377868959E-3</v>
      </c>
      <c r="J591" s="4">
        <f>(Raw_Stock_Data!J591/Raw_Stock_Data!J590)-1</f>
        <v>1.7580121957498918E-3</v>
      </c>
    </row>
    <row r="592" spans="1:10" x14ac:dyDescent="0.2">
      <c r="A592" s="2">
        <v>45055</v>
      </c>
      <c r="B592" s="4">
        <f>(Raw_Stock_Data!B592/Raw_Stock_Data!B591)-1</f>
        <v>-9.9601593625496809E-3</v>
      </c>
      <c r="C592" s="4">
        <f>(Raw_Stock_Data!C592/Raw_Stock_Data!C591)-1</f>
        <v>-5.3444668179892796E-3</v>
      </c>
      <c r="D592" s="4">
        <f>(Raw_Stock_Data!D592/Raw_Stock_Data!D591)-1</f>
        <v>-1.9893803608755145E-2</v>
      </c>
      <c r="E592" s="4">
        <f>(Raw_Stock_Data!E592/Raw_Stock_Data!E591)-1</f>
        <v>2.1043771043771642E-4</v>
      </c>
      <c r="F592" s="4">
        <f>(Raw_Stock_Data!F592/Raw_Stock_Data!F591)-1</f>
        <v>7.4648020410092997E-3</v>
      </c>
      <c r="G592" s="4">
        <f>(Raw_Stock_Data!G592/Raw_Stock_Data!G591)-1</f>
        <v>-1.5367599976715662E-2</v>
      </c>
      <c r="H592" s="4">
        <f>(Raw_Stock_Data!H592/Raw_Stock_Data!H591)-1</f>
        <v>-3.8927174520394514E-3</v>
      </c>
      <c r="I592" s="4">
        <f>(Raw_Stock_Data!I592/Raw_Stock_Data!I591)-1</f>
        <v>4.286877866850336E-4</v>
      </c>
      <c r="J592" s="4">
        <f>(Raw_Stock_Data!J592/Raw_Stock_Data!J591)-1</f>
        <v>-6.3123525322839047E-3</v>
      </c>
    </row>
    <row r="593" spans="1:10" x14ac:dyDescent="0.2">
      <c r="A593" s="2">
        <v>45056</v>
      </c>
      <c r="B593" s="4">
        <f>(Raw_Stock_Data!B593/Raw_Stock_Data!B592)-1</f>
        <v>1.0378989479398193E-2</v>
      </c>
      <c r="C593" s="4">
        <f>(Raw_Stock_Data!C593/Raw_Stock_Data!C592)-1</f>
        <v>1.7295244385733044E-2</v>
      </c>
      <c r="D593" s="4">
        <f>(Raw_Stock_Data!D593/Raw_Stock_Data!D592)-1</f>
        <v>1.0985778372339716E-2</v>
      </c>
      <c r="E593" s="4">
        <f>(Raw_Stock_Data!E593/Raw_Stock_Data!E592)-1</f>
        <v>2.0618556701030855E-2</v>
      </c>
      <c r="F593" s="4">
        <f>(Raw_Stock_Data!F593/Raw_Stock_Data!F592)-1</f>
        <v>3.3483398987056878E-2</v>
      </c>
      <c r="G593" s="4">
        <f>(Raw_Stock_Data!G593/Raw_Stock_Data!G592)-1</f>
        <v>-3.6062666272540511E-3</v>
      </c>
      <c r="H593" s="4">
        <f>(Raw_Stock_Data!H593/Raw_Stock_Data!H592)-1</f>
        <v>4.0986518576690889E-2</v>
      </c>
      <c r="I593" s="4">
        <f>(Raw_Stock_Data!I593/Raw_Stock_Data!I592)-1</f>
        <v>-1.2426618674208356E-3</v>
      </c>
      <c r="J593" s="4">
        <f>(Raw_Stock_Data!J593/Raw_Stock_Data!J592)-1</f>
        <v>1.0418283105697812E-2</v>
      </c>
    </row>
    <row r="594" spans="1:10" x14ac:dyDescent="0.2">
      <c r="A594" s="2">
        <v>45057</v>
      </c>
      <c r="B594" s="4">
        <f>(Raw_Stock_Data!B594/Raw_Stock_Data!B593)-1</f>
        <v>1.1270994417063029E-3</v>
      </c>
      <c r="C594" s="4">
        <f>(Raw_Stock_Data!C594/Raw_Stock_Data!C593)-1</f>
        <v>-7.0413619143154804E-3</v>
      </c>
      <c r="D594" s="4">
        <f>(Raw_Stock_Data!D594/Raw_Stock_Data!D593)-1</f>
        <v>-1.0623926176356435E-2</v>
      </c>
      <c r="E594" s="4">
        <f>(Raw_Stock_Data!E594/Raw_Stock_Data!E593)-1</f>
        <v>8.2457225314369609E-4</v>
      </c>
      <c r="F594" s="4">
        <f>(Raw_Stock_Data!F594/Raw_Stock_Data!F593)-1</f>
        <v>1.8059715037662238E-2</v>
      </c>
      <c r="G594" s="4">
        <f>(Raw_Stock_Data!G594/Raw_Stock_Data!G593)-1</f>
        <v>2.1003915984336263E-2</v>
      </c>
      <c r="H594" s="4">
        <f>(Raw_Stock_Data!H594/Raw_Stock_Data!H593)-1</f>
        <v>4.3135810895766236E-2</v>
      </c>
      <c r="I594" s="4">
        <f>(Raw_Stock_Data!I594/Raw_Stock_Data!I593)-1</f>
        <v>1.1626909215719738E-2</v>
      </c>
      <c r="J594" s="4">
        <f>(Raw_Stock_Data!J594/Raw_Stock_Data!J593)-1</f>
        <v>1.7933699753949206E-3</v>
      </c>
    </row>
    <row r="595" spans="1:10" x14ac:dyDescent="0.2">
      <c r="A595" s="2">
        <v>45058</v>
      </c>
      <c r="B595" s="4">
        <f>(Raw_Stock_Data!B595/Raw_Stock_Data!B594)-1</f>
        <v>-5.413319800033789E-3</v>
      </c>
      <c r="C595" s="4">
        <f>(Raw_Stock_Data!C595/Raw_Stock_Data!C594)-1</f>
        <v>-3.678057201145557E-3</v>
      </c>
      <c r="D595" s="4">
        <f>(Raw_Stock_Data!D595/Raw_Stock_Data!D594)-1</f>
        <v>-8.3257183470403229E-3</v>
      </c>
      <c r="E595" s="4">
        <f>(Raw_Stock_Data!E595/Raw_Stock_Data!E594)-1</f>
        <v>-1.8949536560247005E-2</v>
      </c>
      <c r="F595" s="4">
        <f>(Raw_Stock_Data!F595/Raw_Stock_Data!F594)-1</f>
        <v>-1.7115350329827028E-2</v>
      </c>
      <c r="G595" s="4">
        <f>(Raw_Stock_Data!G595/Raw_Stock_Data!G594)-1</f>
        <v>-2.3826127382612916E-2</v>
      </c>
      <c r="H595" s="4">
        <f>(Raw_Stock_Data!H595/Raw_Stock_Data!H594)-1</f>
        <v>8.058614366029726E-3</v>
      </c>
      <c r="I595" s="4">
        <f>(Raw_Stock_Data!I595/Raw_Stock_Data!I594)-1</f>
        <v>-8.3973026845921561E-3</v>
      </c>
      <c r="J595" s="4">
        <f>(Raw_Stock_Data!J595/Raw_Stock_Data!J594)-1</f>
        <v>-3.5503073769661553E-3</v>
      </c>
    </row>
    <row r="596" spans="1:10" x14ac:dyDescent="0.2">
      <c r="A596" s="2">
        <v>45061</v>
      </c>
      <c r="B596" s="4">
        <f>(Raw_Stock_Data!B596/Raw_Stock_Data!B595)-1</f>
        <v>-2.9032087788342098E-3</v>
      </c>
      <c r="C596" s="4">
        <f>(Raw_Stock_Data!C596/Raw_Stock_Data!C595)-1</f>
        <v>1.5849420659375113E-3</v>
      </c>
      <c r="D596" s="4">
        <f>(Raw_Stock_Data!D596/Raw_Stock_Data!D595)-1</f>
        <v>2.1624541471457315E-2</v>
      </c>
      <c r="E596" s="4">
        <f>(Raw_Stock_Data!E596/Raw_Stock_Data!E595)-1</f>
        <v>2.2464833088389646E-2</v>
      </c>
      <c r="F596" s="4">
        <f>(Raw_Stock_Data!F596/Raw_Stock_Data!F595)-1</f>
        <v>8.5253038273171988E-3</v>
      </c>
      <c r="G596" s="4">
        <f>(Raw_Stock_Data!G596/Raw_Stock_Data!G595)-1</f>
        <v>-9.7035361352542093E-3</v>
      </c>
      <c r="H596" s="4">
        <f>(Raw_Stock_Data!H596/Raw_Stock_Data!H595)-1</f>
        <v>-8.5066404748685986E-3</v>
      </c>
      <c r="I596" s="4">
        <f>(Raw_Stock_Data!I596/Raw_Stock_Data!I595)-1</f>
        <v>2.1598734014798282E-2</v>
      </c>
      <c r="J596" s="4">
        <f>(Raw_Stock_Data!J596/Raw_Stock_Data!J595)-1</f>
        <v>6.5504031831360443E-3</v>
      </c>
    </row>
    <row r="597" spans="1:10" x14ac:dyDescent="0.2">
      <c r="A597" s="2">
        <v>45062</v>
      </c>
      <c r="B597" s="4">
        <f>(Raw_Stock_Data!B597/Raw_Stock_Data!B596)-1</f>
        <v>0</v>
      </c>
      <c r="C597" s="4">
        <f>(Raw_Stock_Data!C597/Raw_Stock_Data!C596)-1</f>
        <v>7.3683106943707166E-3</v>
      </c>
      <c r="D597" s="4">
        <f>(Raw_Stock_Data!D597/Raw_Stock_Data!D596)-1</f>
        <v>8.9816427524811449E-3</v>
      </c>
      <c r="E597" s="4">
        <f>(Raw_Stock_Data!E597/Raw_Stock_Data!E596)-1</f>
        <v>4.1889117043121038E-2</v>
      </c>
      <c r="F597" s="4">
        <f>(Raw_Stock_Data!F597/Raw_Stock_Data!F596)-1</f>
        <v>1.9784172661870603E-2</v>
      </c>
      <c r="G597" s="4">
        <f>(Raw_Stock_Data!G597/Raw_Stock_Data!G596)-1</f>
        <v>1.02194168920966E-3</v>
      </c>
      <c r="H597" s="4">
        <f>(Raw_Stock_Data!H597/Raw_Stock_Data!H596)-1</f>
        <v>2.575610092256797E-2</v>
      </c>
      <c r="I597" s="4">
        <f>(Raw_Stock_Data!I597/Raw_Stock_Data!I596)-1</f>
        <v>-1.6746211169726966E-4</v>
      </c>
      <c r="J597" s="4">
        <f>(Raw_Stock_Data!J597/Raw_Stock_Data!J596)-1</f>
        <v>-1.7921248405808887E-3</v>
      </c>
    </row>
    <row r="598" spans="1:10" x14ac:dyDescent="0.2">
      <c r="A598" s="2">
        <v>45063</v>
      </c>
      <c r="B598" s="4">
        <f>(Raw_Stock_Data!B598/Raw_Stock_Data!B597)-1</f>
        <v>3.6057550909966984E-3</v>
      </c>
      <c r="C598" s="4">
        <f>(Raw_Stock_Data!C598/Raw_Stock_Data!C597)-1</f>
        <v>9.4511748922674332E-3</v>
      </c>
      <c r="D598" s="4">
        <f>(Raw_Stock_Data!D598/Raw_Stock_Data!D597)-1</f>
        <v>3.3031130230471328E-2</v>
      </c>
      <c r="E598" s="4">
        <f>(Raw_Stock_Data!E598/Raw_Stock_Data!E597)-1</f>
        <v>2.236893969255016E-2</v>
      </c>
      <c r="F598" s="4">
        <f>(Raw_Stock_Data!F598/Raw_Stock_Data!F597)-1</f>
        <v>1.8518518518518379E-2</v>
      </c>
      <c r="G598" s="4">
        <f>(Raw_Stock_Data!G598/Raw_Stock_Data!G597)-1</f>
        <v>4.4078789334614399E-2</v>
      </c>
      <c r="H598" s="4">
        <f>(Raw_Stock_Data!H598/Raw_Stock_Data!H597)-1</f>
        <v>1.1118669118820312E-2</v>
      </c>
      <c r="I598" s="4">
        <f>(Raw_Stock_Data!I598/Raw_Stock_Data!I597)-1</f>
        <v>1.5346285905703194E-2</v>
      </c>
      <c r="J598" s="4">
        <f>(Raw_Stock_Data!J598/Raw_Stock_Data!J597)-1</f>
        <v>1.2761837633324058E-2</v>
      </c>
    </row>
    <row r="599" spans="1:10" x14ac:dyDescent="0.2">
      <c r="A599" s="2">
        <v>45064</v>
      </c>
      <c r="B599" s="4">
        <f>(Raw_Stock_Data!B599/Raw_Stock_Data!B598)-1</f>
        <v>1.3673740908105136E-2</v>
      </c>
      <c r="C599" s="4">
        <f>(Raw_Stock_Data!C599/Raw_Stock_Data!C598)-1</f>
        <v>1.4391989200370103E-2</v>
      </c>
      <c r="D599" s="4">
        <f>(Raw_Stock_Data!D599/Raw_Stock_Data!D598)-1</f>
        <v>4.9706409912105176E-2</v>
      </c>
      <c r="E599" s="4">
        <f>(Raw_Stock_Data!E599/Raw_Stock_Data!E598)-1</f>
        <v>4.0289156626506006E-2</v>
      </c>
      <c r="F599" s="4">
        <f>(Raw_Stock_Data!F599/Raw_Stock_Data!F598)-1</f>
        <v>2.2943722943723044E-2</v>
      </c>
      <c r="G599" s="4">
        <f>(Raw_Stock_Data!G599/Raw_Stock_Data!G598)-1</f>
        <v>1.7427815483722409E-2</v>
      </c>
      <c r="H599" s="4">
        <f>(Raw_Stock_Data!H599/Raw_Stock_Data!H598)-1</f>
        <v>1.6469689293456158E-2</v>
      </c>
      <c r="I599" s="4">
        <f>(Raw_Stock_Data!I599/Raw_Stock_Data!I598)-1</f>
        <v>1.8001113470936358E-2</v>
      </c>
      <c r="J599" s="4">
        <f>(Raw_Stock_Data!J599/Raw_Stock_Data!J598)-1</f>
        <v>1.5060913222357142E-2</v>
      </c>
    </row>
    <row r="600" spans="1:10" x14ac:dyDescent="0.2">
      <c r="A600" s="2">
        <v>45065</v>
      </c>
      <c r="B600" s="4">
        <f>(Raw_Stock_Data!B600/Raw_Stock_Data!B599)-1</f>
        <v>6.2445071464911628E-4</v>
      </c>
      <c r="C600" s="4">
        <f>(Raw_Stock_Data!C600/Raw_Stock_Data!C599)-1</f>
        <v>-5.6217603414987494E-4</v>
      </c>
      <c r="D600" s="4">
        <f>(Raw_Stock_Data!D600/Raw_Stock_Data!D599)-1</f>
        <v>-1.3069996178178944E-2</v>
      </c>
      <c r="E600" s="4">
        <f>(Raw_Stock_Data!E600/Raw_Stock_Data!E599)-1</f>
        <v>-1.9549708144167677E-2</v>
      </c>
      <c r="F600" s="4">
        <f>(Raw_Stock_Data!F600/Raw_Stock_Data!F599)-1</f>
        <v>-1.6081252644942867E-2</v>
      </c>
      <c r="G600" s="4">
        <f>(Raw_Stock_Data!G600/Raw_Stock_Data!G599)-1</f>
        <v>1.8373000169596976E-2</v>
      </c>
      <c r="H600" s="4">
        <f>(Raw_Stock_Data!H600/Raw_Stock_Data!H599)-1</f>
        <v>-5.6378997597761327E-4</v>
      </c>
      <c r="I600" s="4">
        <f>(Raw_Stock_Data!I600/Raw_Stock_Data!I599)-1</f>
        <v>-4.9017622037674791E-3</v>
      </c>
      <c r="J600" s="4">
        <f>(Raw_Stock_Data!J600/Raw_Stock_Data!J599)-1</f>
        <v>-2.4383631600682909E-3</v>
      </c>
    </row>
    <row r="601" spans="1:10" x14ac:dyDescent="0.2">
      <c r="A601" s="2">
        <v>45068</v>
      </c>
      <c r="B601" s="4">
        <f>(Raw_Stock_Data!B601/Raw_Stock_Data!B600)-1</f>
        <v>-5.4836472899573163E-3</v>
      </c>
      <c r="C601" s="4">
        <f>(Raw_Stock_Data!C601/Raw_Stock_Data!C600)-1</f>
        <v>8.9236059249184763E-3</v>
      </c>
      <c r="D601" s="4">
        <f>(Raw_Stock_Data!D601/Raw_Stock_Data!D600)-1</f>
        <v>-2.813115068887706E-3</v>
      </c>
      <c r="E601" s="4">
        <f>(Raw_Stock_Data!E601/Raw_Stock_Data!E600)-1</f>
        <v>2.0601020601020759E-2</v>
      </c>
      <c r="F601" s="4">
        <f>(Raw_Stock_Data!F601/Raw_Stock_Data!F600)-1</f>
        <v>-1.0666666666666602E-2</v>
      </c>
      <c r="G601" s="4">
        <f>(Raw_Stock_Data!G601/Raw_Stock_Data!G600)-1</f>
        <v>4.8462307094482071E-2</v>
      </c>
      <c r="H601" s="4">
        <f>(Raw_Stock_Data!H601/Raw_Stock_Data!H600)-1</f>
        <v>1.8648266389790447E-2</v>
      </c>
      <c r="I601" s="4">
        <f>(Raw_Stock_Data!I601/Raw_Stock_Data!I600)-1</f>
        <v>1.0910275199478958E-2</v>
      </c>
      <c r="J601" s="4">
        <f>(Raw_Stock_Data!J601/Raw_Stock_Data!J600)-1</f>
        <v>4.9676486621004212E-3</v>
      </c>
    </row>
    <row r="602" spans="1:10" x14ac:dyDescent="0.2">
      <c r="A602" s="2">
        <v>45069</v>
      </c>
      <c r="B602" s="4">
        <f>(Raw_Stock_Data!B602/Raw_Stock_Data!B601)-1</f>
        <v>-1.5147201515301134E-2</v>
      </c>
      <c r="C602" s="4">
        <f>(Raw_Stock_Data!C602/Raw_Stock_Data!C601)-1</f>
        <v>-1.8435865049341915E-2</v>
      </c>
      <c r="D602" s="4">
        <f>(Raw_Stock_Data!D602/Raw_Stock_Data!D601)-1</f>
        <v>-1.5648970107771221E-2</v>
      </c>
      <c r="E602" s="4">
        <f>(Raw_Stock_Data!E602/Raw_Stock_Data!E601)-1</f>
        <v>1.1111111111110628E-3</v>
      </c>
      <c r="F602" s="4">
        <f>(Raw_Stock_Data!F602/Raw_Stock_Data!F601)-1</f>
        <v>-1.7389792191990772E-4</v>
      </c>
      <c r="G602" s="4">
        <f>(Raw_Stock_Data!G602/Raw_Stock_Data!G601)-1</f>
        <v>-1.6413406046487E-2</v>
      </c>
      <c r="H602" s="4">
        <f>(Raw_Stock_Data!H602/Raw_Stock_Data!H601)-1</f>
        <v>-1.9912037111350034E-2</v>
      </c>
      <c r="I602" s="4">
        <f>(Raw_Stock_Data!I602/Raw_Stock_Data!I601)-1</f>
        <v>-6.3627577319587125E-3</v>
      </c>
      <c r="J602" s="4">
        <f>(Raw_Stock_Data!J602/Raw_Stock_Data!J601)-1</f>
        <v>-1.2619509181040822E-2</v>
      </c>
    </row>
    <row r="603" spans="1:10" x14ac:dyDescent="0.2">
      <c r="A603" s="2">
        <v>45070</v>
      </c>
      <c r="B603" s="4">
        <f>(Raw_Stock_Data!B603/Raw_Stock_Data!B602)-1</f>
        <v>1.6164810269965191E-3</v>
      </c>
      <c r="C603" s="4">
        <f>(Raw_Stock_Data!C603/Raw_Stock_Data!C602)-1</f>
        <v>-4.4701019812209974E-3</v>
      </c>
      <c r="D603" s="4">
        <f>(Raw_Stock_Data!D603/Raw_Stock_Data!D602)-1</f>
        <v>-4.8906132829056315E-3</v>
      </c>
      <c r="E603" s="4">
        <f>(Raw_Stock_Data!E603/Raw_Stock_Data!E602)-1</f>
        <v>1.3873473917869195E-3</v>
      </c>
      <c r="F603" s="4">
        <f>(Raw_Stock_Data!F603/Raw_Stock_Data!F602)-1</f>
        <v>1.5305678754674368E-2</v>
      </c>
      <c r="G603" s="4">
        <f>(Raw_Stock_Data!G603/Raw_Stock_Data!G602)-1</f>
        <v>-1.5449211390429096E-2</v>
      </c>
      <c r="H603" s="4">
        <f>(Raw_Stock_Data!H603/Raw_Stock_Data!H602)-1</f>
        <v>-1.354438775928013E-2</v>
      </c>
      <c r="I603" s="4">
        <f>(Raw_Stock_Data!I603/Raw_Stock_Data!I602)-1</f>
        <v>1.0010537407797671E-2</v>
      </c>
      <c r="J603" s="4">
        <f>(Raw_Stock_Data!J603/Raw_Stock_Data!J602)-1</f>
        <v>-6.0580004378893992E-3</v>
      </c>
    </row>
    <row r="604" spans="1:10" x14ac:dyDescent="0.2">
      <c r="A604" s="2">
        <v>45071</v>
      </c>
      <c r="B604" s="4">
        <f>(Raw_Stock_Data!B604/Raw_Stock_Data!B603)-1</f>
        <v>6.696980763114091E-3</v>
      </c>
      <c r="C604" s="4">
        <f>(Raw_Stock_Data!C604/Raw_Stock_Data!C603)-1</f>
        <v>3.8454967717812094E-2</v>
      </c>
      <c r="D604" s="4">
        <f>(Raw_Stock_Data!D604/Raw_Stock_Data!D603)-1</f>
        <v>0.24370105828773636</v>
      </c>
      <c r="E604" s="4">
        <f>(Raw_Stock_Data!E604/Raw_Stock_Data!E603)-1</f>
        <v>0.11157291955296933</v>
      </c>
      <c r="F604" s="4">
        <f>(Raw_Stock_Data!F604/Raw_Stock_Data!F603)-1</f>
        <v>-1.498929336188437E-2</v>
      </c>
      <c r="G604" s="4">
        <f>(Raw_Stock_Data!G604/Raw_Stock_Data!G603)-1</f>
        <v>8.5839256424276034E-3</v>
      </c>
      <c r="H604" s="4">
        <f>(Raw_Stock_Data!H604/Raw_Stock_Data!H603)-1</f>
        <v>2.1342652930775419E-2</v>
      </c>
      <c r="I604" s="4">
        <f>(Raw_Stock_Data!I604/Raw_Stock_Data!I603)-1</f>
        <v>1.3964126640182872E-2</v>
      </c>
      <c r="J604" s="4">
        <f>(Raw_Stock_Data!J604/Raw_Stock_Data!J603)-1</f>
        <v>1.713611488478195E-2</v>
      </c>
    </row>
    <row r="605" spans="1:10" x14ac:dyDescent="0.2">
      <c r="A605" s="2">
        <v>45072</v>
      </c>
      <c r="B605" s="4">
        <f>(Raw_Stock_Data!B605/Raw_Stock_Data!B604)-1</f>
        <v>1.4094725448322354E-2</v>
      </c>
      <c r="C605" s="4">
        <f>(Raw_Stock_Data!C605/Raw_Stock_Data!C604)-1</f>
        <v>2.1386689346697185E-2</v>
      </c>
      <c r="D605" s="4">
        <f>(Raw_Stock_Data!D605/Raw_Stock_Data!D604)-1</f>
        <v>2.5432703706630644E-2</v>
      </c>
      <c r="E605" s="4">
        <f>(Raw_Stock_Data!E605/Raw_Stock_Data!E604)-1</f>
        <v>5.5504777731616217E-2</v>
      </c>
      <c r="F605" s="4">
        <f>(Raw_Stock_Data!F605/Raw_Stock_Data!F604)-1</f>
        <v>4.4434782608695711E-2</v>
      </c>
      <c r="G605" s="4">
        <f>(Raw_Stock_Data!G605/Raw_Stock_Data!G604)-1</f>
        <v>4.7162140185395884E-2</v>
      </c>
      <c r="H605" s="4">
        <f>(Raw_Stock_Data!H605/Raw_Stock_Data!H604)-1</f>
        <v>9.1519417396817015E-3</v>
      </c>
      <c r="I605" s="4">
        <f>(Raw_Stock_Data!I605/Raw_Stock_Data!I604)-1</f>
        <v>3.7001859986544927E-2</v>
      </c>
      <c r="J605" s="4">
        <f>(Raw_Stock_Data!J605/Raw_Stock_Data!J604)-1</f>
        <v>2.186155555678071E-2</v>
      </c>
    </row>
    <row r="606" spans="1:10" x14ac:dyDescent="0.2">
      <c r="A606" s="2">
        <v>45076</v>
      </c>
      <c r="B606" s="4">
        <f>(Raw_Stock_Data!B606/Raw_Stock_Data!B605)-1</f>
        <v>1.067365165816625E-2</v>
      </c>
      <c r="C606" s="4">
        <f>(Raw_Stock_Data!C606/Raw_Stock_Data!C605)-1</f>
        <v>-5.0447800202400028E-3</v>
      </c>
      <c r="D606" s="4">
        <f>(Raw_Stock_Data!D606/Raw_Stock_Data!D605)-1</f>
        <v>2.9909260001438787E-2</v>
      </c>
      <c r="E606" s="4">
        <f>(Raw_Stock_Data!E606/Raw_Stock_Data!E605)-1</f>
        <v>-1.3854994883098493E-2</v>
      </c>
      <c r="F606" s="4">
        <f>(Raw_Stock_Data!F606/Raw_Stock_Data!F605)-1</f>
        <v>1.2904837232536881E-2</v>
      </c>
      <c r="G606" s="4">
        <f>(Raw_Stock_Data!G606/Raw_Stock_Data!G605)-1</f>
        <v>4.1362530413625365E-2</v>
      </c>
      <c r="H606" s="4">
        <f>(Raw_Stock_Data!H606/Raw_Stock_Data!H605)-1</f>
        <v>-7.5467139175257048E-3</v>
      </c>
      <c r="I606" s="4">
        <f>(Raw_Stock_Data!I606/Raw_Stock_Data!I605)-1</f>
        <v>1.8317814074184646E-3</v>
      </c>
      <c r="J606" s="4">
        <f>(Raw_Stock_Data!J606/Raw_Stock_Data!J605)-1</f>
        <v>3.2167846180048976E-3</v>
      </c>
    </row>
    <row r="607" spans="1:10" x14ac:dyDescent="0.2">
      <c r="A607" s="2">
        <v>45077</v>
      </c>
      <c r="B607" s="4">
        <f>(Raw_Stock_Data!B607/Raw_Stock_Data!B606)-1</f>
        <v>-2.8543048625939704E-4</v>
      </c>
      <c r="C607" s="4">
        <f>(Raw_Stock_Data!C607/Raw_Stock_Data!C606)-1</f>
        <v>-8.5188137803801078E-3</v>
      </c>
      <c r="D607" s="4">
        <f>(Raw_Stock_Data!D607/Raw_Stock_Data!D606)-1</f>
        <v>-5.6764267148266545E-2</v>
      </c>
      <c r="E607" s="4">
        <f>(Raw_Stock_Data!E607/Raw_Stock_Data!E606)-1</f>
        <v>-5.6358266145126512E-2</v>
      </c>
      <c r="F607" s="4">
        <f>(Raw_Stock_Data!F607/Raw_Stock_Data!F606)-1</f>
        <v>-8.8771987506164329E-3</v>
      </c>
      <c r="G607" s="4">
        <f>(Raw_Stock_Data!G607/Raw_Stock_Data!G606)-1</f>
        <v>1.3770133227281711E-2</v>
      </c>
      <c r="H607" s="4">
        <f>(Raw_Stock_Data!H607/Raw_Stock_Data!H606)-1</f>
        <v>-6.4679483537976035E-3</v>
      </c>
      <c r="I607" s="4">
        <f>(Raw_Stock_Data!I607/Raw_Stock_Data!I606)-1</f>
        <v>8.3803138808473676E-3</v>
      </c>
      <c r="J607" s="4">
        <f>(Raw_Stock_Data!J607/Raw_Stock_Data!J606)-1</f>
        <v>-6.3100012828952723E-3</v>
      </c>
    </row>
    <row r="608" spans="1:10" x14ac:dyDescent="0.2">
      <c r="A608" s="2">
        <v>45078</v>
      </c>
      <c r="B608" s="4">
        <f>(Raw_Stock_Data!B608/Raw_Stock_Data!B607)-1</f>
        <v>1.602293232224028E-2</v>
      </c>
      <c r="C608" s="4">
        <f>(Raw_Stock_Data!C608/Raw_Stock_Data!C607)-1</f>
        <v>1.2763243829404525E-2</v>
      </c>
      <c r="D608" s="4">
        <f>(Raw_Stock_Data!D608/Raw_Stock_Data!D607)-1</f>
        <v>5.116758786660669E-2</v>
      </c>
      <c r="E608" s="4">
        <f>(Raw_Stock_Data!E608/Raw_Stock_Data!E607)-1</f>
        <v>1.0658996700786849E-2</v>
      </c>
      <c r="F608" s="4">
        <f>(Raw_Stock_Data!F608/Raw_Stock_Data!F607)-1</f>
        <v>1.8162215956211591E-2</v>
      </c>
      <c r="G608" s="4">
        <f>(Raw_Stock_Data!G608/Raw_Stock_Data!G607)-1</f>
        <v>1.7604079831314623E-2</v>
      </c>
      <c r="H608" s="4">
        <f>(Raw_Stock_Data!H608/Raw_Stock_Data!H607)-1</f>
        <v>6.918465031937604E-3</v>
      </c>
      <c r="I608" s="4">
        <f>(Raw_Stock_Data!I608/Raw_Stock_Data!I607)-1</f>
        <v>2.980507706255664E-2</v>
      </c>
      <c r="J608" s="4">
        <f>(Raw_Stock_Data!J608/Raw_Stock_Data!J607)-1</f>
        <v>1.2809144595907762E-2</v>
      </c>
    </row>
    <row r="609" spans="1:10" x14ac:dyDescent="0.2">
      <c r="A609" s="2">
        <v>45079</v>
      </c>
      <c r="B609" s="4">
        <f>(Raw_Stock_Data!B609/Raw_Stock_Data!B608)-1</f>
        <v>4.7771595571290959E-3</v>
      </c>
      <c r="C609" s="4">
        <f>(Raw_Stock_Data!C609/Raw_Stock_Data!C608)-1</f>
        <v>8.4746020496004881E-3</v>
      </c>
      <c r="D609" s="4">
        <f>(Raw_Stock_Data!D609/Raw_Stock_Data!D608)-1</f>
        <v>-1.1137723345694517E-2</v>
      </c>
      <c r="E609" s="4">
        <f>(Raw_Stock_Data!E609/Raw_Stock_Data!E608)-1</f>
        <v>-1.3476186490332331E-2</v>
      </c>
      <c r="F609" s="4">
        <f>(Raw_Stock_Data!F609/Raw_Stock_Data!F608)-1</f>
        <v>1.2055062311639775E-2</v>
      </c>
      <c r="G609" s="4">
        <f>(Raw_Stock_Data!G609/Raw_Stock_Data!G608)-1</f>
        <v>3.1081341557440245E-2</v>
      </c>
      <c r="H609" s="4">
        <f>(Raw_Stock_Data!H609/Raw_Stock_Data!H608)-1</f>
        <v>7.6821363964534317E-3</v>
      </c>
      <c r="I609" s="4">
        <f>(Raw_Stock_Data!I609/Raw_Stock_Data!I608)-1</f>
        <v>0</v>
      </c>
      <c r="J609" s="4">
        <f>(Raw_Stock_Data!J609/Raw_Stock_Data!J608)-1</f>
        <v>1.0670194138148403E-2</v>
      </c>
    </row>
    <row r="610" spans="1:10" x14ac:dyDescent="0.2">
      <c r="A610" s="2">
        <v>45082</v>
      </c>
      <c r="B610" s="4">
        <f>(Raw_Stock_Data!B610/Raw_Stock_Data!B609)-1</f>
        <v>-7.5735540888243191E-3</v>
      </c>
      <c r="C610" s="4">
        <f>(Raw_Stock_Data!C610/Raw_Stock_Data!C609)-1</f>
        <v>1.6106993873912234E-3</v>
      </c>
      <c r="D610" s="4">
        <f>(Raw_Stock_Data!D610/Raw_Stock_Data!D609)-1</f>
        <v>-3.9638621960002007E-3</v>
      </c>
      <c r="E610" s="4">
        <f>(Raw_Stock_Data!E610/Raw_Stock_Data!E609)-1</f>
        <v>5.9392499575783297E-4</v>
      </c>
      <c r="F610" s="4">
        <f>(Raw_Stock_Data!F610/Raw_Stock_Data!F609)-1</f>
        <v>8.4507042253521014E-3</v>
      </c>
      <c r="G610" s="4">
        <f>(Raw_Stock_Data!G610/Raw_Stock_Data!G609)-1</f>
        <v>1.7011730616441678E-2</v>
      </c>
      <c r="H610" s="4">
        <f>(Raw_Stock_Data!H610/Raw_Stock_Data!H609)-1</f>
        <v>1.0747061664788449E-2</v>
      </c>
      <c r="I610" s="4">
        <f>(Raw_Stock_Data!I610/Raw_Stock_Data!I609)-1</f>
        <v>-4.4752576941419209E-3</v>
      </c>
      <c r="J610" s="4">
        <f>(Raw_Stock_Data!J610/Raw_Stock_Data!J609)-1</f>
        <v>-8.5644565988229893E-4</v>
      </c>
    </row>
    <row r="611" spans="1:10" x14ac:dyDescent="0.2">
      <c r="A611" s="2">
        <v>45083</v>
      </c>
      <c r="B611" s="4">
        <f>(Raw_Stock_Data!B611/Raw_Stock_Data!B610)-1</f>
        <v>-2.0628318284805491E-3</v>
      </c>
      <c r="C611" s="4">
        <f>(Raw_Stock_Data!C611/Raw_Stock_Data!C610)-1</f>
        <v>-6.721535111890109E-3</v>
      </c>
      <c r="D611" s="4">
        <f>(Raw_Stock_Data!D611/Raw_Stock_Data!D610)-1</f>
        <v>-1.3203301208450702E-2</v>
      </c>
      <c r="E611" s="4">
        <f>(Raw_Stock_Data!E611/Raw_Stock_Data!E610)-1</f>
        <v>5.3421521241414416E-2</v>
      </c>
      <c r="F611" s="4">
        <f>(Raw_Stock_Data!F611/Raw_Stock_Data!F610)-1</f>
        <v>1.0454908220271397E-2</v>
      </c>
      <c r="G611" s="4">
        <f>(Raw_Stock_Data!G611/Raw_Stock_Data!G610)-1</f>
        <v>1.7002895087541825E-2</v>
      </c>
      <c r="H611" s="4">
        <f>(Raw_Stock_Data!H611/Raw_Stock_Data!H610)-1</f>
        <v>1.0314204930110149E-2</v>
      </c>
      <c r="I611" s="4">
        <f>(Raw_Stock_Data!I611/Raw_Stock_Data!I610)-1</f>
        <v>-9.948782195363659E-4</v>
      </c>
      <c r="J611" s="4">
        <f>(Raw_Stock_Data!J611/Raw_Stock_Data!J610)-1</f>
        <v>3.5519292970294103E-3</v>
      </c>
    </row>
    <row r="612" spans="1:10" x14ac:dyDescent="0.2">
      <c r="A612" s="2">
        <v>45084</v>
      </c>
      <c r="B612" s="4">
        <f>(Raw_Stock_Data!B612/Raw_Stock_Data!B611)-1</f>
        <v>-7.7544335253585395E-3</v>
      </c>
      <c r="C612" s="4">
        <f>(Raw_Stock_Data!C612/Raw_Stock_Data!C611)-1</f>
        <v>-3.0869980444767742E-2</v>
      </c>
      <c r="D612" s="4">
        <f>(Raw_Stock_Data!D612/Raw_Stock_Data!D611)-1</f>
        <v>-3.0401942411033112E-2</v>
      </c>
      <c r="E612" s="4">
        <f>(Raw_Stock_Data!E612/Raw_Stock_Data!E611)-1</f>
        <v>-5.1517346856636892E-2</v>
      </c>
      <c r="F612" s="4">
        <f>(Raw_Stock_Data!F612/Raw_Stock_Data!F611)-1</f>
        <v>-4.2492694099992012E-2</v>
      </c>
      <c r="G612" s="4">
        <f>(Raw_Stock_Data!G612/Raw_Stock_Data!G611)-1</f>
        <v>1.4730468573494138E-2</v>
      </c>
      <c r="H612" s="4">
        <f>(Raw_Stock_Data!H612/Raw_Stock_Data!H611)-1</f>
        <v>-3.7776901852581646E-2</v>
      </c>
      <c r="I612" s="4">
        <f>(Raw_Stock_Data!I612/Raw_Stock_Data!I611)-1</f>
        <v>-2.7736795514901047E-2</v>
      </c>
      <c r="J612" s="4">
        <f>(Raw_Stock_Data!J612/Raw_Stock_Data!J611)-1</f>
        <v>-1.2919898587119172E-2</v>
      </c>
    </row>
    <row r="613" spans="1:10" x14ac:dyDescent="0.2">
      <c r="A613" s="2">
        <v>45085</v>
      </c>
      <c r="B613" s="4">
        <f>(Raw_Stock_Data!B613/Raw_Stock_Data!B612)-1</f>
        <v>1.5459311161326594E-2</v>
      </c>
      <c r="C613" s="4">
        <f>(Raw_Stock_Data!C613/Raw_Stock_Data!C612)-1</f>
        <v>5.8125529871455583E-3</v>
      </c>
      <c r="D613" s="4">
        <f>(Raw_Stock_Data!D613/Raw_Stock_Data!D612)-1</f>
        <v>2.7617672106551749E-2</v>
      </c>
      <c r="E613" s="4">
        <f>(Raw_Stock_Data!E613/Raw_Stock_Data!E612)-1</f>
        <v>2.7327505728591994E-2</v>
      </c>
      <c r="F613" s="4">
        <f>(Raw_Stock_Data!F613/Raw_Stock_Data!F612)-1</f>
        <v>2.4911325579477062E-2</v>
      </c>
      <c r="G613" s="4">
        <f>(Raw_Stock_Data!G613/Raw_Stock_Data!G612)-1</f>
        <v>4.5820902168588917E-2</v>
      </c>
      <c r="H613" s="4">
        <f>(Raw_Stock_Data!H613/Raw_Stock_Data!H612)-1</f>
        <v>-2.9412246636845163E-3</v>
      </c>
      <c r="I613" s="4">
        <f>(Raw_Stock_Data!I613/Raw_Stock_Data!I612)-1</f>
        <v>3.7177541729891406E-3</v>
      </c>
      <c r="J613" s="4">
        <f>(Raw_Stock_Data!J613/Raw_Stock_Data!J612)-1</f>
        <v>1.0196957013756114E-2</v>
      </c>
    </row>
    <row r="614" spans="1:10" x14ac:dyDescent="0.2">
      <c r="A614" s="2">
        <v>45086</v>
      </c>
      <c r="B614" s="4">
        <f>(Raw_Stock_Data!B614/Raw_Stock_Data!B613)-1</f>
        <v>2.1692460328581742E-3</v>
      </c>
      <c r="C614" s="4">
        <f>(Raw_Stock_Data!C614/Raw_Stock_Data!C613)-1</f>
        <v>4.7027939946067132E-3</v>
      </c>
      <c r="D614" s="4">
        <f>(Raw_Stock_Data!D614/Raw_Stock_Data!D613)-1</f>
        <v>6.7545801249078163E-3</v>
      </c>
      <c r="E614" s="4">
        <f>(Raw_Stock_Data!E614/Raw_Stock_Data!E613)-1</f>
        <v>3.1970260223048275E-2</v>
      </c>
      <c r="F614" s="4">
        <f>(Raw_Stock_Data!F614/Raw_Stock_Data!F613)-1</f>
        <v>-6.599597585512984E-3</v>
      </c>
      <c r="G614" s="4">
        <f>(Raw_Stock_Data!G614/Raw_Stock_Data!G613)-1</f>
        <v>4.0619943796304181E-2</v>
      </c>
      <c r="H614" s="4">
        <f>(Raw_Stock_Data!H614/Raw_Stock_Data!H613)-1</f>
        <v>7.3131250051350349E-4</v>
      </c>
      <c r="I614" s="4">
        <f>(Raw_Stock_Data!I614/Raw_Stock_Data!I613)-1</f>
        <v>1.3984428150275452E-3</v>
      </c>
      <c r="J614" s="4">
        <f>(Raw_Stock_Data!J614/Raw_Stock_Data!J613)-1</f>
        <v>1.5575759223840357E-3</v>
      </c>
    </row>
    <row r="615" spans="1:10" x14ac:dyDescent="0.2">
      <c r="A615" s="2">
        <v>45089</v>
      </c>
      <c r="B615" s="4">
        <f>(Raw_Stock_Data!B615/Raw_Stock_Data!B614)-1</f>
        <v>1.5638458526763266E-2</v>
      </c>
      <c r="C615" s="4">
        <f>(Raw_Stock_Data!C615/Raw_Stock_Data!C614)-1</f>
        <v>1.5484965466855183E-2</v>
      </c>
      <c r="D615" s="4">
        <f>(Raw_Stock_Data!D615/Raw_Stock_Data!D614)-1</f>
        <v>1.8362733662947273E-2</v>
      </c>
      <c r="E615" s="4">
        <f>(Raw_Stock_Data!E615/Raw_Stock_Data!E614)-1</f>
        <v>3.4181876400896538E-2</v>
      </c>
      <c r="F615" s="4">
        <f>(Raw_Stock_Data!F615/Raw_Stock_Data!F614)-1</f>
        <v>2.5439520375921454E-2</v>
      </c>
      <c r="G615" s="4">
        <f>(Raw_Stock_Data!G615/Raw_Stock_Data!G614)-1</f>
        <v>2.2217675941080151E-2</v>
      </c>
      <c r="H615" s="4">
        <f>(Raw_Stock_Data!H615/Raw_Stock_Data!H614)-1</f>
        <v>1.1536440371793688E-2</v>
      </c>
      <c r="I615" s="4">
        <f>(Raw_Stock_Data!I615/Raw_Stock_Data!I614)-1</f>
        <v>2.3023211926778808E-2</v>
      </c>
      <c r="J615" s="4">
        <f>(Raw_Stock_Data!J615/Raw_Stock_Data!J614)-1</f>
        <v>1.5293601244122934E-2</v>
      </c>
    </row>
    <row r="616" spans="1:10" x14ac:dyDescent="0.2">
      <c r="A616" s="2">
        <v>45090</v>
      </c>
      <c r="B616" s="4">
        <f>(Raw_Stock_Data!B616/Raw_Stock_Data!B615)-1</f>
        <v>-2.6158404282269343E-3</v>
      </c>
      <c r="C616" s="4">
        <f>(Raw_Stock_Data!C616/Raw_Stock_Data!C615)-1</f>
        <v>7.3561466351650395E-3</v>
      </c>
      <c r="D616" s="4">
        <f>(Raw_Stock_Data!D616/Raw_Stock_Data!D615)-1</f>
        <v>3.9007703223190804E-2</v>
      </c>
      <c r="E616" s="4">
        <f>(Raw_Stock_Data!E616/Raw_Stock_Data!E615)-1</f>
        <v>-3.6070903320690406E-2</v>
      </c>
      <c r="F616" s="4">
        <f>(Raw_Stock_Data!F616/Raw_Stock_Data!F615)-1</f>
        <v>7.1106897369044297E-4</v>
      </c>
      <c r="G616" s="4">
        <f>(Raw_Stock_Data!G616/Raw_Stock_Data!G615)-1</f>
        <v>3.5544170035624045E-2</v>
      </c>
      <c r="H616" s="4">
        <f>(Raw_Stock_Data!H616/Raw_Stock_Data!H615)-1</f>
        <v>1.5422954226296248E-3</v>
      </c>
      <c r="I616" s="4">
        <f>(Raw_Stock_Data!I616/Raw_Stock_Data!I615)-1</f>
        <v>9.9612617598232589E-4</v>
      </c>
      <c r="J616" s="4">
        <f>(Raw_Stock_Data!J616/Raw_Stock_Data!J615)-1</f>
        <v>8.2751940287864034E-3</v>
      </c>
    </row>
    <row r="617" spans="1:10" x14ac:dyDescent="0.2">
      <c r="A617" s="2">
        <v>45091</v>
      </c>
      <c r="B617" s="4">
        <f>(Raw_Stock_Data!B617/Raw_Stock_Data!B616)-1</f>
        <v>3.4895726929893289E-3</v>
      </c>
      <c r="C617" s="4">
        <f>(Raw_Stock_Data!C617/Raw_Stock_Data!C616)-1</f>
        <v>9.1212269775269306E-3</v>
      </c>
      <c r="D617" s="4">
        <f>(Raw_Stock_Data!D617/Raw_Stock_Data!D616)-1</f>
        <v>4.8144787993190885E-2</v>
      </c>
      <c r="E617" s="4">
        <f>(Raw_Stock_Data!E617/Raw_Stock_Data!E616)-1</f>
        <v>2.2484541877459296E-2</v>
      </c>
      <c r="F617" s="4">
        <f>(Raw_Stock_Data!F617/Raw_Stock_Data!F616)-1</f>
        <v>-1.8948365703457259E-3</v>
      </c>
      <c r="G617" s="4">
        <f>(Raw_Stock_Data!G617/Raw_Stock_Data!G616)-1</f>
        <v>-7.4214371303774618E-3</v>
      </c>
      <c r="H617" s="4">
        <f>(Raw_Stock_Data!H617/Raw_Stock_Data!H616)-1</f>
        <v>-1.2967750824667279E-3</v>
      </c>
      <c r="I617" s="4">
        <f>(Raw_Stock_Data!I617/Raw_Stock_Data!I616)-1</f>
        <v>7.4819401444790046E-3</v>
      </c>
      <c r="J617" s="4">
        <f>(Raw_Stock_Data!J617/Raw_Stock_Data!J616)-1</f>
        <v>3.9165067942110721E-3</v>
      </c>
    </row>
    <row r="618" spans="1:10" x14ac:dyDescent="0.2">
      <c r="A618" s="2">
        <v>45092</v>
      </c>
      <c r="B618" s="4">
        <f>(Raw_Stock_Data!B618/Raw_Stock_Data!B617)-1</f>
        <v>1.1202632288451309E-2</v>
      </c>
      <c r="C618" s="4">
        <f>(Raw_Stock_Data!C618/Raw_Stock_Data!C617)-1</f>
        <v>3.189664479445331E-2</v>
      </c>
      <c r="D618" s="4">
        <f>(Raw_Stock_Data!D618/Raw_Stock_Data!D617)-1</f>
        <v>-7.9972078413123038E-3</v>
      </c>
      <c r="E618" s="4">
        <f>(Raw_Stock_Data!E618/Raw_Stock_Data!E617)-1</f>
        <v>-2.4267650985627887E-2</v>
      </c>
      <c r="F618" s="4">
        <f>(Raw_Stock_Data!F618/Raw_Stock_Data!F617)-1</f>
        <v>5.4579971523494031E-3</v>
      </c>
      <c r="G618" s="4">
        <f>(Raw_Stock_Data!G618/Raw_Stock_Data!G617)-1</f>
        <v>-3.4658670508976863E-3</v>
      </c>
      <c r="H618" s="4">
        <f>(Raw_Stock_Data!H618/Raw_Stock_Data!H617)-1</f>
        <v>1.1483245822614396E-2</v>
      </c>
      <c r="I618" s="4">
        <f>(Raw_Stock_Data!I618/Raw_Stock_Data!I617)-1</f>
        <v>3.1022498628132222E-2</v>
      </c>
      <c r="J618" s="4">
        <f>(Raw_Stock_Data!J618/Raw_Stock_Data!J617)-1</f>
        <v>1.1473249144313247E-2</v>
      </c>
    </row>
    <row r="619" spans="1:10" x14ac:dyDescent="0.2">
      <c r="A619" s="2">
        <v>45093</v>
      </c>
      <c r="B619" s="4">
        <f>(Raw_Stock_Data!B619/Raw_Stock_Data!B618)-1</f>
        <v>-5.8602995989748274E-3</v>
      </c>
      <c r="C619" s="4">
        <f>(Raw_Stock_Data!C619/Raw_Stock_Data!C618)-1</f>
        <v>-1.6574248448071538E-2</v>
      </c>
      <c r="D619" s="4">
        <f>(Raw_Stock_Data!D619/Raw_Stock_Data!D618)-1</f>
        <v>9.100760429519017E-4</v>
      </c>
      <c r="E619" s="4">
        <f>(Raw_Stock_Data!E619/Raw_Stock_Data!E618)-1</f>
        <v>-3.3483580167417926E-2</v>
      </c>
      <c r="F619" s="4">
        <f>(Raw_Stock_Data!F619/Raw_Stock_Data!F618)-1</f>
        <v>-1.2744866650932329E-2</v>
      </c>
      <c r="G619" s="4">
        <f>(Raw_Stock_Data!G619/Raw_Stock_Data!G618)-1</f>
        <v>1.813208284486123E-2</v>
      </c>
      <c r="H619" s="4">
        <f>(Raw_Stock_Data!H619/Raw_Stock_Data!H618)-1</f>
        <v>-1.2476130875014091E-2</v>
      </c>
      <c r="I619" s="4">
        <f>(Raw_Stock_Data!I619/Raw_Stock_Data!I618)-1</f>
        <v>-2.945037788737781E-3</v>
      </c>
      <c r="J619" s="4">
        <f>(Raw_Stock_Data!J619/Raw_Stock_Data!J618)-1</f>
        <v>-6.765669144630726E-3</v>
      </c>
    </row>
    <row r="620" spans="1:10" x14ac:dyDescent="0.2">
      <c r="A620" s="2">
        <v>45097</v>
      </c>
      <c r="B620" s="4">
        <f>(Raw_Stock_Data!B620/Raw_Stock_Data!B619)-1</f>
        <v>4.8713205109951474E-4</v>
      </c>
      <c r="C620" s="4">
        <f>(Raw_Stock_Data!C620/Raw_Stock_Data!C619)-1</f>
        <v>-1.2500554102575556E-2</v>
      </c>
      <c r="D620" s="4">
        <f>(Raw_Stock_Data!D620/Raw_Stock_Data!D619)-1</f>
        <v>2.61408960316456E-2</v>
      </c>
      <c r="E620" s="4">
        <f>(Raw_Stock_Data!E620/Raw_Stock_Data!E619)-1</f>
        <v>-9.5769487008660059E-3</v>
      </c>
      <c r="F620" s="4">
        <f>(Raw_Stock_Data!F620/Raw_Stock_Data!F619)-1</f>
        <v>2.3109411108455102E-3</v>
      </c>
      <c r="G620" s="4">
        <f>(Raw_Stock_Data!G620/Raw_Stock_Data!G619)-1</f>
        <v>5.338911491517595E-2</v>
      </c>
      <c r="H620" s="4">
        <f>(Raw_Stock_Data!H620/Raw_Stock_Data!H619)-1</f>
        <v>-3.4773283069148286E-3</v>
      </c>
      <c r="I620" s="4">
        <f>(Raw_Stock_Data!I620/Raw_Stock_Data!I619)-1</f>
        <v>1.1850533807829189E-2</v>
      </c>
      <c r="J620" s="4">
        <f>(Raw_Stock_Data!J620/Raw_Stock_Data!J619)-1</f>
        <v>-1.6275164230870054E-3</v>
      </c>
    </row>
    <row r="621" spans="1:10" x14ac:dyDescent="0.2">
      <c r="A621" s="2">
        <v>45098</v>
      </c>
      <c r="B621" s="4">
        <f>(Raw_Stock_Data!B621/Raw_Stock_Data!B620)-1</f>
        <v>-5.6786165620846818E-3</v>
      </c>
      <c r="C621" s="4">
        <f>(Raw_Stock_Data!C621/Raw_Stock_Data!C620)-1</f>
        <v>-1.3284254313118082E-2</v>
      </c>
      <c r="D621" s="4">
        <f>(Raw_Stock_Data!D621/Raw_Stock_Data!D620)-1</f>
        <v>-1.7415690564331343E-2</v>
      </c>
      <c r="E621" s="4">
        <f>(Raw_Stock_Data!E621/Raw_Stock_Data!E620)-1</f>
        <v>-5.7344656520642467E-2</v>
      </c>
      <c r="F621" s="4">
        <f>(Raw_Stock_Data!F621/Raw_Stock_Data!F620)-1</f>
        <v>-7.5528700906344337E-3</v>
      </c>
      <c r="G621" s="4">
        <f>(Raw_Stock_Data!G621/Raw_Stock_Data!G620)-1</f>
        <v>-5.461832756421936E-2</v>
      </c>
      <c r="H621" s="4">
        <f>(Raw_Stock_Data!H621/Raw_Stock_Data!H620)-1</f>
        <v>-2.0716644246056015E-2</v>
      </c>
      <c r="I621" s="4">
        <f>(Raw_Stock_Data!I621/Raw_Stock_Data!I620)-1</f>
        <v>-9.4608377589420201E-3</v>
      </c>
      <c r="J621" s="4">
        <f>(Raw_Stock_Data!J621/Raw_Stock_Data!J620)-1</f>
        <v>-1.2079205167959461E-2</v>
      </c>
    </row>
    <row r="622" spans="1:10" x14ac:dyDescent="0.2">
      <c r="A622" s="2">
        <v>45099</v>
      </c>
      <c r="B622" s="4">
        <f>(Raw_Stock_Data!B622/Raw_Stock_Data!B621)-1</f>
        <v>1.6527925261206278E-2</v>
      </c>
      <c r="C622" s="4">
        <f>(Raw_Stock_Data!C622/Raw_Stock_Data!C621)-1</f>
        <v>1.8437079183297067E-2</v>
      </c>
      <c r="D622" s="4">
        <f>(Raw_Stock_Data!D622/Raw_Stock_Data!D621)-1</f>
        <v>-4.6484061777329888E-4</v>
      </c>
      <c r="E622" s="4">
        <f>(Raw_Stock_Data!E622/Raw_Stock_Data!E621)-1</f>
        <v>-1.2576933369012555E-2</v>
      </c>
      <c r="F622" s="4">
        <f>(Raw_Stock_Data!F622/Raw_Stock_Data!F621)-1</f>
        <v>4.2617960426179602E-2</v>
      </c>
      <c r="G622" s="4">
        <f>(Raw_Stock_Data!G622/Raw_Stock_Data!G621)-1</f>
        <v>1.9848916981423104E-2</v>
      </c>
      <c r="H622" s="4">
        <f>(Raw_Stock_Data!H622/Raw_Stock_Data!H621)-1</f>
        <v>2.157117405131781E-2</v>
      </c>
      <c r="I622" s="4">
        <f>(Raw_Stock_Data!I622/Raw_Stock_Data!I621)-1</f>
        <v>1.1504047720494182E-2</v>
      </c>
      <c r="J622" s="4">
        <f>(Raw_Stock_Data!J622/Raw_Stock_Data!J621)-1</f>
        <v>9.510302024855255E-3</v>
      </c>
    </row>
    <row r="623" spans="1:10" x14ac:dyDescent="0.2">
      <c r="A623" s="2">
        <v>45100</v>
      </c>
      <c r="B623" s="4">
        <f>(Raw_Stock_Data!B623/Raw_Stock_Data!B622)-1</f>
        <v>-1.7103546820959048E-3</v>
      </c>
      <c r="C623" s="4">
        <f>(Raw_Stock_Data!C623/Raw_Stock_Data!C622)-1</f>
        <v>-1.3809020384460746E-2</v>
      </c>
      <c r="D623" s="4">
        <f>(Raw_Stock_Data!D623/Raw_Stock_Data!D622)-1</f>
        <v>-1.8967341386566861E-2</v>
      </c>
      <c r="E623" s="4">
        <f>(Raw_Stock_Data!E623/Raw_Stock_Data!E622)-1</f>
        <v>-6.2330623306232624E-3</v>
      </c>
      <c r="F623" s="4">
        <f>(Raw_Stock_Data!F623/Raw_Stock_Data!F622)-1</f>
        <v>-6.3004225893199539E-3</v>
      </c>
      <c r="G623" s="4">
        <f>(Raw_Stock_Data!G623/Raw_Stock_Data!G622)-1</f>
        <v>-3.0270964816144441E-2</v>
      </c>
      <c r="H623" s="4">
        <f>(Raw_Stock_Data!H623/Raw_Stock_Data!H622)-1</f>
        <v>-6.5767491137280754E-3</v>
      </c>
      <c r="I623" s="4">
        <f>(Raw_Stock_Data!I623/Raw_Stock_Data!I622)-1</f>
        <v>1.3514462229710755E-2</v>
      </c>
      <c r="J623" s="4">
        <f>(Raw_Stock_Data!J623/Raw_Stock_Data!J622)-1</f>
        <v>-1.0130874553670011E-2</v>
      </c>
    </row>
    <row r="624" spans="1:10" x14ac:dyDescent="0.2">
      <c r="A624" s="2">
        <v>45103</v>
      </c>
      <c r="B624" s="4">
        <f>(Raw_Stock_Data!B624/Raw_Stock_Data!B623)-1</f>
        <v>-7.5471288921660218E-3</v>
      </c>
      <c r="C624" s="4">
        <f>(Raw_Stock_Data!C624/Raw_Stock_Data!C623)-1</f>
        <v>-1.9160038410668045E-2</v>
      </c>
      <c r="D624" s="4">
        <f>(Raw_Stock_Data!D624/Raw_Stock_Data!D623)-1</f>
        <v>-3.7359740980047351E-2</v>
      </c>
      <c r="E624" s="4">
        <f>(Raw_Stock_Data!E624/Raw_Stock_Data!E623)-1</f>
        <v>-2.2725206799381836E-2</v>
      </c>
      <c r="F624" s="4">
        <f>(Raw_Stock_Data!F624/Raw_Stock_Data!F623)-1</f>
        <v>-1.5464316090621044E-2</v>
      </c>
      <c r="G624" s="4">
        <f>(Raw_Stock_Data!G624/Raw_Stock_Data!G623)-1</f>
        <v>-6.0600155884645401E-2</v>
      </c>
      <c r="H624" s="4">
        <f>(Raw_Stock_Data!H624/Raw_Stock_Data!H623)-1</f>
        <v>-3.2699470048729196E-2</v>
      </c>
      <c r="I624" s="4">
        <f>(Raw_Stock_Data!I624/Raw_Stock_Data!I623)-1</f>
        <v>-3.5534928826238987E-2</v>
      </c>
      <c r="J624" s="4">
        <f>(Raw_Stock_Data!J624/Raw_Stock_Data!J623)-1</f>
        <v>-1.1616806941920355E-2</v>
      </c>
    </row>
    <row r="625" spans="1:10" x14ac:dyDescent="0.2">
      <c r="A625" s="2">
        <v>45104</v>
      </c>
      <c r="B625" s="4">
        <f>(Raw_Stock_Data!B625/Raw_Stock_Data!B624)-1</f>
        <v>1.5056077880786001E-2</v>
      </c>
      <c r="C625" s="4">
        <f>(Raw_Stock_Data!C625/Raw_Stock_Data!C624)-1</f>
        <v>1.816737630575127E-2</v>
      </c>
      <c r="D625" s="4">
        <f>(Raw_Stock_Data!D625/Raw_Stock_Data!D624)-1</f>
        <v>3.0612898142494238E-2</v>
      </c>
      <c r="E625" s="4">
        <f>(Raw_Stock_Data!E625/Raw_Stock_Data!E624)-1</f>
        <v>2.6788205748302429E-2</v>
      </c>
      <c r="F625" s="4">
        <f>(Raw_Stock_Data!F625/Raw_Stock_Data!F624)-1</f>
        <v>1.452917615644389E-2</v>
      </c>
      <c r="G625" s="4">
        <f>(Raw_Stock_Data!G625/Raw_Stock_Data!G624)-1</f>
        <v>3.8000414851690589E-2</v>
      </c>
      <c r="H625" s="4">
        <f>(Raw_Stock_Data!H625/Raw_Stock_Data!H624)-1</f>
        <v>-8.4809010109321292E-5</v>
      </c>
      <c r="I625" s="4">
        <f>(Raw_Stock_Data!I625/Raw_Stock_Data!I624)-1</f>
        <v>3.0811218443638433E-2</v>
      </c>
      <c r="J625" s="4">
        <f>(Raw_Stock_Data!J625/Raw_Stock_Data!J624)-1</f>
        <v>1.6488724319087433E-2</v>
      </c>
    </row>
    <row r="626" spans="1:10" x14ac:dyDescent="0.2">
      <c r="A626" s="2">
        <v>45105</v>
      </c>
      <c r="B626" s="4">
        <f>(Raw_Stock_Data!B626/Raw_Stock_Data!B625)-1</f>
        <v>6.3238341271762977E-3</v>
      </c>
      <c r="C626" s="4">
        <f>(Raw_Stock_Data!C626/Raw_Stock_Data!C625)-1</f>
        <v>3.822033539553793E-3</v>
      </c>
      <c r="D626" s="4">
        <f>(Raw_Stock_Data!D626/Raw_Stock_Data!D625)-1</f>
        <v>-1.8121265550005039E-2</v>
      </c>
      <c r="E626" s="4">
        <f>(Raw_Stock_Data!E626/Raw_Stock_Data!E625)-1</f>
        <v>-1.9929341425853897E-3</v>
      </c>
      <c r="F626" s="4">
        <f>(Raw_Stock_Data!F626/Raw_Stock_Data!F625)-1</f>
        <v>-1.0837590958353571E-3</v>
      </c>
      <c r="G626" s="4">
        <f>(Raw_Stock_Data!G626/Raw_Stock_Data!G625)-1</f>
        <v>2.4099756204787992E-2</v>
      </c>
      <c r="H626" s="4">
        <f>(Raw_Stock_Data!H626/Raw_Stock_Data!H625)-1</f>
        <v>1.5640107886210508E-2</v>
      </c>
      <c r="I626" s="4">
        <f>(Raw_Stock_Data!I626/Raw_Stock_Data!I625)-1</f>
        <v>-6.1313360041804765E-3</v>
      </c>
      <c r="J626" s="4">
        <f>(Raw_Stock_Data!J626/Raw_Stock_Data!J625)-1</f>
        <v>2.661616873234518E-3</v>
      </c>
    </row>
    <row r="627" spans="1:10" x14ac:dyDescent="0.2">
      <c r="A627" s="2">
        <v>45106</v>
      </c>
      <c r="B627" s="4">
        <f>(Raw_Stock_Data!B627/Raw_Stock_Data!B626)-1</f>
        <v>1.7916354690341585E-3</v>
      </c>
      <c r="C627" s="4">
        <f>(Raw_Stock_Data!C627/Raw_Stock_Data!C626)-1</f>
        <v>-2.3796757616468822E-3</v>
      </c>
      <c r="D627" s="4">
        <f>(Raw_Stock_Data!D627/Raw_Stock_Data!D626)-1</f>
        <v>-7.1778950032116429E-3</v>
      </c>
      <c r="E627" s="4">
        <f>(Raw_Stock_Data!E627/Raw_Stock_Data!E626)-1</f>
        <v>9.7122628664789712E-3</v>
      </c>
      <c r="F627" s="4">
        <f>(Raw_Stock_Data!F627/Raw_Stock_Data!F626)-1</f>
        <v>-8.8344699318040343E-3</v>
      </c>
      <c r="G627" s="4">
        <f>(Raw_Stock_Data!G627/Raw_Stock_Data!G626)-1</f>
        <v>4.917265064002363E-3</v>
      </c>
      <c r="H627" s="4">
        <f>(Raw_Stock_Data!H627/Raw_Stock_Data!H626)-1</f>
        <v>-8.9940373791190797E-3</v>
      </c>
      <c r="I627" s="4">
        <f>(Raw_Stock_Data!I627/Raw_Stock_Data!I626)-1</f>
        <v>-1.3179571663921141E-2</v>
      </c>
      <c r="J627" s="4">
        <f>(Raw_Stock_Data!J627/Raw_Stock_Data!J626)-1</f>
        <v>-3.0901098092561696E-5</v>
      </c>
    </row>
    <row r="628" spans="1:10" x14ac:dyDescent="0.2">
      <c r="A628" s="2">
        <v>45107</v>
      </c>
      <c r="B628" s="4">
        <f>(Raw_Stock_Data!B628/Raw_Stock_Data!B627)-1</f>
        <v>2.3100125457117704E-2</v>
      </c>
      <c r="C628" s="4">
        <f>(Raw_Stock_Data!C628/Raw_Stock_Data!C627)-1</f>
        <v>1.6389482710726266E-2</v>
      </c>
      <c r="D628" s="4">
        <f>(Raw_Stock_Data!D628/Raw_Stock_Data!D627)-1</f>
        <v>3.6256782523024889E-2</v>
      </c>
      <c r="E628" s="4">
        <f>(Raw_Stock_Data!E628/Raw_Stock_Data!E627)-1</f>
        <v>2.4002157497303056E-2</v>
      </c>
      <c r="F628" s="4">
        <f>(Raw_Stock_Data!F628/Raw_Stock_Data!F627)-1</f>
        <v>1.9233776387802992E-2</v>
      </c>
      <c r="G628" s="4">
        <f>(Raw_Stock_Data!G628/Raw_Stock_Data!G627)-1</f>
        <v>1.6582524271844479E-2</v>
      </c>
      <c r="H628" s="4">
        <f>(Raw_Stock_Data!H628/Raw_Stock_Data!H627)-1</f>
        <v>5.0476535573737991E-3</v>
      </c>
      <c r="I628" s="4">
        <f>(Raw_Stock_Data!I628/Raw_Stock_Data!I627)-1</f>
        <v>1.9358505310268947E-2</v>
      </c>
      <c r="J628" s="4">
        <f>(Raw_Stock_Data!J628/Raw_Stock_Data!J627)-1</f>
        <v>1.446436809348306E-2</v>
      </c>
    </row>
    <row r="629" spans="1:10" x14ac:dyDescent="0.2">
      <c r="A629" s="2">
        <v>45110</v>
      </c>
      <c r="B629" s="4">
        <f>(Raw_Stock_Data!B629/Raw_Stock_Data!B628)-1</f>
        <v>-7.7801317039061235E-3</v>
      </c>
      <c r="C629" s="4">
        <f>(Raw_Stock_Data!C629/Raw_Stock_Data!C628)-1</f>
        <v>-7.4892459063145012E-3</v>
      </c>
      <c r="D629" s="4">
        <f>(Raw_Stock_Data!D629/Raw_Stock_Data!D628)-1</f>
        <v>2.6251809246311542E-3</v>
      </c>
      <c r="E629" s="4">
        <f>(Raw_Stock_Data!E629/Raw_Stock_Data!E628)-1</f>
        <v>1.6767623562461642E-2</v>
      </c>
      <c r="F629" s="4">
        <f>(Raw_Stock_Data!F629/Raw_Stock_Data!F628)-1</f>
        <v>-1.0739490641301641E-3</v>
      </c>
      <c r="G629" s="4">
        <f>(Raw_Stock_Data!G629/Raw_Stock_Data!G628)-1</f>
        <v>6.8953661611338202E-2</v>
      </c>
      <c r="H629" s="4">
        <f>(Raw_Stock_Data!H629/Raw_Stock_Data!H628)-1</f>
        <v>1.6685112519703171E-3</v>
      </c>
      <c r="I629" s="4">
        <f>(Raw_Stock_Data!I629/Raw_Stock_Data!I628)-1</f>
        <v>-3.3451808488397239E-3</v>
      </c>
      <c r="J629" s="4">
        <f>(Raw_Stock_Data!J629/Raw_Stock_Data!J628)-1</f>
        <v>2.0924113281770573E-3</v>
      </c>
    </row>
    <row r="630" spans="1:10" x14ac:dyDescent="0.2">
      <c r="A630" s="2">
        <v>45112</v>
      </c>
      <c r="B630" s="4">
        <f>(Raw_Stock_Data!B630/Raw_Stock_Data!B629)-1</f>
        <v>-5.8637609058065365E-3</v>
      </c>
      <c r="C630" s="4">
        <f>(Raw_Stock_Data!C630/Raw_Stock_Data!C629)-1</f>
        <v>4.7291937921833949E-4</v>
      </c>
      <c r="D630" s="4">
        <f>(Raw_Stock_Data!D630/Raw_Stock_Data!D629)-1</f>
        <v>-2.2644820704913471E-3</v>
      </c>
      <c r="E630" s="4">
        <f>(Raw_Stock_Data!E630/Raw_Stock_Data!E629)-1</f>
        <v>-1.6145743394923029E-2</v>
      </c>
      <c r="F630" s="4">
        <f>(Raw_Stock_Data!F630/Raw_Stock_Data!F629)-1</f>
        <v>1.2286899093840731E-3</v>
      </c>
      <c r="G630" s="4">
        <f>(Raw_Stock_Data!G630/Raw_Stock_Data!G629)-1</f>
        <v>9.5061110714032004E-3</v>
      </c>
      <c r="H630" s="4">
        <f>(Raw_Stock_Data!H630/Raw_Stock_Data!H629)-1</f>
        <v>1.5426854277750479E-2</v>
      </c>
      <c r="I630" s="4">
        <f>(Raw_Stock_Data!I630/Raw_Stock_Data!I629)-1</f>
        <v>2.9193762673938917E-2</v>
      </c>
      <c r="J630" s="4">
        <f>(Raw_Stock_Data!J630/Raw_Stock_Data!J629)-1</f>
        <v>-1.8180804920397975E-3</v>
      </c>
    </row>
    <row r="631" spans="1:10" x14ac:dyDescent="0.2">
      <c r="A631" s="2">
        <v>45113</v>
      </c>
      <c r="B631" s="4">
        <f>(Raw_Stock_Data!B631/Raw_Stock_Data!B630)-1</f>
        <v>2.5021688990456425E-3</v>
      </c>
      <c r="C631" s="4">
        <f>(Raw_Stock_Data!C631/Raw_Stock_Data!C630)-1</f>
        <v>9.2265439651999515E-3</v>
      </c>
      <c r="D631" s="4">
        <f>(Raw_Stock_Data!D631/Raw_Stock_Data!D630)-1</f>
        <v>-5.0593647896581828E-3</v>
      </c>
      <c r="E631" s="4">
        <f>(Raw_Stock_Data!E631/Raw_Stock_Data!E630)-1</f>
        <v>-4.1246160596752901E-3</v>
      </c>
      <c r="F631" s="4">
        <f>(Raw_Stock_Data!F631/Raw_Stock_Data!F630)-1</f>
        <v>-1.5493173799662419E-2</v>
      </c>
      <c r="G631" s="4">
        <f>(Raw_Stock_Data!G631/Raw_Stock_Data!G630)-1</f>
        <v>-2.10280373831776E-2</v>
      </c>
      <c r="H631" s="4">
        <f>(Raw_Stock_Data!H631/Raw_Stock_Data!H630)-1</f>
        <v>-1.3469623279202092E-2</v>
      </c>
      <c r="I631" s="4">
        <f>(Raw_Stock_Data!I631/Raw_Stock_Data!I630)-1</f>
        <v>-8.08506301593237E-3</v>
      </c>
      <c r="J631" s="4">
        <f>(Raw_Stock_Data!J631/Raw_Stock_Data!J630)-1</f>
        <v>-8.1650853958734615E-3</v>
      </c>
    </row>
    <row r="632" spans="1:10" x14ac:dyDescent="0.2">
      <c r="A632" s="2">
        <v>45114</v>
      </c>
      <c r="B632" s="4">
        <f>(Raw_Stock_Data!B632/Raw_Stock_Data!B631)-1</f>
        <v>-5.8889023740296143E-3</v>
      </c>
      <c r="C632" s="4">
        <f>(Raw_Stock_Data!C632/Raw_Stock_Data!C631)-1</f>
        <v>-1.186943620178027E-2</v>
      </c>
      <c r="D632" s="4">
        <f>(Raw_Stock_Data!D632/Raw_Stock_Data!D631)-1</f>
        <v>9.5048450947872176E-3</v>
      </c>
      <c r="E632" s="4">
        <f>(Raw_Stock_Data!E632/Raw_Stock_Data!E631)-1</f>
        <v>-2.7317589002467946E-3</v>
      </c>
      <c r="F632" s="4">
        <f>(Raw_Stock_Data!F632/Raw_Stock_Data!F631)-1</f>
        <v>1.1062636335306797E-2</v>
      </c>
      <c r="G632" s="4">
        <f>(Raw_Stock_Data!G632/Raw_Stock_Data!G631)-1</f>
        <v>-7.6299992767773217E-3</v>
      </c>
      <c r="H632" s="4">
        <f>(Raw_Stock_Data!H632/Raw_Stock_Data!H631)-1</f>
        <v>-5.2391456933720271E-3</v>
      </c>
      <c r="I632" s="4">
        <f>(Raw_Stock_Data!I632/Raw_Stock_Data!I631)-1</f>
        <v>-5.0001712387411912E-3</v>
      </c>
      <c r="J632" s="4">
        <f>(Raw_Stock_Data!J632/Raw_Stock_Data!J631)-1</f>
        <v>-1.339275270779372E-3</v>
      </c>
    </row>
    <row r="633" spans="1:10" x14ac:dyDescent="0.2">
      <c r="A633" s="2">
        <v>45117</v>
      </c>
      <c r="B633" s="4">
        <f>(Raw_Stock_Data!B633/Raw_Stock_Data!B632)-1</f>
        <v>-1.086027612490903E-2</v>
      </c>
      <c r="C633" s="4">
        <f>(Raw_Stock_Data!C633/Raw_Stock_Data!C632)-1</f>
        <v>-1.5984015984016109E-2</v>
      </c>
      <c r="D633" s="4">
        <f>(Raw_Stock_Data!D633/Raw_Stock_Data!D632)-1</f>
        <v>-7.6028980458433537E-3</v>
      </c>
      <c r="E633" s="4">
        <f>(Raw_Stock_Data!E633/Raw_Stock_Data!E632)-1</f>
        <v>3.6228682513033128E-3</v>
      </c>
      <c r="F633" s="4">
        <f>(Raw_Stock_Data!F633/Raw_Stock_Data!F632)-1</f>
        <v>-2.0419170904607875E-2</v>
      </c>
      <c r="G633" s="4">
        <f>(Raw_Stock_Data!G633/Raw_Stock_Data!G632)-1</f>
        <v>-1.7563677440513015E-2</v>
      </c>
      <c r="H633" s="4">
        <f>(Raw_Stock_Data!H633/Raw_Stock_Data!H632)-1</f>
        <v>-2.535930583205237E-2</v>
      </c>
      <c r="I633" s="4">
        <f>(Raw_Stock_Data!I633/Raw_Stock_Data!I632)-1</f>
        <v>1.2287887653598784E-2</v>
      </c>
      <c r="J633" s="4">
        <f>(Raw_Stock_Data!J633/Raw_Stock_Data!J632)-1</f>
        <v>1.8124959738579083E-3</v>
      </c>
    </row>
    <row r="634" spans="1:10" x14ac:dyDescent="0.2">
      <c r="A634" s="2">
        <v>45118</v>
      </c>
      <c r="B634" s="4">
        <f>(Raw_Stock_Data!B634/Raw_Stock_Data!B633)-1</f>
        <v>-2.8012256703892069E-3</v>
      </c>
      <c r="C634" s="4">
        <f>(Raw_Stock_Data!C634/Raw_Stock_Data!C633)-1</f>
        <v>1.929848630356279E-3</v>
      </c>
      <c r="D634" s="4">
        <f>(Raw_Stock_Data!D634/Raw_Stock_Data!D633)-1</f>
        <v>5.3367108783515249E-3</v>
      </c>
      <c r="E634" s="4">
        <f>(Raw_Stock_Data!E634/Raw_Stock_Data!E633)-1</f>
        <v>-1.9897869343194263E-2</v>
      </c>
      <c r="F634" s="4">
        <f>(Raw_Stock_Data!F634/Raw_Stock_Data!F633)-1</f>
        <v>1.2978840556910232E-2</v>
      </c>
      <c r="G634" s="4">
        <f>(Raw_Stock_Data!G634/Raw_Stock_Data!G633)-1</f>
        <v>6.6763102258815543E-4</v>
      </c>
      <c r="H634" s="4">
        <f>(Raw_Stock_Data!H634/Raw_Stock_Data!H633)-1</f>
        <v>5.9208825303800339E-3</v>
      </c>
      <c r="I634" s="4">
        <f>(Raw_Stock_Data!I634/Raw_Stock_Data!I633)-1</f>
        <v>1.4246854811288623E-2</v>
      </c>
      <c r="J634" s="4">
        <f>(Raw_Stock_Data!J634/Raw_Stock_Data!J633)-1</f>
        <v>5.4963362629589785E-3</v>
      </c>
    </row>
    <row r="635" spans="1:10" x14ac:dyDescent="0.2">
      <c r="A635" s="2">
        <v>45119</v>
      </c>
      <c r="B635" s="4">
        <f>(Raw_Stock_Data!B635/Raw_Stock_Data!B634)-1</f>
        <v>8.9869500874479868E-3</v>
      </c>
      <c r="C635" s="4">
        <f>(Raw_Stock_Data!C635/Raw_Stock_Data!C634)-1</f>
        <v>1.4228421545895653E-2</v>
      </c>
      <c r="D635" s="4">
        <f>(Raw_Stock_Data!D635/Raw_Stock_Data!D634)-1</f>
        <v>3.5299557870796194E-2</v>
      </c>
      <c r="E635" s="4">
        <f>(Raw_Stock_Data!E635/Raw_Stock_Data!E634)-1</f>
        <v>2.9284944304707183E-2</v>
      </c>
      <c r="F635" s="4">
        <f>(Raw_Stock_Data!F635/Raw_Stock_Data!F634)-1</f>
        <v>1.5685665476005584E-2</v>
      </c>
      <c r="G635" s="4">
        <f>(Raw_Stock_Data!G635/Raw_Stock_Data!G634)-1</f>
        <v>8.154490529671099E-3</v>
      </c>
      <c r="H635" s="4">
        <f>(Raw_Stock_Data!H635/Raw_Stock_Data!H634)-1</f>
        <v>1.5284834257220492E-2</v>
      </c>
      <c r="I635" s="4">
        <f>(Raw_Stock_Data!I635/Raw_Stock_Data!I634)-1</f>
        <v>3.7044486908712759E-2</v>
      </c>
      <c r="J635" s="4">
        <f>(Raw_Stock_Data!J635/Raw_Stock_Data!J634)-1</f>
        <v>1.1500868415124099E-2</v>
      </c>
    </row>
    <row r="636" spans="1:10" x14ac:dyDescent="0.2">
      <c r="A636" s="2">
        <v>45120</v>
      </c>
      <c r="B636" s="4">
        <f>(Raw_Stock_Data!B636/Raw_Stock_Data!B635)-1</f>
        <v>4.0587749006639751E-3</v>
      </c>
      <c r="C636" s="4">
        <f>(Raw_Stock_Data!C636/Raw_Stock_Data!C635)-1</f>
        <v>1.618893895845952E-2</v>
      </c>
      <c r="D636" s="4">
        <f>(Raw_Stock_Data!D636/Raw_Stock_Data!D635)-1</f>
        <v>4.7265393555444124E-2</v>
      </c>
      <c r="E636" s="4">
        <f>(Raw_Stock_Data!E636/Raw_Stock_Data!E635)-1</f>
        <v>1.1694885669401245E-2</v>
      </c>
      <c r="F636" s="4">
        <f>(Raw_Stock_Data!F636/Raw_Stock_Data!F635)-1</f>
        <v>2.6758409785932802E-2</v>
      </c>
      <c r="G636" s="4">
        <f>(Raw_Stock_Data!G636/Raw_Stock_Data!G635)-1</f>
        <v>2.1728740027206817E-2</v>
      </c>
      <c r="H636" s="4">
        <f>(Raw_Stock_Data!H636/Raw_Stock_Data!H635)-1</f>
        <v>4.7164158952245128E-2</v>
      </c>
      <c r="I636" s="4">
        <f>(Raw_Stock_Data!I636/Raw_Stock_Data!I635)-1</f>
        <v>1.3157044029223686E-2</v>
      </c>
      <c r="J636" s="4">
        <f>(Raw_Stock_Data!J636/Raw_Stock_Data!J635)-1</f>
        <v>1.5777759257875612E-2</v>
      </c>
    </row>
    <row r="637" spans="1:10" x14ac:dyDescent="0.2">
      <c r="A637" s="2">
        <v>45121</v>
      </c>
      <c r="B637" s="4">
        <f>(Raw_Stock_Data!B637/Raw_Stock_Data!B636)-1</f>
        <v>7.8085160632324069E-4</v>
      </c>
      <c r="C637" s="4">
        <f>(Raw_Stock_Data!C637/Raw_Stock_Data!C636)-1</f>
        <v>7.53151663665097E-3</v>
      </c>
      <c r="D637" s="4">
        <f>(Raw_Stock_Data!D637/Raw_Stock_Data!D636)-1</f>
        <v>-1.1045323689346964E-2</v>
      </c>
      <c r="E637" s="4">
        <f>(Raw_Stock_Data!E637/Raw_Stock_Data!E636)-1</f>
        <v>1.7253278122830729E-4</v>
      </c>
      <c r="F637" s="4">
        <f>(Raw_Stock_Data!F637/Raw_Stock_Data!F636)-1</f>
        <v>2.8294862248696706E-3</v>
      </c>
      <c r="G637" s="4">
        <f>(Raw_Stock_Data!G637/Raw_Stock_Data!G636)-1</f>
        <v>1.2522490104354134E-2</v>
      </c>
      <c r="H637" s="4">
        <f>(Raw_Stock_Data!H637/Raw_Stock_Data!H636)-1</f>
        <v>7.0674510435972948E-3</v>
      </c>
      <c r="I637" s="4">
        <f>(Raw_Stock_Data!I637/Raw_Stock_Data!I636)-1</f>
        <v>-1.4485817300022408E-2</v>
      </c>
      <c r="J637" s="4">
        <f>(Raw_Stock_Data!J637/Raw_Stock_Data!J636)-1</f>
        <v>-1.7590180619396767E-3</v>
      </c>
    </row>
    <row r="638" spans="1:10" x14ac:dyDescent="0.2">
      <c r="A638" s="2">
        <v>45124</v>
      </c>
      <c r="B638" s="4">
        <f>(Raw_Stock_Data!B638/Raw_Stock_Data!B637)-1</f>
        <v>1.7298026039925141E-2</v>
      </c>
      <c r="C638" s="4">
        <f>(Raw_Stock_Data!C638/Raw_Stock_Data!C637)-1</f>
        <v>1.4182693012092518E-3</v>
      </c>
      <c r="D638" s="4">
        <f>(Raw_Stock_Data!D638/Raw_Stock_Data!D637)-1</f>
        <v>2.181370122226256E-2</v>
      </c>
      <c r="E638" s="4">
        <f>(Raw_Stock_Data!E638/Raw_Stock_Data!E637)-1</f>
        <v>2.0527859237536639E-2</v>
      </c>
      <c r="F638" s="4">
        <f>(Raw_Stock_Data!F638/Raw_Stock_Data!F637)-1</f>
        <v>-8.3160083160083165E-3</v>
      </c>
      <c r="G638" s="4">
        <f>(Raw_Stock_Data!G638/Raw_Stock_Data!G637)-1</f>
        <v>3.1985215722510452E-2</v>
      </c>
      <c r="H638" s="4">
        <f>(Raw_Stock_Data!H638/Raw_Stock_Data!H637)-1</f>
        <v>-6.1376203317675682E-3</v>
      </c>
      <c r="I638" s="4">
        <f>(Raw_Stock_Data!I638/Raw_Stock_Data!I637)-1</f>
        <v>5.6658140965455406E-3</v>
      </c>
      <c r="J638" s="4">
        <f>(Raw_Stock_Data!J638/Raw_Stock_Data!J637)-1</f>
        <v>9.2994749782127073E-3</v>
      </c>
    </row>
    <row r="639" spans="1:10" x14ac:dyDescent="0.2">
      <c r="A639" s="2">
        <v>45125</v>
      </c>
      <c r="B639" s="4">
        <f>(Raw_Stock_Data!B639/Raw_Stock_Data!B638)-1</f>
        <v>-1.3356846949317269E-3</v>
      </c>
      <c r="C639" s="4">
        <f>(Raw_Stock_Data!C639/Raw_Stock_Data!C638)-1</f>
        <v>3.9798680302564726E-2</v>
      </c>
      <c r="D639" s="4">
        <f>(Raw_Stock_Data!D639/Raw_Stock_Data!D638)-1</f>
        <v>2.2233036677512308E-2</v>
      </c>
      <c r="E639" s="4">
        <f>(Raw_Stock_Data!E639/Raw_Stock_Data!E638)-1</f>
        <v>-3.2961460446245816E-3</v>
      </c>
      <c r="F639" s="4">
        <f>(Raw_Stock_Data!F639/Raw_Stock_Data!F638)-1</f>
        <v>-5.4657082958968761E-3</v>
      </c>
      <c r="G639" s="4">
        <f>(Raw_Stock_Data!G639/Raw_Stock_Data!G638)-1</f>
        <v>1.0193539499965487E-2</v>
      </c>
      <c r="H639" s="4">
        <f>(Raw_Stock_Data!H639/Raw_Stock_Data!H638)-1</f>
        <v>-7.141706924315594E-3</v>
      </c>
      <c r="I639" s="4">
        <f>(Raw_Stock_Data!I639/Raw_Stock_Data!I638)-1</f>
        <v>4.6036958341382217E-3</v>
      </c>
      <c r="J639" s="4">
        <f>(Raw_Stock_Data!J639/Raw_Stock_Data!J638)-1</f>
        <v>7.6300724116264984E-3</v>
      </c>
    </row>
    <row r="640" spans="1:10" x14ac:dyDescent="0.2">
      <c r="A640" s="2">
        <v>45126</v>
      </c>
      <c r="B640" s="4">
        <f>(Raw_Stock_Data!B640/Raw_Stock_Data!B639)-1</f>
        <v>7.0791929197622228E-3</v>
      </c>
      <c r="C640" s="4">
        <f>(Raw_Stock_Data!C640/Raw_Stock_Data!C639)-1</f>
        <v>-1.2266917314392112E-2</v>
      </c>
      <c r="D640" s="4">
        <f>(Raw_Stock_Data!D640/Raw_Stock_Data!D639)-1</f>
        <v>-8.7777319031689949E-3</v>
      </c>
      <c r="E640" s="4">
        <f>(Raw_Stock_Data!E640/Raw_Stock_Data!E639)-1</f>
        <v>-1.2719409819384353E-2</v>
      </c>
      <c r="F640" s="4">
        <f>(Raw_Stock_Data!F640/Raw_Stock_Data!F639)-1</f>
        <v>1.9046902055258608E-2</v>
      </c>
      <c r="G640" s="4">
        <f>(Raw_Stock_Data!G640/Raw_Stock_Data!G639)-1</f>
        <v>-7.0907479375468263E-3</v>
      </c>
      <c r="H640" s="4">
        <f>(Raw_Stock_Data!H640/Raw_Stock_Data!H639)-1</f>
        <v>-1.3980683301841657E-2</v>
      </c>
      <c r="I640" s="4">
        <f>(Raw_Stock_Data!I640/Raw_Stock_Data!I639)-1</f>
        <v>1.2690273994552026E-2</v>
      </c>
      <c r="J640" s="4">
        <f>(Raw_Stock_Data!J640/Raw_Stock_Data!J639)-1</f>
        <v>3.0514907716794326E-4</v>
      </c>
    </row>
    <row r="641" spans="1:10" x14ac:dyDescent="0.2">
      <c r="A641" s="2">
        <v>45127</v>
      </c>
      <c r="B641" s="4">
        <f>(Raw_Stock_Data!B641/Raw_Stock_Data!B640)-1</f>
        <v>-1.0105778658546116E-2</v>
      </c>
      <c r="C641" s="4">
        <f>(Raw_Stock_Data!C641/Raw_Stock_Data!C640)-1</f>
        <v>-2.3120514435007622E-2</v>
      </c>
      <c r="D641" s="4">
        <f>(Raw_Stock_Data!D641/Raw_Stock_Data!D640)-1</f>
        <v>-3.3073570258225882E-2</v>
      </c>
      <c r="E641" s="4">
        <f>(Raw_Stock_Data!E641/Raw_Stock_Data!E640)-1</f>
        <v>-5.3079103323885657E-2</v>
      </c>
      <c r="F641" s="4">
        <f>(Raw_Stock_Data!F641/Raw_Stock_Data!F640)-1</f>
        <v>-3.9893617021276584E-2</v>
      </c>
      <c r="G641" s="4">
        <f>(Raw_Stock_Data!G641/Raw_Stock_Data!G640)-1</f>
        <v>-9.7370047380347491E-2</v>
      </c>
      <c r="H641" s="4">
        <f>(Raw_Stock_Data!H641/Raw_Stock_Data!H640)-1</f>
        <v>-2.3192887514495553E-2</v>
      </c>
      <c r="I641" s="4">
        <f>(Raw_Stock_Data!I641/Raw_Stock_Data!I640)-1</f>
        <v>-4.268852251511035E-2</v>
      </c>
      <c r="J641" s="4">
        <f>(Raw_Stock_Data!J641/Raw_Stock_Data!J640)-1</f>
        <v>-2.0525810661915833E-2</v>
      </c>
    </row>
    <row r="642" spans="1:10" x14ac:dyDescent="0.2">
      <c r="A642" s="2">
        <v>45128</v>
      </c>
      <c r="B642" s="4">
        <f>(Raw_Stock_Data!B642/Raw_Stock_Data!B641)-1</f>
        <v>-6.1578613616471989E-3</v>
      </c>
      <c r="C642" s="4">
        <f>(Raw_Stock_Data!C642/Raw_Stock_Data!C641)-1</f>
        <v>-8.9362794278915469E-3</v>
      </c>
      <c r="D642" s="4">
        <f>(Raw_Stock_Data!D642/Raw_Stock_Data!D641)-1</f>
        <v>-2.6606944267396959E-2</v>
      </c>
      <c r="E642" s="4">
        <f>(Raw_Stock_Data!E642/Raw_Stock_Data!E641)-1</f>
        <v>6.3492063492063266E-3</v>
      </c>
      <c r="F642" s="4">
        <f>(Raw_Stock_Data!F642/Raw_Stock_Data!F641)-1</f>
        <v>3.0778701138811648E-4</v>
      </c>
      <c r="G642" s="4">
        <f>(Raw_Stock_Data!G642/Raw_Stock_Data!G641)-1</f>
        <v>-1.0954735640928082E-2</v>
      </c>
      <c r="H642" s="4">
        <f>(Raw_Stock_Data!H642/Raw_Stock_Data!H641)-1</f>
        <v>6.8788993760997563E-3</v>
      </c>
      <c r="I642" s="4">
        <f>(Raw_Stock_Data!I642/Raw_Stock_Data!I641)-1</f>
        <v>-2.7303979902155162E-2</v>
      </c>
      <c r="J642" s="4">
        <f>(Raw_Stock_Data!J642/Raw_Stock_Data!J641)-1</f>
        <v>-2.1687639680842974E-3</v>
      </c>
    </row>
    <row r="643" spans="1:10" x14ac:dyDescent="0.2">
      <c r="A643" s="2">
        <v>45131</v>
      </c>
      <c r="B643" s="4">
        <f>(Raw_Stock_Data!B643/Raw_Stock_Data!B642)-1</f>
        <v>4.2238369946951959E-3</v>
      </c>
      <c r="C643" s="4">
        <f>(Raw_Stock_Data!C643/Raw_Stock_Data!C642)-1</f>
        <v>3.8963179207081033E-3</v>
      </c>
      <c r="D643" s="4">
        <f>(Raw_Stock_Data!D643/Raw_Stock_Data!D642)-1</f>
        <v>6.8392008814870398E-3</v>
      </c>
      <c r="E643" s="4">
        <f>(Raw_Stock_Data!E643/Raw_Stock_Data!E642)-1</f>
        <v>-3.0644434429923928E-3</v>
      </c>
      <c r="F643" s="4">
        <f>(Raw_Stock_Data!F643/Raw_Stock_Data!F642)-1</f>
        <v>-9.2307692307691536E-3</v>
      </c>
      <c r="G643" s="4">
        <f>(Raw_Stock_Data!G643/Raw_Stock_Data!G642)-1</f>
        <v>3.476655641873716E-2</v>
      </c>
      <c r="H643" s="4">
        <f>(Raw_Stock_Data!H643/Raw_Stock_Data!H642)-1</f>
        <v>1.2585085210643276E-2</v>
      </c>
      <c r="I643" s="4">
        <f>(Raw_Stock_Data!I643/Raw_Stock_Data!I642)-1</f>
        <v>-9.0056412696254418E-3</v>
      </c>
      <c r="J643" s="4">
        <f>(Raw_Stock_Data!J643/Raw_Stock_Data!J642)-1</f>
        <v>1.8570763802832069E-3</v>
      </c>
    </row>
    <row r="644" spans="1:10" x14ac:dyDescent="0.2">
      <c r="A644" s="2">
        <v>45132</v>
      </c>
      <c r="B644" s="4">
        <f>(Raw_Stock_Data!B644/Raw_Stock_Data!B643)-1</f>
        <v>4.5211327511698318E-3</v>
      </c>
      <c r="C644" s="4">
        <f>(Raw_Stock_Data!C644/Raw_Stock_Data!C643)-1</f>
        <v>1.7011010400665993E-2</v>
      </c>
      <c r="D644" s="4">
        <f>(Raw_Stock_Data!D644/Raw_Stock_Data!D643)-1</f>
        <v>2.3921492116245835E-2</v>
      </c>
      <c r="E644" s="4">
        <f>(Raw_Stock_Data!E644/Raw_Stock_Data!E643)-1</f>
        <v>2.1607449597685457E-2</v>
      </c>
      <c r="F644" s="4">
        <f>(Raw_Stock_Data!F644/Raw_Stock_Data!F643)-1</f>
        <v>2.5621118012422173E-3</v>
      </c>
      <c r="G644" s="4">
        <f>(Raw_Stock_Data!G644/Raw_Stock_Data!G643)-1</f>
        <v>-1.4048911023563648E-2</v>
      </c>
      <c r="H644" s="4">
        <f>(Raw_Stock_Data!H644/Raw_Stock_Data!H643)-1</f>
        <v>5.5908366435160062E-3</v>
      </c>
      <c r="I644" s="4">
        <f>(Raw_Stock_Data!I644/Raw_Stock_Data!I643)-1</f>
        <v>9.8076197661260966E-3</v>
      </c>
      <c r="J644" s="4">
        <f>(Raw_Stock_Data!J644/Raw_Stock_Data!J643)-1</f>
        <v>6.0950844555784922E-3</v>
      </c>
    </row>
    <row r="645" spans="1:10" x14ac:dyDescent="0.2">
      <c r="A645" s="2">
        <v>45133</v>
      </c>
      <c r="B645" s="4">
        <f>(Raw_Stock_Data!B645/Raw_Stock_Data!B644)-1</f>
        <v>4.5373758494511307E-3</v>
      </c>
      <c r="C645" s="4">
        <f>(Raw_Stock_Data!C645/Raw_Stock_Data!C644)-1</f>
        <v>-3.7641056682087504E-2</v>
      </c>
      <c r="D645" s="4">
        <f>(Raw_Stock_Data!D645/Raw_Stock_Data!D644)-1</f>
        <v>-4.9695127293115648E-3</v>
      </c>
      <c r="E645" s="4">
        <f>(Raw_Stock_Data!E645/Raw_Stock_Data!E644)-1</f>
        <v>-2.5752212389380524E-2</v>
      </c>
      <c r="F645" s="4">
        <f>(Raw_Stock_Data!F645/Raw_Stock_Data!F644)-1</f>
        <v>-7.5892511422596121E-3</v>
      </c>
      <c r="G645" s="4">
        <f>(Raw_Stock_Data!G645/Raw_Stock_Data!G644)-1</f>
        <v>-3.5057297949334654E-3</v>
      </c>
      <c r="H645" s="4">
        <f>(Raw_Stock_Data!H645/Raw_Stock_Data!H644)-1</f>
        <v>5.7773799356152677E-2</v>
      </c>
      <c r="I645" s="4">
        <f>(Raw_Stock_Data!I645/Raw_Stock_Data!I644)-1</f>
        <v>1.3923319862804151E-2</v>
      </c>
      <c r="J645" s="4">
        <f>(Raw_Stock_Data!J645/Raw_Stock_Data!J644)-1</f>
        <v>-1.2216710876831183E-3</v>
      </c>
    </row>
    <row r="646" spans="1:10" x14ac:dyDescent="0.2">
      <c r="A646" s="2">
        <v>45134</v>
      </c>
      <c r="B646" s="4">
        <f>(Raw_Stock_Data!B646/Raw_Stock_Data!B645)-1</f>
        <v>-6.5931892927022506E-3</v>
      </c>
      <c r="C646" s="4">
        <f>(Raw_Stock_Data!C646/Raw_Stock_Data!C645)-1</f>
        <v>-2.0867028477638327E-2</v>
      </c>
      <c r="D646" s="4">
        <f>(Raw_Stock_Data!D646/Raw_Stock_Data!D645)-1</f>
        <v>9.8521950628969179E-3</v>
      </c>
      <c r="E646" s="4">
        <f>(Raw_Stock_Data!E646/Raw_Stock_Data!E645)-1</f>
        <v>9.1743119266054496E-3</v>
      </c>
      <c r="F646" s="4">
        <f>(Raw_Stock_Data!F646/Raw_Stock_Data!F645)-1</f>
        <v>7.803355442839166E-4</v>
      </c>
      <c r="G646" s="4">
        <f>(Raw_Stock_Data!G646/Raw_Stock_Data!G645)-1</f>
        <v>-3.2683941743900213E-2</v>
      </c>
      <c r="H646" s="4">
        <f>(Raw_Stock_Data!H646/Raw_Stock_Data!H645)-1</f>
        <v>1.0092932618028794E-3</v>
      </c>
      <c r="I646" s="4">
        <f>(Raw_Stock_Data!I646/Raw_Stock_Data!I645)-1</f>
        <v>4.4009779951100114E-2</v>
      </c>
      <c r="J646" s="4">
        <f>(Raw_Stock_Data!J646/Raw_Stock_Data!J645)-1</f>
        <v>-5.4624811003958218E-3</v>
      </c>
    </row>
    <row r="647" spans="1:10" x14ac:dyDescent="0.2">
      <c r="A647" s="2">
        <v>45135</v>
      </c>
      <c r="B647" s="4">
        <f>(Raw_Stock_Data!B647/Raw_Stock_Data!B646)-1</f>
        <v>1.3520096804102488E-2</v>
      </c>
      <c r="C647" s="4">
        <f>(Raw_Stock_Data!C647/Raw_Stock_Data!C646)-1</f>
        <v>2.3128760603103649E-2</v>
      </c>
      <c r="D647" s="4">
        <f>(Raw_Stock_Data!D647/Raw_Stock_Data!D646)-1</f>
        <v>1.8520415614081243E-2</v>
      </c>
      <c r="E647" s="4">
        <f>(Raw_Stock_Data!E647/Raw_Stock_Data!E646)-1</f>
        <v>1.6741674167416676E-2</v>
      </c>
      <c r="F647" s="4">
        <f>(Raw_Stock_Data!F647/Raw_Stock_Data!F646)-1</f>
        <v>3.0877192982456281E-2</v>
      </c>
      <c r="G647" s="4">
        <f>(Raw_Stock_Data!G647/Raw_Stock_Data!G646)-1</f>
        <v>4.1961597121739524E-2</v>
      </c>
      <c r="H647" s="4">
        <f>(Raw_Stock_Data!H647/Raw_Stock_Data!H646)-1</f>
        <v>2.4578657131998805E-2</v>
      </c>
      <c r="I647" s="4">
        <f>(Raw_Stock_Data!I647/Raw_Stock_Data!I646)-1</f>
        <v>4.4175676109204254E-2</v>
      </c>
      <c r="J647" s="4">
        <f>(Raw_Stock_Data!J647/Raw_Stock_Data!J646)-1</f>
        <v>1.8971381718719593E-2</v>
      </c>
    </row>
    <row r="648" spans="1:10" x14ac:dyDescent="0.2">
      <c r="A648" s="2">
        <v>45138</v>
      </c>
      <c r="B648" s="4">
        <f>(Raw_Stock_Data!B648/Raw_Stock_Data!B647)-1</f>
        <v>3.1630849381336645E-3</v>
      </c>
      <c r="C648" s="4">
        <f>(Raw_Stock_Data!C648/Raw_Stock_Data!C647)-1</f>
        <v>-7.2413071426437048E-3</v>
      </c>
      <c r="D648" s="4">
        <f>(Raw_Stock_Data!D648/Raw_Stock_Data!D647)-1</f>
        <v>-4.4940165379814268E-4</v>
      </c>
      <c r="E648" s="4">
        <f>(Raw_Stock_Data!E648/Raw_Stock_Data!E647)-1</f>
        <v>1.2747875354107707E-2</v>
      </c>
      <c r="F648" s="4">
        <f>(Raw_Stock_Data!F648/Raw_Stock_Data!F647)-1</f>
        <v>1.1118674835489006E-2</v>
      </c>
      <c r="G648" s="4">
        <f>(Raw_Stock_Data!G648/Raw_Stock_Data!G647)-1</f>
        <v>3.715658309563219E-3</v>
      </c>
      <c r="H648" s="4">
        <f>(Raw_Stock_Data!H648/Raw_Stock_Data!H647)-1</f>
        <v>1.0446473179817062E-3</v>
      </c>
      <c r="I648" s="4">
        <f>(Raw_Stock_Data!I648/Raw_Stock_Data!I647)-1</f>
        <v>-2.11380115521691E-2</v>
      </c>
      <c r="J648" s="4">
        <f>(Raw_Stock_Data!J648/Raw_Stock_Data!J647)-1</f>
        <v>2.0507576487811541E-3</v>
      </c>
    </row>
    <row r="649" spans="1:10" x14ac:dyDescent="0.2">
      <c r="A649" s="2">
        <v>45139</v>
      </c>
      <c r="B649" s="4">
        <f>(Raw_Stock_Data!B649/Raw_Stock_Data!B648)-1</f>
        <v>-4.3071913608868639E-3</v>
      </c>
      <c r="C649" s="4">
        <f>(Raw_Stock_Data!C649/Raw_Stock_Data!C648)-1</f>
        <v>1.2528309160120266E-3</v>
      </c>
      <c r="D649" s="4">
        <f>(Raw_Stock_Data!D649/Raw_Stock_Data!D648)-1</f>
        <v>-4.7508124981265887E-3</v>
      </c>
      <c r="E649" s="4">
        <f>(Raw_Stock_Data!E649/Raw_Stock_Data!E648)-1</f>
        <v>2.7972027972027913E-2</v>
      </c>
      <c r="F649" s="4">
        <f>(Raw_Stock_Data!F649/Raw_Stock_Data!F648)-1</f>
        <v>-1.488629563135857E-2</v>
      </c>
      <c r="G649" s="4">
        <f>(Raw_Stock_Data!G649/Raw_Stock_Data!G648)-1</f>
        <v>-2.3781924241857766E-2</v>
      </c>
      <c r="H649" s="4">
        <f>(Raw_Stock_Data!H649/Raw_Stock_Data!H648)-1</f>
        <v>-8.8097398669088056E-3</v>
      </c>
      <c r="I649" s="4">
        <f>(Raw_Stock_Data!I649/Raw_Stock_Data!I648)-1</f>
        <v>1.2900188323917039E-2</v>
      </c>
      <c r="J649" s="4">
        <f>(Raw_Stock_Data!J649/Raw_Stock_Data!J648)-1</f>
        <v>-4.3294237704952776E-3</v>
      </c>
    </row>
    <row r="650" spans="1:10" x14ac:dyDescent="0.2">
      <c r="A650" s="2">
        <v>45140</v>
      </c>
      <c r="B650" s="4">
        <f>(Raw_Stock_Data!B650/Raw_Stock_Data!B649)-1</f>
        <v>-1.5456022519119594E-2</v>
      </c>
      <c r="C650" s="4">
        <f>(Raw_Stock_Data!C650/Raw_Stock_Data!C649)-1</f>
        <v>-2.6285552721497574E-2</v>
      </c>
      <c r="D650" s="4">
        <f>(Raw_Stock_Data!D650/Raw_Stock_Data!D649)-1</f>
        <v>-4.8119967560055765E-2</v>
      </c>
      <c r="E650" s="4">
        <f>(Raw_Stock_Data!E650/Raw_Stock_Data!E649)-1</f>
        <v>-7.0153061224489832E-2</v>
      </c>
      <c r="F650" s="4">
        <f>(Raw_Stock_Data!F650/Raw_Stock_Data!F649)-1</f>
        <v>-2.6425696711975033E-2</v>
      </c>
      <c r="G650" s="4">
        <f>(Raw_Stock_Data!G650/Raw_Stock_Data!G649)-1</f>
        <v>-2.6659516604741973E-2</v>
      </c>
      <c r="H650" s="4">
        <f>(Raw_Stock_Data!H650/Raw_Stock_Data!H649)-1</f>
        <v>-2.410070570284184E-2</v>
      </c>
      <c r="I650" s="4">
        <f>(Raw_Stock_Data!I650/Raw_Stock_Data!I649)-1</f>
        <v>-2.6029562145579499E-2</v>
      </c>
      <c r="J650" s="4">
        <f>(Raw_Stock_Data!J650/Raw_Stock_Data!J649)-1</f>
        <v>-2.1734945123568994E-2</v>
      </c>
    </row>
    <row r="651" spans="1:10" x14ac:dyDescent="0.2">
      <c r="A651" s="2">
        <v>45141</v>
      </c>
      <c r="B651" s="4">
        <f>(Raw_Stock_Data!B651/Raw_Stock_Data!B650)-1</f>
        <v>-7.3263923561656119E-3</v>
      </c>
      <c r="C651" s="4">
        <f>(Raw_Stock_Data!C651/Raw_Stock_Data!C650)-1</f>
        <v>-2.5608155069889449E-3</v>
      </c>
      <c r="D651" s="4">
        <f>(Raw_Stock_Data!D651/Raw_Stock_Data!D650)-1</f>
        <v>5.5526678569006727E-3</v>
      </c>
      <c r="E651" s="4">
        <f>(Raw_Stock_Data!E651/Raw_Stock_Data!E650)-1</f>
        <v>3.4750800182899111E-2</v>
      </c>
      <c r="F651" s="4">
        <f>(Raw_Stock_Data!F651/Raw_Stock_Data!F650)-1</f>
        <v>5.4597925278838666E-3</v>
      </c>
      <c r="G651" s="4">
        <f>(Raw_Stock_Data!G651/Raw_Stock_Data!G650)-1</f>
        <v>2.0502931801188451E-2</v>
      </c>
      <c r="H651" s="4">
        <f>(Raw_Stock_Data!H651/Raw_Stock_Data!H650)-1</f>
        <v>5.4723412239288116E-4</v>
      </c>
      <c r="I651" s="4">
        <f>(Raw_Stock_Data!I651/Raw_Stock_Data!I650)-1</f>
        <v>-3.5633610130126891E-3</v>
      </c>
      <c r="J651" s="4">
        <f>(Raw_Stock_Data!J651/Raw_Stock_Data!J650)-1</f>
        <v>-9.8329331696911382E-4</v>
      </c>
    </row>
    <row r="652" spans="1:10" x14ac:dyDescent="0.2">
      <c r="A652" s="2">
        <v>45142</v>
      </c>
      <c r="B652" s="4">
        <f>(Raw_Stock_Data!B652/Raw_Stock_Data!B651)-1</f>
        <v>-4.8010080634487085E-2</v>
      </c>
      <c r="C652" s="4">
        <f>(Raw_Stock_Data!C652/Raw_Stock_Data!C651)-1</f>
        <v>3.4190575293593373E-3</v>
      </c>
      <c r="D652" s="4">
        <f>(Raw_Stock_Data!D652/Raw_Stock_Data!D651)-1</f>
        <v>3.7083068320495904E-3</v>
      </c>
      <c r="E652" s="4">
        <f>(Raw_Stock_Data!E652/Raw_Stock_Data!E651)-1</f>
        <v>2.3596995139195664E-2</v>
      </c>
      <c r="F652" s="4">
        <f>(Raw_Stock_Data!F652/Raw_Stock_Data!F651)-1</f>
        <v>8.2693351950973604E-2</v>
      </c>
      <c r="G652" s="4">
        <f>(Raw_Stock_Data!G652/Raw_Stock_Data!G651)-1</f>
        <v>-2.1055067098565416E-2</v>
      </c>
      <c r="H652" s="4">
        <f>(Raw_Stock_Data!H652/Raw_Stock_Data!H651)-1</f>
        <v>-2.648727204538015E-3</v>
      </c>
      <c r="I652" s="4">
        <f>(Raw_Stock_Data!I652/Raw_Stock_Data!I651)-1</f>
        <v>-7.8546569175260705E-3</v>
      </c>
      <c r="J652" s="4">
        <f>(Raw_Stock_Data!J652/Raw_Stock_Data!J651)-1</f>
        <v>-3.6154046180042476E-3</v>
      </c>
    </row>
    <row r="653" spans="1:10" x14ac:dyDescent="0.2">
      <c r="A653" s="2">
        <v>45145</v>
      </c>
      <c r="B653" s="4">
        <f>(Raw_Stock_Data!B653/Raw_Stock_Data!B652)-1</f>
        <v>-1.7257200696294439E-2</v>
      </c>
      <c r="C653" s="4">
        <f>(Raw_Stock_Data!C653/Raw_Stock_Data!C652)-1</f>
        <v>7.1172839506172814E-3</v>
      </c>
      <c r="D653" s="4">
        <f>(Raw_Stock_Data!D653/Raw_Stock_Data!D652)-1</f>
        <v>1.6486899822435008E-2</v>
      </c>
      <c r="E653" s="4">
        <f>(Raw_Stock_Data!E653/Raw_Stock_Data!E652)-1</f>
        <v>8.5477465031946753E-3</v>
      </c>
      <c r="F653" s="4">
        <f>(Raw_Stock_Data!F653/Raw_Stock_Data!F652)-1</f>
        <v>1.8986888299777904E-2</v>
      </c>
      <c r="G653" s="4">
        <f>(Raw_Stock_Data!G653/Raw_Stock_Data!G652)-1</f>
        <v>-9.4934215709446823E-3</v>
      </c>
      <c r="H653" s="4">
        <f>(Raw_Stock_Data!H653/Raw_Stock_Data!H652)-1</f>
        <v>2.6698629815036901E-2</v>
      </c>
      <c r="I653" s="4">
        <f>(Raw_Stock_Data!I653/Raw_Stock_Data!I652)-1</f>
        <v>1.8762269494416284E-2</v>
      </c>
      <c r="J653" s="4">
        <f>(Raw_Stock_Data!J653/Raw_Stock_Data!J652)-1</f>
        <v>6.1225487517651001E-3</v>
      </c>
    </row>
    <row r="654" spans="1:10" x14ac:dyDescent="0.2">
      <c r="A654" s="2">
        <v>45146</v>
      </c>
      <c r="B654" s="4">
        <f>(Raw_Stock_Data!B654/Raw_Stock_Data!B653)-1</f>
        <v>5.3082521249987469E-3</v>
      </c>
      <c r="C654" s="4">
        <f>(Raw_Stock_Data!C654/Raw_Stock_Data!C653)-1</f>
        <v>-1.230133678203893E-2</v>
      </c>
      <c r="D654" s="4">
        <f>(Raw_Stock_Data!D654/Raw_Stock_Data!D653)-1</f>
        <v>-1.6571944664728111E-2</v>
      </c>
      <c r="E654" s="4">
        <f>(Raw_Stock_Data!E654/Raw_Stock_Data!E653)-1</f>
        <v>-3.0648060953685441E-2</v>
      </c>
      <c r="F654" s="4">
        <f>(Raw_Stock_Data!F654/Raw_Stock_Data!F653)-1</f>
        <v>-1.603150049219515E-2</v>
      </c>
      <c r="G654" s="4">
        <f>(Raw_Stock_Data!G654/Raw_Stock_Data!G653)-1</f>
        <v>-6.9596341220918845E-3</v>
      </c>
      <c r="H654" s="4">
        <f>(Raw_Stock_Data!H654/Raw_Stock_Data!H653)-1</f>
        <v>-9.919499446796598E-4</v>
      </c>
      <c r="I654" s="4">
        <f>(Raw_Stock_Data!I654/Raw_Stock_Data!I653)-1</f>
        <v>-1.238311852413454E-2</v>
      </c>
      <c r="J654" s="4">
        <f>(Raw_Stock_Data!J654/Raw_Stock_Data!J653)-1</f>
        <v>-7.8660035442748022E-3</v>
      </c>
    </row>
    <row r="655" spans="1:10" x14ac:dyDescent="0.2">
      <c r="A655" s="2">
        <v>45147</v>
      </c>
      <c r="B655" s="4">
        <f>(Raw_Stock_Data!B655/Raw_Stock_Data!B654)-1</f>
        <v>-8.9504852401431911E-3</v>
      </c>
      <c r="C655" s="4">
        <f>(Raw_Stock_Data!C655/Raw_Stock_Data!C654)-1</f>
        <v>-1.171608355156184E-2</v>
      </c>
      <c r="D655" s="4">
        <f>(Raw_Stock_Data!D655/Raw_Stock_Data!D654)-1</f>
        <v>-4.7238468137721701E-2</v>
      </c>
      <c r="E655" s="4">
        <f>(Raw_Stock_Data!E655/Raw_Stock_Data!E654)-1</f>
        <v>-2.4375165592157577E-2</v>
      </c>
      <c r="F655" s="4">
        <f>(Raw_Stock_Data!F655/Raw_Stock_Data!F654)-1</f>
        <v>-1.4934972130913327E-2</v>
      </c>
      <c r="G655" s="4">
        <f>(Raw_Stock_Data!G655/Raw_Stock_Data!G654)-1</f>
        <v>-3.0076091309571451E-2</v>
      </c>
      <c r="H655" s="4">
        <f>(Raw_Stock_Data!H655/Raw_Stock_Data!H654)-1</f>
        <v>-1.3244223792247545E-2</v>
      </c>
      <c r="I655" s="4">
        <f>(Raw_Stock_Data!I655/Raw_Stock_Data!I654)-1</f>
        <v>-2.3765353121801502E-2</v>
      </c>
      <c r="J655" s="4">
        <f>(Raw_Stock_Data!J655/Raw_Stock_Data!J654)-1</f>
        <v>-1.1689445359945538E-2</v>
      </c>
    </row>
    <row r="656" spans="1:10" x14ac:dyDescent="0.2">
      <c r="A656" s="2">
        <v>45148</v>
      </c>
      <c r="B656" s="4">
        <f>(Raw_Stock_Data!B656/Raw_Stock_Data!B655)-1</f>
        <v>-1.2382564440455157E-3</v>
      </c>
      <c r="C656" s="4">
        <f>(Raw_Stock_Data!C656/Raw_Stock_Data!C655)-1</f>
        <v>2.1725753180374952E-3</v>
      </c>
      <c r="D656" s="4">
        <f>(Raw_Stock_Data!D656/Raw_Stock_Data!D655)-1</f>
        <v>-3.9026867412095267E-3</v>
      </c>
      <c r="E656" s="4">
        <f>(Raw_Stock_Data!E656/Raw_Stock_Data!E655)-1</f>
        <v>-2.1725355300080684E-3</v>
      </c>
      <c r="F656" s="4">
        <f>(Raw_Stock_Data!F656/Raw_Stock_Data!F655)-1</f>
        <v>5.1505259339863496E-3</v>
      </c>
      <c r="G656" s="4">
        <f>(Raw_Stock_Data!G656/Raw_Stock_Data!G655)-1</f>
        <v>1.3006317354143482E-2</v>
      </c>
      <c r="H656" s="4">
        <f>(Raw_Stock_Data!H656/Raw_Stock_Data!H655)-1</f>
        <v>2.3221431833486683E-4</v>
      </c>
      <c r="I656" s="4">
        <f>(Raw_Stock_Data!I656/Raw_Stock_Data!I655)-1</f>
        <v>1.7365092886865163E-3</v>
      </c>
      <c r="J656" s="4">
        <f>(Raw_Stock_Data!J656/Raw_Stock_Data!J655)-1</f>
        <v>-7.2146812204021415E-5</v>
      </c>
    </row>
    <row r="657" spans="1:10" x14ac:dyDescent="0.2">
      <c r="A657" s="2">
        <v>45149</v>
      </c>
      <c r="B657" s="4">
        <f>(Raw_Stock_Data!B657/Raw_Stock_Data!B656)-1</f>
        <v>3.3553993493939949E-4</v>
      </c>
      <c r="C657" s="4">
        <f>(Raw_Stock_Data!C657/Raw_Stock_Data!C656)-1</f>
        <v>-5.9459662665096724E-3</v>
      </c>
      <c r="D657" s="4">
        <f>(Raw_Stock_Data!D657/Raw_Stock_Data!D656)-1</f>
        <v>-3.616812371367617E-2</v>
      </c>
      <c r="E657" s="4">
        <f>(Raw_Stock_Data!E657/Raw_Stock_Data!E656)-1</f>
        <v>-2.4131361698267351E-2</v>
      </c>
      <c r="F657" s="4">
        <f>(Raw_Stock_Data!F657/Raw_Stock_Data!F656)-1</f>
        <v>-1.0825635103925979E-3</v>
      </c>
      <c r="G657" s="4">
        <f>(Raw_Stock_Data!G657/Raw_Stock_Data!G656)-1</f>
        <v>-1.0964375968044338E-2</v>
      </c>
      <c r="H657" s="4">
        <f>(Raw_Stock_Data!H657/Raw_Stock_Data!H656)-1</f>
        <v>-9.9828975166571521E-4</v>
      </c>
      <c r="I657" s="4">
        <f>(Raw_Stock_Data!I657/Raw_Stock_Data!I656)-1</f>
        <v>-1.3410087002027948E-2</v>
      </c>
      <c r="J657" s="4">
        <f>(Raw_Stock_Data!J657/Raw_Stock_Data!J656)-1</f>
        <v>-5.5520613248422057E-3</v>
      </c>
    </row>
    <row r="658" spans="1:10" x14ac:dyDescent="0.2">
      <c r="A658" s="2">
        <v>45152</v>
      </c>
      <c r="B658" s="4">
        <f>(Raw_Stock_Data!B658/Raw_Stock_Data!B657)-1</f>
        <v>9.397652008300339E-3</v>
      </c>
      <c r="C658" s="4">
        <f>(Raw_Stock_Data!C658/Raw_Stock_Data!C657)-1</f>
        <v>9.4387192335572134E-3</v>
      </c>
      <c r="D658" s="4">
        <f>(Raw_Stock_Data!D658/Raw_Stock_Data!D657)-1</f>
        <v>7.0936713324387002E-2</v>
      </c>
      <c r="E658" s="4">
        <f>(Raw_Stock_Data!E658/Raw_Stock_Data!E657)-1</f>
        <v>4.0996560379288116E-2</v>
      </c>
      <c r="F658" s="4">
        <f>(Raw_Stock_Data!F658/Raw_Stock_Data!F657)-1</f>
        <v>1.5605808828841772E-2</v>
      </c>
      <c r="G658" s="4">
        <f>(Raw_Stock_Data!G658/Raw_Stock_Data!G657)-1</f>
        <v>-1.1910158664743542E-2</v>
      </c>
      <c r="H658" s="4">
        <f>(Raw_Stock_Data!H658/Raw_Stock_Data!H657)-1</f>
        <v>1.3656926842871675E-2</v>
      </c>
      <c r="I658" s="4">
        <f>(Raw_Stock_Data!I658/Raw_Stock_Data!I657)-1</f>
        <v>1.5084206338682016E-2</v>
      </c>
      <c r="J658" s="4">
        <f>(Raw_Stock_Data!J658/Raw_Stock_Data!J657)-1</f>
        <v>1.0515322630882729E-2</v>
      </c>
    </row>
    <row r="659" spans="1:10" x14ac:dyDescent="0.2">
      <c r="A659" s="2">
        <v>45153</v>
      </c>
      <c r="B659" s="4">
        <f>(Raw_Stock_Data!B659/Raw_Stock_Data!B658)-1</f>
        <v>-1.1202604366143287E-2</v>
      </c>
      <c r="C659" s="4">
        <f>(Raw_Stock_Data!C659/Raw_Stock_Data!C658)-1</f>
        <v>-6.731084435147805E-3</v>
      </c>
      <c r="D659" s="4">
        <f>(Raw_Stock_Data!D659/Raw_Stock_Data!D658)-1</f>
        <v>4.2713544858370422E-3</v>
      </c>
      <c r="E659" s="4">
        <f>(Raw_Stock_Data!E659/Raw_Stock_Data!E658)-1</f>
        <v>-5.6260046436864553E-3</v>
      </c>
      <c r="F659" s="4">
        <f>(Raw_Stock_Data!F659/Raw_Stock_Data!F658)-1</f>
        <v>-2.0630290958241537E-2</v>
      </c>
      <c r="G659" s="4">
        <f>(Raw_Stock_Data!G659/Raw_Stock_Data!G658)-1</f>
        <v>-2.8361695028361611E-2</v>
      </c>
      <c r="H659" s="4">
        <f>(Raw_Stock_Data!H659/Raw_Stock_Data!H658)-1</f>
        <v>-1.179931985785776E-2</v>
      </c>
      <c r="I659" s="4">
        <f>(Raw_Stock_Data!I659/Raw_Stock_Data!I658)-1</f>
        <v>-1.3847610960514789E-2</v>
      </c>
      <c r="J659" s="4">
        <f>(Raw_Stock_Data!J659/Raw_Stock_Data!J658)-1</f>
        <v>-1.140674759017235E-2</v>
      </c>
    </row>
    <row r="660" spans="1:10" x14ac:dyDescent="0.2">
      <c r="A660" s="2">
        <v>45154</v>
      </c>
      <c r="B660" s="4">
        <f>(Raw_Stock_Data!B660/Raw_Stock_Data!B659)-1</f>
        <v>-4.9612950631982011E-3</v>
      </c>
      <c r="C660" s="4">
        <f>(Raw_Stock_Data!C660/Raw_Stock_Data!C659)-1</f>
        <v>-2.4233928128015725E-3</v>
      </c>
      <c r="D660" s="4">
        <f>(Raw_Stock_Data!D660/Raw_Stock_Data!D659)-1</f>
        <v>-1.0330145719490091E-2</v>
      </c>
      <c r="E660" s="4">
        <f>(Raw_Stock_Data!E660/Raw_Stock_Data!E659)-1</f>
        <v>-3.7359676695105537E-2</v>
      </c>
      <c r="F660" s="4">
        <f>(Raw_Stock_Data!F660/Raw_Stock_Data!F659)-1</f>
        <v>-1.8885741265344591E-2</v>
      </c>
      <c r="G660" s="4">
        <f>(Raw_Stock_Data!G660/Raw_Stock_Data!G659)-1</f>
        <v>-3.1593406593406703E-2</v>
      </c>
      <c r="H660" s="4">
        <f>(Raw_Stock_Data!H660/Raw_Stock_Data!H659)-1</f>
        <v>-8.3210245068091604E-3</v>
      </c>
      <c r="I660" s="4">
        <f>(Raw_Stock_Data!I660/Raw_Stock_Data!I659)-1</f>
        <v>-2.5368438483192479E-2</v>
      </c>
      <c r="J660" s="4">
        <f>(Raw_Stock_Data!J660/Raw_Stock_Data!J659)-1</f>
        <v>-1.1475271530806519E-2</v>
      </c>
    </row>
    <row r="661" spans="1:10" x14ac:dyDescent="0.2">
      <c r="A661" s="2">
        <v>45155</v>
      </c>
      <c r="B661" s="4">
        <f>(Raw_Stock_Data!B661/Raw_Stock_Data!B660)-1</f>
        <v>-1.4551657812786223E-2</v>
      </c>
      <c r="C661" s="4">
        <f>(Raw_Stock_Data!C661/Raw_Stock_Data!C660)-1</f>
        <v>-1.09868989028854E-2</v>
      </c>
      <c r="D661" s="4">
        <f>(Raw_Stock_Data!D661/Raw_Stock_Data!D660)-1</f>
        <v>-3.2784018883594834E-3</v>
      </c>
      <c r="E661" s="4">
        <f>(Raw_Stock_Data!E661/Raw_Stock_Data!E660)-1</f>
        <v>-2.5655378300214582E-2</v>
      </c>
      <c r="F661" s="4">
        <f>(Raw_Stock_Data!F661/Raw_Stock_Data!F660)-1</f>
        <v>-8.0698896868290904E-3</v>
      </c>
      <c r="G661" s="4">
        <f>(Raw_Stock_Data!G661/Raw_Stock_Data!G660)-1</f>
        <v>-2.8280141843971651E-2</v>
      </c>
      <c r="H661" s="4">
        <f>(Raw_Stock_Data!H661/Raw_Stock_Data!H660)-1</f>
        <v>9.4825905564002166E-3</v>
      </c>
      <c r="I661" s="4">
        <f>(Raw_Stock_Data!I661/Raw_Stock_Data!I660)-1</f>
        <v>-3.1261680655136237E-2</v>
      </c>
      <c r="J661" s="4">
        <f>(Raw_Stock_Data!J661/Raw_Stock_Data!J660)-1</f>
        <v>-1.1703475345890668E-2</v>
      </c>
    </row>
    <row r="662" spans="1:10" x14ac:dyDescent="0.2">
      <c r="A662" s="2">
        <v>45156</v>
      </c>
      <c r="B662" s="4">
        <f>(Raw_Stock_Data!B662/Raw_Stock_Data!B661)-1</f>
        <v>2.8115669257491316E-3</v>
      </c>
      <c r="C662" s="4">
        <f>(Raw_Stock_Data!C662/Raw_Stock_Data!C661)-1</f>
        <v>-1.2647702546425554E-3</v>
      </c>
      <c r="D662" s="4">
        <f>(Raw_Stock_Data!D662/Raw_Stock_Data!D661)-1</f>
        <v>-1.0271490497140157E-3</v>
      </c>
      <c r="E662" s="4">
        <f>(Raw_Stock_Data!E662/Raw_Stock_Data!E661)-1</f>
        <v>9.6706242818844768E-3</v>
      </c>
      <c r="F662" s="4">
        <f>(Raw_Stock_Data!F662/Raw_Stock_Data!F661)-1</f>
        <v>-5.6724884311090129E-3</v>
      </c>
      <c r="G662" s="4">
        <f>(Raw_Stock_Data!G662/Raw_Stock_Data!G661)-1</f>
        <v>-1.7014870905939228E-2</v>
      </c>
      <c r="H662" s="4">
        <f>(Raw_Stock_Data!H662/Raw_Stock_Data!H661)-1</f>
        <v>-1.8941529999768281E-2</v>
      </c>
      <c r="I662" s="4">
        <f>(Raw_Stock_Data!I662/Raw_Stock_Data!I661)-1</f>
        <v>-6.4541022133360881E-3</v>
      </c>
      <c r="J662" s="4">
        <f>(Raw_Stock_Data!J662/Raw_Stock_Data!J661)-1</f>
        <v>-1.9636657998501894E-3</v>
      </c>
    </row>
    <row r="663" spans="1:10" x14ac:dyDescent="0.2">
      <c r="A663" s="2">
        <v>45159</v>
      </c>
      <c r="B663" s="4">
        <f>(Raw_Stock_Data!B663/Raw_Stock_Data!B662)-1</f>
        <v>7.7333024387418181E-3</v>
      </c>
      <c r="C663" s="4">
        <f>(Raw_Stock_Data!C663/Raw_Stock_Data!C662)-1</f>
        <v>1.7065717366201438E-2</v>
      </c>
      <c r="D663" s="4">
        <f>(Raw_Stock_Data!D663/Raw_Stock_Data!D662)-1</f>
        <v>8.471486368772152E-2</v>
      </c>
      <c r="E663" s="4">
        <f>(Raw_Stock_Data!E663/Raw_Stock_Data!E662)-1</f>
        <v>2.6268373636794573E-2</v>
      </c>
      <c r="F663" s="4">
        <f>(Raw_Stock_Data!F663/Raw_Stock_Data!F662)-1</f>
        <v>1.0959315418105353E-2</v>
      </c>
      <c r="G663" s="4">
        <f>(Raw_Stock_Data!G663/Raw_Stock_Data!G662)-1</f>
        <v>7.3274861942549396E-2</v>
      </c>
      <c r="H663" s="4">
        <f>(Raw_Stock_Data!H663/Raw_Stock_Data!H662)-1</f>
        <v>7.1417885180198315E-3</v>
      </c>
      <c r="I663" s="4">
        <f>(Raw_Stock_Data!I663/Raw_Stock_Data!I662)-1</f>
        <v>2.3477493380405834E-2</v>
      </c>
      <c r="J663" s="4">
        <f>(Raw_Stock_Data!J663/Raw_Stock_Data!J662)-1</f>
        <v>1.5560411051872114E-2</v>
      </c>
    </row>
    <row r="664" spans="1:10" x14ac:dyDescent="0.2">
      <c r="A664" s="2">
        <v>45160</v>
      </c>
      <c r="B664" s="4">
        <f>(Raw_Stock_Data!B664/Raw_Stock_Data!B663)-1</f>
        <v>7.9153852786479906E-3</v>
      </c>
      <c r="C664" s="4">
        <f>(Raw_Stock_Data!C664/Raw_Stock_Data!C663)-1</f>
        <v>1.8033897454554637E-3</v>
      </c>
      <c r="D664" s="4">
        <f>(Raw_Stock_Data!D664/Raw_Stock_Data!D663)-1</f>
        <v>-2.7655355016540484E-2</v>
      </c>
      <c r="E664" s="4">
        <f>(Raw_Stock_Data!E664/Raw_Stock_Data!E663)-1</f>
        <v>-2.3655516540380672E-2</v>
      </c>
      <c r="F664" s="4">
        <f>(Raw_Stock_Data!F664/Raw_Stock_Data!F663)-1</f>
        <v>-3.1927531927532504E-3</v>
      </c>
      <c r="G664" s="4">
        <f>(Raw_Stock_Data!G664/Raw_Stock_Data!G663)-1</f>
        <v>8.2583881010029891E-3</v>
      </c>
      <c r="H664" s="4">
        <f>(Raw_Stock_Data!H664/Raw_Stock_Data!H663)-1</f>
        <v>5.5353149969508131E-3</v>
      </c>
      <c r="I664" s="4">
        <f>(Raw_Stock_Data!I664/Raw_Stock_Data!I663)-1</f>
        <v>-7.9337702656087083E-3</v>
      </c>
      <c r="J664" s="4">
        <f>(Raw_Stock_Data!J664/Raw_Stock_Data!J663)-1</f>
        <v>6.1344284424103002E-4</v>
      </c>
    </row>
    <row r="665" spans="1:10" x14ac:dyDescent="0.2">
      <c r="A665" s="2">
        <v>45161</v>
      </c>
      <c r="B665" s="4">
        <f>(Raw_Stock_Data!B665/Raw_Stock_Data!B664)-1</f>
        <v>2.1934277012923165E-2</v>
      </c>
      <c r="C665" s="4">
        <f>(Raw_Stock_Data!C665/Raw_Stock_Data!C664)-1</f>
        <v>1.4081817299534505E-2</v>
      </c>
      <c r="D665" s="4">
        <f>(Raw_Stock_Data!D665/Raw_Stock_Data!D664)-1</f>
        <v>3.1706077454575876E-2</v>
      </c>
      <c r="E665" s="4">
        <f>(Raw_Stock_Data!E665/Raw_Stock_Data!E664)-1</f>
        <v>3.568048457315931E-2</v>
      </c>
      <c r="F665" s="4">
        <f>(Raw_Stock_Data!F665/Raw_Stock_Data!F664)-1</f>
        <v>9.4599627560523203E-3</v>
      </c>
      <c r="G665" s="4">
        <f>(Raw_Stock_Data!G665/Raw_Stock_Data!G664)-1</f>
        <v>1.5738239204082571E-2</v>
      </c>
      <c r="H665" s="4">
        <f>(Raw_Stock_Data!H665/Raw_Stock_Data!H664)-1</f>
        <v>2.5487116488096095E-2</v>
      </c>
      <c r="I665" s="4">
        <f>(Raw_Stock_Data!I665/Raw_Stock_Data!I664)-1</f>
        <v>2.3087621696801008E-2</v>
      </c>
      <c r="J665" s="4">
        <f>(Raw_Stock_Data!J665/Raw_Stock_Data!J664)-1</f>
        <v>1.5930850807833963E-2</v>
      </c>
    </row>
    <row r="666" spans="1:10" x14ac:dyDescent="0.2">
      <c r="A666" s="2">
        <v>45162</v>
      </c>
      <c r="B666" s="4">
        <f>(Raw_Stock_Data!B666/Raw_Stock_Data!B665)-1</f>
        <v>-2.6156885505725702E-2</v>
      </c>
      <c r="C666" s="4">
        <f>(Raw_Stock_Data!C666/Raw_Stock_Data!C665)-1</f>
        <v>-2.1499334706112982E-2</v>
      </c>
      <c r="D666" s="4">
        <f>(Raw_Stock_Data!D666/Raw_Stock_Data!D665)-1</f>
        <v>9.9798915801563304E-4</v>
      </c>
      <c r="E666" s="4">
        <f>(Raw_Stock_Data!E666/Raw_Stock_Data!E665)-1</f>
        <v>-6.972493831673221E-2</v>
      </c>
      <c r="F666" s="4">
        <f>(Raw_Stock_Data!F666/Raw_Stock_Data!F665)-1</f>
        <v>-2.7154663518299982E-2</v>
      </c>
      <c r="G666" s="4">
        <f>(Raw_Stock_Data!G666/Raw_Stock_Data!G665)-1</f>
        <v>-2.8793380055729179E-2</v>
      </c>
      <c r="H666" s="4">
        <f>(Raw_Stock_Data!H666/Raw_Stock_Data!H665)-1</f>
        <v>-1.9569041336851334E-2</v>
      </c>
      <c r="I666" s="4">
        <f>(Raw_Stock_Data!I666/Raw_Stock_Data!I665)-1</f>
        <v>-2.5455410549211521E-2</v>
      </c>
      <c r="J666" s="4">
        <f>(Raw_Stock_Data!J666/Raw_Stock_Data!J665)-1</f>
        <v>-1.8734745132107489E-2</v>
      </c>
    </row>
    <row r="667" spans="1:10" x14ac:dyDescent="0.2">
      <c r="A667" s="2">
        <v>45163</v>
      </c>
      <c r="B667" s="4">
        <f>(Raw_Stock_Data!B667/Raw_Stock_Data!B666)-1</f>
        <v>1.2641761365264292E-2</v>
      </c>
      <c r="C667" s="4">
        <f>(Raw_Stock_Data!C667/Raw_Stock_Data!C666)-1</f>
        <v>9.4051799478158671E-3</v>
      </c>
      <c r="D667" s="4">
        <f>(Raw_Stock_Data!D667/Raw_Stock_Data!D666)-1</f>
        <v>-2.4279989902782351E-2</v>
      </c>
      <c r="E667" s="4">
        <f>(Raw_Stock_Data!E667/Raw_Stock_Data!E666)-1</f>
        <v>4.4204322200394053E-3</v>
      </c>
      <c r="F667" s="4">
        <f>(Raw_Stock_Data!F667/Raw_Stock_Data!F666)-1</f>
        <v>1.0770631067961167E-2</v>
      </c>
      <c r="G667" s="4">
        <f>(Raw_Stock_Data!G667/Raw_Stock_Data!G666)-1</f>
        <v>3.7167449139280162E-2</v>
      </c>
      <c r="H667" s="4">
        <f>(Raw_Stock_Data!H667/Raw_Stock_Data!H666)-1</f>
        <v>7.733294151308634E-4</v>
      </c>
      <c r="I667" s="4">
        <f>(Raw_Stock_Data!I667/Raw_Stock_Data!I666)-1</f>
        <v>-4.3591979075849885E-3</v>
      </c>
      <c r="J667" s="4">
        <f>(Raw_Stock_Data!J667/Raw_Stock_Data!J666)-1</f>
        <v>9.4088147849409332E-3</v>
      </c>
    </row>
    <row r="668" spans="1:10" x14ac:dyDescent="0.2">
      <c r="A668" s="2">
        <v>45166</v>
      </c>
      <c r="B668" s="4">
        <f>(Raw_Stock_Data!B668/Raw_Stock_Data!B667)-1</f>
        <v>8.8394913614062709E-3</v>
      </c>
      <c r="C668" s="4">
        <f>(Raw_Stock_Data!C668/Raw_Stock_Data!C667)-1</f>
        <v>2.2254590009189723E-3</v>
      </c>
      <c r="D668" s="4">
        <f>(Raw_Stock_Data!D668/Raw_Stock_Data!D667)-1</f>
        <v>1.7755467192496877E-2</v>
      </c>
      <c r="E668" s="4">
        <f>(Raw_Stock_Data!E668/Raw_Stock_Data!E667)-1</f>
        <v>3.5207823960881068E-3</v>
      </c>
      <c r="F668" s="4">
        <f>(Raw_Stock_Data!F668/Raw_Stock_Data!F667)-1</f>
        <v>-9.0049527239988159E-4</v>
      </c>
      <c r="G668" s="4">
        <f>(Raw_Stock_Data!G668/Raw_Stock_Data!G667)-1</f>
        <v>9.639968146191169E-4</v>
      </c>
      <c r="H668" s="4">
        <f>(Raw_Stock_Data!H668/Raw_Stock_Data!H667)-1</f>
        <v>8.7009605056758144E-3</v>
      </c>
      <c r="I668" s="4">
        <f>(Raw_Stock_Data!I668/Raw_Stock_Data!I667)-1</f>
        <v>1.6672504378283604E-2</v>
      </c>
      <c r="J668" s="4">
        <f>(Raw_Stock_Data!J668/Raw_Stock_Data!J667)-1</f>
        <v>8.4234381725671881E-3</v>
      </c>
    </row>
    <row r="669" spans="1:10" x14ac:dyDescent="0.2">
      <c r="A669" s="2">
        <v>45167</v>
      </c>
      <c r="B669" s="4">
        <f>(Raw_Stock_Data!B669/Raw_Stock_Data!B668)-1</f>
        <v>2.181534647078287E-2</v>
      </c>
      <c r="C669" s="4">
        <f>(Raw_Stock_Data!C669/Raw_Stock_Data!C668)-1</f>
        <v>1.4551873405562521E-2</v>
      </c>
      <c r="D669" s="4">
        <f>(Raw_Stock_Data!D669/Raw_Stock_Data!D668)-1</f>
        <v>4.1611661518611953E-2</v>
      </c>
      <c r="E669" s="4">
        <f>(Raw_Stock_Data!E669/Raw_Stock_Data!E668)-1</f>
        <v>3.2258064516129004E-2</v>
      </c>
      <c r="F669" s="4">
        <f>(Raw_Stock_Data!F669/Raw_Stock_Data!F668)-1</f>
        <v>1.3294276701216745E-2</v>
      </c>
      <c r="G669" s="4">
        <f>(Raw_Stock_Data!G669/Raw_Stock_Data!G668)-1</f>
        <v>7.6877983418474294E-2</v>
      </c>
      <c r="H669" s="4">
        <f>(Raw_Stock_Data!H669/Raw_Stock_Data!H668)-1</f>
        <v>2.7172372584018278E-2</v>
      </c>
      <c r="I669" s="4">
        <f>(Raw_Stock_Data!I669/Raw_Stock_Data!I668)-1</f>
        <v>2.6631296079377087E-2</v>
      </c>
      <c r="J669" s="4">
        <f>(Raw_Stock_Data!J669/Raw_Stock_Data!J668)-1</f>
        <v>1.7411728309034702E-2</v>
      </c>
    </row>
    <row r="670" spans="1:10" x14ac:dyDescent="0.2">
      <c r="A670" s="2">
        <v>45168</v>
      </c>
      <c r="B670" s="4">
        <f>(Raw_Stock_Data!B670/Raw_Stock_Data!B669)-1</f>
        <v>1.9164681210817047E-2</v>
      </c>
      <c r="C670" s="4">
        <f>(Raw_Stock_Data!C670/Raw_Stock_Data!C669)-1</f>
        <v>1.1558134959668287E-3</v>
      </c>
      <c r="D670" s="4">
        <f>(Raw_Stock_Data!D670/Raw_Stock_Data!D669)-1</f>
        <v>9.8417203630711825E-3</v>
      </c>
      <c r="E670" s="4">
        <f>(Raw_Stock_Data!E670/Raw_Stock_Data!E669)-1</f>
        <v>6.3255287009063021E-3</v>
      </c>
      <c r="F670" s="4">
        <f>(Raw_Stock_Data!F670/Raw_Stock_Data!F669)-1</f>
        <v>1.1859758357424255E-3</v>
      </c>
      <c r="G670" s="4">
        <f>(Raw_Stock_Data!G670/Raw_Stock_Data!G669)-1</f>
        <v>-1.0887316276538828E-3</v>
      </c>
      <c r="H670" s="4">
        <f>(Raw_Stock_Data!H670/Raw_Stock_Data!H669)-1</f>
        <v>9.7327048715731834E-3</v>
      </c>
      <c r="I670" s="4">
        <f>(Raw_Stock_Data!I670/Raw_Stock_Data!I669)-1</f>
        <v>-9.698312023893374E-3</v>
      </c>
      <c r="J670" s="4">
        <f>(Raw_Stock_Data!J670/Raw_Stock_Data!J669)-1</f>
        <v>5.4181942316848808E-3</v>
      </c>
    </row>
    <row r="671" spans="1:10" x14ac:dyDescent="0.2">
      <c r="A671" s="2">
        <v>45169</v>
      </c>
      <c r="B671" s="4">
        <f>(Raw_Stock_Data!B671/Raw_Stock_Data!B670)-1</f>
        <v>1.1850319689306055E-3</v>
      </c>
      <c r="C671" s="4">
        <f>(Raw_Stock_Data!C671/Raw_Stock_Data!C670)-1</f>
        <v>-3.131831691680298E-3</v>
      </c>
      <c r="D671" s="4">
        <f>(Raw_Stock_Data!D671/Raw_Stock_Data!D670)-1</f>
        <v>1.845996381115933E-3</v>
      </c>
      <c r="E671" s="4">
        <f>(Raw_Stock_Data!E671/Raw_Stock_Data!E670)-1</f>
        <v>-8.1621165212496516E-3</v>
      </c>
      <c r="F671" s="4">
        <f>(Raw_Stock_Data!F671/Raw_Stock_Data!F670)-1</f>
        <v>2.1766491448878433E-2</v>
      </c>
      <c r="G671" s="4">
        <f>(Raw_Stock_Data!G671/Raw_Stock_Data!G670)-1</f>
        <v>4.5932269365511758E-3</v>
      </c>
      <c r="H671" s="4">
        <f>(Raw_Stock_Data!H671/Raw_Stock_Data!H670)-1</f>
        <v>2.1419760837291246E-3</v>
      </c>
      <c r="I671" s="4">
        <f>(Raw_Stock_Data!I671/Raw_Stock_Data!I670)-1</f>
        <v>2.6770586241950944E-3</v>
      </c>
      <c r="J671" s="4">
        <f>(Raw_Stock_Data!J671/Raw_Stock_Data!J670)-1</f>
        <v>1.1170307240513377E-3</v>
      </c>
    </row>
    <row r="672" spans="1:10" x14ac:dyDescent="0.2">
      <c r="A672" s="2">
        <v>45170</v>
      </c>
      <c r="B672" s="4">
        <f>(Raw_Stock_Data!B672/Raw_Stock_Data!B671)-1</f>
        <v>8.4575695785742422E-3</v>
      </c>
      <c r="C672" s="4">
        <f>(Raw_Stock_Data!C672/Raw_Stock_Data!C671)-1</f>
        <v>2.7474219818399703E-3</v>
      </c>
      <c r="D672" s="4">
        <f>(Raw_Stock_Data!D672/Raw_Stock_Data!D671)-1</f>
        <v>-1.7140795336146875E-2</v>
      </c>
      <c r="E672" s="4">
        <f>(Raw_Stock_Data!E672/Raw_Stock_Data!E671)-1</f>
        <v>3.5281876655316013E-2</v>
      </c>
      <c r="F672" s="4">
        <f>(Raw_Stock_Data!F672/Raw_Stock_Data!F671)-1</f>
        <v>7.970436924862323E-4</v>
      </c>
      <c r="G672" s="4">
        <f>(Raw_Stock_Data!G672/Raw_Stock_Data!G671)-1</f>
        <v>-5.0643211407315536E-2</v>
      </c>
      <c r="H672" s="4">
        <f>(Raw_Stock_Data!H672/Raw_Stock_Data!H671)-1</f>
        <v>-3.7588720435733913E-3</v>
      </c>
      <c r="I672" s="4">
        <f>(Raw_Stock_Data!I672/Raw_Stock_Data!I671)-1</f>
        <v>1.6560208185474323E-3</v>
      </c>
      <c r="J672" s="4">
        <f>(Raw_Stock_Data!J672/Raw_Stock_Data!J671)-1</f>
        <v>-2.2515188846150558E-4</v>
      </c>
    </row>
    <row r="673" spans="1:10" x14ac:dyDescent="0.2">
      <c r="A673" s="2">
        <v>45174</v>
      </c>
      <c r="B673" s="4">
        <f>(Raw_Stock_Data!B673/Raw_Stock_Data!B672)-1</f>
        <v>1.2697328759450066E-3</v>
      </c>
      <c r="C673" s="4">
        <f>(Raw_Stock_Data!C673/Raw_Stock_Data!C672)-1</f>
        <v>1.4878977761395795E-2</v>
      </c>
      <c r="D673" s="4">
        <f>(Raw_Stock_Data!D673/Raw_Stock_Data!D672)-1</f>
        <v>8.0227689896261722E-4</v>
      </c>
      <c r="E673" s="4">
        <f>(Raw_Stock_Data!E673/Raw_Stock_Data!E672)-1</f>
        <v>1.2151667428049295E-2</v>
      </c>
      <c r="F673" s="4">
        <f>(Raw_Stock_Data!F673/Raw_Stock_Data!F672)-1</f>
        <v>-6.1540689255719094E-3</v>
      </c>
      <c r="G673" s="4">
        <f>(Raw_Stock_Data!G673/Raw_Stock_Data!G672)-1</f>
        <v>4.6855230398759273E-2</v>
      </c>
      <c r="H673" s="4">
        <f>(Raw_Stock_Data!H673/Raw_Stock_Data!H672)-1</f>
        <v>8.1379606270659544E-4</v>
      </c>
      <c r="I673" s="4">
        <f>(Raw_Stock_Data!I673/Raw_Stock_Data!I672)-1</f>
        <v>1.2720156555772855E-2</v>
      </c>
      <c r="J673" s="4">
        <f>(Raw_Stock_Data!J673/Raw_Stock_Data!J672)-1</f>
        <v>-7.7395574769034692E-4</v>
      </c>
    </row>
    <row r="674" spans="1:10" x14ac:dyDescent="0.2">
      <c r="A674" s="2">
        <v>45175</v>
      </c>
      <c r="B674" s="4">
        <f>(Raw_Stock_Data!B674/Raw_Stock_Data!B673)-1</f>
        <v>-3.5805817379674809E-2</v>
      </c>
      <c r="C674" s="4">
        <f>(Raw_Stock_Data!C674/Raw_Stock_Data!C673)-1</f>
        <v>-2.0096608999891075E-3</v>
      </c>
      <c r="D674" s="4">
        <f>(Raw_Stock_Data!D674/Raw_Stock_Data!D673)-1</f>
        <v>-3.0546574097543799E-2</v>
      </c>
      <c r="E674" s="4">
        <f>(Raw_Stock_Data!E674/Raw_Stock_Data!E673)-1</f>
        <v>-1.3540350243726351E-2</v>
      </c>
      <c r="F674" s="4">
        <f>(Raw_Stock_Data!F674/Raw_Stock_Data!F673)-1</f>
        <v>-1.3914183725504459E-2</v>
      </c>
      <c r="G674" s="4">
        <f>(Raw_Stock_Data!G674/Raw_Stock_Data!G673)-1</f>
        <v>-1.7817458770322481E-2</v>
      </c>
      <c r="H674" s="4">
        <f>(Raw_Stock_Data!H674/Raw_Stock_Data!H673)-1</f>
        <v>-9.6467300911450282E-3</v>
      </c>
      <c r="I674" s="4">
        <f>(Raw_Stock_Data!I674/Raw_Stock_Data!I673)-1</f>
        <v>-3.2650341495917834E-3</v>
      </c>
      <c r="J674" s="4">
        <f>(Raw_Stock_Data!J674/Raw_Stock_Data!J673)-1</f>
        <v>-1.0589867305710432E-2</v>
      </c>
    </row>
    <row r="675" spans="1:10" x14ac:dyDescent="0.2">
      <c r="A675" s="2">
        <v>45176</v>
      </c>
      <c r="B675" s="4">
        <f>(Raw_Stock_Data!B675/Raw_Stock_Data!B674)-1</f>
        <v>-2.92441934360822E-2</v>
      </c>
      <c r="C675" s="4">
        <f>(Raw_Stock_Data!C675/Raw_Stock_Data!C674)-1</f>
        <v>-8.922181112391625E-3</v>
      </c>
      <c r="D675" s="4">
        <f>(Raw_Stock_Data!D675/Raw_Stock_Data!D674)-1</f>
        <v>-1.7428513123995515E-2</v>
      </c>
      <c r="E675" s="4">
        <f>(Raw_Stock_Data!E675/Raw_Stock_Data!E674)-1</f>
        <v>-2.4615666178623652E-2</v>
      </c>
      <c r="F675" s="4">
        <f>(Raw_Stock_Data!F675/Raw_Stock_Data!F674)-1</f>
        <v>1.8395390070921946E-2</v>
      </c>
      <c r="G675" s="4">
        <f>(Raw_Stock_Data!G675/Raw_Stock_Data!G674)-1</f>
        <v>-1.7068910765321021E-3</v>
      </c>
      <c r="H675" s="4">
        <f>(Raw_Stock_Data!H675/Raw_Stock_Data!H674)-1</f>
        <v>5.956379596041117E-3</v>
      </c>
      <c r="I675" s="4">
        <f>(Raw_Stock_Data!I675/Raw_Stock_Data!I674)-1</f>
        <v>-1.6712905705785763E-3</v>
      </c>
      <c r="J675" s="4">
        <f>(Raw_Stock_Data!J675/Raw_Stock_Data!J674)-1</f>
        <v>-8.9126161382939717E-3</v>
      </c>
    </row>
    <row r="676" spans="1:10" x14ac:dyDescent="0.2">
      <c r="A676" s="2">
        <v>45177</v>
      </c>
      <c r="B676" s="4">
        <f>(Raw_Stock_Data!B676/Raw_Stock_Data!B675)-1</f>
        <v>3.4952495346309842E-3</v>
      </c>
      <c r="C676" s="4">
        <f>(Raw_Stock_Data!C676/Raw_Stock_Data!C675)-1</f>
        <v>1.3213055159456255E-2</v>
      </c>
      <c r="D676" s="4">
        <f>(Raw_Stock_Data!D676/Raw_Stock_Data!D675)-1</f>
        <v>-1.4462278008900209E-2</v>
      </c>
      <c r="E676" s="4">
        <f>(Raw_Stock_Data!E676/Raw_Stock_Data!E675)-1</f>
        <v>-4.6908715639365495E-3</v>
      </c>
      <c r="F676" s="4">
        <f>(Raw_Stock_Data!F676/Raw_Stock_Data!F675)-1</f>
        <v>2.7566195139643312E-3</v>
      </c>
      <c r="G676" s="4">
        <f>(Raw_Stock_Data!G676/Raw_Stock_Data!G675)-1</f>
        <v>-1.1889140721301095E-2</v>
      </c>
      <c r="H676" s="4">
        <f>(Raw_Stock_Data!H676/Raw_Stock_Data!H675)-1</f>
        <v>8.2732318285698714E-3</v>
      </c>
      <c r="I676" s="4">
        <f>(Raw_Stock_Data!I676/Raw_Stock_Data!I675)-1</f>
        <v>-2.6115779957813778E-3</v>
      </c>
      <c r="J676" s="4">
        <f>(Raw_Stock_Data!J676/Raw_Stock_Data!J675)-1</f>
        <v>9.2371496338228276E-4</v>
      </c>
    </row>
    <row r="677" spans="1:10" x14ac:dyDescent="0.2">
      <c r="A677" s="2">
        <v>45180</v>
      </c>
      <c r="B677" s="4">
        <f>(Raw_Stock_Data!B677/Raw_Stock_Data!B676)-1</f>
        <v>6.6201122072147012E-3</v>
      </c>
      <c r="C677" s="4">
        <f>(Raw_Stock_Data!C677/Raw_Stock_Data!C676)-1</f>
        <v>1.0978025827806492E-2</v>
      </c>
      <c r="D677" s="4">
        <f>(Raw_Stock_Data!D677/Raw_Stock_Data!D676)-1</f>
        <v>-8.6488479910086236E-3</v>
      </c>
      <c r="E677" s="4">
        <f>(Raw_Stock_Data!E677/Raw_Stock_Data!E676)-1</f>
        <v>-7.2579885003299927E-3</v>
      </c>
      <c r="F677" s="4">
        <f>(Raw_Stock_Data!F677/Raw_Stock_Data!F676)-1</f>
        <v>3.5231136511611139E-2</v>
      </c>
      <c r="G677" s="4">
        <f>(Raw_Stock_Data!G677/Raw_Stock_Data!G676)-1</f>
        <v>0.10092555331991937</v>
      </c>
      <c r="H677" s="4">
        <f>(Raw_Stock_Data!H677/Raw_Stock_Data!H676)-1</f>
        <v>3.9665310147400934E-3</v>
      </c>
      <c r="I677" s="4">
        <f>(Raw_Stock_Data!I677/Raw_Stock_Data!I676)-1</f>
        <v>3.2461646916647213E-2</v>
      </c>
      <c r="J677" s="4">
        <f>(Raw_Stock_Data!J677/Raw_Stock_Data!J676)-1</f>
        <v>1.1362108719015884E-2</v>
      </c>
    </row>
    <row r="678" spans="1:10" x14ac:dyDescent="0.2">
      <c r="A678" s="2">
        <v>45181</v>
      </c>
      <c r="B678" s="4">
        <f>(Raw_Stock_Data!B678/Raw_Stock_Data!B677)-1</f>
        <v>-1.705288309814712E-2</v>
      </c>
      <c r="C678" s="4">
        <f>(Raw_Stock_Data!C678/Raw_Stock_Data!C677)-1</f>
        <v>-1.8255359954115091E-2</v>
      </c>
      <c r="D678" s="4">
        <f>(Raw_Stock_Data!D678/Raw_Stock_Data!D677)-1</f>
        <v>-6.8155850597415579E-3</v>
      </c>
      <c r="E678" s="4">
        <f>(Raw_Stock_Data!E678/Raw_Stock_Data!E677)-1</f>
        <v>-9.4948727687005352E-5</v>
      </c>
      <c r="F678" s="4">
        <f>(Raw_Stock_Data!F678/Raw_Stock_Data!F677)-1</f>
        <v>-1.3067784765897983E-2</v>
      </c>
      <c r="G678" s="4">
        <f>(Raw_Stock_Data!G678/Raw_Stock_Data!G677)-1</f>
        <v>-2.229695153154454E-2</v>
      </c>
      <c r="H678" s="4">
        <f>(Raw_Stock_Data!H678/Raw_Stock_Data!H677)-1</f>
        <v>-1.1544720214621718E-2</v>
      </c>
      <c r="I678" s="4">
        <f>(Raw_Stock_Data!I678/Raw_Stock_Data!I677)-1</f>
        <v>-1.9183248796982633E-2</v>
      </c>
      <c r="J678" s="4">
        <f>(Raw_Stock_Data!J678/Raw_Stock_Data!J677)-1</f>
        <v>-1.0365076890247016E-2</v>
      </c>
    </row>
    <row r="679" spans="1:10" x14ac:dyDescent="0.2">
      <c r="A679" s="2">
        <v>45182</v>
      </c>
      <c r="B679" s="4">
        <f>(Raw_Stock_Data!B679/Raw_Stock_Data!B678)-1</f>
        <v>-1.1856302530643958E-2</v>
      </c>
      <c r="C679" s="4">
        <f>(Raw_Stock_Data!C679/Raw_Stock_Data!C678)-1</f>
        <v>1.2932083739045863E-2</v>
      </c>
      <c r="D679" s="4">
        <f>(Raw_Stock_Data!D679/Raw_Stock_Data!D678)-1</f>
        <v>1.3706876178840366E-2</v>
      </c>
      <c r="E679" s="4">
        <f>(Raw_Stock_Data!E679/Raw_Stock_Data!E678)-1</f>
        <v>2.2789858512961558E-2</v>
      </c>
      <c r="F679" s="4">
        <f>(Raw_Stock_Data!F679/Raw_Stock_Data!F678)-1</f>
        <v>2.5631947886426421E-2</v>
      </c>
      <c r="G679" s="4">
        <f>(Raw_Stock_Data!G679/Raw_Stock_Data!G678)-1</f>
        <v>1.4281441603110512E-2</v>
      </c>
      <c r="H679" s="4">
        <f>(Raw_Stock_Data!H679/Raw_Stock_Data!H678)-1</f>
        <v>1.0122283112472319E-2</v>
      </c>
      <c r="I679" s="4">
        <f>(Raw_Stock_Data!I679/Raw_Stock_Data!I678)-1</f>
        <v>1.1270967314194635E-2</v>
      </c>
      <c r="J679" s="4">
        <f>(Raw_Stock_Data!J679/Raw_Stock_Data!J678)-1</f>
        <v>2.9004699559955771E-3</v>
      </c>
    </row>
    <row r="680" spans="1:10" x14ac:dyDescent="0.2">
      <c r="A680" s="2">
        <v>45183</v>
      </c>
      <c r="B680" s="4">
        <f>(Raw_Stock_Data!B680/Raw_Stock_Data!B679)-1</f>
        <v>8.7784443645053667E-3</v>
      </c>
      <c r="C680" s="4">
        <f>(Raw_Stock_Data!C680/Raw_Stock_Data!C679)-1</f>
        <v>7.8554477455015093E-3</v>
      </c>
      <c r="D680" s="4">
        <f>(Raw_Stock_Data!D680/Raw_Stock_Data!D679)-1</f>
        <v>2.1113657457298984E-3</v>
      </c>
      <c r="E680" s="4">
        <f>(Raw_Stock_Data!E680/Raw_Stock_Data!E679)-1</f>
        <v>-1.0026924148175631E-2</v>
      </c>
      <c r="F680" s="4">
        <f>(Raw_Stock_Data!F680/Raw_Stock_Data!F679)-1</f>
        <v>-8.9748015188118035E-4</v>
      </c>
      <c r="G680" s="4">
        <f>(Raw_Stock_Data!G680/Raw_Stock_Data!G679)-1</f>
        <v>1.7471433837080719E-2</v>
      </c>
      <c r="H680" s="4">
        <f>(Raw_Stock_Data!H680/Raw_Stock_Data!H679)-1</f>
        <v>1.0167674869325127E-2</v>
      </c>
      <c r="I680" s="4">
        <f>(Raw_Stock_Data!I680/Raw_Stock_Data!I679)-1</f>
        <v>2.1831770799187078E-2</v>
      </c>
      <c r="J680" s="4">
        <f>(Raw_Stock_Data!J680/Raw_Stock_Data!J679)-1</f>
        <v>8.1419878119937117E-3</v>
      </c>
    </row>
    <row r="681" spans="1:10" x14ac:dyDescent="0.2">
      <c r="A681" s="2">
        <v>45184</v>
      </c>
      <c r="B681" s="4">
        <f>(Raw_Stock_Data!B681/Raw_Stock_Data!B680)-1</f>
        <v>-4.1583509234068838E-3</v>
      </c>
      <c r="C681" s="4">
        <f>(Raw_Stock_Data!C681/Raw_Stock_Data!C680)-1</f>
        <v>-2.5036884696204131E-2</v>
      </c>
      <c r="D681" s="4">
        <f>(Raw_Stock_Data!D681/Raw_Stock_Data!D680)-1</f>
        <v>-3.6884220506450238E-2</v>
      </c>
      <c r="E681" s="4">
        <f>(Raw_Stock_Data!E681/Raw_Stock_Data!E680)-1</f>
        <v>-4.8204070149113765E-2</v>
      </c>
      <c r="F681" s="4">
        <f>(Raw_Stock_Data!F681/Raw_Stock_Data!F680)-1</f>
        <v>-2.9919845218352781E-2</v>
      </c>
      <c r="G681" s="4">
        <f>(Raw_Stock_Data!G681/Raw_Stock_Data!G680)-1</f>
        <v>-5.9773945804957318E-3</v>
      </c>
      <c r="H681" s="4">
        <f>(Raw_Stock_Data!H681/Raw_Stock_Data!H680)-1</f>
        <v>-5.0726375535061763E-3</v>
      </c>
      <c r="I681" s="4">
        <f>(Raw_Stock_Data!I681/Raw_Stock_Data!I680)-1</f>
        <v>-3.6603361991530914E-2</v>
      </c>
      <c r="J681" s="4">
        <f>(Raw_Stock_Data!J681/Raw_Stock_Data!J680)-1</f>
        <v>-1.563400964379702E-2</v>
      </c>
    </row>
    <row r="682" spans="1:10" x14ac:dyDescent="0.2">
      <c r="A682" s="2">
        <v>45187</v>
      </c>
      <c r="B682" s="4">
        <f>(Raw_Stock_Data!B682/Raw_Stock_Data!B681)-1</f>
        <v>1.6916555006237566E-2</v>
      </c>
      <c r="C682" s="4">
        <f>(Raw_Stock_Data!C682/Raw_Stock_Data!C681)-1</f>
        <v>-3.5126335580317747E-3</v>
      </c>
      <c r="D682" s="4">
        <f>(Raw_Stock_Data!D682/Raw_Stock_Data!D681)-1</f>
        <v>1.5039787073074518E-3</v>
      </c>
      <c r="E682" s="4">
        <f>(Raw_Stock_Data!E682/Raw_Stock_Data!E681)-1</f>
        <v>8.6708050054193908E-3</v>
      </c>
      <c r="F682" s="4">
        <f>(Raw_Stock_Data!F682/Raw_Stock_Data!F681)-1</f>
        <v>-2.9204359284848991E-3</v>
      </c>
      <c r="G682" s="4">
        <f>(Raw_Stock_Data!G682/Raw_Stock_Data!G681)-1</f>
        <v>-3.3200918400816404E-2</v>
      </c>
      <c r="H682" s="4">
        <f>(Raw_Stock_Data!H682/Raw_Stock_Data!H681)-1</f>
        <v>5.9019889995106656E-3</v>
      </c>
      <c r="I682" s="4">
        <f>(Raw_Stock_Data!I682/Raw_Stock_Data!I681)-1</f>
        <v>7.4589590756219959E-3</v>
      </c>
      <c r="J682" s="4">
        <f>(Raw_Stock_Data!J682/Raw_Stock_Data!J681)-1</f>
        <v>1.3933134087085186E-4</v>
      </c>
    </row>
    <row r="683" spans="1:10" x14ac:dyDescent="0.2">
      <c r="A683" s="2">
        <v>45188</v>
      </c>
      <c r="B683" s="4">
        <f>(Raw_Stock_Data!B683/Raw_Stock_Data!B682)-1</f>
        <v>6.1792551952883912E-3</v>
      </c>
      <c r="C683" s="4">
        <f>(Raw_Stock_Data!C683/Raw_Stock_Data!C682)-1</f>
        <v>-1.2455668863282643E-3</v>
      </c>
      <c r="D683" s="4">
        <f>(Raw_Stock_Data!D683/Raw_Stock_Data!D682)-1</f>
        <v>-1.0141161694304235E-2</v>
      </c>
      <c r="E683" s="4">
        <f>(Raw_Stock_Data!E683/Raw_Stock_Data!E682)-1</f>
        <v>-7.4240500146527388E-3</v>
      </c>
      <c r="F683" s="4">
        <f>(Raw_Stock_Data!F683/Raw_Stock_Data!F682)-1</f>
        <v>-1.6788112587512449E-2</v>
      </c>
      <c r="G683" s="4">
        <f>(Raw_Stock_Data!G683/Raw_Stock_Data!G682)-1</f>
        <v>4.5989143546443234E-3</v>
      </c>
      <c r="H683" s="4">
        <f>(Raw_Stock_Data!H683/Raw_Stock_Data!H682)-1</f>
        <v>-1.2344692871304463E-3</v>
      </c>
      <c r="I683" s="4">
        <f>(Raw_Stock_Data!I683/Raw_Stock_Data!I682)-1</f>
        <v>8.3292017848288769E-3</v>
      </c>
      <c r="J683" s="4">
        <f>(Raw_Stock_Data!J683/Raw_Stock_Data!J682)-1</f>
        <v>-2.3376687789563588E-3</v>
      </c>
    </row>
    <row r="684" spans="1:10" x14ac:dyDescent="0.2">
      <c r="A684" s="2">
        <v>45189</v>
      </c>
      <c r="B684" s="4">
        <f>(Raw_Stock_Data!B684/Raw_Stock_Data!B683)-1</f>
        <v>-1.9987469025349758E-2</v>
      </c>
      <c r="C684" s="4">
        <f>(Raw_Stock_Data!C684/Raw_Stock_Data!C683)-1</f>
        <v>-2.3977883581630999E-2</v>
      </c>
      <c r="D684" s="4">
        <f>(Raw_Stock_Data!D684/Raw_Stock_Data!D683)-1</f>
        <v>-2.9436441330547347E-2</v>
      </c>
      <c r="E684" s="4">
        <f>(Raw_Stock_Data!E684/Raw_Stock_Data!E683)-1</f>
        <v>-1.2498769806121413E-2</v>
      </c>
      <c r="F684" s="4">
        <f>(Raw_Stock_Data!F684/Raw_Stock_Data!F683)-1</f>
        <v>-1.7002107098743058E-2</v>
      </c>
      <c r="G684" s="4">
        <f>(Raw_Stock_Data!G684/Raw_Stock_Data!G683)-1</f>
        <v>-1.4671669793621112E-2</v>
      </c>
      <c r="H684" s="4">
        <f>(Raw_Stock_Data!H684/Raw_Stock_Data!H683)-1</f>
        <v>-3.1147076144567798E-2</v>
      </c>
      <c r="I684" s="4">
        <f>(Raw_Stock_Data!I684/Raw_Stock_Data!I683)-1</f>
        <v>-1.7700855541351146E-2</v>
      </c>
      <c r="J684" s="4">
        <f>(Raw_Stock_Data!J684/Raw_Stock_Data!J683)-1</f>
        <v>-1.5284185992444965E-2</v>
      </c>
    </row>
    <row r="685" spans="1:10" x14ac:dyDescent="0.2">
      <c r="A685" s="2">
        <v>45190</v>
      </c>
      <c r="B685" s="4">
        <f>(Raw_Stock_Data!B685/Raw_Stock_Data!B684)-1</f>
        <v>-8.8872249740813425E-3</v>
      </c>
      <c r="C685" s="4">
        <f>(Raw_Stock_Data!C685/Raw_Stock_Data!C684)-1</f>
        <v>-3.867893650234322E-3</v>
      </c>
      <c r="D685" s="4">
        <f>(Raw_Stock_Data!D685/Raw_Stock_Data!D684)-1</f>
        <v>-2.8929524693711794E-2</v>
      </c>
      <c r="E685" s="4">
        <f>(Raw_Stock_Data!E685/Raw_Stock_Data!E684)-1</f>
        <v>-4.2156667331074371E-2</v>
      </c>
      <c r="F685" s="4">
        <f>(Raw_Stock_Data!F685/Raw_Stock_Data!F684)-1</f>
        <v>-4.4053514672185545E-2</v>
      </c>
      <c r="G685" s="4">
        <f>(Raw_Stock_Data!G685/Raw_Stock_Data!G684)-1</f>
        <v>-2.6238622948322465E-2</v>
      </c>
      <c r="H685" s="4">
        <f>(Raw_Stock_Data!H685/Raw_Stock_Data!H684)-1</f>
        <v>-2.4681630233308716E-2</v>
      </c>
      <c r="I685" s="4">
        <f>(Raw_Stock_Data!I685/Raw_Stock_Data!I684)-1</f>
        <v>-1.3147795908833082E-2</v>
      </c>
      <c r="J685" s="4">
        <f>(Raw_Stock_Data!J685/Raw_Stock_Data!J684)-1</f>
        <v>-1.82001361632117E-2</v>
      </c>
    </row>
    <row r="686" spans="1:10" x14ac:dyDescent="0.2">
      <c r="A686" s="2">
        <v>45191</v>
      </c>
      <c r="B686" s="4">
        <f>(Raw_Stock_Data!B686/Raw_Stock_Data!B685)-1</f>
        <v>4.9454604624674658E-3</v>
      </c>
      <c r="C686" s="4">
        <f>(Raw_Stock_Data!C686/Raw_Stock_Data!C685)-1</f>
        <v>-7.8858821856783168E-3</v>
      </c>
      <c r="D686" s="4">
        <f>(Raw_Stock_Data!D686/Raw_Stock_Data!D685)-1</f>
        <v>1.445302401357984E-2</v>
      </c>
      <c r="E686" s="4">
        <f>(Raw_Stock_Data!E686/Raw_Stock_Data!E685)-1</f>
        <v>9.3642701071683376E-4</v>
      </c>
      <c r="F686" s="4">
        <f>(Raw_Stock_Data!F686/Raw_Stock_Data!F685)-1</f>
        <v>-1.6237531895152424E-3</v>
      </c>
      <c r="G686" s="4">
        <f>(Raw_Stock_Data!G686/Raw_Stock_Data!G685)-1</f>
        <v>-4.2315213140398877E-2</v>
      </c>
      <c r="H686" s="4">
        <f>(Raw_Stock_Data!H686/Raw_Stock_Data!H685)-1</f>
        <v>-1.4465099101316214E-3</v>
      </c>
      <c r="I686" s="4">
        <f>(Raw_Stock_Data!I686/Raw_Stock_Data!I685)-1</f>
        <v>1.1327900449734418E-2</v>
      </c>
      <c r="J686" s="4">
        <f>(Raw_Stock_Data!J686/Raw_Stock_Data!J685)-1</f>
        <v>-9.2105332808023466E-4</v>
      </c>
    </row>
    <row r="687" spans="1:10" x14ac:dyDescent="0.2">
      <c r="A687" s="2">
        <v>45194</v>
      </c>
      <c r="B687" s="4">
        <f>(Raw_Stock_Data!B687/Raw_Stock_Data!B686)-1</f>
        <v>7.3672279792746931E-3</v>
      </c>
      <c r="C687" s="4">
        <f>(Raw_Stock_Data!C687/Raw_Stock_Data!C686)-1</f>
        <v>1.6718733579814682E-3</v>
      </c>
      <c r="D687" s="4">
        <f>(Raw_Stock_Data!D687/Raw_Stock_Data!D686)-1</f>
        <v>1.4711114957782767E-2</v>
      </c>
      <c r="E687" s="4">
        <f>(Raw_Stock_Data!E687/Raw_Stock_Data!E686)-1</f>
        <v>1.2266112266112295E-2</v>
      </c>
      <c r="F687" s="4">
        <f>(Raw_Stock_Data!F687/Raw_Stock_Data!F686)-1</f>
        <v>1.6651177199504374E-2</v>
      </c>
      <c r="G687" s="4">
        <f>(Raw_Stock_Data!G687/Raw_Stock_Data!G686)-1</f>
        <v>8.6164652074485204E-3</v>
      </c>
      <c r="H687" s="4">
        <f>(Raw_Stock_Data!H687/Raw_Stock_Data!H686)-1</f>
        <v>6.5957774695637461E-3</v>
      </c>
      <c r="I687" s="4">
        <f>(Raw_Stock_Data!I687/Raw_Stock_Data!I686)-1</f>
        <v>5.8512772502341548E-3</v>
      </c>
      <c r="J687" s="4">
        <f>(Raw_Stock_Data!J687/Raw_Stock_Data!J686)-1</f>
        <v>4.5043033467784266E-3</v>
      </c>
    </row>
    <row r="688" spans="1:10" x14ac:dyDescent="0.2">
      <c r="A688" s="2">
        <v>45195</v>
      </c>
      <c r="B688" s="4">
        <f>(Raw_Stock_Data!B688/Raw_Stock_Data!B687)-1</f>
        <v>-2.3392383554723728E-2</v>
      </c>
      <c r="C688" s="4">
        <f>(Raw_Stock_Data!C688/Raw_Stock_Data!C687)-1</f>
        <v>-1.7002390762500541E-2</v>
      </c>
      <c r="D688" s="4">
        <f>(Raw_Stock_Data!D688/Raw_Stock_Data!D687)-1</f>
        <v>-7.3661988850004523E-3</v>
      </c>
      <c r="E688" s="4">
        <f>(Raw_Stock_Data!E688/Raw_Stock_Data!E687)-1</f>
        <v>-1.4582049702197564E-2</v>
      </c>
      <c r="F688" s="4">
        <f>(Raw_Stock_Data!F688/Raw_Stock_Data!F687)-1</f>
        <v>-4.0298621162489612E-2</v>
      </c>
      <c r="G688" s="4">
        <f>(Raw_Stock_Data!G688/Raw_Stock_Data!G687)-1</f>
        <v>-1.1619903639823459E-2</v>
      </c>
      <c r="H688" s="4">
        <f>(Raw_Stock_Data!H688/Raw_Stock_Data!H687)-1</f>
        <v>-1.9405064453902443E-2</v>
      </c>
      <c r="I688" s="4">
        <f>(Raw_Stock_Data!I688/Raw_Stock_Data!I687)-1</f>
        <v>-6.2161353588405799E-3</v>
      </c>
      <c r="J688" s="4">
        <f>(Raw_Stock_Data!J688/Raw_Stock_Data!J687)-1</f>
        <v>-1.5651043000997622E-2</v>
      </c>
    </row>
    <row r="689" spans="1:10" x14ac:dyDescent="0.2">
      <c r="A689" s="2">
        <v>45196</v>
      </c>
      <c r="B689" s="4">
        <f>(Raw_Stock_Data!B689/Raw_Stock_Data!B688)-1</f>
        <v>-8.8933561398250038E-3</v>
      </c>
      <c r="C689" s="4">
        <f>(Raw_Stock_Data!C689/Raw_Stock_Data!C688)-1</f>
        <v>2.0795870580472275E-3</v>
      </c>
      <c r="D689" s="4">
        <f>(Raw_Stock_Data!D689/Raw_Stock_Data!D688)-1</f>
        <v>1.3292628785021687E-2</v>
      </c>
      <c r="E689" s="4">
        <f>(Raw_Stock_Data!E689/Raw_Stock_Data!E688)-1</f>
        <v>2.1988328470195828E-2</v>
      </c>
      <c r="F689" s="4">
        <f>(Raw_Stock_Data!F689/Raw_Stock_Data!F688)-1</f>
        <v>0</v>
      </c>
      <c r="G689" s="4">
        <f>(Raw_Stock_Data!G689/Raw_Stock_Data!G688)-1</f>
        <v>-1.4828772734720608E-2</v>
      </c>
      <c r="H689" s="4">
        <f>(Raw_Stock_Data!H689/Raw_Stock_Data!H688)-1</f>
        <v>1.5355071388982289E-2</v>
      </c>
      <c r="I689" s="4">
        <f>(Raw_Stock_Data!I689/Raw_Stock_Data!I688)-1</f>
        <v>-4.0808134867539314E-3</v>
      </c>
      <c r="J689" s="4">
        <f>(Raw_Stock_Data!J689/Raw_Stock_Data!J688)-1</f>
        <v>2.2382786993793147E-3</v>
      </c>
    </row>
    <row r="690" spans="1:10" x14ac:dyDescent="0.2">
      <c r="A690" s="2">
        <v>45197</v>
      </c>
      <c r="B690" s="4">
        <f>(Raw_Stock_Data!B690/Raw_Stock_Data!B689)-1</f>
        <v>1.5123299370158882E-3</v>
      </c>
      <c r="C690" s="4">
        <f>(Raw_Stock_Data!C690/Raw_Stock_Data!C689)-1</f>
        <v>2.7175404000141512E-3</v>
      </c>
      <c r="D690" s="4">
        <f>(Raw_Stock_Data!D690/Raw_Stock_Data!D689)-1</f>
        <v>1.4621115934825735E-2</v>
      </c>
      <c r="E690" s="4">
        <f>(Raw_Stock_Data!E690/Raw_Stock_Data!E689)-1</f>
        <v>4.7822983583154954E-2</v>
      </c>
      <c r="F690" s="4">
        <f>(Raw_Stock_Data!F690/Raw_Stock_Data!F689)-1</f>
        <v>0</v>
      </c>
      <c r="G690" s="4">
        <f>(Raw_Stock_Data!G690/Raw_Stock_Data!G689)-1</f>
        <v>2.4449064449064473E-2</v>
      </c>
      <c r="H690" s="4">
        <f>(Raw_Stock_Data!H690/Raw_Stock_Data!H689)-1</f>
        <v>1.356213672848039E-2</v>
      </c>
      <c r="I690" s="4">
        <f>(Raw_Stock_Data!I690/Raw_Stock_Data!I689)-1</f>
        <v>2.0890710015449621E-2</v>
      </c>
      <c r="J690" s="4">
        <f>(Raw_Stock_Data!J690/Raw_Stock_Data!J689)-1</f>
        <v>8.2816193571300101E-3</v>
      </c>
    </row>
    <row r="691" spans="1:10" x14ac:dyDescent="0.2">
      <c r="A691" s="2">
        <v>45198</v>
      </c>
      <c r="B691" s="4">
        <f>(Raw_Stock_Data!B691/Raw_Stock_Data!B690)-1</f>
        <v>3.0615447477038149E-3</v>
      </c>
      <c r="C691" s="4">
        <f>(Raw_Stock_Data!C691/Raw_Stock_Data!C690)-1</f>
        <v>6.7271574380152188E-3</v>
      </c>
      <c r="D691" s="4">
        <f>(Raw_Stock_Data!D691/Raw_Stock_Data!D690)-1</f>
        <v>9.5164023866458614E-3</v>
      </c>
      <c r="E691" s="4">
        <f>(Raw_Stock_Data!E691/Raw_Stock_Data!E690)-1</f>
        <v>5.8388478006987654E-4</v>
      </c>
      <c r="F691" s="4">
        <f>(Raw_Stock_Data!F691/Raw_Stock_Data!F690)-1</f>
        <v>9.0490554056199546E-3</v>
      </c>
      <c r="G691" s="4">
        <f>(Raw_Stock_Data!G691/Raw_Stock_Data!G690)-1</f>
        <v>1.5585680655897383E-2</v>
      </c>
      <c r="H691" s="4">
        <f>(Raw_Stock_Data!H691/Raw_Stock_Data!H690)-1</f>
        <v>-1.0953334546999094E-2</v>
      </c>
      <c r="I691" s="4">
        <f>(Raw_Stock_Data!I691/Raw_Stock_Data!I690)-1</f>
        <v>-1.2337149624950694E-2</v>
      </c>
      <c r="J691" s="4">
        <f>(Raw_Stock_Data!J691/Raw_Stock_Data!J690)-1</f>
        <v>1.3665341542636877E-3</v>
      </c>
    </row>
    <row r="692" spans="1:10" x14ac:dyDescent="0.2">
      <c r="A692" s="2">
        <v>45201</v>
      </c>
      <c r="B692" s="4">
        <f>(Raw_Stock_Data!B692/Raw_Stock_Data!B691)-1</f>
        <v>1.4824129503028471E-2</v>
      </c>
      <c r="C692" s="4">
        <f>(Raw_Stock_Data!C692/Raw_Stock_Data!C691)-1</f>
        <v>1.9160983595026382E-2</v>
      </c>
      <c r="D692" s="4">
        <f>(Raw_Stock_Data!D692/Raw_Stock_Data!D691)-1</f>
        <v>2.9494352952539993E-2</v>
      </c>
      <c r="E692" s="4">
        <f>(Raw_Stock_Data!E692/Raw_Stock_Data!E691)-1</f>
        <v>4.376580431822541E-3</v>
      </c>
      <c r="F692" s="4">
        <f>(Raw_Stock_Data!F692/Raw_Stock_Data!F691)-1</f>
        <v>1.8407803650094534E-2</v>
      </c>
      <c r="G692" s="4">
        <f>(Raw_Stock_Data!G692/Raw_Stock_Data!G691)-1</f>
        <v>5.5151466709295605E-3</v>
      </c>
      <c r="H692" s="4">
        <f>(Raw_Stock_Data!H692/Raw_Stock_Data!H691)-1</f>
        <v>2.528606927017818E-2</v>
      </c>
      <c r="I692" s="4">
        <f>(Raw_Stock_Data!I692/Raw_Stock_Data!I691)-1</f>
        <v>2.2017920788781176E-2</v>
      </c>
      <c r="J692" s="4">
        <f>(Raw_Stock_Data!J692/Raw_Stock_Data!J691)-1</f>
        <v>6.6909644368999821E-3</v>
      </c>
    </row>
    <row r="693" spans="1:10" x14ac:dyDescent="0.2">
      <c r="A693" s="2">
        <v>45202</v>
      </c>
      <c r="B693" s="4">
        <f>(Raw_Stock_Data!B693/Raw_Stock_Data!B692)-1</f>
        <v>-7.7662786436062392E-3</v>
      </c>
      <c r="C693" s="4">
        <f>(Raw_Stock_Data!C693/Raw_Stock_Data!C692)-1</f>
        <v>-2.6132185566751565E-2</v>
      </c>
      <c r="D693" s="4">
        <f>(Raw_Stock_Data!D693/Raw_Stock_Data!D692)-1</f>
        <v>-2.8247262394617279E-2</v>
      </c>
      <c r="E693" s="4">
        <f>(Raw_Stock_Data!E693/Raw_Stock_Data!E692)-1</f>
        <v>-3.0889900261450554E-2</v>
      </c>
      <c r="F693" s="4">
        <f>(Raw_Stock_Data!F693/Raw_Stock_Data!F692)-1</f>
        <v>-3.661362583037242E-2</v>
      </c>
      <c r="G693" s="4">
        <f>(Raw_Stock_Data!G693/Raw_Stock_Data!G692)-1</f>
        <v>-2.015103338632751E-2</v>
      </c>
      <c r="H693" s="4">
        <f>(Raw_Stock_Data!H693/Raw_Stock_Data!H692)-1</f>
        <v>-1.2963309271795675E-2</v>
      </c>
      <c r="I693" s="4">
        <f>(Raw_Stock_Data!I693/Raw_Stock_Data!I692)-1</f>
        <v>-1.916433087803926E-2</v>
      </c>
      <c r="J693" s="4">
        <f>(Raw_Stock_Data!J693/Raw_Stock_Data!J692)-1</f>
        <v>-1.8658272573090828E-2</v>
      </c>
    </row>
    <row r="694" spans="1:10" x14ac:dyDescent="0.2">
      <c r="A694" s="2">
        <v>45203</v>
      </c>
      <c r="B694" s="4">
        <f>(Raw_Stock_Data!B694/Raw_Stock_Data!B693)-1</f>
        <v>7.3052614298612095E-3</v>
      </c>
      <c r="C694" s="4">
        <f>(Raw_Stock_Data!C694/Raw_Stock_Data!C693)-1</f>
        <v>1.7755787059407169E-2</v>
      </c>
      <c r="D694" s="4">
        <f>(Raw_Stock_Data!D694/Raw_Stock_Data!D693)-1</f>
        <v>1.2038831380500215E-2</v>
      </c>
      <c r="E694" s="4">
        <f>(Raw_Stock_Data!E694/Raw_Stock_Data!E693)-1</f>
        <v>3.9868105515587393E-2</v>
      </c>
      <c r="F694" s="4">
        <f>(Raw_Stock_Data!F694/Raw_Stock_Data!F693)-1</f>
        <v>1.8280949326491269E-2</v>
      </c>
      <c r="G694" s="4">
        <f>(Raw_Stock_Data!G694/Raw_Stock_Data!G693)-1</f>
        <v>5.9343690423072415E-2</v>
      </c>
      <c r="H694" s="4">
        <f>(Raw_Stock_Data!H694/Raw_Stock_Data!H693)-1</f>
        <v>2.1219837516672779E-2</v>
      </c>
      <c r="I694" s="4">
        <f>(Raw_Stock_Data!I694/Raw_Stock_Data!I693)-1</f>
        <v>1.5418355818435536E-2</v>
      </c>
      <c r="J694" s="4">
        <f>(Raw_Stock_Data!J694/Raw_Stock_Data!J693)-1</f>
        <v>1.3518159619035242E-2</v>
      </c>
    </row>
    <row r="695" spans="1:10" x14ac:dyDescent="0.2">
      <c r="A695" s="2">
        <v>45204</v>
      </c>
      <c r="B695" s="4">
        <f>(Raw_Stock_Data!B695/Raw_Stock_Data!B694)-1</f>
        <v>7.2057180108027197E-3</v>
      </c>
      <c r="C695" s="4">
        <f>(Raw_Stock_Data!C695/Raw_Stock_Data!C694)-1</f>
        <v>1.2723693289358184E-3</v>
      </c>
      <c r="D695" s="4">
        <f>(Raw_Stock_Data!D695/Raw_Stock_Data!D694)-1</f>
        <v>1.4691785956033598E-2</v>
      </c>
      <c r="E695" s="4">
        <f>(Raw_Stock_Data!E695/Raw_Stock_Data!E694)-1</f>
        <v>-1.1146343807052927E-2</v>
      </c>
      <c r="F695" s="4">
        <f>(Raw_Stock_Data!F695/Raw_Stock_Data!F694)-1</f>
        <v>-8.1889763779527946E-3</v>
      </c>
      <c r="G695" s="4">
        <f>(Raw_Stock_Data!G695/Raw_Stock_Data!G694)-1</f>
        <v>-4.250268034921123E-3</v>
      </c>
      <c r="H695" s="4">
        <f>(Raw_Stock_Data!H695/Raw_Stock_Data!H694)-1</f>
        <v>-1.2615768226075241E-3</v>
      </c>
      <c r="I695" s="4">
        <f>(Raw_Stock_Data!I695/Raw_Stock_Data!I694)-1</f>
        <v>-2.585247725636397E-3</v>
      </c>
      <c r="J695" s="4">
        <f>(Raw_Stock_Data!J695/Raw_Stock_Data!J694)-1</f>
        <v>-1.2224227693995449E-3</v>
      </c>
    </row>
    <row r="696" spans="1:10" x14ac:dyDescent="0.2">
      <c r="A696" s="2">
        <v>45205</v>
      </c>
      <c r="B696" s="4">
        <f>(Raw_Stock_Data!B696/Raw_Stock_Data!B695)-1</f>
        <v>1.4747523779804261E-2</v>
      </c>
      <c r="C696" s="4">
        <f>(Raw_Stock_Data!C696/Raw_Stock_Data!C695)-1</f>
        <v>2.4735417957439276E-2</v>
      </c>
      <c r="D696" s="4">
        <f>(Raw_Stock_Data!D696/Raw_Stock_Data!D695)-1</f>
        <v>2.4033274085880407E-2</v>
      </c>
      <c r="E696" s="4">
        <f>(Raw_Stock_Data!E696/Raw_Stock_Data!E695)-1</f>
        <v>4.2075600038868899E-2</v>
      </c>
      <c r="F696" s="4">
        <f>(Raw_Stock_Data!F696/Raw_Stock_Data!F695)-1</f>
        <v>1.5878056525881146E-2</v>
      </c>
      <c r="G696" s="4">
        <f>(Raw_Stock_Data!G696/Raw_Stock_Data!G695)-1</f>
        <v>1.8457988848297191E-3</v>
      </c>
      <c r="H696" s="4">
        <f>(Raw_Stock_Data!H696/Raw_Stock_Data!H695)-1</f>
        <v>1.8583465842386016E-2</v>
      </c>
      <c r="I696" s="4">
        <f>(Raw_Stock_Data!I696/Raw_Stock_Data!I695)-1</f>
        <v>3.4909281800584058E-2</v>
      </c>
      <c r="J696" s="4">
        <f>(Raw_Stock_Data!J696/Raw_Stock_Data!J695)-1</f>
        <v>1.5999449312131819E-2</v>
      </c>
    </row>
    <row r="697" spans="1:10" x14ac:dyDescent="0.2">
      <c r="A697" s="2">
        <v>45208</v>
      </c>
      <c r="B697" s="4">
        <f>(Raw_Stock_Data!B697/Raw_Stock_Data!B696)-1</f>
        <v>8.4454264854951777E-3</v>
      </c>
      <c r="C697" s="4">
        <f>(Raw_Stock_Data!C697/Raw_Stock_Data!C696)-1</f>
        <v>7.8198986343711585E-3</v>
      </c>
      <c r="D697" s="4">
        <f>(Raw_Stock_Data!D697/Raw_Stock_Data!D696)-1</f>
        <v>-1.0685320800087439E-2</v>
      </c>
      <c r="E697" s="4">
        <f>(Raw_Stock_Data!E697/Raw_Stock_Data!E696)-1</f>
        <v>-2.5177172696754235E-3</v>
      </c>
      <c r="F697" s="4">
        <f>(Raw_Stock_Data!F697/Raw_Stock_Data!F696)-1</f>
        <v>2.3444826508283167E-3</v>
      </c>
      <c r="G697" s="4">
        <f>(Raw_Stock_Data!G697/Raw_Stock_Data!G696)-1</f>
        <v>-3.3009634207191718E-3</v>
      </c>
      <c r="H697" s="4">
        <f>(Raw_Stock_Data!H697/Raw_Stock_Data!H696)-1</f>
        <v>6.1057899228933454E-3</v>
      </c>
      <c r="I697" s="4">
        <f>(Raw_Stock_Data!I697/Raw_Stock_Data!I696)-1</f>
        <v>9.2889072060362565E-3</v>
      </c>
      <c r="J697" s="4">
        <f>(Raw_Stock_Data!J697/Raw_Stock_Data!J696)-1</f>
        <v>3.9385496905000039E-3</v>
      </c>
    </row>
    <row r="698" spans="1:10" x14ac:dyDescent="0.2">
      <c r="A698" s="2">
        <v>45209</v>
      </c>
      <c r="B698" s="4">
        <f>(Raw_Stock_Data!B698/Raw_Stock_Data!B697)-1</f>
        <v>-3.3431028738259982E-3</v>
      </c>
      <c r="C698" s="4">
        <f>(Raw_Stock_Data!C698/Raw_Stock_Data!C697)-1</f>
        <v>-4.331084638270366E-3</v>
      </c>
      <c r="D698" s="4">
        <f>(Raw_Stock_Data!D698/Raw_Stock_Data!D697)-1</f>
        <v>1.1596201183484256E-2</v>
      </c>
      <c r="E698" s="4">
        <f>(Raw_Stock_Data!E698/Raw_Stock_Data!E697)-1</f>
        <v>1.9070767504907993E-2</v>
      </c>
      <c r="F698" s="4">
        <f>(Raw_Stock_Data!F698/Raw_Stock_Data!F697)-1</f>
        <v>9.511928894433197E-3</v>
      </c>
      <c r="G698" s="4">
        <f>(Raw_Stock_Data!G698/Raw_Stock_Data!G697)-1</f>
        <v>1.521161474178756E-2</v>
      </c>
      <c r="H698" s="4">
        <f>(Raw_Stock_Data!H698/Raw_Stock_Data!H697)-1</f>
        <v>-2.6029582366587922E-3</v>
      </c>
      <c r="I698" s="4">
        <f>(Raw_Stock_Data!I698/Raw_Stock_Data!I697)-1</f>
        <v>1.0931021485111048E-2</v>
      </c>
      <c r="J698" s="4">
        <f>(Raw_Stock_Data!J698/Raw_Stock_Data!J697)-1</f>
        <v>5.8290270716037096E-3</v>
      </c>
    </row>
    <row r="699" spans="1:10" x14ac:dyDescent="0.2">
      <c r="A699" s="2">
        <v>45210</v>
      </c>
      <c r="B699" s="4">
        <f>(Raw_Stock_Data!B699/Raw_Stock_Data!B698)-1</f>
        <v>7.8985092555343694E-3</v>
      </c>
      <c r="C699" s="4">
        <f>(Raw_Stock_Data!C699/Raw_Stock_Data!C698)-1</f>
        <v>1.2272013231148682E-2</v>
      </c>
      <c r="D699" s="4">
        <f>(Raw_Stock_Data!D699/Raw_Stock_Data!D698)-1</f>
        <v>2.201131473755491E-2</v>
      </c>
      <c r="E699" s="4">
        <f>(Raw_Stock_Data!E699/Raw_Stock_Data!E698)-1</f>
        <v>-6.4214292266764339E-3</v>
      </c>
      <c r="F699" s="4">
        <f>(Raw_Stock_Data!F699/Raw_Stock_Data!F698)-1</f>
        <v>1.8149521161569426E-2</v>
      </c>
      <c r="G699" s="4">
        <f>(Raw_Stock_Data!G699/Raw_Stock_Data!G698)-1</f>
        <v>-2.3898035050451405E-3</v>
      </c>
      <c r="H699" s="4">
        <f>(Raw_Stock_Data!H699/Raw_Stock_Data!H698)-1</f>
        <v>1.804290460232183E-2</v>
      </c>
      <c r="I699" s="4">
        <f>(Raw_Stock_Data!I699/Raw_Stock_Data!I698)-1</f>
        <v>1.858066119811097E-2</v>
      </c>
      <c r="J699" s="4">
        <f>(Raw_Stock_Data!J699/Raw_Stock_Data!J698)-1</f>
        <v>7.1400975017033019E-3</v>
      </c>
    </row>
    <row r="700" spans="1:10" x14ac:dyDescent="0.2">
      <c r="A700" s="2">
        <v>45211</v>
      </c>
      <c r="B700" s="4">
        <f>(Raw_Stock_Data!B700/Raw_Stock_Data!B699)-1</f>
        <v>5.065127077910736E-3</v>
      </c>
      <c r="C700" s="4">
        <f>(Raw_Stock_Data!C700/Raw_Stock_Data!C699)-1</f>
        <v>-3.793066796240363E-3</v>
      </c>
      <c r="D700" s="4">
        <f>(Raw_Stock_Data!D700/Raw_Stock_Data!D699)-1</f>
        <v>2.9686655111169635E-3</v>
      </c>
      <c r="E700" s="4">
        <f>(Raw_Stock_Data!E700/Raw_Stock_Data!E699)-1</f>
        <v>4.4317237558859635E-3</v>
      </c>
      <c r="F700" s="4">
        <f>(Raw_Stock_Data!F700/Raw_Stock_Data!F699)-1</f>
        <v>3.7927634074186312E-3</v>
      </c>
      <c r="G700" s="4">
        <f>(Raw_Stock_Data!G700/Raw_Stock_Data!G699)-1</f>
        <v>-1.5665994904749292E-2</v>
      </c>
      <c r="H700" s="4">
        <f>(Raw_Stock_Data!H700/Raw_Stock_Data!H699)-1</f>
        <v>-1.1246545703819666E-2</v>
      </c>
      <c r="I700" s="4">
        <f>(Raw_Stock_Data!I700/Raw_Stock_Data!I699)-1</f>
        <v>-1.1164663534866559E-2</v>
      </c>
      <c r="J700" s="4">
        <f>(Raw_Stock_Data!J700/Raw_Stock_Data!J699)-1</f>
        <v>-6.2563691096717555E-3</v>
      </c>
    </row>
    <row r="701" spans="1:10" x14ac:dyDescent="0.2">
      <c r="A701" s="2">
        <v>45212</v>
      </c>
      <c r="B701" s="4">
        <f>(Raw_Stock_Data!B701/Raw_Stock_Data!B700)-1</f>
        <v>-1.0302935385716805E-2</v>
      </c>
      <c r="C701" s="4">
        <f>(Raw_Stock_Data!C701/Raw_Stock_Data!C700)-1</f>
        <v>-1.0358619175944161E-2</v>
      </c>
      <c r="D701" s="4">
        <f>(Raw_Stock_Data!D701/Raw_Stock_Data!D700)-1</f>
        <v>-3.1610395588097306E-2</v>
      </c>
      <c r="E701" s="4">
        <f>(Raw_Stock_Data!E701/Raw_Stock_Data!E700)-1</f>
        <v>-3.4010478904311081E-2</v>
      </c>
      <c r="F701" s="4">
        <f>(Raw_Stock_Data!F701/Raw_Stock_Data!F700)-1</f>
        <v>-1.9194438147056792E-2</v>
      </c>
      <c r="G701" s="4">
        <f>(Raw_Stock_Data!G701/Raw_Stock_Data!G700)-1</f>
        <v>-2.9937806621083918E-2</v>
      </c>
      <c r="H701" s="4">
        <f>(Raw_Stock_Data!H701/Raw_Stock_Data!H700)-1</f>
        <v>-1.1583903862264044E-2</v>
      </c>
      <c r="I701" s="4">
        <f>(Raw_Stock_Data!I701/Raw_Stock_Data!I700)-1</f>
        <v>-2.9213968410661484E-2</v>
      </c>
      <c r="J701" s="4">
        <f>(Raw_Stock_Data!J701/Raw_Stock_Data!J700)-1</f>
        <v>-1.2301995989456471E-2</v>
      </c>
    </row>
    <row r="702" spans="1:10" x14ac:dyDescent="0.2">
      <c r="A702" s="2">
        <v>45215</v>
      </c>
      <c r="B702" s="4">
        <f>(Raw_Stock_Data!B702/Raw_Stock_Data!B701)-1</f>
        <v>-7.0644618010418103E-4</v>
      </c>
      <c r="C702" s="4">
        <f>(Raw_Stock_Data!C702/Raw_Stock_Data!C701)-1</f>
        <v>1.4979762073447977E-2</v>
      </c>
      <c r="D702" s="4">
        <f>(Raw_Stock_Data!D702/Raw_Stock_Data!D701)-1</f>
        <v>1.3942373284159482E-2</v>
      </c>
      <c r="E702" s="4">
        <f>(Raw_Stock_Data!E702/Raw_Stock_Data!E701)-1</f>
        <v>1.303644495194578E-2</v>
      </c>
      <c r="F702" s="4">
        <f>(Raw_Stock_Data!F702/Raw_Stock_Data!F701)-1</f>
        <v>2.1265120579397667E-2</v>
      </c>
      <c r="G702" s="4">
        <f>(Raw_Stock_Data!G702/Raw_Stock_Data!G701)-1</f>
        <v>1.1150047785918993E-2</v>
      </c>
      <c r="H702" s="4">
        <f>(Raw_Stock_Data!H702/Raw_Stock_Data!H701)-1</f>
        <v>1.2632978723404076E-2</v>
      </c>
      <c r="I702" s="4">
        <f>(Raw_Stock_Data!I702/Raw_Stock_Data!I701)-1</f>
        <v>2.0528138803266538E-2</v>
      </c>
      <c r="J702" s="4">
        <f>(Raw_Stock_Data!J702/Raw_Stock_Data!J701)-1</f>
        <v>1.1989799533535184E-2</v>
      </c>
    </row>
    <row r="703" spans="1:10" x14ac:dyDescent="0.2">
      <c r="A703" s="2">
        <v>45216</v>
      </c>
      <c r="B703" s="4">
        <f>(Raw_Stock_Data!B703/Raw_Stock_Data!B702)-1</f>
        <v>-8.7887476882878568E-3</v>
      </c>
      <c r="C703" s="4">
        <f>(Raw_Stock_Data!C703/Raw_Stock_Data!C702)-1</f>
        <v>-1.7420280970313895E-3</v>
      </c>
      <c r="D703" s="4">
        <f>(Raw_Stock_Data!D703/Raw_Stock_Data!D702)-1</f>
        <v>-4.6794768847471135E-2</v>
      </c>
      <c r="E703" s="4">
        <f>(Raw_Stock_Data!E703/Raw_Stock_Data!E702)-1</f>
        <v>-1.2399023107270257E-2</v>
      </c>
      <c r="F703" s="4">
        <f>(Raw_Stock_Data!F703/Raw_Stock_Data!F702)-1</f>
        <v>-8.1478687287817042E-3</v>
      </c>
      <c r="G703" s="4">
        <f>(Raw_Stock_Data!G703/Raw_Stock_Data!G702)-1</f>
        <v>3.6625708884687747E-3</v>
      </c>
      <c r="H703" s="4">
        <f>(Raw_Stock_Data!H703/Raw_Stock_Data!H702)-1</f>
        <v>4.4879611524393237E-3</v>
      </c>
      <c r="I703" s="4">
        <f>(Raw_Stock_Data!I703/Raw_Stock_Data!I702)-1</f>
        <v>8.8743577767398385E-3</v>
      </c>
      <c r="J703" s="4">
        <f>(Raw_Stock_Data!J703/Raw_Stock_Data!J702)-1</f>
        <v>-2.5228515961844833E-3</v>
      </c>
    </row>
    <row r="704" spans="1:10" x14ac:dyDescent="0.2">
      <c r="A704" s="2">
        <v>45217</v>
      </c>
      <c r="B704" s="4">
        <f>(Raw_Stock_Data!B704/Raw_Stock_Data!B703)-1</f>
        <v>-7.4060126780894908E-3</v>
      </c>
      <c r="C704" s="4">
        <f>(Raw_Stock_Data!C704/Raw_Stock_Data!C703)-1</f>
        <v>-5.8736436960177274E-3</v>
      </c>
      <c r="D704" s="4">
        <f>(Raw_Stock_Data!D704/Raw_Stock_Data!D703)-1</f>
        <v>-3.9645641324541847E-2</v>
      </c>
      <c r="E704" s="4">
        <f>(Raw_Stock_Data!E704/Raw_Stock_Data!E703)-1</f>
        <v>-2.8248050218755982E-2</v>
      </c>
      <c r="F704" s="4">
        <f>(Raw_Stock_Data!F704/Raw_Stock_Data!F703)-1</f>
        <v>-2.5405035369285844E-2</v>
      </c>
      <c r="G704" s="4">
        <f>(Raw_Stock_Data!G704/Raw_Stock_Data!G703)-1</f>
        <v>-4.7753580537571061E-2</v>
      </c>
      <c r="H704" s="4">
        <f>(Raw_Stock_Data!H704/Raw_Stock_Data!H703)-1</f>
        <v>-1.2599217038393729E-2</v>
      </c>
      <c r="I704" s="4">
        <f>(Raw_Stock_Data!I704/Raw_Stock_Data!I703)-1</f>
        <v>-2.1697530864197456E-2</v>
      </c>
      <c r="J704" s="4">
        <f>(Raw_Stock_Data!J704/Raw_Stock_Data!J703)-1</f>
        <v>-1.621501801052927E-2</v>
      </c>
    </row>
    <row r="705" spans="1:10" x14ac:dyDescent="0.2">
      <c r="A705" s="2">
        <v>45218</v>
      </c>
      <c r="B705" s="4">
        <f>(Raw_Stock_Data!B705/Raw_Stock_Data!B704)-1</f>
        <v>-2.1556060127037036E-3</v>
      </c>
      <c r="C705" s="4">
        <f>(Raw_Stock_Data!C705/Raw_Stock_Data!C704)-1</f>
        <v>3.6697808834997847E-3</v>
      </c>
      <c r="D705" s="4">
        <f>(Raw_Stock_Data!D705/Raw_Stock_Data!D704)-1</f>
        <v>-2.2522362335024582E-3</v>
      </c>
      <c r="E705" s="4">
        <f>(Raw_Stock_Data!E705/Raw_Stock_Data!E704)-1</f>
        <v>2.2511500440443033E-3</v>
      </c>
      <c r="F705" s="4">
        <f>(Raw_Stock_Data!F705/Raw_Stock_Data!F704)-1</f>
        <v>2.1072348396160567E-3</v>
      </c>
      <c r="G705" s="4">
        <f>(Raw_Stock_Data!G705/Raw_Stock_Data!G704)-1</f>
        <v>-9.300313169606067E-2</v>
      </c>
      <c r="H705" s="4">
        <f>(Raw_Stock_Data!H705/Raw_Stock_Data!H704)-1</f>
        <v>-1.5131564589231372E-3</v>
      </c>
      <c r="I705" s="4">
        <f>(Raw_Stock_Data!I705/Raw_Stock_Data!I704)-1</f>
        <v>-1.3124270435687979E-2</v>
      </c>
      <c r="J705" s="4">
        <f>(Raw_Stock_Data!J705/Raw_Stock_Data!J704)-1</f>
        <v>-9.6234875284467725E-3</v>
      </c>
    </row>
    <row r="706" spans="1:10" x14ac:dyDescent="0.2">
      <c r="A706" s="2">
        <v>45219</v>
      </c>
      <c r="B706" s="4">
        <f>(Raw_Stock_Data!B706/Raw_Stock_Data!B705)-1</f>
        <v>-1.4707068379514965E-2</v>
      </c>
      <c r="C706" s="4">
        <f>(Raw_Stock_Data!C706/Raw_Stock_Data!C705)-1</f>
        <v>-1.4037386309968092E-2</v>
      </c>
      <c r="D706" s="4">
        <f>(Raw_Stock_Data!D706/Raw_Stock_Data!D705)-1</f>
        <v>-1.6956039282124635E-2</v>
      </c>
      <c r="E706" s="4">
        <f>(Raw_Stock_Data!E706/Raw_Stock_Data!E705)-1</f>
        <v>-5.7617187499999778E-3</v>
      </c>
      <c r="F706" s="4">
        <f>(Raw_Stock_Data!F706/Raw_Stock_Data!F705)-1</f>
        <v>-2.515576323987545E-2</v>
      </c>
      <c r="G706" s="4">
        <f>(Raw_Stock_Data!G706/Raw_Stock_Data!G705)-1</f>
        <v>-3.6890645586297732E-2</v>
      </c>
      <c r="H706" s="4">
        <f>(Raw_Stock_Data!H706/Raw_Stock_Data!H705)-1</f>
        <v>-1.5606216257568084E-2</v>
      </c>
      <c r="I706" s="4">
        <f>(Raw_Stock_Data!I706/Raw_Stock_Data!I705)-1</f>
        <v>-1.3298807582877825E-2</v>
      </c>
      <c r="J706" s="4">
        <f>(Raw_Stock_Data!J706/Raw_Stock_Data!J705)-1</f>
        <v>-1.5346381853108215E-2</v>
      </c>
    </row>
    <row r="707" spans="1:10" x14ac:dyDescent="0.2">
      <c r="A707" s="2">
        <v>45222</v>
      </c>
      <c r="B707" s="4">
        <f>(Raw_Stock_Data!B707/Raw_Stock_Data!B706)-1</f>
        <v>6.9575588907655472E-4</v>
      </c>
      <c r="C707" s="4">
        <f>(Raw_Stock_Data!C707/Raw_Stock_Data!C706)-1</f>
        <v>8.1121673238810921E-3</v>
      </c>
      <c r="D707" s="4">
        <f>(Raw_Stock_Data!D707/Raw_Stock_Data!D706)-1</f>
        <v>3.8366806295124567E-2</v>
      </c>
      <c r="E707" s="4">
        <f>(Raw_Stock_Data!E707/Raw_Stock_Data!E706)-1</f>
        <v>-1.7679992142225709E-2</v>
      </c>
      <c r="F707" s="4">
        <f>(Raw_Stock_Data!F707/Raw_Stock_Data!F706)-1</f>
        <v>1.1104897339618169E-2</v>
      </c>
      <c r="G707" s="4">
        <f>(Raw_Stock_Data!G707/Raw_Stock_Data!G706)-1</f>
        <v>4.2454832775140616E-4</v>
      </c>
      <c r="H707" s="4">
        <f>(Raw_Stock_Data!H707/Raw_Stock_Data!H706)-1</f>
        <v>6.6315844009741109E-3</v>
      </c>
      <c r="I707" s="4">
        <f>(Raw_Stock_Data!I707/Raw_Stock_Data!I706)-1</f>
        <v>1.7365948485339455E-2</v>
      </c>
      <c r="J707" s="4">
        <f>(Raw_Stock_Data!J707/Raw_Stock_Data!J706)-1</f>
        <v>2.6586957141239154E-3</v>
      </c>
    </row>
    <row r="708" spans="1:10" x14ac:dyDescent="0.2">
      <c r="A708" s="2">
        <v>45223</v>
      </c>
      <c r="B708" s="4">
        <f>(Raw_Stock_Data!B708/Raw_Stock_Data!B707)-1</f>
        <v>2.5473836733740374E-3</v>
      </c>
      <c r="C708" s="4">
        <f>(Raw_Stock_Data!C708/Raw_Stock_Data!C707)-1</f>
        <v>3.6755126251863945E-3</v>
      </c>
      <c r="D708" s="4">
        <f>(Raw_Stock_Data!D708/Raw_Stock_Data!D707)-1</f>
        <v>1.6012942573151223E-2</v>
      </c>
      <c r="E708" s="4">
        <f>(Raw_Stock_Data!E708/Raw_Stock_Data!E707)-1</f>
        <v>1.6598340165983272E-2</v>
      </c>
      <c r="F708" s="4">
        <f>(Raw_Stock_Data!F708/Raw_Stock_Data!F707)-1</f>
        <v>1.5802781289506962E-2</v>
      </c>
      <c r="G708" s="4">
        <f>(Raw_Stock_Data!G708/Raw_Stock_Data!G707)-1</f>
        <v>2.0935496039230506E-2</v>
      </c>
      <c r="H708" s="4">
        <f>(Raw_Stock_Data!H708/Raw_Stock_Data!H707)-1</f>
        <v>1.6918246854941144E-2</v>
      </c>
      <c r="I708" s="4">
        <f>(Raw_Stock_Data!I708/Raw_Stock_Data!I707)-1</f>
        <v>-4.6495334543484867E-3</v>
      </c>
      <c r="J708" s="4">
        <f>(Raw_Stock_Data!J708/Raw_Stock_Data!J707)-1</f>
        <v>9.3368350625617769E-3</v>
      </c>
    </row>
    <row r="709" spans="1:10" x14ac:dyDescent="0.2">
      <c r="A709" s="2">
        <v>45224</v>
      </c>
      <c r="B709" s="4">
        <f>(Raw_Stock_Data!B709/Raw_Stock_Data!B708)-1</f>
        <v>-1.3491304955942196E-2</v>
      </c>
      <c r="C709" s="4">
        <f>(Raw_Stock_Data!C709/Raw_Stock_Data!C708)-1</f>
        <v>3.0679999511319167E-2</v>
      </c>
      <c r="D709" s="4">
        <f>(Raw_Stock_Data!D709/Raw_Stock_Data!D708)-1</f>
        <v>-4.3153121985753939E-2</v>
      </c>
      <c r="E709" s="4">
        <f>(Raw_Stock_Data!E709/Raw_Stock_Data!E708)-1</f>
        <v>-5.5227697452542523E-2</v>
      </c>
      <c r="F709" s="4">
        <f>(Raw_Stock_Data!F709/Raw_Stock_Data!F708)-1</f>
        <v>-5.5771624144368426E-2</v>
      </c>
      <c r="G709" s="4">
        <f>(Raw_Stock_Data!G709/Raw_Stock_Data!G708)-1</f>
        <v>-1.8935895067430319E-2</v>
      </c>
      <c r="H709" s="4">
        <f>(Raw_Stock_Data!H709/Raw_Stock_Data!H708)-1</f>
        <v>-9.5084883014720734E-2</v>
      </c>
      <c r="I709" s="4">
        <f>(Raw_Stock_Data!I709/Raw_Stock_Data!I708)-1</f>
        <v>-4.1657334826427861E-2</v>
      </c>
      <c r="J709" s="4">
        <f>(Raw_Stock_Data!J709/Raw_Stock_Data!J708)-1</f>
        <v>-2.4251363026146389E-2</v>
      </c>
    </row>
    <row r="710" spans="1:10" x14ac:dyDescent="0.2">
      <c r="A710" s="2">
        <v>45225</v>
      </c>
      <c r="B710" s="4">
        <f>(Raw_Stock_Data!B710/Raw_Stock_Data!B709)-1</f>
        <v>-2.4604642095500284E-2</v>
      </c>
      <c r="C710" s="4">
        <f>(Raw_Stock_Data!C710/Raw_Stock_Data!C709)-1</f>
        <v>-3.7515890913508931E-2</v>
      </c>
      <c r="D710" s="4">
        <f>(Raw_Stock_Data!D710/Raw_Stock_Data!D709)-1</f>
        <v>-3.4774467596028868E-2</v>
      </c>
      <c r="E710" s="4">
        <f>(Raw_Stock_Data!E710/Raw_Stock_Data!E709)-1</f>
        <v>-2.4829524751444509E-2</v>
      </c>
      <c r="F710" s="4">
        <f>(Raw_Stock_Data!F710/Raw_Stock_Data!F709)-1</f>
        <v>-1.4992997775764128E-2</v>
      </c>
      <c r="G710" s="4">
        <f>(Raw_Stock_Data!G710/Raw_Stock_Data!G709)-1</f>
        <v>-3.1352979945391213E-2</v>
      </c>
      <c r="H710" s="4">
        <f>(Raw_Stock_Data!H710/Raw_Stock_Data!H709)-1</f>
        <v>-2.6518692522192189E-2</v>
      </c>
      <c r="I710" s="4">
        <f>(Raw_Stock_Data!I710/Raw_Stock_Data!I709)-1</f>
        <v>-3.7325142723600102E-2</v>
      </c>
      <c r="J710" s="4">
        <f>(Raw_Stock_Data!J710/Raw_Stock_Data!J709)-1</f>
        <v>-1.7596609371027028E-2</v>
      </c>
    </row>
    <row r="711" spans="1:10" x14ac:dyDescent="0.2">
      <c r="A711" s="2">
        <v>45226</v>
      </c>
      <c r="B711" s="4">
        <f>(Raw_Stock_Data!B711/Raw_Stock_Data!B710)-1</f>
        <v>7.9642909055670508E-3</v>
      </c>
      <c r="C711" s="4">
        <f>(Raw_Stock_Data!C711/Raw_Stock_Data!C710)-1</f>
        <v>5.8528865722280443E-3</v>
      </c>
      <c r="D711" s="4">
        <f>(Raw_Stock_Data!D711/Raw_Stock_Data!D710)-1</f>
        <v>4.3114675610440578E-3</v>
      </c>
      <c r="E711" s="4">
        <f>(Raw_Stock_Data!E711/Raw_Stock_Data!E710)-1</f>
        <v>2.9465143589196163E-2</v>
      </c>
      <c r="F711" s="4">
        <f>(Raw_Stock_Data!F711/Raw_Stock_Data!F710)-1</f>
        <v>6.832817596387053E-2</v>
      </c>
      <c r="G711" s="4">
        <f>(Raw_Stock_Data!G711/Raw_Stock_Data!G710)-1</f>
        <v>7.4844479004667619E-3</v>
      </c>
      <c r="H711" s="4">
        <f>(Raw_Stock_Data!H711/Raw_Stock_Data!H710)-1</f>
        <v>-9.0283819498016005E-4</v>
      </c>
      <c r="I711" s="4">
        <f>(Raw_Stock_Data!I711/Raw_Stock_Data!I710)-1</f>
        <v>2.9061903936188571E-2</v>
      </c>
      <c r="J711" s="4">
        <f>(Raw_Stock_Data!J711/Raw_Stock_Data!J710)-1</f>
        <v>3.7632159141161026E-3</v>
      </c>
    </row>
    <row r="712" spans="1:10" x14ac:dyDescent="0.2">
      <c r="A712" s="2">
        <v>45229</v>
      </c>
      <c r="B712" s="4">
        <f>(Raw_Stock_Data!B712/Raw_Stock_Data!B711)-1</f>
        <v>1.2311704230683729E-2</v>
      </c>
      <c r="C712" s="4">
        <f>(Raw_Stock_Data!C712/Raw_Stock_Data!C711)-1</f>
        <v>2.2745777445837057E-2</v>
      </c>
      <c r="D712" s="4">
        <f>(Raw_Stock_Data!D712/Raw_Stock_Data!D711)-1</f>
        <v>1.6324604976176271E-2</v>
      </c>
      <c r="E712" s="4">
        <f>(Raw_Stock_Data!E712/Raw_Stock_Data!E711)-1</f>
        <v>-2.5925541843824229E-3</v>
      </c>
      <c r="F712" s="4">
        <f>(Raw_Stock_Data!F712/Raw_Stock_Data!F711)-1</f>
        <v>3.8907155158916629E-2</v>
      </c>
      <c r="G712" s="4">
        <f>(Raw_Stock_Data!G712/Raw_Stock_Data!G711)-1</f>
        <v>-4.7949831162566348E-2</v>
      </c>
      <c r="H712" s="4">
        <f>(Raw_Stock_Data!H712/Raw_Stock_Data!H711)-1</f>
        <v>1.8746713985278829E-2</v>
      </c>
      <c r="I712" s="4">
        <f>(Raw_Stock_Data!I712/Raw_Stock_Data!I711)-1</f>
        <v>1.9984497691504011E-2</v>
      </c>
      <c r="J712" s="4">
        <f>(Raw_Stock_Data!J712/Raw_Stock_Data!J711)-1</f>
        <v>1.1585057672184096E-2</v>
      </c>
    </row>
    <row r="713" spans="1:10" x14ac:dyDescent="0.2">
      <c r="A713" s="2">
        <v>45230</v>
      </c>
      <c r="B713" s="4">
        <f>(Raw_Stock_Data!B713/Raw_Stock_Data!B712)-1</f>
        <v>2.8075215460956482E-3</v>
      </c>
      <c r="C713" s="4">
        <f>(Raw_Stock_Data!C713/Raw_Stock_Data!C712)-1</f>
        <v>2.3703419936611514E-3</v>
      </c>
      <c r="D713" s="4">
        <f>(Raw_Stock_Data!D713/Raw_Stock_Data!D712)-1</f>
        <v>-9.2573239553005449E-3</v>
      </c>
      <c r="E713" s="4">
        <f>(Raw_Stock_Data!E713/Raw_Stock_Data!E712)-1</f>
        <v>2.4121438968600417E-2</v>
      </c>
      <c r="F713" s="4">
        <f>(Raw_Stock_Data!F713/Raw_Stock_Data!F712)-1</f>
        <v>2.8633863310978391E-3</v>
      </c>
      <c r="G713" s="4">
        <f>(Raw_Stock_Data!G713/Raw_Stock_Data!G712)-1</f>
        <v>1.7632752330765999E-2</v>
      </c>
      <c r="H713" s="4">
        <f>(Raw_Stock_Data!H713/Raw_Stock_Data!H712)-1</f>
        <v>-3.0481412789291618E-3</v>
      </c>
      <c r="I713" s="4">
        <f>(Raw_Stock_Data!I713/Raw_Stock_Data!I712)-1</f>
        <v>-4.5926121720744062E-3</v>
      </c>
      <c r="J713" s="4">
        <f>(Raw_Stock_Data!J713/Raw_Stock_Data!J712)-1</f>
        <v>4.8289688087397309E-3</v>
      </c>
    </row>
    <row r="714" spans="1:10" x14ac:dyDescent="0.2">
      <c r="A714" s="2">
        <v>45231</v>
      </c>
      <c r="B714" s="4">
        <f>(Raw_Stock_Data!B714/Raw_Stock_Data!B713)-1</f>
        <v>1.874530183664902E-2</v>
      </c>
      <c r="C714" s="4">
        <f>(Raw_Stock_Data!C714/Raw_Stock_Data!C713)-1</f>
        <v>2.354286533242167E-2</v>
      </c>
      <c r="D714" s="4">
        <f>(Raw_Stock_Data!D714/Raw_Stock_Data!D713)-1</f>
        <v>3.7885533878410094E-2</v>
      </c>
      <c r="E714" s="4">
        <f>(Raw_Stock_Data!E714/Raw_Stock_Data!E713)-1</f>
        <v>9.685279187817275E-2</v>
      </c>
      <c r="F714" s="4">
        <f>(Raw_Stock_Data!F714/Raw_Stock_Data!F713)-1</f>
        <v>2.93786159741527E-2</v>
      </c>
      <c r="G714" s="4">
        <f>(Raw_Stock_Data!G714/Raw_Stock_Data!G713)-1</f>
        <v>2.3999203345947073E-2</v>
      </c>
      <c r="H714" s="4">
        <f>(Raw_Stock_Data!H714/Raw_Stock_Data!H713)-1</f>
        <v>1.9105086061860899E-2</v>
      </c>
      <c r="I714" s="4">
        <f>(Raw_Stock_Data!I714/Raw_Stock_Data!I713)-1</f>
        <v>3.5118000464699595E-2</v>
      </c>
      <c r="J714" s="4">
        <f>(Raw_Stock_Data!J714/Raw_Stock_Data!J713)-1</f>
        <v>1.6358732698167566E-2</v>
      </c>
    </row>
    <row r="715" spans="1:10" x14ac:dyDescent="0.2">
      <c r="A715" s="2">
        <v>45232</v>
      </c>
      <c r="B715" s="4">
        <f>(Raw_Stock_Data!B715/Raw_Stock_Data!B714)-1</f>
        <v>2.068953496479109E-2</v>
      </c>
      <c r="C715" s="4">
        <f>(Raw_Stock_Data!C715/Raw_Stock_Data!C714)-1</f>
        <v>6.4963857108686351E-3</v>
      </c>
      <c r="D715" s="4">
        <f>(Raw_Stock_Data!D715/Raw_Stock_Data!D714)-1</f>
        <v>2.7904030555929715E-2</v>
      </c>
      <c r="E715" s="4">
        <f>(Raw_Stock_Data!E715/Raw_Stock_Data!E714)-1</f>
        <v>-1.9437245464642983E-3</v>
      </c>
      <c r="F715" s="4">
        <f>(Raw_Stock_Data!F715/Raw_Stock_Data!F714)-1</f>
        <v>7.8102189781021902E-3</v>
      </c>
      <c r="G715" s="4">
        <f>(Raw_Stock_Data!G715/Raw_Stock_Data!G714)-1</f>
        <v>6.2481766021589058E-2</v>
      </c>
      <c r="H715" s="4">
        <f>(Raw_Stock_Data!H715/Raw_Stock_Data!H714)-1</f>
        <v>8.214676889375605E-3</v>
      </c>
      <c r="I715" s="4">
        <f>(Raw_Stock_Data!I715/Raw_Stock_Data!I714)-1</f>
        <v>-3.1425364758698171E-3</v>
      </c>
      <c r="J715" s="4">
        <f>(Raw_Stock_Data!J715/Raw_Stock_Data!J714)-1</f>
        <v>1.7817290090625493E-2</v>
      </c>
    </row>
    <row r="716" spans="1:10" x14ac:dyDescent="0.2">
      <c r="A716" s="2">
        <v>45233</v>
      </c>
      <c r="B716" s="4">
        <f>(Raw_Stock_Data!B716/Raw_Stock_Data!B715)-1</f>
        <v>-5.1799609510635447E-3</v>
      </c>
      <c r="C716" s="4">
        <f>(Raw_Stock_Data!C716/Raw_Stock_Data!C715)-1</f>
        <v>1.2862537786240802E-2</v>
      </c>
      <c r="D716" s="4">
        <f>(Raw_Stock_Data!D716/Raw_Stock_Data!D715)-1</f>
        <v>3.4453976670445474E-2</v>
      </c>
      <c r="E716" s="4">
        <f>(Raw_Stock_Data!E716/Raw_Stock_Data!E715)-1</f>
        <v>4.0990447927292895E-2</v>
      </c>
      <c r="F716" s="4">
        <f>(Raw_Stock_Data!F716/Raw_Stock_Data!F715)-1</f>
        <v>3.838632577678025E-3</v>
      </c>
      <c r="G716" s="4">
        <f>(Raw_Stock_Data!G716/Raw_Stock_Data!G715)-1</f>
        <v>6.6358519060913945E-3</v>
      </c>
      <c r="H716" s="4">
        <f>(Raw_Stock_Data!H716/Raw_Stock_Data!H715)-1</f>
        <v>1.2634910138629607E-2</v>
      </c>
      <c r="I716" s="4">
        <f>(Raw_Stock_Data!I716/Raw_Stock_Data!I715)-1</f>
        <v>1.199858461736425E-2</v>
      </c>
      <c r="J716" s="4">
        <f>(Raw_Stock_Data!J716/Raw_Stock_Data!J715)-1</f>
        <v>1.38474025119244E-2</v>
      </c>
    </row>
    <row r="717" spans="1:10" x14ac:dyDescent="0.2">
      <c r="A717" s="2">
        <v>45236</v>
      </c>
      <c r="B717" s="4">
        <f>(Raw_Stock_Data!B717/Raw_Stock_Data!B716)-1</f>
        <v>1.4608020965056312E-2</v>
      </c>
      <c r="C717" s="4">
        <f>(Raw_Stock_Data!C717/Raw_Stock_Data!C716)-1</f>
        <v>1.0575984845666575E-2</v>
      </c>
      <c r="D717" s="4">
        <f>(Raw_Stock_Data!D717/Raw_Stock_Data!D716)-1</f>
        <v>1.6575420720498446E-2</v>
      </c>
      <c r="E717" s="4">
        <f>(Raw_Stock_Data!E717/Raw_Stock_Data!E716)-1</f>
        <v>-4.4543429844098315E-3</v>
      </c>
      <c r="F717" s="4">
        <f>(Raw_Stock_Data!F717/Raw_Stock_Data!F716)-1</f>
        <v>8.2251082251083574E-3</v>
      </c>
      <c r="G717" s="4">
        <f>(Raw_Stock_Data!G717/Raw_Stock_Data!G716)-1</f>
        <v>-3.1369339879978586E-3</v>
      </c>
      <c r="H717" s="4">
        <f>(Raw_Stock_Data!H717/Raw_Stock_Data!H716)-1</f>
        <v>8.9089976211578215E-3</v>
      </c>
      <c r="I717" s="4">
        <f>(Raw_Stock_Data!I717/Raw_Stock_Data!I716)-1</f>
        <v>3.8143674507311598E-3</v>
      </c>
      <c r="J717" s="4">
        <f>(Raw_Stock_Data!J717/Raw_Stock_Data!J716)-1</f>
        <v>3.0048344447510811E-3</v>
      </c>
    </row>
    <row r="718" spans="1:10" x14ac:dyDescent="0.2">
      <c r="A718" s="2">
        <v>45237</v>
      </c>
      <c r="B718" s="4">
        <f>(Raw_Stock_Data!B718/Raw_Stock_Data!B717)-1</f>
        <v>1.445973381457244E-2</v>
      </c>
      <c r="C718" s="4">
        <f>(Raw_Stock_Data!C718/Raw_Stock_Data!C717)-1</f>
        <v>1.1218488703644613E-2</v>
      </c>
      <c r="D718" s="4">
        <f>(Raw_Stock_Data!D718/Raw_Stock_Data!D717)-1</f>
        <v>4.4583898193903959E-3</v>
      </c>
      <c r="E718" s="4">
        <f>(Raw_Stock_Data!E718/Raw_Stock_Data!E717)-1</f>
        <v>1.5212527964205913E-2</v>
      </c>
      <c r="F718" s="4">
        <f>(Raw_Stock_Data!F718/Raw_Stock_Data!F717)-1</f>
        <v>2.1253756977243521E-2</v>
      </c>
      <c r="G718" s="4">
        <f>(Raw_Stock_Data!G718/Raw_Stock_Data!G717)-1</f>
        <v>1.3271309344643489E-2</v>
      </c>
      <c r="H718" s="4">
        <f>(Raw_Stock_Data!H718/Raw_Stock_Data!H717)-1</f>
        <v>5.5247341655109139E-3</v>
      </c>
      <c r="I718" s="4">
        <f>(Raw_Stock_Data!I718/Raw_Stock_Data!I717)-1</f>
        <v>9.5630145661811383E-3</v>
      </c>
      <c r="J718" s="4">
        <f>(Raw_Stock_Data!J718/Raw_Stock_Data!J717)-1</f>
        <v>8.9564295002950711E-3</v>
      </c>
    </row>
    <row r="719" spans="1:10" x14ac:dyDescent="0.2">
      <c r="A719" s="2">
        <v>45238</v>
      </c>
      <c r="B719" s="4">
        <f>(Raw_Stock_Data!B719/Raw_Stock_Data!B718)-1</f>
        <v>5.8648907073448608E-3</v>
      </c>
      <c r="C719" s="4">
        <f>(Raw_Stock_Data!C719/Raw_Stock_Data!C718)-1</f>
        <v>7.4062873639497706E-3</v>
      </c>
      <c r="D719" s="4">
        <f>(Raw_Stock_Data!D719/Raw_Stock_Data!D718)-1</f>
        <v>1.3470358897555101E-2</v>
      </c>
      <c r="E719" s="4">
        <f>(Raw_Stock_Data!E719/Raw_Stock_Data!E718)-1</f>
        <v>1.2340237990304814E-3</v>
      </c>
      <c r="F719" s="4">
        <f>(Raw_Stock_Data!F719/Raw_Stock_Data!F718)-1</f>
        <v>-4.4145469833928308E-3</v>
      </c>
      <c r="G719" s="4">
        <f>(Raw_Stock_Data!G719/Raw_Stock_Data!G718)-1</f>
        <v>-3.1505986137358999E-4</v>
      </c>
      <c r="H719" s="4">
        <f>(Raw_Stock_Data!H719/Raw_Stock_Data!H718)-1</f>
        <v>6.6361678812538738E-3</v>
      </c>
      <c r="I719" s="4">
        <f>(Raw_Stock_Data!I719/Raw_Stock_Data!I718)-1</f>
        <v>3.0111034439495032E-3</v>
      </c>
      <c r="J719" s="4">
        <f>(Raw_Stock_Data!J719/Raw_Stock_Data!J718)-1</f>
        <v>7.7346834938185616E-4</v>
      </c>
    </row>
    <row r="720" spans="1:10" x14ac:dyDescent="0.2">
      <c r="A720" s="2">
        <v>45239</v>
      </c>
      <c r="B720" s="4">
        <f>(Raw_Stock_Data!B720/Raw_Stock_Data!B719)-1</f>
        <v>-2.6086139527684571E-3</v>
      </c>
      <c r="C720" s="4">
        <f>(Raw_Stock_Data!C720/Raw_Stock_Data!C719)-1</f>
        <v>-6.9098934330996675E-3</v>
      </c>
      <c r="D720" s="4">
        <f>(Raw_Stock_Data!D720/Raw_Stock_Data!D719)-1</f>
        <v>8.0740258652354235E-3</v>
      </c>
      <c r="E720" s="4">
        <f>(Raw_Stock_Data!E720/Raw_Stock_Data!E719)-1</f>
        <v>-8.8035918654816303E-4</v>
      </c>
      <c r="F720" s="4">
        <f>(Raw_Stock_Data!F720/Raw_Stock_Data!F719)-1</f>
        <v>-1.0416666666666741E-2</v>
      </c>
      <c r="G720" s="4">
        <f>(Raw_Stock_Data!G720/Raw_Stock_Data!G719)-1</f>
        <v>-5.4612579352573132E-2</v>
      </c>
      <c r="H720" s="4">
        <f>(Raw_Stock_Data!H720/Raw_Stock_Data!H719)-1</f>
        <v>-1.2126702343886686E-2</v>
      </c>
      <c r="I720" s="4">
        <f>(Raw_Stock_Data!I720/Raw_Stock_Data!I719)-1</f>
        <v>2.4079054349865903E-3</v>
      </c>
      <c r="J720" s="4">
        <f>(Raw_Stock_Data!J720/Raw_Stock_Data!J719)-1</f>
        <v>-9.447335281504321E-3</v>
      </c>
    </row>
    <row r="721" spans="1:10" x14ac:dyDescent="0.2">
      <c r="A721" s="2">
        <v>45240</v>
      </c>
      <c r="B721" s="4">
        <f>(Raw_Stock_Data!B721/Raw_Stock_Data!B720)-1</f>
        <v>2.3206458798561425E-2</v>
      </c>
      <c r="C721" s="4">
        <f>(Raw_Stock_Data!C721/Raw_Stock_Data!C720)-1</f>
        <v>2.4895882313427764E-2</v>
      </c>
      <c r="D721" s="4">
        <f>(Raw_Stock_Data!D721/Raw_Stock_Data!D720)-1</f>
        <v>2.9499750706332151E-2</v>
      </c>
      <c r="E721" s="4">
        <f>(Raw_Stock_Data!E721/Raw_Stock_Data!E720)-1</f>
        <v>4.4937879989426444E-2</v>
      </c>
      <c r="F721" s="4">
        <f>(Raw_Stock_Data!F721/Raw_Stock_Data!F720)-1</f>
        <v>2.1052631578947434E-2</v>
      </c>
      <c r="G721" s="4">
        <f>(Raw_Stock_Data!G721/Raw_Stock_Data!G720)-1</f>
        <v>2.2240213353652782E-2</v>
      </c>
      <c r="H721" s="4">
        <f>(Raw_Stock_Data!H721/Raw_Stock_Data!H720)-1</f>
        <v>1.8039608538182872E-2</v>
      </c>
      <c r="I721" s="4">
        <f>(Raw_Stock_Data!I721/Raw_Stock_Data!I720)-1</f>
        <v>2.5643425362657846E-2</v>
      </c>
      <c r="J721" s="4">
        <f>(Raw_Stock_Data!J721/Raw_Stock_Data!J720)-1</f>
        <v>2.0460823358441571E-2</v>
      </c>
    </row>
    <row r="722" spans="1:10" x14ac:dyDescent="0.2">
      <c r="A722" s="2">
        <v>45243</v>
      </c>
      <c r="B722" s="4">
        <f>(Raw_Stock_Data!B722/Raw_Stock_Data!B721)-1</f>
        <v>-8.5781592699899489E-3</v>
      </c>
      <c r="C722" s="4">
        <f>(Raw_Stock_Data!C722/Raw_Stock_Data!C721)-1</f>
        <v>-8.0888517489888789E-3</v>
      </c>
      <c r="D722" s="4">
        <f>(Raw_Stock_Data!D722/Raw_Stock_Data!D721)-1</f>
        <v>5.894393496298278E-3</v>
      </c>
      <c r="E722" s="4">
        <f>(Raw_Stock_Data!E722/Raw_Stock_Data!E721)-1</f>
        <v>-1.5178345560333928E-2</v>
      </c>
      <c r="F722" s="4">
        <f>(Raw_Stock_Data!F722/Raw_Stock_Data!F721)-1</f>
        <v>-6.7567567567567988E-3</v>
      </c>
      <c r="G722" s="4">
        <f>(Raw_Stock_Data!G722/Raw_Stock_Data!G721)-1</f>
        <v>4.2208245981830927E-2</v>
      </c>
      <c r="H722" s="4">
        <f>(Raw_Stock_Data!H722/Raw_Stock_Data!H721)-1</f>
        <v>-3.7695574176259683E-3</v>
      </c>
      <c r="I722" s="4">
        <f>(Raw_Stock_Data!I722/Raw_Stock_Data!I721)-1</f>
        <v>1.2774888219728719E-3</v>
      </c>
      <c r="J722" s="4">
        <f>(Raw_Stock_Data!J722/Raw_Stock_Data!J721)-1</f>
        <v>-2.2010260825577888E-3</v>
      </c>
    </row>
    <row r="723" spans="1:10" x14ac:dyDescent="0.2">
      <c r="A723" s="2">
        <v>45244</v>
      </c>
      <c r="B723" s="4">
        <f>(Raw_Stock_Data!B723/Raw_Stock_Data!B722)-1</f>
        <v>1.42840755772351E-2</v>
      </c>
      <c r="C723" s="4">
        <f>(Raw_Stock_Data!C723/Raw_Stock_Data!C722)-1</f>
        <v>9.7929359811244066E-3</v>
      </c>
      <c r="D723" s="4">
        <f>(Raw_Stock_Data!D723/Raw_Stock_Data!D722)-1</f>
        <v>2.1309866486701079E-2</v>
      </c>
      <c r="E723" s="4">
        <f>(Raw_Stock_Data!E723/Raw_Stock_Data!E722)-1</f>
        <v>2.6457744669920347E-2</v>
      </c>
      <c r="F723" s="4">
        <f>(Raw_Stock_Data!F723/Raw_Stock_Data!F722)-1</f>
        <v>2.2512097622554128E-2</v>
      </c>
      <c r="G723" s="4">
        <f>(Raw_Stock_Data!G723/Raw_Stock_Data!G722)-1</f>
        <v>6.1239998211970903E-2</v>
      </c>
      <c r="H723" s="4">
        <f>(Raw_Stock_Data!H723/Raw_Stock_Data!H722)-1</f>
        <v>1.1579403250438824E-2</v>
      </c>
      <c r="I723" s="4">
        <f>(Raw_Stock_Data!I723/Raw_Stock_Data!I722)-1</f>
        <v>2.1628846562775417E-2</v>
      </c>
      <c r="J723" s="4">
        <f>(Raw_Stock_Data!J723/Raw_Stock_Data!J722)-1</f>
        <v>2.3725026765467616E-2</v>
      </c>
    </row>
    <row r="724" spans="1:10" x14ac:dyDescent="0.2">
      <c r="A724" s="2">
        <v>45245</v>
      </c>
      <c r="B724" s="4">
        <f>(Raw_Stock_Data!B724/Raw_Stock_Data!B723)-1</f>
        <v>3.0373856941288135E-3</v>
      </c>
      <c r="C724" s="4">
        <f>(Raw_Stock_Data!C724/Raw_Stock_Data!C723)-1</f>
        <v>4.0624028704017157E-4</v>
      </c>
      <c r="D724" s="4">
        <f>(Raw_Stock_Data!D724/Raw_Stock_Data!D723)-1</f>
        <v>-1.5468112882169982E-2</v>
      </c>
      <c r="E724" s="4">
        <f>(Raw_Stock_Data!E724/Raw_Stock_Data!E723)-1</f>
        <v>-1.5682349015682329E-2</v>
      </c>
      <c r="F724" s="4">
        <f>(Raw_Stock_Data!F724/Raw_Stock_Data!F723)-1</f>
        <v>-1.7832647462277196E-2</v>
      </c>
      <c r="G724" s="4">
        <f>(Raw_Stock_Data!G724/Raw_Stock_Data!G723)-1</f>
        <v>2.2871825112674271E-2</v>
      </c>
      <c r="H724" s="4">
        <f>(Raw_Stock_Data!H724/Raw_Stock_Data!H723)-1</f>
        <v>7.4885268557951523E-3</v>
      </c>
      <c r="I724" s="4">
        <f>(Raw_Stock_Data!I724/Raw_Stock_Data!I723)-1</f>
        <v>-1.0704409622074973E-2</v>
      </c>
      <c r="J724" s="4">
        <f>(Raw_Stock_Data!J724/Raw_Stock_Data!J723)-1</f>
        <v>6.7118950957767431E-4</v>
      </c>
    </row>
    <row r="725" spans="1:10" x14ac:dyDescent="0.2">
      <c r="A725" s="2">
        <v>45246</v>
      </c>
      <c r="B725" s="4">
        <f>(Raw_Stock_Data!B725/Raw_Stock_Data!B724)-1</f>
        <v>9.0469798657717426E-3</v>
      </c>
      <c r="C725" s="4">
        <f>(Raw_Stock_Data!C725/Raw_Stock_Data!C724)-1</f>
        <v>1.7583879082215148E-2</v>
      </c>
      <c r="D725" s="4">
        <f>(Raw_Stock_Data!D725/Raw_Stock_Data!D724)-1</f>
        <v>1.2111774551972765E-2</v>
      </c>
      <c r="E725" s="4">
        <f>(Raw_Stock_Data!E725/Raw_Stock_Data!E724)-1</f>
        <v>1.5508474576271247E-2</v>
      </c>
      <c r="F725" s="4">
        <f>(Raw_Stock_Data!F725/Raw_Stock_Data!F724)-1</f>
        <v>-2.5837988826813429E-3</v>
      </c>
      <c r="G725" s="4">
        <f>(Raw_Stock_Data!G725/Raw_Stock_Data!G724)-1</f>
        <v>-3.8090924065228182E-2</v>
      </c>
      <c r="H725" s="4">
        <f>(Raw_Stock_Data!H725/Raw_Stock_Data!H724)-1</f>
        <v>1.7161942535077079E-2</v>
      </c>
      <c r="I725" s="4">
        <f>(Raw_Stock_Data!I725/Raw_Stock_Data!I724)-1</f>
        <v>4.4483183553245542E-3</v>
      </c>
      <c r="J725" s="4">
        <f>(Raw_Stock_Data!J725/Raw_Stock_Data!J724)-1</f>
        <v>6.9697330656048884E-4</v>
      </c>
    </row>
    <row r="726" spans="1:10" x14ac:dyDescent="0.2">
      <c r="A726" s="2">
        <v>45247</v>
      </c>
      <c r="B726" s="4">
        <f>(Raw_Stock_Data!B726/Raw_Stock_Data!B725)-1</f>
        <v>-1.0641977279379766E-4</v>
      </c>
      <c r="C726" s="4">
        <f>(Raw_Stock_Data!C726/Raw_Stock_Data!C725)-1</f>
        <v>-1.6805979982805752E-2</v>
      </c>
      <c r="D726" s="4">
        <f>(Raw_Stock_Data!D726/Raw_Stock_Data!D725)-1</f>
        <v>-3.6775929658705575E-3</v>
      </c>
      <c r="E726" s="4">
        <f>(Raw_Stock_Data!E726/Raw_Stock_Data!E725)-1</f>
        <v>6.5926729533505313E-3</v>
      </c>
      <c r="F726" s="4">
        <f>(Raw_Stock_Data!F726/Raw_Stock_Data!F725)-1</f>
        <v>1.6453126093957771E-2</v>
      </c>
      <c r="G726" s="4">
        <f>(Raw_Stock_Data!G726/Raw_Stock_Data!G725)-1</f>
        <v>3.0395136778116338E-3</v>
      </c>
      <c r="H726" s="4">
        <f>(Raw_Stock_Data!H726/Raw_Stock_Data!H725)-1</f>
        <v>-1.1837051804509113E-2</v>
      </c>
      <c r="I726" s="4">
        <f>(Raw_Stock_Data!I726/Raw_Stock_Data!I725)-1</f>
        <v>2.5434632993208695E-3</v>
      </c>
      <c r="J726" s="4">
        <f>(Raw_Stock_Data!J726/Raw_Stock_Data!J725)-1</f>
        <v>8.3677739383158922E-4</v>
      </c>
    </row>
    <row r="727" spans="1:10" x14ac:dyDescent="0.2">
      <c r="A727" s="2">
        <v>45250</v>
      </c>
      <c r="B727" s="4">
        <f>(Raw_Stock_Data!B727/Raw_Stock_Data!B726)-1</f>
        <v>9.280791847377845E-3</v>
      </c>
      <c r="C727" s="4">
        <f>(Raw_Stock_Data!C727/Raw_Stock_Data!C726)-1</f>
        <v>2.0522794630404517E-2</v>
      </c>
      <c r="D727" s="4">
        <f>(Raw_Stock_Data!D727/Raw_Stock_Data!D726)-1</f>
        <v>2.2534588208556139E-2</v>
      </c>
      <c r="E727" s="4">
        <f>(Raw_Stock_Data!E727/Raw_Stock_Data!E726)-1</f>
        <v>7.5443541701210037E-3</v>
      </c>
      <c r="F727" s="4">
        <f>(Raw_Stock_Data!F727/Raw_Stock_Data!F726)-1</f>
        <v>6.5436010469761552E-3</v>
      </c>
      <c r="G727" s="4">
        <f>(Raw_Stock_Data!G727/Raw_Stock_Data!G726)-1</f>
        <v>5.5484421681604168E-3</v>
      </c>
      <c r="H727" s="4">
        <f>(Raw_Stock_Data!H727/Raw_Stock_Data!H726)-1</f>
        <v>6.9499558674095407E-3</v>
      </c>
      <c r="I727" s="4">
        <f>(Raw_Stock_Data!I727/Raw_Stock_Data!I726)-1</f>
        <v>1.4714660936007595E-2</v>
      </c>
      <c r="J727" s="4">
        <f>(Raw_Stock_Data!J727/Raw_Stock_Data!J726)-1</f>
        <v>1.1259794357430852E-2</v>
      </c>
    </row>
    <row r="728" spans="1:10" x14ac:dyDescent="0.2">
      <c r="A728" s="2">
        <v>45251</v>
      </c>
      <c r="B728" s="4">
        <f>(Raw_Stock_Data!B728/Raw_Stock_Data!B727)-1</f>
        <v>-4.2339145519062482E-3</v>
      </c>
      <c r="C728" s="4">
        <f>(Raw_Stock_Data!C728/Raw_Stock_Data!C727)-1</f>
        <v>-1.1576508522894047E-2</v>
      </c>
      <c r="D728" s="4">
        <f>(Raw_Stock_Data!D728/Raw_Stock_Data!D727)-1</f>
        <v>-9.2239974757046816E-3</v>
      </c>
      <c r="E728" s="4">
        <f>(Raw_Stock_Data!E728/Raw_Stock_Data!E727)-1</f>
        <v>-1.9501357689459375E-2</v>
      </c>
      <c r="F728" s="4">
        <f>(Raw_Stock_Data!F728/Raw_Stock_Data!F727)-1</f>
        <v>-1.5260384589064424E-2</v>
      </c>
      <c r="G728" s="4">
        <f>(Raw_Stock_Data!G728/Raw_Stock_Data!G727)-1</f>
        <v>2.3769100169779289E-2</v>
      </c>
      <c r="H728" s="4">
        <f>(Raw_Stock_Data!H728/Raw_Stock_Data!H727)-1</f>
        <v>5.2888227581431302E-3</v>
      </c>
      <c r="I728" s="4">
        <f>(Raw_Stock_Data!I728/Raw_Stock_Data!I727)-1</f>
        <v>-8.7948936670882993E-3</v>
      </c>
      <c r="J728" s="4">
        <f>(Raw_Stock_Data!J728/Raw_Stock_Data!J727)-1</f>
        <v>-5.918990684327774E-3</v>
      </c>
    </row>
    <row r="729" spans="1:10" x14ac:dyDescent="0.2">
      <c r="A729" s="2">
        <v>45252</v>
      </c>
      <c r="B729" s="4">
        <f>(Raw_Stock_Data!B729/Raw_Stock_Data!B728)-1</f>
        <v>3.5159062989791323E-3</v>
      </c>
      <c r="C729" s="4">
        <f>(Raw_Stock_Data!C729/Raw_Stock_Data!C728)-1</f>
        <v>1.2813900043478155E-2</v>
      </c>
      <c r="D729" s="4">
        <f>(Raw_Stock_Data!D729/Raw_Stock_Data!D728)-1</f>
        <v>-2.4590640053679946E-2</v>
      </c>
      <c r="E729" s="4">
        <f>(Raw_Stock_Data!E729/Raw_Stock_Data!E728)-1</f>
        <v>2.8113460892917219E-2</v>
      </c>
      <c r="F729" s="4">
        <f>(Raw_Stock_Data!F729/Raw_Stock_Data!F728)-1</f>
        <v>1.9527449617790182E-2</v>
      </c>
      <c r="G729" s="4">
        <f>(Raw_Stock_Data!G729/Raw_Stock_Data!G728)-1</f>
        <v>-2.8980099502487477E-2</v>
      </c>
      <c r="H729" s="4">
        <f>(Raw_Stock_Data!H729/Raw_Stock_Data!H728)-1</f>
        <v>1.1093525601570953E-2</v>
      </c>
      <c r="I729" s="4">
        <f>(Raw_Stock_Data!I729/Raw_Stock_Data!I728)-1</f>
        <v>1.3383583595465653E-2</v>
      </c>
      <c r="J729" s="4">
        <f>(Raw_Stock_Data!J729/Raw_Stock_Data!J728)-1</f>
        <v>4.6394431541454395E-3</v>
      </c>
    </row>
    <row r="730" spans="1:10" x14ac:dyDescent="0.2">
      <c r="A730" s="2">
        <v>45254</v>
      </c>
      <c r="B730" s="4">
        <f>(Raw_Stock_Data!B730/Raw_Stock_Data!B729)-1</f>
        <v>-7.0018995356690983E-3</v>
      </c>
      <c r="C730" s="4">
        <f>(Raw_Stock_Data!C730/Raw_Stock_Data!C729)-1</f>
        <v>-1.1145299509927042E-3</v>
      </c>
      <c r="D730" s="4">
        <f>(Raw_Stock_Data!D730/Raw_Stock_Data!D729)-1</f>
        <v>-1.9292452636464175E-2</v>
      </c>
      <c r="E730" s="4">
        <f>(Raw_Stock_Data!E730/Raw_Stock_Data!E729)-1</f>
        <v>-1.6325197943025671E-3</v>
      </c>
      <c r="F730" s="4">
        <f>(Raw_Stock_Data!F730/Raw_Stock_Data!F729)-1</f>
        <v>2.0448503851144828E-4</v>
      </c>
      <c r="G730" s="4">
        <f>(Raw_Stock_Data!G730/Raw_Stock_Data!G729)-1</f>
        <v>5.2943939199863177E-3</v>
      </c>
      <c r="H730" s="4">
        <f>(Raw_Stock_Data!H730/Raw_Stock_Data!H729)-1</f>
        <v>-1.3000942097253554E-2</v>
      </c>
      <c r="I730" s="4">
        <f>(Raw_Stock_Data!I730/Raw_Stock_Data!I729)-1</f>
        <v>-9.5463996017453034E-3</v>
      </c>
      <c r="J730" s="4">
        <f>(Raw_Stock_Data!J730/Raw_Stock_Data!J729)-1</f>
        <v>-1.0521622951578102E-3</v>
      </c>
    </row>
    <row r="731" spans="1:10" x14ac:dyDescent="0.2">
      <c r="A731" s="2">
        <v>45257</v>
      </c>
      <c r="B731" s="4">
        <f>(Raw_Stock_Data!B731/Raw_Stock_Data!B730)-1</f>
        <v>-9.5115121178790396E-4</v>
      </c>
      <c r="C731" s="4">
        <f>(Raw_Stock_Data!C731/Raw_Stock_Data!C730)-1</f>
        <v>3.1284367425821191E-3</v>
      </c>
      <c r="D731" s="4">
        <f>(Raw_Stock_Data!D731/Raw_Stock_Data!D730)-1</f>
        <v>9.753278487718342E-3</v>
      </c>
      <c r="E731" s="4">
        <f>(Raw_Stock_Data!E731/Raw_Stock_Data!E730)-1</f>
        <v>2.7798217643693057E-3</v>
      </c>
      <c r="F731" s="4">
        <f>(Raw_Stock_Data!F731/Raw_Stock_Data!F730)-1</f>
        <v>6.7466266866564872E-3</v>
      </c>
      <c r="G731" s="4">
        <f>(Raw_Stock_Data!G731/Raw_Stock_Data!G730)-1</f>
        <v>2.6757273306434737E-3</v>
      </c>
      <c r="H731" s="4">
        <f>(Raw_Stock_Data!H731/Raw_Stock_Data!H730)-1</f>
        <v>-2.0485183118447159E-3</v>
      </c>
      <c r="I731" s="4">
        <f>(Raw_Stock_Data!I731/Raw_Stock_Data!I730)-1</f>
        <v>-1.0436685095940756E-2</v>
      </c>
      <c r="J731" s="4">
        <f>(Raw_Stock_Data!J731/Raw_Stock_Data!J730)-1</f>
        <v>-6.8978341642778052E-4</v>
      </c>
    </row>
    <row r="732" spans="1:10" x14ac:dyDescent="0.2">
      <c r="A732" s="2">
        <v>45258</v>
      </c>
      <c r="B732" s="4">
        <f>(Raw_Stock_Data!B732/Raw_Stock_Data!B731)-1</f>
        <v>3.2125267267331115E-3</v>
      </c>
      <c r="C732" s="4">
        <f>(Raw_Stock_Data!C732/Raw_Stock_Data!C731)-1</f>
        <v>1.0803618946247928E-2</v>
      </c>
      <c r="D732" s="4">
        <f>(Raw_Stock_Data!D732/Raw_Stock_Data!D731)-1</f>
        <v>-8.7259274926851926E-3</v>
      </c>
      <c r="E732" s="4">
        <f>(Raw_Stock_Data!E732/Raw_Stock_Data!E731)-1</f>
        <v>-5.2181002853648462E-3</v>
      </c>
      <c r="F732" s="4">
        <f>(Raw_Stock_Data!F732/Raw_Stock_Data!F731)-1</f>
        <v>-4.7383740607864766E-3</v>
      </c>
      <c r="G732" s="4">
        <f>(Raw_Stock_Data!G732/Raw_Stock_Data!G731)-1</f>
        <v>4.5069467976956989E-2</v>
      </c>
      <c r="H732" s="4">
        <f>(Raw_Stock_Data!H732/Raw_Stock_Data!H731)-1</f>
        <v>5.7902984909907751E-3</v>
      </c>
      <c r="I732" s="4">
        <f>(Raw_Stock_Data!I732/Raw_Stock_Data!I731)-1</f>
        <v>1.2817448461308611E-2</v>
      </c>
      <c r="J732" s="4">
        <f>(Raw_Stock_Data!J732/Raw_Stock_Data!J731)-1</f>
        <v>2.860750142896995E-3</v>
      </c>
    </row>
    <row r="733" spans="1:10" x14ac:dyDescent="0.2">
      <c r="A733" s="2">
        <v>45259</v>
      </c>
      <c r="B733" s="4">
        <f>(Raw_Stock_Data!B733/Raw_Stock_Data!B732)-1</f>
        <v>-5.4024536364504216E-3</v>
      </c>
      <c r="C733" s="4">
        <f>(Raw_Stock_Data!C733/Raw_Stock_Data!C732)-1</f>
        <v>-1.0061601642710527E-2</v>
      </c>
      <c r="D733" s="4">
        <f>(Raw_Stock_Data!D733/Raw_Stock_Data!D732)-1</f>
        <v>6.668995655111809E-3</v>
      </c>
      <c r="E733" s="4">
        <f>(Raw_Stock_Data!E733/Raw_Stock_Data!E732)-1</f>
        <v>1.5080731087615762E-2</v>
      </c>
      <c r="F733" s="4">
        <f>(Raw_Stock_Data!F733/Raw_Stock_Data!F732)-1</f>
        <v>-4.8289464735088439E-3</v>
      </c>
      <c r="G733" s="4">
        <f>(Raw_Stock_Data!G733/Raw_Stock_Data!G732)-1</f>
        <v>-1.045719844357984E-2</v>
      </c>
      <c r="H733" s="4">
        <f>(Raw_Stock_Data!H733/Raw_Stock_Data!H732)-1</f>
        <v>-1.6107794943820197E-2</v>
      </c>
      <c r="I733" s="4">
        <f>(Raw_Stock_Data!I733/Raw_Stock_Data!I732)-1</f>
        <v>-2.0030089383167748E-2</v>
      </c>
      <c r="J733" s="4">
        <f>(Raw_Stock_Data!J733/Raw_Stock_Data!J732)-1</f>
        <v>-1.6293510043580151E-3</v>
      </c>
    </row>
    <row r="734" spans="1:10" x14ac:dyDescent="0.2">
      <c r="A734" s="2">
        <v>45260</v>
      </c>
      <c r="B734" s="4">
        <f>(Raw_Stock_Data!B734/Raw_Stock_Data!B733)-1</f>
        <v>3.0597178023337168E-3</v>
      </c>
      <c r="C734" s="4">
        <f>(Raw_Stock_Data!C734/Raw_Stock_Data!C733)-1</f>
        <v>1.5955834250802603E-4</v>
      </c>
      <c r="D734" s="4">
        <f>(Raw_Stock_Data!D734/Raw_Stock_Data!D733)-1</f>
        <v>-2.8456779733220361E-2</v>
      </c>
      <c r="E734" s="4">
        <f>(Raw_Stock_Data!E734/Raw_Stock_Data!E733)-1</f>
        <v>-2.1719822365764974E-2</v>
      </c>
      <c r="F734" s="4">
        <f>(Raw_Stock_Data!F734/Raw_Stock_Data!F733)-1</f>
        <v>-1.5718972115910113E-3</v>
      </c>
      <c r="G734" s="4">
        <f>(Raw_Stock_Data!G734/Raw_Stock_Data!G733)-1</f>
        <v>-1.6629802572294516E-2</v>
      </c>
      <c r="H734" s="4">
        <f>(Raw_Stock_Data!H734/Raw_Stock_Data!H733)-1</f>
        <v>-1.8215342522787892E-2</v>
      </c>
      <c r="I734" s="4">
        <f>(Raw_Stock_Data!I734/Raw_Stock_Data!I733)-1</f>
        <v>-1.5201685731487058E-2</v>
      </c>
      <c r="J734" s="4">
        <f>(Raw_Stock_Data!J734/Raw_Stock_Data!J733)-1</f>
        <v>-2.2632130050237453E-3</v>
      </c>
    </row>
    <row r="735" spans="1:10" x14ac:dyDescent="0.2">
      <c r="A735" s="2">
        <v>45261</v>
      </c>
      <c r="B735" s="4">
        <f>(Raw_Stock_Data!B735/Raw_Stock_Data!B734)-1</f>
        <v>6.7863083439174687E-3</v>
      </c>
      <c r="C735" s="4">
        <f>(Raw_Stock_Data!C735/Raw_Stock_Data!C734)-1</f>
        <v>-1.1611335343447715E-2</v>
      </c>
      <c r="D735" s="4">
        <f>(Raw_Stock_Data!D735/Raw_Stock_Data!D734)-1</f>
        <v>-1.0694569511482399E-4</v>
      </c>
      <c r="E735" s="4">
        <f>(Raw_Stock_Data!E735/Raw_Stock_Data!E734)-1</f>
        <v>1.8983162759986794E-3</v>
      </c>
      <c r="F735" s="4">
        <f>(Raw_Stock_Data!F735/Raw_Stock_Data!F734)-1</f>
        <v>6.4343897597372024E-3</v>
      </c>
      <c r="G735" s="4">
        <f>(Raw_Stock_Data!G735/Raw_Stock_Data!G734)-1</f>
        <v>-5.2065978007330704E-3</v>
      </c>
      <c r="H735" s="4">
        <f>(Raw_Stock_Data!H735/Raw_Stock_Data!H734)-1</f>
        <v>-5.0661860479204179E-3</v>
      </c>
      <c r="I735" s="4">
        <f>(Raw_Stock_Data!I735/Raw_Stock_Data!I734)-1</f>
        <v>-7.1221152376584884E-3</v>
      </c>
      <c r="J735" s="4">
        <f>(Raw_Stock_Data!J735/Raw_Stock_Data!J734)-1</f>
        <v>5.5397709300153419E-3</v>
      </c>
    </row>
    <row r="736" spans="1:10" x14ac:dyDescent="0.2">
      <c r="A736" s="2">
        <v>45264</v>
      </c>
      <c r="B736" s="4">
        <f>(Raw_Stock_Data!B736/Raw_Stock_Data!B735)-1</f>
        <v>-9.4536817102137682E-3</v>
      </c>
      <c r="C736" s="4">
        <f>(Raw_Stock_Data!C736/Raw_Stock_Data!C735)-1</f>
        <v>-1.4338325294366072E-2</v>
      </c>
      <c r="D736" s="4">
        <f>(Raw_Stock_Data!D736/Raw_Stock_Data!D735)-1</f>
        <v>-2.6835544850334903E-2</v>
      </c>
      <c r="E736" s="4">
        <f>(Raw_Stock_Data!E736/Raw_Stock_Data!E735)-1</f>
        <v>-2.3230908641568515E-2</v>
      </c>
      <c r="F736" s="4">
        <f>(Raw_Stock_Data!F736/Raw_Stock_Data!F735)-1</f>
        <v>-1.4894919404203177E-2</v>
      </c>
      <c r="G736" s="4">
        <f>(Raw_Stock_Data!G736/Raw_Stock_Data!G735)-1</f>
        <v>-1.3608005694426994E-2</v>
      </c>
      <c r="H736" s="4">
        <f>(Raw_Stock_Data!H736/Raw_Stock_Data!H735)-1</f>
        <v>-1.9637243783442448E-2</v>
      </c>
      <c r="I736" s="4">
        <f>(Raw_Stock_Data!I736/Raw_Stock_Data!I735)-1</f>
        <v>-1.4777415183794163E-2</v>
      </c>
      <c r="J736" s="4">
        <f>(Raw_Stock_Data!J736/Raw_Stock_Data!J735)-1</f>
        <v>-8.3565011747616103E-3</v>
      </c>
    </row>
    <row r="737" spans="1:10" x14ac:dyDescent="0.2">
      <c r="A737" s="2">
        <v>45265</v>
      </c>
      <c r="B737" s="4">
        <f>(Raw_Stock_Data!B737/Raw_Stock_Data!B736)-1</f>
        <v>2.1054146084120706E-2</v>
      </c>
      <c r="C737" s="4">
        <f>(Raw_Stock_Data!C737/Raw_Stock_Data!C736)-1</f>
        <v>9.1539051476388078E-3</v>
      </c>
      <c r="D737" s="4">
        <f>(Raw_Stock_Data!D737/Raw_Stock_Data!D736)-1</f>
        <v>2.3291392999393201E-2</v>
      </c>
      <c r="E737" s="4">
        <f>(Raw_Stock_Data!E737/Raw_Stock_Data!E736)-1</f>
        <v>-1.6024289449270146E-3</v>
      </c>
      <c r="F737" s="4">
        <f>(Raw_Stock_Data!F737/Raw_Stock_Data!F736)-1</f>
        <v>1.4084507042253502E-2</v>
      </c>
      <c r="G737" s="4">
        <f>(Raw_Stock_Data!G737/Raw_Stock_Data!G736)-1</f>
        <v>1.3328805501315877E-2</v>
      </c>
      <c r="H737" s="4">
        <f>(Raw_Stock_Data!H737/Raw_Stock_Data!H736)-1</f>
        <v>1.3307143467155225E-2</v>
      </c>
      <c r="I737" s="4">
        <f>(Raw_Stock_Data!I737/Raw_Stock_Data!I736)-1</f>
        <v>-5.4059121304916857E-3</v>
      </c>
      <c r="J737" s="4">
        <f>(Raw_Stock_Data!J737/Raw_Stock_Data!J736)-1</f>
        <v>3.1313687436951287E-3</v>
      </c>
    </row>
    <row r="738" spans="1:10" x14ac:dyDescent="0.2">
      <c r="A738" s="2">
        <v>45266</v>
      </c>
      <c r="B738" s="4">
        <f>(Raw_Stock_Data!B738/Raw_Stock_Data!B737)-1</f>
        <v>-5.6834194457493492E-3</v>
      </c>
      <c r="C738" s="4">
        <f>(Raw_Stock_Data!C738/Raw_Stock_Data!C737)-1</f>
        <v>-9.9876945545022133E-3</v>
      </c>
      <c r="D738" s="4">
        <f>(Raw_Stock_Data!D738/Raw_Stock_Data!D737)-1</f>
        <v>-2.2825694695055909E-2</v>
      </c>
      <c r="E738" s="4">
        <f>(Raw_Stock_Data!E738/Raw_Stock_Data!E737)-1</f>
        <v>-1.3177901672579817E-2</v>
      </c>
      <c r="F738" s="4">
        <f>(Raw_Stock_Data!F738/Raw_Stock_Data!F737)-1</f>
        <v>-1.6067538126361525E-2</v>
      </c>
      <c r="G738" s="4">
        <f>(Raw_Stock_Data!G738/Raw_Stock_Data!G737)-1</f>
        <v>2.7228552278819596E-3</v>
      </c>
      <c r="H738" s="4">
        <f>(Raw_Stock_Data!H738/Raw_Stock_Data!H737)-1</f>
        <v>-7.401334692032524E-3</v>
      </c>
      <c r="I738" s="4">
        <f>(Raw_Stock_Data!I738/Raw_Stock_Data!I737)-1</f>
        <v>-2.6391027050803872E-3</v>
      </c>
      <c r="J738" s="4">
        <f>(Raw_Stock_Data!J738/Raw_Stock_Data!J737)-1</f>
        <v>-5.8468395091747505E-3</v>
      </c>
    </row>
    <row r="739" spans="1:10" x14ac:dyDescent="0.2">
      <c r="A739" s="2">
        <v>45267</v>
      </c>
      <c r="B739" s="4">
        <f>(Raw_Stock_Data!B739/Raw_Stock_Data!B738)-1</f>
        <v>1.013011689000165E-2</v>
      </c>
      <c r="C739" s="4">
        <f>(Raw_Stock_Data!C739/Raw_Stock_Data!C738)-1</f>
        <v>5.8296135627298185E-3</v>
      </c>
      <c r="D739" s="4">
        <f>(Raw_Stock_Data!D739/Raw_Stock_Data!D738)-1</f>
        <v>2.4018359998417171E-2</v>
      </c>
      <c r="E739" s="4">
        <f>(Raw_Stock_Data!E739/Raw_Stock_Data!E738)-1</f>
        <v>9.8870056497175174E-2</v>
      </c>
      <c r="F739" s="4">
        <f>(Raw_Stock_Data!F739/Raw_Stock_Data!F738)-1</f>
        <v>1.6329919734292764E-2</v>
      </c>
      <c r="G739" s="4">
        <f>(Raw_Stock_Data!G739/Raw_Stock_Data!G738)-1</f>
        <v>1.366085975686171E-2</v>
      </c>
      <c r="H739" s="4">
        <f>(Raw_Stock_Data!H739/Raw_Stock_Data!H738)-1</f>
        <v>5.3145093438105695E-2</v>
      </c>
      <c r="I739" s="4">
        <f>(Raw_Stock_Data!I739/Raw_Stock_Data!I738)-1</f>
        <v>2.8791935737911389E-2</v>
      </c>
      <c r="J739" s="4">
        <f>(Raw_Stock_Data!J739/Raw_Stock_Data!J738)-1</f>
        <v>1.3662540618984975E-2</v>
      </c>
    </row>
    <row r="740" spans="1:10" x14ac:dyDescent="0.2">
      <c r="A740" s="2">
        <v>45268</v>
      </c>
      <c r="B740" s="4">
        <f>(Raw_Stock_Data!B740/Raw_Stock_Data!B739)-1</f>
        <v>7.4200705634162034E-3</v>
      </c>
      <c r="C740" s="4">
        <f>(Raw_Stock_Data!C740/Raw_Stock_Data!C739)-1</f>
        <v>8.8404002216211364E-3</v>
      </c>
      <c r="D740" s="4">
        <f>(Raw_Stock_Data!D740/Raw_Stock_Data!D739)-1</f>
        <v>1.952866723339941E-2</v>
      </c>
      <c r="E740" s="4">
        <f>(Raw_Stock_Data!E740/Raw_Stock_Data!E739)-1</f>
        <v>4.2844901456724482E-3</v>
      </c>
      <c r="F740" s="4">
        <f>(Raw_Stock_Data!F740/Raw_Stock_Data!F739)-1</f>
        <v>3.6764705882352811E-3</v>
      </c>
      <c r="G740" s="4">
        <f>(Raw_Stock_Data!G740/Raw_Stock_Data!G739)-1</f>
        <v>4.9455984174084922E-3</v>
      </c>
      <c r="H740" s="4">
        <f>(Raw_Stock_Data!H740/Raw_Stock_Data!H739)-1</f>
        <v>-1.4175144390043637E-2</v>
      </c>
      <c r="I740" s="4">
        <f>(Raw_Stock_Data!I740/Raw_Stock_Data!I739)-1</f>
        <v>1.8861569552037771E-2</v>
      </c>
      <c r="J740" s="4">
        <f>(Raw_Stock_Data!J740/Raw_Stock_Data!J739)-1</f>
        <v>4.4616488574957813E-3</v>
      </c>
    </row>
    <row r="741" spans="1:10" x14ac:dyDescent="0.2">
      <c r="A741" s="2">
        <v>45271</v>
      </c>
      <c r="B741" s="4">
        <f>(Raw_Stock_Data!B741/Raw_Stock_Data!B740)-1</f>
        <v>-1.2925587608766276E-2</v>
      </c>
      <c r="C741" s="4">
        <f>(Raw_Stock_Data!C741/Raw_Stock_Data!C740)-1</f>
        <v>-7.8260658875599631E-3</v>
      </c>
      <c r="D741" s="4">
        <f>(Raw_Stock_Data!D741/Raw_Stock_Data!D740)-1</f>
        <v>-1.8501868716113146E-2</v>
      </c>
      <c r="E741" s="4">
        <f>(Raw_Stock_Data!E741/Raw_Stock_Data!E740)-1</f>
        <v>4.2584548557244917E-2</v>
      </c>
      <c r="F741" s="4">
        <f>(Raw_Stock_Data!F741/Raw_Stock_Data!F740)-1</f>
        <v>-1.0378510378510342E-2</v>
      </c>
      <c r="G741" s="4">
        <f>(Raw_Stock_Data!G741/Raw_Stock_Data!G740)-1</f>
        <v>-1.6814304461942209E-2</v>
      </c>
      <c r="H741" s="4">
        <f>(Raw_Stock_Data!H741/Raw_Stock_Data!H740)-1</f>
        <v>-1.2587173424930542E-2</v>
      </c>
      <c r="I741" s="4">
        <f>(Raw_Stock_Data!I741/Raw_Stock_Data!I740)-1</f>
        <v>-2.2449286250939227E-2</v>
      </c>
      <c r="J741" s="4">
        <f>(Raw_Stock_Data!J741/Raw_Stock_Data!J740)-1</f>
        <v>1.9800096778874732E-3</v>
      </c>
    </row>
    <row r="742" spans="1:10" x14ac:dyDescent="0.2">
      <c r="A742" s="2">
        <v>45272</v>
      </c>
      <c r="B742" s="4">
        <f>(Raw_Stock_Data!B742/Raw_Stock_Data!B741)-1</f>
        <v>7.9217026435287607E-3</v>
      </c>
      <c r="C742" s="4">
        <f>(Raw_Stock_Data!C742/Raw_Stock_Data!C741)-1</f>
        <v>8.2948033342016281E-3</v>
      </c>
      <c r="D742" s="4">
        <f>(Raw_Stock_Data!D742/Raw_Stock_Data!D741)-1</f>
        <v>2.2090024842428724E-2</v>
      </c>
      <c r="E742" s="4">
        <f>(Raw_Stock_Data!E742/Raw_Stock_Data!E741)-1</f>
        <v>2.3807752399375159E-2</v>
      </c>
      <c r="F742" s="4">
        <f>(Raw_Stock_Data!F742/Raw_Stock_Data!F741)-1</f>
        <v>1.0898622249640111E-2</v>
      </c>
      <c r="G742" s="4">
        <f>(Raw_Stock_Data!G742/Raw_Stock_Data!G741)-1</f>
        <v>-1.1387336280971105E-2</v>
      </c>
      <c r="H742" s="4">
        <f>(Raw_Stock_Data!H742/Raw_Stock_Data!H741)-1</f>
        <v>-5.7752110173255877E-3</v>
      </c>
      <c r="I742" s="4">
        <f>(Raw_Stock_Data!I742/Raw_Stock_Data!I741)-1</f>
        <v>2.7484013772749893E-2</v>
      </c>
      <c r="J742" s="4">
        <f>(Raw_Stock_Data!J742/Raw_Stock_Data!J741)-1</f>
        <v>6.9918634968739735E-3</v>
      </c>
    </row>
    <row r="743" spans="1:10" x14ac:dyDescent="0.2">
      <c r="A743" s="2">
        <v>45273</v>
      </c>
      <c r="B743" s="4">
        <f>(Raw_Stock_Data!B743/Raw_Stock_Data!B742)-1</f>
        <v>1.6688354442192077E-2</v>
      </c>
      <c r="C743" s="4">
        <f>(Raw_Stock_Data!C743/Raw_Stock_Data!C742)-1</f>
        <v>-2.6910584201900178E-5</v>
      </c>
      <c r="D743" s="4">
        <f>(Raw_Stock_Data!D743/Raw_Stock_Data!D742)-1</f>
        <v>9.0442557746595043E-3</v>
      </c>
      <c r="E743" s="4">
        <f>(Raw_Stock_Data!E743/Raw_Stock_Data!E742)-1</f>
        <v>4.2148099702055131E-3</v>
      </c>
      <c r="F743" s="4">
        <f>(Raw_Stock_Data!F743/Raw_Stock_Data!F742)-1</f>
        <v>9.2215893680500649E-3</v>
      </c>
      <c r="G743" s="4">
        <f>(Raw_Stock_Data!G743/Raw_Stock_Data!G742)-1</f>
        <v>9.6198472638284738E-3</v>
      </c>
      <c r="H743" s="4">
        <f>(Raw_Stock_Data!H743/Raw_Stock_Data!H742)-1</f>
        <v>3.7866739370806535E-4</v>
      </c>
      <c r="I743" s="4">
        <f>(Raw_Stock_Data!I743/Raw_Stock_Data!I742)-1</f>
        <v>1.5558614086528255E-3</v>
      </c>
      <c r="J743" s="4">
        <f>(Raw_Stock_Data!J743/Raw_Stock_Data!J742)-1</f>
        <v>1.3799936697538095E-2</v>
      </c>
    </row>
    <row r="744" spans="1:10" x14ac:dyDescent="0.2">
      <c r="A744" s="2">
        <v>45274</v>
      </c>
      <c r="B744" s="4">
        <f>(Raw_Stock_Data!B744/Raw_Stock_Data!B743)-1</f>
        <v>7.5978542435795049E-4</v>
      </c>
      <c r="C744" s="4">
        <f>(Raw_Stock_Data!C744/Raw_Stock_Data!C743)-1</f>
        <v>-2.2543603047436633E-2</v>
      </c>
      <c r="D744" s="4">
        <f>(Raw_Stock_Data!D744/Raw_Stock_Data!D743)-1</f>
        <v>5.4478059008538082E-3</v>
      </c>
      <c r="E744" s="4">
        <f>(Raw_Stock_Data!E744/Raw_Stock_Data!E743)-1</f>
        <v>-1.3749185903466632E-3</v>
      </c>
      <c r="F744" s="4">
        <f>(Raw_Stock_Data!F744/Raw_Stock_Data!F743)-1</f>
        <v>-9.5404461166354038E-3</v>
      </c>
      <c r="G744" s="4">
        <f>(Raw_Stock_Data!G744/Raw_Stock_Data!G743)-1</f>
        <v>4.9145388440804183E-2</v>
      </c>
      <c r="H744" s="4">
        <f>(Raw_Stock_Data!H744/Raw_Stock_Data!H743)-1</f>
        <v>-4.7618326620841867E-3</v>
      </c>
      <c r="I744" s="4">
        <f>(Raw_Stock_Data!I744/Raw_Stock_Data!I743)-1</f>
        <v>-4.6902073250880694E-3</v>
      </c>
      <c r="J744" s="4">
        <f>(Raw_Stock_Data!J744/Raw_Stock_Data!J743)-1</f>
        <v>1.8732234918514834E-3</v>
      </c>
    </row>
    <row r="745" spans="1:10" x14ac:dyDescent="0.2">
      <c r="A745" s="2">
        <v>45275</v>
      </c>
      <c r="B745" s="4">
        <f>(Raw_Stock_Data!B745/Raw_Stock_Data!B744)-1</f>
        <v>-2.7260174159392525E-3</v>
      </c>
      <c r="C745" s="4">
        <f>(Raw_Stock_Data!C745/Raw_Stock_Data!C744)-1</f>
        <v>1.311623450637911E-2</v>
      </c>
      <c r="D745" s="4">
        <f>(Raw_Stock_Data!D745/Raw_Stock_Data!D744)-1</f>
        <v>1.1167590403071692E-2</v>
      </c>
      <c r="E745" s="4">
        <f>(Raw_Stock_Data!E745/Raw_Stock_Data!E744)-1</f>
        <v>8.3333333333333037E-3</v>
      </c>
      <c r="F745" s="4">
        <f>(Raw_Stock_Data!F745/Raw_Stock_Data!F744)-1</f>
        <v>1.7297517297517384E-2</v>
      </c>
      <c r="G745" s="4">
        <f>(Raw_Stock_Data!G745/Raw_Stock_Data!G744)-1</f>
        <v>9.7590121489743442E-3</v>
      </c>
      <c r="H745" s="4">
        <f>(Raw_Stock_Data!H745/Raw_Stock_Data!H744)-1</f>
        <v>5.0052105915734391E-3</v>
      </c>
      <c r="I745" s="4">
        <f>(Raw_Stock_Data!I745/Raw_Stock_Data!I744)-1</f>
        <v>5.2525737611428536E-3</v>
      </c>
      <c r="J745" s="4">
        <f>(Raw_Stock_Data!J745/Raw_Stock_Data!J744)-1</f>
        <v>3.5470505827297494E-3</v>
      </c>
    </row>
    <row r="746" spans="1:10" x14ac:dyDescent="0.2">
      <c r="A746" s="2">
        <v>45278</v>
      </c>
      <c r="B746" s="4">
        <f>(Raw_Stock_Data!B746/Raw_Stock_Data!B745)-1</f>
        <v>-8.5018546714218379E-3</v>
      </c>
      <c r="C746" s="4">
        <f>(Raw_Stock_Data!C746/Raw_Stock_Data!C745)-1</f>
        <v>5.1796574795233141E-3</v>
      </c>
      <c r="D746" s="4">
        <f>(Raw_Stock_Data!D746/Raw_Stock_Data!D745)-1</f>
        <v>2.4279760455519162E-2</v>
      </c>
      <c r="E746" s="4">
        <f>(Raw_Stock_Data!E746/Raw_Stock_Data!E745)-1</f>
        <v>-1.7966223499820133E-3</v>
      </c>
      <c r="F746" s="4">
        <f>(Raw_Stock_Data!F746/Raw_Stock_Data!F745)-1</f>
        <v>2.7338801093552023E-2</v>
      </c>
      <c r="G746" s="4">
        <f>(Raw_Stock_Data!G746/Raw_Stock_Data!G745)-1</f>
        <v>-5.6015779092701834E-3</v>
      </c>
      <c r="H746" s="4">
        <f>(Raw_Stock_Data!H746/Raw_Stock_Data!H745)-1</f>
        <v>2.4129396538021819E-2</v>
      </c>
      <c r="I746" s="4">
        <f>(Raw_Stock_Data!I746/Raw_Stock_Data!I745)-1</f>
        <v>2.8962140212588139E-2</v>
      </c>
      <c r="J746" s="4">
        <f>(Raw_Stock_Data!J746/Raw_Stock_Data!J745)-1</f>
        <v>6.1610971302668016E-3</v>
      </c>
    </row>
    <row r="747" spans="1:10" x14ac:dyDescent="0.2">
      <c r="A747" s="2">
        <v>45279</v>
      </c>
      <c r="B747" s="4">
        <f>(Raw_Stock_Data!B747/Raw_Stock_Data!B746)-1</f>
        <v>5.3592225004897021E-3</v>
      </c>
      <c r="C747" s="4">
        <f>(Raw_Stock_Data!C747/Raw_Stock_Data!C746)-1</f>
        <v>1.6356479328654139E-3</v>
      </c>
      <c r="D747" s="4">
        <f>(Raw_Stock_Data!D747/Raw_Stock_Data!D746)-1</f>
        <v>-9.4441381624679188E-3</v>
      </c>
      <c r="E747" s="4">
        <f>(Raw_Stock_Data!E747/Raw_Stock_Data!E746)-1</f>
        <v>8.9992800575953158E-3</v>
      </c>
      <c r="F747" s="4">
        <f>(Raw_Stock_Data!F747/Raw_Stock_Data!F746)-1</f>
        <v>-1.8173557473875057E-3</v>
      </c>
      <c r="G747" s="4">
        <f>(Raw_Stock_Data!G747/Raw_Stock_Data!G746)-1</f>
        <v>2.0390352269120893E-2</v>
      </c>
      <c r="H747" s="4">
        <f>(Raw_Stock_Data!H747/Raw_Stock_Data!H746)-1</f>
        <v>6.2597462105256074E-3</v>
      </c>
      <c r="I747" s="4">
        <f>(Raw_Stock_Data!I747/Raw_Stock_Data!I746)-1</f>
        <v>1.6656026928210776E-2</v>
      </c>
      <c r="J747" s="4">
        <f>(Raw_Stock_Data!J747/Raw_Stock_Data!J746)-1</f>
        <v>6.5769037496334892E-3</v>
      </c>
    </row>
    <row r="748" spans="1:10" x14ac:dyDescent="0.2">
      <c r="A748" s="2">
        <v>45280</v>
      </c>
      <c r="B748" s="4">
        <f>(Raw_Stock_Data!B748/Raw_Stock_Data!B747)-1</f>
        <v>-1.0717690596520724E-2</v>
      </c>
      <c r="C748" s="4">
        <f>(Raw_Stock_Data!C748/Raw_Stock_Data!C747)-1</f>
        <v>-7.0690357878371302E-3</v>
      </c>
      <c r="D748" s="4">
        <f>(Raw_Stock_Data!D748/Raw_Stock_Data!D747)-1</f>
        <v>-3.0100826779592804E-2</v>
      </c>
      <c r="E748" s="4">
        <f>(Raw_Stock_Data!E748/Raw_Stock_Data!E747)-1</f>
        <v>-3.3392793435604751E-2</v>
      </c>
      <c r="F748" s="4">
        <f>(Raw_Stock_Data!F748/Raw_Stock_Data!F747)-1</f>
        <v>-1.0858963521685361E-2</v>
      </c>
      <c r="G748" s="4">
        <f>(Raw_Stock_Data!G748/Raw_Stock_Data!G747)-1</f>
        <v>-3.9188243526942057E-2</v>
      </c>
      <c r="H748" s="4">
        <f>(Raw_Stock_Data!H748/Raw_Stock_Data!H747)-1</f>
        <v>1.2368165927318708E-2</v>
      </c>
      <c r="I748" s="4">
        <f>(Raw_Stock_Data!I748/Raw_Stock_Data!I747)-1</f>
        <v>-3.0825436693687758E-3</v>
      </c>
      <c r="J748" s="4">
        <f>(Raw_Stock_Data!J748/Raw_Stock_Data!J747)-1</f>
        <v>-1.5015443351493851E-2</v>
      </c>
    </row>
    <row r="749" spans="1:10" x14ac:dyDescent="0.2">
      <c r="A749" s="2">
        <v>45281</v>
      </c>
      <c r="B749" s="4">
        <f>(Raw_Stock_Data!B749/Raw_Stock_Data!B748)-1</f>
        <v>-7.6163040718724151E-4</v>
      </c>
      <c r="C749" s="4">
        <f>(Raw_Stock_Data!C749/Raw_Stock_Data!C748)-1</f>
        <v>7.8777829124418997E-3</v>
      </c>
      <c r="D749" s="4">
        <f>(Raw_Stock_Data!D749/Raw_Stock_Data!D748)-1</f>
        <v>1.827129589394838E-2</v>
      </c>
      <c r="E749" s="4">
        <f>(Raw_Stock_Data!E749/Raw_Stock_Data!E748)-1</f>
        <v>3.2774784085037201E-2</v>
      </c>
      <c r="F749" s="4">
        <f>(Raw_Stock_Data!F749/Raw_Stock_Data!F748)-1</f>
        <v>1.130686300289252E-2</v>
      </c>
      <c r="G749" s="4">
        <f>(Raw_Stock_Data!G749/Raw_Stock_Data!G748)-1</f>
        <v>2.9780691106255697E-2</v>
      </c>
      <c r="H749" s="4">
        <f>(Raw_Stock_Data!H749/Raw_Stock_Data!H748)-1</f>
        <v>1.5039175856065068E-2</v>
      </c>
      <c r="I749" s="4">
        <f>(Raw_Stock_Data!I749/Raw_Stock_Data!I748)-1</f>
        <v>1.3771186440677985E-2</v>
      </c>
      <c r="J749" s="4">
        <f>(Raw_Stock_Data!J749/Raw_Stock_Data!J748)-1</f>
        <v>1.258159120960034E-2</v>
      </c>
    </row>
    <row r="750" spans="1:10" x14ac:dyDescent="0.2">
      <c r="A750" s="2">
        <v>45282</v>
      </c>
      <c r="B750" s="4">
        <f>(Raw_Stock_Data!B750/Raw_Stock_Data!B749)-1</f>
        <v>-5.5584361713160169E-3</v>
      </c>
      <c r="C750" s="4">
        <f>(Raw_Stock_Data!C750/Raw_Stock_Data!C749)-1</f>
        <v>2.7861088335563444E-3</v>
      </c>
      <c r="D750" s="4">
        <f>(Raw_Stock_Data!D750/Raw_Stock_Data!D749)-1</f>
        <v>-3.2668995693818648E-3</v>
      </c>
      <c r="E750" s="4">
        <f>(Raw_Stock_Data!E750/Raw_Stock_Data!E749)-1</f>
        <v>-2.2157100993496215E-3</v>
      </c>
      <c r="F750" s="4">
        <f>(Raw_Stock_Data!F750/Raw_Stock_Data!F749)-1</f>
        <v>-2.7301092043682251E-3</v>
      </c>
      <c r="G750" s="4">
        <f>(Raw_Stock_Data!G750/Raw_Stock_Data!G749)-1</f>
        <v>-7.701375245579567E-3</v>
      </c>
      <c r="H750" s="4">
        <f>(Raw_Stock_Data!H750/Raw_Stock_Data!H749)-1</f>
        <v>7.6190203912431809E-3</v>
      </c>
      <c r="I750" s="4">
        <f>(Raw_Stock_Data!I750/Raw_Stock_Data!I749)-1</f>
        <v>-1.9768985286225949E-3</v>
      </c>
      <c r="J750" s="4">
        <f>(Raw_Stock_Data!J750/Raw_Stock_Data!J749)-1</f>
        <v>1.9446840957586531E-3</v>
      </c>
    </row>
    <row r="751" spans="1:10" x14ac:dyDescent="0.2">
      <c r="A751" s="2">
        <v>45286</v>
      </c>
      <c r="B751" s="4">
        <f>(Raw_Stock_Data!B751/Raw_Stock_Data!B750)-1</f>
        <v>-2.8312511731704015E-3</v>
      </c>
      <c r="C751" s="4">
        <f>(Raw_Stock_Data!C751/Raw_Stock_Data!C750)-1</f>
        <v>2.0978964553619583E-4</v>
      </c>
      <c r="D751" s="4">
        <f>(Raw_Stock_Data!D751/Raw_Stock_Data!D750)-1</f>
        <v>9.1977851569460256E-3</v>
      </c>
      <c r="E751" s="4">
        <f>(Raw_Stock_Data!E751/Raw_Stock_Data!E750)-1</f>
        <v>2.7292263610315226E-2</v>
      </c>
      <c r="F751" s="4">
        <f>(Raw_Stock_Data!F751/Raw_Stock_Data!F750)-1</f>
        <v>-6.5180550123833392E-5</v>
      </c>
      <c r="G751" s="4">
        <f>(Raw_Stock_Data!G751/Raw_Stock_Data!G750)-1</f>
        <v>1.6116258810485506E-2</v>
      </c>
      <c r="H751" s="4">
        <f>(Raw_Stock_Data!H751/Raw_Stock_Data!H750)-1</f>
        <v>2.1279765071380297E-4</v>
      </c>
      <c r="I751" s="4">
        <f>(Raw_Stock_Data!I751/Raw_Stock_Data!I750)-1</f>
        <v>4.0748181895355895E-3</v>
      </c>
      <c r="J751" s="4">
        <f>(Raw_Stock_Data!J751/Raw_Stock_Data!J750)-1</f>
        <v>5.4425507421145269E-3</v>
      </c>
    </row>
    <row r="752" spans="1:10" x14ac:dyDescent="0.2">
      <c r="A752" s="2">
        <v>45287</v>
      </c>
      <c r="B752" s="4">
        <f>(Raw_Stock_Data!B752/Raw_Stock_Data!B751)-1</f>
        <v>5.2288948730683238E-4</v>
      </c>
      <c r="C752" s="4">
        <f>(Raw_Stock_Data!C752/Raw_Stock_Data!C751)-1</f>
        <v>-1.5730923230407035E-3</v>
      </c>
      <c r="D752" s="4">
        <f>(Raw_Stock_Data!D752/Raw_Stock_Data!D751)-1</f>
        <v>2.7991417859702938E-3</v>
      </c>
      <c r="E752" s="4">
        <f>(Raw_Stock_Data!E752/Raw_Stock_Data!E751)-1</f>
        <v>1.8548218394812022E-2</v>
      </c>
      <c r="F752" s="4">
        <f>(Raw_Stock_Data!F752/Raw_Stock_Data!F751)-1</f>
        <v>-4.5629359233423372E-4</v>
      </c>
      <c r="G752" s="4">
        <f>(Raw_Stock_Data!G752/Raw_Stock_Data!G751)-1</f>
        <v>1.8822337399166056E-2</v>
      </c>
      <c r="H752" s="4">
        <f>(Raw_Stock_Data!H752/Raw_Stock_Data!H751)-1</f>
        <v>-8.1271408207985729E-3</v>
      </c>
      <c r="I752" s="4">
        <f>(Raw_Stock_Data!I752/Raw_Stock_Data!I751)-1</f>
        <v>8.4547529803005173E-3</v>
      </c>
      <c r="J752" s="4">
        <f>(Raw_Stock_Data!J752/Raw_Stock_Data!J751)-1</f>
        <v>1.632550712889369E-3</v>
      </c>
    </row>
    <row r="753" spans="1:10" x14ac:dyDescent="0.2">
      <c r="A753" s="2">
        <v>45288</v>
      </c>
      <c r="B753" s="4">
        <f>(Raw_Stock_Data!B753/Raw_Stock_Data!B752)-1</f>
        <v>2.2106665969845452E-3</v>
      </c>
      <c r="C753" s="4">
        <f>(Raw_Stock_Data!C753/Raw_Stock_Data!C752)-1</f>
        <v>3.2319401875604559E-3</v>
      </c>
      <c r="D753" s="4">
        <f>(Raw_Stock_Data!D753/Raw_Stock_Data!D752)-1</f>
        <v>2.1253770013966999E-3</v>
      </c>
      <c r="E753" s="4">
        <f>(Raw_Stock_Data!E753/Raw_Stock_Data!E752)-1</f>
        <v>1.8415828027658065E-2</v>
      </c>
      <c r="F753" s="4">
        <f>(Raw_Stock_Data!F753/Raw_Stock_Data!F752)-1</f>
        <v>2.6085822355548238E-4</v>
      </c>
      <c r="G753" s="4">
        <f>(Raw_Stock_Data!G753/Raw_Stock_Data!G752)-1</f>
        <v>-3.1594247246022E-2</v>
      </c>
      <c r="H753" s="4">
        <f>(Raw_Stock_Data!H753/Raw_Stock_Data!H752)-1</f>
        <v>-1.0009795299684709E-3</v>
      </c>
      <c r="I753" s="4">
        <f>(Raw_Stock_Data!I753/Raw_Stock_Data!I752)-1</f>
        <v>1.3693653410837836E-3</v>
      </c>
      <c r="J753" s="4">
        <f>(Raw_Stock_Data!J753/Raw_Stock_Data!J752)-1</f>
        <v>-2.6756419885054505E-4</v>
      </c>
    </row>
    <row r="754" spans="1:10" x14ac:dyDescent="0.2">
      <c r="A754" s="2">
        <v>45289</v>
      </c>
      <c r="B754" s="4">
        <f>(Raw_Stock_Data!B754/Raw_Stock_Data!B753)-1</f>
        <v>-5.4180050894830911E-3</v>
      </c>
      <c r="C754" s="4">
        <f>(Raw_Stock_Data!C754/Raw_Stock_Data!C753)-1</f>
        <v>2.0268782852879141E-3</v>
      </c>
      <c r="D754" s="4">
        <f>(Raw_Stock_Data!D754/Raw_Stock_Data!D753)-1</f>
        <v>0</v>
      </c>
      <c r="E754" s="4">
        <f>(Raw_Stock_Data!E754/Raw_Stock_Data!E753)-1</f>
        <v>-9.0750201667114672E-3</v>
      </c>
      <c r="F754" s="4">
        <f>(Raw_Stock_Data!F754/Raw_Stock_Data!F753)-1</f>
        <v>-9.3884469943930071E-3</v>
      </c>
      <c r="G754" s="4">
        <f>(Raw_Stock_Data!G754/Raw_Stock_Data!G753)-1</f>
        <v>-1.8563867604076245E-2</v>
      </c>
      <c r="H754" s="4">
        <f>(Raw_Stock_Data!H754/Raw_Stock_Data!H753)-1</f>
        <v>-3.850475583833779E-3</v>
      </c>
      <c r="I754" s="4">
        <f>(Raw_Stock_Data!I754/Raw_Stock_Data!I753)-1</f>
        <v>-1.2167894619334763E-2</v>
      </c>
      <c r="J754" s="4">
        <f>(Raw_Stock_Data!J754/Raw_Stock_Data!J753)-1</f>
        <v>-5.5507931691921586E-3</v>
      </c>
    </row>
    <row r="755" spans="1:10" x14ac:dyDescent="0.2">
      <c r="A755" s="2">
        <v>45293</v>
      </c>
      <c r="B755" s="4">
        <f>(Raw_Stock_Data!B755/Raw_Stock_Data!B754)-1</f>
        <v>-3.5788999051009629E-2</v>
      </c>
      <c r="C755" s="4">
        <f>(Raw_Stock_Data!C755/Raw_Stock_Data!C754)-1</f>
        <v>-1.3752213669695146E-2</v>
      </c>
      <c r="D755" s="4">
        <f>(Raw_Stock_Data!D755/Raw_Stock_Data!D754)-1</f>
        <v>-2.7343055667770955E-2</v>
      </c>
      <c r="E755" s="4">
        <f>(Raw_Stock_Data!E755/Raw_Stock_Data!E754)-1</f>
        <v>-5.9900956515840043E-2</v>
      </c>
      <c r="F755" s="4">
        <f>(Raw_Stock_Data!F755/Raw_Stock_Data!F754)-1</f>
        <v>-1.3228906147163322E-2</v>
      </c>
      <c r="G755" s="4">
        <f>(Raw_Stock_Data!G755/Raw_Stock_Data!G754)-1</f>
        <v>-2.4146812620740032E-4</v>
      </c>
      <c r="H755" s="4">
        <f>(Raw_Stock_Data!H755/Raw_Stock_Data!H754)-1</f>
        <v>-1.0877608937744809E-2</v>
      </c>
      <c r="I755" s="4">
        <f>(Raw_Stock_Data!I755/Raw_Stock_Data!I754)-1</f>
        <v>-2.1669115154254626E-2</v>
      </c>
      <c r="J755" s="4">
        <f>(Raw_Stock_Data!J755/Raw_Stock_Data!J754)-1</f>
        <v>-1.634829645568181E-2</v>
      </c>
    </row>
    <row r="756" spans="1:10" x14ac:dyDescent="0.2">
      <c r="A756" s="2">
        <v>45294</v>
      </c>
      <c r="B756" s="4">
        <f>(Raw_Stock_Data!B756/Raw_Stock_Data!B755)-1</f>
        <v>-7.4822052930078042E-3</v>
      </c>
      <c r="C756" s="4">
        <f>(Raw_Stock_Data!C756/Raw_Stock_Data!C755)-1</f>
        <v>-7.2259831140175645E-4</v>
      </c>
      <c r="D756" s="4">
        <f>(Raw_Stock_Data!D756/Raw_Stock_Data!D755)-1</f>
        <v>-1.2435026570835728E-2</v>
      </c>
      <c r="E756" s="4">
        <f>(Raw_Stock_Data!E756/Raw_Stock_Data!E755)-1</f>
        <v>-2.3524318083417706E-2</v>
      </c>
      <c r="F756" s="4">
        <f>(Raw_Stock_Data!F756/Raw_Stock_Data!F755)-1</f>
        <v>-9.7378776762490071E-3</v>
      </c>
      <c r="G756" s="4">
        <f>(Raw_Stock_Data!G756/Raw_Stock_Data!G755)-1</f>
        <v>-4.0133644634087418E-2</v>
      </c>
      <c r="H756" s="4">
        <f>(Raw_Stock_Data!H756/Raw_Stock_Data!H755)-1</f>
        <v>5.4259793275273083E-3</v>
      </c>
      <c r="I756" s="4">
        <f>(Raw_Stock_Data!I756/Raw_Stock_Data!I755)-1</f>
        <v>-5.2557105316353159E-3</v>
      </c>
      <c r="J756" s="4">
        <f>(Raw_Stock_Data!J756/Raw_Stock_Data!J755)-1</f>
        <v>-1.1765590270582216E-2</v>
      </c>
    </row>
    <row r="757" spans="1:10" x14ac:dyDescent="0.2">
      <c r="A757" s="2">
        <v>45295</v>
      </c>
      <c r="B757" s="4">
        <f>(Raw_Stock_Data!B757/Raw_Stock_Data!B756)-1</f>
        <v>-1.2710448317235223E-2</v>
      </c>
      <c r="C757" s="4">
        <f>(Raw_Stock_Data!C757/Raw_Stock_Data!C756)-1</f>
        <v>-7.1795568845997026E-3</v>
      </c>
      <c r="D757" s="4">
        <f>(Raw_Stock_Data!D757/Raw_Stock_Data!D756)-1</f>
        <v>9.0189357697847417E-3</v>
      </c>
      <c r="E757" s="4">
        <f>(Raw_Stock_Data!E757/Raw_Stock_Data!E756)-1</f>
        <v>5.0990245344368912E-3</v>
      </c>
      <c r="F757" s="4">
        <f>(Raw_Stock_Data!F757/Raw_Stock_Data!F756)-1</f>
        <v>-2.6267932915740588E-2</v>
      </c>
      <c r="G757" s="4">
        <f>(Raw_Stock_Data!G757/Raw_Stock_Data!G756)-1</f>
        <v>-2.180750681484489E-3</v>
      </c>
      <c r="H757" s="4">
        <f>(Raw_Stock_Data!H757/Raw_Stock_Data!H756)-1</f>
        <v>-1.8212949182909832E-2</v>
      </c>
      <c r="I757" s="4">
        <f>(Raw_Stock_Data!I757/Raw_Stock_Data!I756)-1</f>
        <v>7.6929776177896425E-3</v>
      </c>
      <c r="J757" s="4">
        <f>(Raw_Stock_Data!J757/Raw_Stock_Data!J756)-1</f>
        <v>-5.613268997636367E-3</v>
      </c>
    </row>
    <row r="758" spans="1:10" x14ac:dyDescent="0.2">
      <c r="A758" s="2">
        <v>45296</v>
      </c>
      <c r="B758" s="4">
        <f>(Raw_Stock_Data!B758/Raw_Stock_Data!B757)-1</f>
        <v>-4.0065036319342218E-3</v>
      </c>
      <c r="C758" s="4">
        <f>(Raw_Stock_Data!C758/Raw_Stock_Data!C757)-1</f>
        <v>-5.1751189045179391E-4</v>
      </c>
      <c r="D758" s="4">
        <f>(Raw_Stock_Data!D758/Raw_Stock_Data!D757)-1</f>
        <v>2.2897024866414872E-2</v>
      </c>
      <c r="E758" s="4">
        <f>(Raw_Stock_Data!E758/Raw_Stock_Data!E757)-1</f>
        <v>1.8895669436071127E-2</v>
      </c>
      <c r="F758" s="4">
        <f>(Raw_Stock_Data!F758/Raw_Stock_Data!F757)-1</f>
        <v>4.6344331465726363E-3</v>
      </c>
      <c r="G758" s="4">
        <f>(Raw_Stock_Data!G758/Raw_Stock_Data!G757)-1</f>
        <v>-1.8492834026814231E-3</v>
      </c>
      <c r="H758" s="4">
        <f>(Raw_Stock_Data!H758/Raw_Stock_Data!H757)-1</f>
        <v>-4.8419023230827918E-3</v>
      </c>
      <c r="I758" s="4">
        <f>(Raw_Stock_Data!I758/Raw_Stock_Data!I757)-1</f>
        <v>1.3914496427748224E-2</v>
      </c>
      <c r="J758" s="4">
        <f>(Raw_Stock_Data!J758/Raw_Stock_Data!J757)-1</f>
        <v>9.4898106862029152E-4</v>
      </c>
    </row>
    <row r="759" spans="1:10" x14ac:dyDescent="0.2">
      <c r="A759" s="2">
        <v>45299</v>
      </c>
      <c r="B759" s="4">
        <f>(Raw_Stock_Data!B759/Raw_Stock_Data!B758)-1</f>
        <v>2.4174722121625747E-2</v>
      </c>
      <c r="C759" s="4">
        <f>(Raw_Stock_Data!C759/Raw_Stock_Data!C758)-1</f>
        <v>1.8872938469125078E-2</v>
      </c>
      <c r="D759" s="4">
        <f>(Raw_Stock_Data!D759/Raw_Stock_Data!D758)-1</f>
        <v>6.4278743600139299E-2</v>
      </c>
      <c r="E759" s="4">
        <f>(Raw_Stock_Data!E759/Raw_Stock_Data!E758)-1</f>
        <v>5.4841968538028585E-2</v>
      </c>
      <c r="F759" s="4">
        <f>(Raw_Stock_Data!F759/Raw_Stock_Data!F758)-1</f>
        <v>2.6576700633434314E-2</v>
      </c>
      <c r="G759" s="4">
        <f>(Raw_Stock_Data!G759/Raw_Stock_Data!G758)-1</f>
        <v>1.2463682681375987E-2</v>
      </c>
      <c r="H759" s="4">
        <f>(Raw_Stock_Data!H759/Raw_Stock_Data!H758)-1</f>
        <v>2.2914987540576304E-2</v>
      </c>
      <c r="I759" s="4">
        <f>(Raw_Stock_Data!I759/Raw_Stock_Data!I758)-1</f>
        <v>1.906520812615442E-2</v>
      </c>
      <c r="J759" s="4">
        <f>(Raw_Stock_Data!J759/Raw_Stock_Data!J758)-1</f>
        <v>2.2011736379678792E-2</v>
      </c>
    </row>
    <row r="760" spans="1:10" x14ac:dyDescent="0.2">
      <c r="A760" s="2">
        <v>45300</v>
      </c>
      <c r="B760" s="4">
        <f>(Raw_Stock_Data!B760/Raw_Stock_Data!B759)-1</f>
        <v>-2.2575942205589339E-3</v>
      </c>
      <c r="C760" s="4">
        <f>(Raw_Stock_Data!C760/Raw_Stock_Data!C759)-1</f>
        <v>2.9335133056742624E-3</v>
      </c>
      <c r="D760" s="4">
        <f>(Raw_Stock_Data!D760/Raw_Stock_Data!D759)-1</f>
        <v>1.6976115134355929E-2</v>
      </c>
      <c r="E760" s="4">
        <f>(Raw_Stock_Data!E760/Raw_Stock_Data!E759)-1</f>
        <v>2.1069913804897977E-2</v>
      </c>
      <c r="F760" s="4">
        <f>(Raw_Stock_Data!F760/Raw_Stock_Data!F759)-1</f>
        <v>1.5224681421864616E-2</v>
      </c>
      <c r="G760" s="4">
        <f>(Raw_Stock_Data!G760/Raw_Stock_Data!G759)-1</f>
        <v>-2.2832189644416689E-2</v>
      </c>
      <c r="H760" s="4">
        <f>(Raw_Stock_Data!H760/Raw_Stock_Data!H759)-1</f>
        <v>1.5194668131677469E-2</v>
      </c>
      <c r="I760" s="4">
        <f>(Raw_Stock_Data!I760/Raw_Stock_Data!I759)-1</f>
        <v>-3.4294317738248203E-3</v>
      </c>
      <c r="J760" s="4">
        <f>(Raw_Stock_Data!J760/Raw_Stock_Data!J759)-1</f>
        <v>9.3911452414041641E-4</v>
      </c>
    </row>
    <row r="761" spans="1:10" x14ac:dyDescent="0.2">
      <c r="A761" s="2">
        <v>45301</v>
      </c>
      <c r="B761" s="4">
        <f>(Raw_Stock_Data!B761/Raw_Stock_Data!B760)-1</f>
        <v>5.6649346542427814E-3</v>
      </c>
      <c r="C761" s="4">
        <f>(Raw_Stock_Data!C761/Raw_Stock_Data!C760)-1</f>
        <v>1.8576407506702308E-2</v>
      </c>
      <c r="D761" s="4">
        <f>(Raw_Stock_Data!D761/Raw_Stock_Data!D760)-1</f>
        <v>2.2770866392219258E-2</v>
      </c>
      <c r="E761" s="4">
        <f>(Raw_Stock_Data!E761/Raw_Stock_Data!E760)-1</f>
        <v>-4.8237974005091999E-3</v>
      </c>
      <c r="F761" s="4">
        <f>(Raw_Stock_Data!F761/Raw_Stock_Data!F760)-1</f>
        <v>1.5590936116799847E-2</v>
      </c>
      <c r="G761" s="4">
        <f>(Raw_Stock_Data!G761/Raw_Stock_Data!G760)-1</f>
        <v>-4.3411644535240601E-3</v>
      </c>
      <c r="H761" s="4">
        <f>(Raw_Stock_Data!H761/Raw_Stock_Data!H760)-1</f>
        <v>9.4488749643975023E-3</v>
      </c>
      <c r="I761" s="4">
        <f>(Raw_Stock_Data!I761/Raw_Stock_Data!I760)-1</f>
        <v>3.648266793498034E-2</v>
      </c>
      <c r="J761" s="4">
        <f>(Raw_Stock_Data!J761/Raw_Stock_Data!J760)-1</f>
        <v>7.5341354757900714E-3</v>
      </c>
    </row>
    <row r="762" spans="1:10" x14ac:dyDescent="0.2">
      <c r="A762" s="2">
        <v>45302</v>
      </c>
      <c r="B762" s="4">
        <f>(Raw_Stock_Data!B762/Raw_Stock_Data!B761)-1</f>
        <v>-3.2258414295628368E-3</v>
      </c>
      <c r="C762" s="4">
        <f>(Raw_Stock_Data!C762/Raw_Stock_Data!C761)-1</f>
        <v>4.8614346364717065E-3</v>
      </c>
      <c r="D762" s="4">
        <f>(Raw_Stock_Data!D762/Raw_Stock_Data!D761)-1</f>
        <v>8.6832331516197847E-3</v>
      </c>
      <c r="E762" s="4">
        <f>(Raw_Stock_Data!E762/Raw_Stock_Data!E761)-1</f>
        <v>-3.5007405412682546E-3</v>
      </c>
      <c r="F762" s="4">
        <f>(Raw_Stock_Data!F762/Raw_Stock_Data!F761)-1</f>
        <v>9.4321212515451336E-3</v>
      </c>
      <c r="G762" s="4">
        <f>(Raw_Stock_Data!G762/Raw_Stock_Data!G761)-1</f>
        <v>-2.8725314183123851E-2</v>
      </c>
      <c r="H762" s="4">
        <f>(Raw_Stock_Data!H762/Raw_Stock_Data!H761)-1</f>
        <v>-1.4107655519266515E-3</v>
      </c>
      <c r="I762" s="4">
        <f>(Raw_Stock_Data!I762/Raw_Stock_Data!I761)-1</f>
        <v>-2.1594191162577214E-3</v>
      </c>
      <c r="J762" s="4">
        <f>(Raw_Stock_Data!J762/Raw_Stock_Data!J761)-1</f>
        <v>3.5404969388030949E-5</v>
      </c>
    </row>
    <row r="763" spans="1:10" x14ac:dyDescent="0.2">
      <c r="A763" s="2">
        <v>45303</v>
      </c>
      <c r="B763" s="4">
        <f>(Raw_Stock_Data!B763/Raw_Stock_Data!B762)-1</f>
        <v>1.7785948556727771E-3</v>
      </c>
      <c r="C763" s="4">
        <f>(Raw_Stock_Data!C763/Raw_Stock_Data!C762)-1</f>
        <v>9.9822932819244592E-3</v>
      </c>
      <c r="D763" s="4">
        <f>(Raw_Stock_Data!D763/Raw_Stock_Data!D762)-1</f>
        <v>-2.0435569568516554E-3</v>
      </c>
      <c r="E763" s="4">
        <f>(Raw_Stock_Data!E763/Raw_Stock_Data!E762)-1</f>
        <v>-9.8635319551412248E-3</v>
      </c>
      <c r="F763" s="4">
        <f>(Raw_Stock_Data!F763/Raw_Stock_Data!F762)-1</f>
        <v>-3.6087124629462508E-3</v>
      </c>
      <c r="G763" s="4">
        <f>(Raw_Stock_Data!G763/Raw_Stock_Data!G762)-1</f>
        <v>-3.6660505237215091E-2</v>
      </c>
      <c r="H763" s="4">
        <f>(Raw_Stock_Data!H763/Raw_Stock_Data!H762)-1</f>
        <v>4.0051706965604783E-3</v>
      </c>
      <c r="I763" s="4">
        <f>(Raw_Stock_Data!I763/Raw_Stock_Data!I762)-1</f>
        <v>1.3038656098682599E-2</v>
      </c>
      <c r="J763" s="4">
        <f>(Raw_Stock_Data!J763/Raw_Stock_Data!J762)-1</f>
        <v>1.723426171227338E-4</v>
      </c>
    </row>
    <row r="764" spans="1:10" x14ac:dyDescent="0.2">
      <c r="A764" s="2">
        <v>45307</v>
      </c>
      <c r="B764" s="4">
        <f>(Raw_Stock_Data!B764/Raw_Stock_Data!B763)-1</f>
        <v>-1.2314040612444344E-2</v>
      </c>
      <c r="C764" s="4">
        <f>(Raw_Stock_Data!C764/Raw_Stock_Data!C763)-1</f>
        <v>4.6344923454371134E-3</v>
      </c>
      <c r="D764" s="4">
        <f>(Raw_Stock_Data!D764/Raw_Stock_Data!D763)-1</f>
        <v>3.056437222092212E-2</v>
      </c>
      <c r="E764" s="4">
        <f>(Raw_Stock_Data!E764/Raw_Stock_Data!E763)-1</f>
        <v>8.3105895196506685E-2</v>
      </c>
      <c r="F764" s="4">
        <f>(Raw_Stock_Data!F764/Raw_Stock_Data!F763)-1</f>
        <v>-9.4425042038546181E-3</v>
      </c>
      <c r="G764" s="4">
        <f>(Raw_Stock_Data!G764/Raw_Stock_Data!G763)-1</f>
        <v>4.6598748229704778E-3</v>
      </c>
      <c r="H764" s="4">
        <f>(Raw_Stock_Data!H764/Raw_Stock_Data!H763)-1</f>
        <v>-1.1186626704376978E-3</v>
      </c>
      <c r="I764" s="4">
        <f>(Raw_Stock_Data!I764/Raw_Stock_Data!I763)-1</f>
        <v>-1.877219685438869E-2</v>
      </c>
      <c r="J764" s="4">
        <f>(Raw_Stock_Data!J764/Raw_Stock_Data!J763)-1</f>
        <v>-1.8974457615028584E-3</v>
      </c>
    </row>
    <row r="765" spans="1:10" x14ac:dyDescent="0.2">
      <c r="A765" s="2">
        <v>45308</v>
      </c>
      <c r="B765" s="4">
        <f>(Raw_Stock_Data!B765/Raw_Stock_Data!B764)-1</f>
        <v>-5.1783279827609663E-3</v>
      </c>
      <c r="C765" s="4">
        <f>(Raw_Stock_Data!C765/Raw_Stock_Data!C764)-1</f>
        <v>-2.0522802253120087E-3</v>
      </c>
      <c r="D765" s="4">
        <f>(Raw_Stock_Data!D765/Raw_Stock_Data!D764)-1</f>
        <v>-5.8368416477280194E-3</v>
      </c>
      <c r="E765" s="4">
        <f>(Raw_Stock_Data!E765/Raw_Stock_Data!E764)-1</f>
        <v>9.0084414766282706E-3</v>
      </c>
      <c r="F765" s="4">
        <f>(Raw_Stock_Data!F765/Raw_Stock_Data!F764)-1</f>
        <v>-9.4672238182291757E-3</v>
      </c>
      <c r="G765" s="4">
        <f>(Raw_Stock_Data!G765/Raw_Stock_Data!G764)-1</f>
        <v>-1.9826292574234849E-2</v>
      </c>
      <c r="H765" s="4">
        <f>(Raw_Stock_Data!H765/Raw_Stock_Data!H764)-1</f>
        <v>-7.1561894699770923E-3</v>
      </c>
      <c r="I765" s="4">
        <f>(Raw_Stock_Data!I765/Raw_Stock_Data!I764)-1</f>
        <v>2.4764600228597278E-3</v>
      </c>
      <c r="J765" s="4">
        <f>(Raw_Stock_Data!J765/Raw_Stock_Data!J764)-1</f>
        <v>-5.9373609424296925E-3</v>
      </c>
    </row>
    <row r="766" spans="1:10" x14ac:dyDescent="0.2">
      <c r="A766" s="2">
        <v>45309</v>
      </c>
      <c r="B766" s="4">
        <f>(Raw_Stock_Data!B766/Raw_Stock_Data!B765)-1</f>
        <v>3.2574459855224669E-2</v>
      </c>
      <c r="C766" s="4">
        <f>(Raw_Stock_Data!C766/Raw_Stock_Data!C765)-1</f>
        <v>1.1296526712522015E-2</v>
      </c>
      <c r="D766" s="4">
        <f>(Raw_Stock_Data!D766/Raw_Stock_Data!D765)-1</f>
        <v>1.8803614034273775E-2</v>
      </c>
      <c r="E766" s="4">
        <f>(Raw_Stock_Data!E766/Raw_Stock_Data!E765)-1</f>
        <v>1.560841605793839E-2</v>
      </c>
      <c r="F766" s="4">
        <f>(Raw_Stock_Data!F766/Raw_Stock_Data!F765)-1</f>
        <v>1.1798826708852461E-2</v>
      </c>
      <c r="G766" s="4">
        <f>(Raw_Stock_Data!G766/Raw_Stock_Data!G765)-1</f>
        <v>-1.7026212015773701E-2</v>
      </c>
      <c r="H766" s="4">
        <f>(Raw_Stock_Data!H766/Raw_Stock_Data!H765)-1</f>
        <v>1.4209805688178756E-2</v>
      </c>
      <c r="I766" s="4">
        <f>(Raw_Stock_Data!I766/Raw_Stock_Data!I765)-1</f>
        <v>2.1065776257567004E-2</v>
      </c>
      <c r="J766" s="4">
        <f>(Raw_Stock_Data!J766/Raw_Stock_Data!J765)-1</f>
        <v>1.3464937848437053E-2</v>
      </c>
    </row>
    <row r="767" spans="1:10" x14ac:dyDescent="0.2">
      <c r="A767" s="2">
        <v>45310</v>
      </c>
      <c r="B767" s="4">
        <f>(Raw_Stock_Data!B767/Raw_Stock_Data!B766)-1</f>
        <v>1.5535279479838238E-2</v>
      </c>
      <c r="C767" s="4">
        <f>(Raw_Stock_Data!C767/Raw_Stock_Data!C766)-1</f>
        <v>1.2188384073503755E-2</v>
      </c>
      <c r="D767" s="4">
        <f>(Raw_Stock_Data!D767/Raw_Stock_Data!D766)-1</f>
        <v>4.1745780405949784E-2</v>
      </c>
      <c r="E767" s="4">
        <f>(Raw_Stock_Data!E767/Raw_Stock_Data!E766)-1</f>
        <v>7.1064117538575111E-2</v>
      </c>
      <c r="F767" s="4">
        <f>(Raw_Stock_Data!F767/Raw_Stock_Data!F766)-1</f>
        <v>1.19869706840392E-2</v>
      </c>
      <c r="G767" s="4">
        <f>(Raw_Stock_Data!G767/Raw_Stock_Data!G766)-1</f>
        <v>1.4630923164056231E-3</v>
      </c>
      <c r="H767" s="4">
        <f>(Raw_Stock_Data!H767/Raw_Stock_Data!H766)-1</f>
        <v>2.020816720527141E-2</v>
      </c>
      <c r="I767" s="4">
        <f>(Raw_Stock_Data!I767/Raw_Stock_Data!I766)-1</f>
        <v>1.9461356445909628E-2</v>
      </c>
      <c r="J767" s="4">
        <f>(Raw_Stock_Data!J767/Raw_Stock_Data!J766)-1</f>
        <v>1.6958417604022502E-2</v>
      </c>
    </row>
    <row r="768" spans="1:10" x14ac:dyDescent="0.2">
      <c r="A768" s="2">
        <v>45313</v>
      </c>
      <c r="B768" s="4">
        <f>(Raw_Stock_Data!B768/Raw_Stock_Data!B767)-1</f>
        <v>1.2167488723072273E-2</v>
      </c>
      <c r="C768" s="4">
        <f>(Raw_Stock_Data!C768/Raw_Stock_Data!C767)-1</f>
        <v>-5.42062262610854E-3</v>
      </c>
      <c r="D768" s="4">
        <f>(Raw_Stock_Data!D768/Raw_Stock_Data!D767)-1</f>
        <v>2.7406888040339972E-3</v>
      </c>
      <c r="E768" s="4">
        <f>(Raw_Stock_Data!E768/Raw_Stock_Data!E767)-1</f>
        <v>-3.4724215117947432E-2</v>
      </c>
      <c r="F768" s="4">
        <f>(Raw_Stock_Data!F768/Raw_Stock_Data!F767)-1</f>
        <v>-3.6049954937557027E-3</v>
      </c>
      <c r="G768" s="4">
        <f>(Raw_Stock_Data!G768/Raw_Stock_Data!G767)-1</f>
        <v>-1.5976247702530699E-2</v>
      </c>
      <c r="H768" s="4">
        <f>(Raw_Stock_Data!H768/Raw_Stock_Data!H767)-1</f>
        <v>-2.6602491583876953E-3</v>
      </c>
      <c r="I768" s="4">
        <f>(Raw_Stock_Data!I768/Raw_Stock_Data!I767)-1</f>
        <v>-4.3551962446212178E-3</v>
      </c>
      <c r="J768" s="4">
        <f>(Raw_Stock_Data!J768/Raw_Stock_Data!J767)-1</f>
        <v>3.2212198182088869E-3</v>
      </c>
    </row>
    <row r="769" spans="1:10" x14ac:dyDescent="0.2">
      <c r="A769" s="2">
        <v>45314</v>
      </c>
      <c r="B769" s="4">
        <f>(Raw_Stock_Data!B769/Raw_Stock_Data!B768)-1</f>
        <v>6.6483753911192878E-3</v>
      </c>
      <c r="C769" s="4">
        <f>(Raw_Stock_Data!C769/Raw_Stock_Data!C768)-1</f>
        <v>6.0294842542294447E-3</v>
      </c>
      <c r="D769" s="4">
        <f>(Raw_Stock_Data!D769/Raw_Stock_Data!D768)-1</f>
        <v>3.6722107547146887E-3</v>
      </c>
      <c r="E769" s="4">
        <f>(Raw_Stock_Data!E769/Raw_Stock_Data!E768)-1</f>
        <v>1.4270424545128613E-3</v>
      </c>
      <c r="F769" s="4">
        <f>(Raw_Stock_Data!F769/Raw_Stock_Data!F768)-1</f>
        <v>8.0113709781626241E-3</v>
      </c>
      <c r="G769" s="4">
        <f>(Raw_Stock_Data!G769/Raw_Stock_Data!G768)-1</f>
        <v>1.6283524904212587E-3</v>
      </c>
      <c r="H769" s="4">
        <f>(Raw_Stock_Data!H769/Raw_Stock_Data!H768)-1</f>
        <v>7.1839574324743527E-3</v>
      </c>
      <c r="I769" s="4">
        <f>(Raw_Stock_Data!I769/Raw_Stock_Data!I768)-1</f>
        <v>8.9580386610090823E-3</v>
      </c>
      <c r="J769" s="4">
        <f>(Raw_Stock_Data!J769/Raw_Stock_Data!J768)-1</f>
        <v>4.2740078475080878E-3</v>
      </c>
    </row>
    <row r="770" spans="1:10" x14ac:dyDescent="0.2">
      <c r="A770" s="2">
        <v>45315</v>
      </c>
      <c r="B770" s="4">
        <f>(Raw_Stock_Data!B770/Raw_Stock_Data!B769)-1</f>
        <v>-3.4858342728880665E-3</v>
      </c>
      <c r="C770" s="4">
        <f>(Raw_Stock_Data!C770/Raw_Stock_Data!C769)-1</f>
        <v>9.1756558459761273E-3</v>
      </c>
      <c r="D770" s="4">
        <f>(Raw_Stock_Data!D770/Raw_Stock_Data!D769)-1</f>
        <v>2.4869645700271281E-2</v>
      </c>
      <c r="E770" s="4">
        <f>(Raw_Stock_Data!E770/Raw_Stock_Data!E769)-1</f>
        <v>5.8603491271820518E-2</v>
      </c>
      <c r="F770" s="4">
        <f>(Raw_Stock_Data!F770/Raw_Stock_Data!F769)-1</f>
        <v>5.4480194846813212E-3</v>
      </c>
      <c r="G770" s="4">
        <f>(Raw_Stock_Data!G770/Raw_Stock_Data!G769)-1</f>
        <v>-6.2637467724967477E-3</v>
      </c>
      <c r="H770" s="4">
        <f>(Raw_Stock_Data!H770/Raw_Stock_Data!H769)-1</f>
        <v>1.1296311464220388E-2</v>
      </c>
      <c r="I770" s="4">
        <f>(Raw_Stock_Data!I770/Raw_Stock_Data!I769)-1</f>
        <v>1.4278296988577299E-2</v>
      </c>
      <c r="J770" s="4">
        <f>(Raw_Stock_Data!J770/Raw_Stock_Data!J769)-1</f>
        <v>3.6289522713039979E-3</v>
      </c>
    </row>
    <row r="771" spans="1:10" x14ac:dyDescent="0.2">
      <c r="A771" s="2">
        <v>45316</v>
      </c>
      <c r="B771" s="4">
        <f>(Raw_Stock_Data!B771/Raw_Stock_Data!B770)-1</f>
        <v>-1.6971143865476268E-3</v>
      </c>
      <c r="C771" s="4">
        <f>(Raw_Stock_Data!C771/Raw_Stock_Data!C770)-1</f>
        <v>5.7386403451693546E-3</v>
      </c>
      <c r="D771" s="4">
        <f>(Raw_Stock_Data!D771/Raw_Stock_Data!D770)-1</f>
        <v>4.153578059718166E-3</v>
      </c>
      <c r="E771" s="4">
        <f>(Raw_Stock_Data!E771/Raw_Stock_Data!E770)-1</f>
        <v>1.1442032643446121E-2</v>
      </c>
      <c r="F771" s="4">
        <f>(Raw_Stock_Data!F771/Raw_Stock_Data!F770)-1</f>
        <v>5.6097405494994756E-3</v>
      </c>
      <c r="G771" s="4">
        <f>(Raw_Stock_Data!G771/Raw_Stock_Data!G770)-1</f>
        <v>-0.12125294712024259</v>
      </c>
      <c r="H771" s="4">
        <f>(Raw_Stock_Data!H771/Raw_Stock_Data!H770)-1</f>
        <v>2.1321112558466027E-2</v>
      </c>
      <c r="I771" s="4">
        <f>(Raw_Stock_Data!I771/Raw_Stock_Data!I770)-1</f>
        <v>6.3475812643973839E-3</v>
      </c>
      <c r="J771" s="4">
        <f>(Raw_Stock_Data!J771/Raw_Stock_Data!J770)-1</f>
        <v>1.846024265724111E-3</v>
      </c>
    </row>
    <row r="772" spans="1:10" x14ac:dyDescent="0.2">
      <c r="A772" s="2">
        <v>45317</v>
      </c>
      <c r="B772" s="4">
        <f>(Raw_Stock_Data!B772/Raw_Stock_Data!B771)-1</f>
        <v>-9.0094773671323125E-3</v>
      </c>
      <c r="C772" s="4">
        <f>(Raw_Stock_Data!C772/Raw_Stock_Data!C771)-1</f>
        <v>-2.324163587274386E-3</v>
      </c>
      <c r="D772" s="4">
        <f>(Raw_Stock_Data!D772/Raw_Stock_Data!D771)-1</f>
        <v>-9.5098174498169374E-3</v>
      </c>
      <c r="E772" s="4">
        <f>(Raw_Stock_Data!E772/Raw_Stock_Data!E771)-1</f>
        <v>-1.7079798147840108E-2</v>
      </c>
      <c r="F772" s="4">
        <f>(Raw_Stock_Data!F772/Raw_Stock_Data!F771)-1</f>
        <v>8.6846275752774371E-3</v>
      </c>
      <c r="G772" s="4">
        <f>(Raw_Stock_Data!G772/Raw_Stock_Data!G771)-1</f>
        <v>3.3948420303346882E-3</v>
      </c>
      <c r="H772" s="4">
        <f>(Raw_Stock_Data!H772/Raw_Stock_Data!H771)-1</f>
        <v>2.0750452677071873E-3</v>
      </c>
      <c r="I772" s="4">
        <f>(Raw_Stock_Data!I772/Raw_Stock_Data!I771)-1</f>
        <v>2.4416297878833149E-3</v>
      </c>
      <c r="J772" s="4">
        <f>(Raw_Stock_Data!J772/Raw_Stock_Data!J771)-1</f>
        <v>-3.5550111214982527E-3</v>
      </c>
    </row>
    <row r="773" spans="1:10" x14ac:dyDescent="0.2">
      <c r="A773" s="2">
        <v>45320</v>
      </c>
      <c r="B773" s="4">
        <f>(Raw_Stock_Data!B773/Raw_Stock_Data!B772)-1</f>
        <v>-3.5882908404154534E-3</v>
      </c>
      <c r="C773" s="4">
        <f>(Raw_Stock_Data!C773/Raw_Stock_Data!C772)-1</f>
        <v>1.4339125684968312E-2</v>
      </c>
      <c r="D773" s="4">
        <f>(Raw_Stock_Data!D773/Raw_Stock_Data!D772)-1</f>
        <v>2.3498001268567492E-2</v>
      </c>
      <c r="E773" s="4">
        <f>(Raw_Stock_Data!E773/Raw_Stock_Data!E772)-1</f>
        <v>3.2722143864598596E-3</v>
      </c>
      <c r="F773" s="4">
        <f>(Raw_Stock_Data!F773/Raw_Stock_Data!F772)-1</f>
        <v>1.3448969331322225E-2</v>
      </c>
      <c r="G773" s="4">
        <f>(Raw_Stock_Data!G773/Raw_Stock_Data!G772)-1</f>
        <v>4.1909959072305547E-2</v>
      </c>
      <c r="H773" s="4">
        <f>(Raw_Stock_Data!H773/Raw_Stock_Data!H772)-1</f>
        <v>8.7050568466591205E-3</v>
      </c>
      <c r="I773" s="4">
        <f>(Raw_Stock_Data!I773/Raw_Stock_Data!I772)-1</f>
        <v>1.7455726391637505E-2</v>
      </c>
      <c r="J773" s="4">
        <f>(Raw_Stock_Data!J773/Raw_Stock_Data!J772)-1</f>
        <v>1.1172822891217127E-2</v>
      </c>
    </row>
    <row r="774" spans="1:10" x14ac:dyDescent="0.2">
      <c r="A774" s="2">
        <v>45321</v>
      </c>
      <c r="B774" s="4">
        <f>(Raw_Stock_Data!B774/Raw_Stock_Data!B773)-1</f>
        <v>-1.9253853929744769E-2</v>
      </c>
      <c r="C774" s="4">
        <f>(Raw_Stock_Data!C774/Raw_Stock_Data!C773)-1</f>
        <v>-2.7589259368545616E-3</v>
      </c>
      <c r="D774" s="4">
        <f>(Raw_Stock_Data!D774/Raw_Stock_Data!D773)-1</f>
        <v>4.9449616797496709E-3</v>
      </c>
      <c r="E774" s="4">
        <f>(Raw_Stock_Data!E774/Raw_Stock_Data!E773)-1</f>
        <v>-3.2446718776359518E-2</v>
      </c>
      <c r="F774" s="4">
        <f>(Raw_Stock_Data!F774/Raw_Stock_Data!F773)-1</f>
        <v>-1.4014634751333244E-2</v>
      </c>
      <c r="G774" s="4">
        <f>(Raw_Stock_Data!G774/Raw_Stock_Data!G773)-1</f>
        <v>3.4567642591525338E-3</v>
      </c>
      <c r="H774" s="4">
        <f>(Raw_Stock_Data!H774/Raw_Stock_Data!H773)-1</f>
        <v>-1.3356782342634377E-2</v>
      </c>
      <c r="I774" s="4">
        <f>(Raw_Stock_Data!I774/Raw_Stock_Data!I773)-1</f>
        <v>-2.3938955663058703E-3</v>
      </c>
      <c r="J774" s="4">
        <f>(Raw_Stock_Data!J774/Raw_Stock_Data!J773)-1</f>
        <v>-7.5594892257763169E-3</v>
      </c>
    </row>
    <row r="775" spans="1:10" x14ac:dyDescent="0.2">
      <c r="A775" s="2">
        <v>45322</v>
      </c>
      <c r="B775" s="4">
        <f>(Raw_Stock_Data!B775/Raw_Stock_Data!B774)-1</f>
        <v>-1.9352691393017984E-2</v>
      </c>
      <c r="C775" s="4">
        <f>(Raw_Stock_Data!C775/Raw_Stock_Data!C774)-1</f>
        <v>-2.6950522490001405E-2</v>
      </c>
      <c r="D775" s="4">
        <f>(Raw_Stock_Data!D775/Raw_Stock_Data!D774)-1</f>
        <v>-1.9865766250983907E-2</v>
      </c>
      <c r="E775" s="4">
        <f>(Raw_Stock_Data!E775/Raw_Stock_Data!E774)-1</f>
        <v>-2.5398116935952619E-2</v>
      </c>
      <c r="F775" s="4">
        <f>(Raw_Stock_Data!F775/Raw_Stock_Data!F774)-1</f>
        <v>-2.3899371069182496E-2</v>
      </c>
      <c r="G775" s="4">
        <f>(Raw_Stock_Data!G775/Raw_Stock_Data!G774)-1</f>
        <v>-2.2443760112740851E-2</v>
      </c>
      <c r="H775" s="4">
        <f>(Raw_Stock_Data!H775/Raw_Stock_Data!H774)-1</f>
        <v>-7.5003478825548586E-2</v>
      </c>
      <c r="I775" s="4">
        <f>(Raw_Stock_Data!I775/Raw_Stock_Data!I774)-1</f>
        <v>-2.4796280557916384E-2</v>
      </c>
      <c r="J775" s="4">
        <f>(Raw_Stock_Data!J775/Raw_Stock_Data!J774)-1</f>
        <v>-2.2301239853254939E-2</v>
      </c>
    </row>
    <row r="776" spans="1:10" x14ac:dyDescent="0.2">
      <c r="A776" s="2">
        <v>45323</v>
      </c>
      <c r="B776" s="4">
        <f>(Raw_Stock_Data!B776/Raw_Stock_Data!B775)-1</f>
        <v>1.335165376572478E-2</v>
      </c>
      <c r="C776" s="4">
        <f>(Raw_Stock_Data!C776/Raw_Stock_Data!C775)-1</f>
        <v>1.559696727044213E-2</v>
      </c>
      <c r="D776" s="4">
        <f>(Raw_Stock_Data!D776/Raw_Stock_Data!D775)-1</f>
        <v>2.4379973825181311E-2</v>
      </c>
      <c r="E776" s="4">
        <f>(Raw_Stock_Data!E776/Raw_Stock_Data!E775)-1</f>
        <v>1.6637843640050054E-2</v>
      </c>
      <c r="F776" s="4">
        <f>(Raw_Stock_Data!F776/Raw_Stock_Data!F775)-1</f>
        <v>2.6288659793814562E-2</v>
      </c>
      <c r="G776" s="4">
        <f>(Raw_Stock_Data!G776/Raw_Stock_Data!G775)-1</f>
        <v>8.3827219819532228E-3</v>
      </c>
      <c r="H776" s="4">
        <f>(Raw_Stock_Data!H776/Raw_Stock_Data!H775)-1</f>
        <v>7.5647950484978299E-3</v>
      </c>
      <c r="I776" s="4">
        <f>(Raw_Stock_Data!I776/Raw_Stock_Data!I775)-1</f>
        <v>1.1893166555595469E-2</v>
      </c>
      <c r="J776" s="4">
        <f>(Raw_Stock_Data!J776/Raw_Stock_Data!J775)-1</f>
        <v>1.3032832344478829E-2</v>
      </c>
    </row>
    <row r="777" spans="1:10" x14ac:dyDescent="0.2">
      <c r="A777" s="2">
        <v>45324</v>
      </c>
      <c r="B777" s="4">
        <f>(Raw_Stock_Data!B777/Raw_Stock_Data!B776)-1</f>
        <v>-5.4021057408177864E-3</v>
      </c>
      <c r="C777" s="4">
        <f>(Raw_Stock_Data!C777/Raw_Stock_Data!C776)-1</f>
        <v>1.8426430262760585E-2</v>
      </c>
      <c r="D777" s="4">
        <f>(Raw_Stock_Data!D777/Raw_Stock_Data!D776)-1</f>
        <v>4.9708692871347271E-2</v>
      </c>
      <c r="E777" s="4">
        <f>(Raw_Stock_Data!E777/Raw_Stock_Data!E776)-1</f>
        <v>4.2116377287658491E-2</v>
      </c>
      <c r="F777" s="4">
        <f>(Raw_Stock_Data!F777/Raw_Stock_Data!F776)-1</f>
        <v>7.8666499246609733E-2</v>
      </c>
      <c r="G777" s="4">
        <f>(Raw_Stock_Data!G777/Raw_Stock_Data!G776)-1</f>
        <v>-5.0301810865192031E-3</v>
      </c>
      <c r="H777" s="4">
        <f>(Raw_Stock_Data!H777/Raw_Stock_Data!H776)-1</f>
        <v>8.6455741201565406E-3</v>
      </c>
      <c r="I777" s="4">
        <f>(Raw_Stock_Data!I777/Raw_Stock_Data!I776)-1</f>
        <v>0.20317645270783746</v>
      </c>
      <c r="J777" s="4">
        <f>(Raw_Stock_Data!J777/Raw_Stock_Data!J776)-1</f>
        <v>1.740113685778355E-2</v>
      </c>
    </row>
    <row r="778" spans="1:10" x14ac:dyDescent="0.2">
      <c r="A778" s="2">
        <v>45327</v>
      </c>
      <c r="B778" s="4">
        <f>(Raw_Stock_Data!B778/Raw_Stock_Data!B777)-1</f>
        <v>9.8472133961207131E-3</v>
      </c>
      <c r="C778" s="4">
        <f>(Raw_Stock_Data!C778/Raw_Stock_Data!C777)-1</f>
        <v>-1.3545892867642739E-2</v>
      </c>
      <c r="D778" s="4">
        <f>(Raw_Stock_Data!D778/Raw_Stock_Data!D777)-1</f>
        <v>4.7944397743010292E-2</v>
      </c>
      <c r="E778" s="4">
        <f>(Raw_Stock_Data!E778/Raw_Stock_Data!E777)-1</f>
        <v>-1.9306540583136411E-2</v>
      </c>
      <c r="F778" s="4">
        <f>(Raw_Stock_Data!F778/Raw_Stock_Data!F777)-1</f>
        <v>-8.7305744718002565E-3</v>
      </c>
      <c r="G778" s="4">
        <f>(Raw_Stock_Data!G778/Raw_Stock_Data!G777)-1</f>
        <v>-3.645362141450692E-2</v>
      </c>
      <c r="H778" s="4">
        <f>(Raw_Stock_Data!H778/Raw_Stock_Data!H777)-1</f>
        <v>9.1283323699828944E-3</v>
      </c>
      <c r="I778" s="4">
        <f>(Raw_Stock_Data!I778/Raw_Stock_Data!I777)-1</f>
        <v>-3.2800690540853439E-2</v>
      </c>
      <c r="J778" s="4">
        <f>(Raw_Stock_Data!J778/Raw_Stock_Data!J777)-1</f>
        <v>-2.0007742042811305E-3</v>
      </c>
    </row>
    <row r="779" spans="1:10" x14ac:dyDescent="0.2">
      <c r="A779" s="2">
        <v>45328</v>
      </c>
      <c r="B779" s="4">
        <f>(Raw_Stock_Data!B779/Raw_Stock_Data!B778)-1</f>
        <v>8.6270881963792512E-3</v>
      </c>
      <c r="C779" s="4">
        <f>(Raw_Stock_Data!C779/Raw_Stock_Data!C778)-1</f>
        <v>-3.9489468233333547E-4</v>
      </c>
      <c r="D779" s="4">
        <f>(Raw_Stock_Data!D779/Raw_Stock_Data!D778)-1</f>
        <v>-1.5994275186366536E-2</v>
      </c>
      <c r="E779" s="4">
        <f>(Raw_Stock_Data!E779/Raw_Stock_Data!E778)-1</f>
        <v>-3.6446077024622547E-2</v>
      </c>
      <c r="F779" s="4">
        <f>(Raw_Stock_Data!F779/Raw_Stock_Data!F778)-1</f>
        <v>-6.8111091538958224E-3</v>
      </c>
      <c r="G779" s="4">
        <f>(Raw_Stock_Data!G779/Raw_Stock_Data!G778)-1</f>
        <v>2.2313045399315001E-2</v>
      </c>
      <c r="H779" s="4">
        <f>(Raw_Stock_Data!H779/Raw_Stock_Data!H778)-1</f>
        <v>2.9197896075048302E-3</v>
      </c>
      <c r="I779" s="4">
        <f>(Raw_Stock_Data!I779/Raw_Stock_Data!I778)-1</f>
        <v>-1.0208746000304747E-2</v>
      </c>
      <c r="J779" s="4">
        <f>(Raw_Stock_Data!J779/Raw_Stock_Data!J778)-1</f>
        <v>7.2574895753718671E-4</v>
      </c>
    </row>
    <row r="780" spans="1:10" x14ac:dyDescent="0.2">
      <c r="A780" s="2">
        <v>45329</v>
      </c>
      <c r="B780" s="4">
        <f>(Raw_Stock_Data!B780/Raw_Stock_Data!B779)-1</f>
        <v>5.8124033487971793E-4</v>
      </c>
      <c r="C780" s="4">
        <f>(Raw_Stock_Data!C780/Raw_Stock_Data!C779)-1</f>
        <v>2.1111608030212503E-2</v>
      </c>
      <c r="D780" s="4">
        <f>(Raw_Stock_Data!D780/Raw_Stock_Data!D779)-1</f>
        <v>2.7497041949336998E-2</v>
      </c>
      <c r="E780" s="4">
        <f>(Raw_Stock_Data!E780/Raw_Stock_Data!E779)-1</f>
        <v>1.8227305218012857E-2</v>
      </c>
      <c r="F780" s="4">
        <f>(Raw_Stock_Data!F780/Raw_Stock_Data!F779)-1</f>
        <v>8.1584392550990703E-3</v>
      </c>
      <c r="G780" s="4">
        <f>(Raw_Stock_Data!G780/Raw_Stock_Data!G779)-1</f>
        <v>1.339816315505149E-2</v>
      </c>
      <c r="H780" s="4">
        <f>(Raw_Stock_Data!H780/Raw_Stock_Data!H779)-1</f>
        <v>9.9944978026034192E-3</v>
      </c>
      <c r="I780" s="4">
        <f>(Raw_Stock_Data!I780/Raw_Stock_Data!I779)-1</f>
        <v>3.2701442646023704E-2</v>
      </c>
      <c r="J780" s="4">
        <f>(Raw_Stock_Data!J780/Raw_Stock_Data!J779)-1</f>
        <v>9.4586456531486895E-3</v>
      </c>
    </row>
    <row r="781" spans="1:10" x14ac:dyDescent="0.2">
      <c r="A781" s="2">
        <v>45330</v>
      </c>
      <c r="B781" s="4">
        <f>(Raw_Stock_Data!B781/Raw_Stock_Data!B780)-1</f>
        <v>-5.7610624656921905E-3</v>
      </c>
      <c r="C781" s="4">
        <f>(Raw_Stock_Data!C781/Raw_Stock_Data!C780)-1</f>
        <v>1.4599357141631408E-4</v>
      </c>
      <c r="D781" s="4">
        <f>(Raw_Stock_Data!D781/Raw_Stock_Data!D780)-1</f>
        <v>-6.534045100464958E-3</v>
      </c>
      <c r="E781" s="4">
        <f>(Raw_Stock_Data!E781/Raw_Stock_Data!E780)-1</f>
        <v>-9.3015093015093031E-3</v>
      </c>
      <c r="F781" s="4">
        <f>(Raw_Stock_Data!F781/Raw_Stock_Data!F780)-1</f>
        <v>-4.0462088782032835E-3</v>
      </c>
      <c r="G781" s="4">
        <f>(Raw_Stock_Data!G781/Raw_Stock_Data!G780)-1</f>
        <v>1.0555496321569491E-2</v>
      </c>
      <c r="H781" s="4">
        <f>(Raw_Stock_Data!H781/Raw_Stock_Data!H780)-1</f>
        <v>2.5445819024370042E-3</v>
      </c>
      <c r="I781" s="4">
        <f>(Raw_Stock_Data!I781/Raw_Stock_Data!I780)-1</f>
        <v>8.7310206776125554E-4</v>
      </c>
      <c r="J781" s="4">
        <f>(Raw_Stock_Data!J781/Raw_Stock_Data!J780)-1</f>
        <v>2.3526589425155731E-3</v>
      </c>
    </row>
    <row r="782" spans="1:10" x14ac:dyDescent="0.2">
      <c r="A782" s="2">
        <v>45331</v>
      </c>
      <c r="B782" s="4">
        <f>(Raw_Stock_Data!B782/Raw_Stock_Data!B781)-1</f>
        <v>4.0898808949496601E-3</v>
      </c>
      <c r="C782" s="4">
        <f>(Raw_Stock_Data!C782/Raw_Stock_Data!C781)-1</f>
        <v>1.5548478604116012E-2</v>
      </c>
      <c r="D782" s="4">
        <f>(Raw_Stock_Data!D782/Raw_Stock_Data!D781)-1</f>
        <v>3.5783640615214773E-2</v>
      </c>
      <c r="E782" s="4">
        <f>(Raw_Stock_Data!E782/Raw_Stock_Data!E781)-1</f>
        <v>1.8482432831414153E-2</v>
      </c>
      <c r="F782" s="4">
        <f>(Raw_Stock_Data!F782/Raw_Stock_Data!F781)-1</f>
        <v>2.7143193593970771E-2</v>
      </c>
      <c r="G782" s="4">
        <f>(Raw_Stock_Data!G782/Raw_Stock_Data!G781)-1</f>
        <v>2.1154251951888581E-2</v>
      </c>
      <c r="H782" s="4">
        <f>(Raw_Stock_Data!H782/Raw_Stock_Data!H781)-1</f>
        <v>2.117854219544224E-2</v>
      </c>
      <c r="I782" s="4">
        <f>(Raw_Stock_Data!I782/Raw_Stock_Data!I781)-1</f>
        <v>-4.0212765957446939E-3</v>
      </c>
      <c r="J782" s="4">
        <f>(Raw_Stock_Data!J782/Raw_Stock_Data!J781)-1</f>
        <v>1.2470154257612664E-2</v>
      </c>
    </row>
    <row r="783" spans="1:10" x14ac:dyDescent="0.2">
      <c r="A783" s="2">
        <v>45334</v>
      </c>
      <c r="B783" s="4">
        <f>(Raw_Stock_Data!B783/Raw_Stock_Data!B782)-1</f>
        <v>-8.9952541359484828E-3</v>
      </c>
      <c r="C783" s="4">
        <f>(Raw_Stock_Data!C783/Raw_Stock_Data!C782)-1</f>
        <v>-1.2577019270389123E-2</v>
      </c>
      <c r="D783" s="4">
        <f>(Raw_Stock_Data!D783/Raw_Stock_Data!D782)-1</f>
        <v>1.5947304558849851E-3</v>
      </c>
      <c r="E783" s="4">
        <f>(Raw_Stock_Data!E783/Raw_Stock_Data!E782)-1</f>
        <v>-3.3047309833024174E-3</v>
      </c>
      <c r="F783" s="4">
        <f>(Raw_Stock_Data!F783/Raw_Stock_Data!F782)-1</f>
        <v>-1.2095156205216284E-2</v>
      </c>
      <c r="G783" s="4">
        <f>(Raw_Stock_Data!G783/Raw_Stock_Data!G782)-1</f>
        <v>-2.8103528439324288E-2</v>
      </c>
      <c r="H783" s="4">
        <f>(Raw_Stock_Data!H783/Raw_Stock_Data!H782)-1</f>
        <v>-9.8611092400748834E-3</v>
      </c>
      <c r="I783" s="4">
        <f>(Raw_Stock_Data!I783/Raw_Stock_Data!I782)-1</f>
        <v>1.6876375210954642E-3</v>
      </c>
      <c r="J783" s="4">
        <f>(Raw_Stock_Data!J783/Raw_Stock_Data!J782)-1</f>
        <v>-3.008631288514696E-3</v>
      </c>
    </row>
    <row r="784" spans="1:10" x14ac:dyDescent="0.2">
      <c r="A784" s="2">
        <v>45335</v>
      </c>
      <c r="B784" s="4">
        <f>(Raw_Stock_Data!B784/Raw_Stock_Data!B783)-1</f>
        <v>-1.1280139628089381E-2</v>
      </c>
      <c r="C784" s="4">
        <f>(Raw_Stock_Data!C784/Raw_Stock_Data!C783)-1</f>
        <v>-2.1527107220666752E-2</v>
      </c>
      <c r="D784" s="4">
        <f>(Raw_Stock_Data!D784/Raw_Stock_Data!D783)-1</f>
        <v>-1.6614170502925463E-3</v>
      </c>
      <c r="E784" s="4">
        <f>(Raw_Stock_Data!E784/Raw_Stock_Data!E783)-1</f>
        <v>-2.1522889884242336E-3</v>
      </c>
      <c r="F784" s="4">
        <f>(Raw_Stock_Data!F784/Raw_Stock_Data!F783)-1</f>
        <v>-2.1469188812812012E-2</v>
      </c>
      <c r="G784" s="4">
        <f>(Raw_Stock_Data!G784/Raw_Stock_Data!G783)-1</f>
        <v>-2.1846595439323768E-2</v>
      </c>
      <c r="H784" s="4">
        <f>(Raw_Stock_Data!H784/Raw_Stock_Data!H783)-1</f>
        <v>-1.6204302099348089E-2</v>
      </c>
      <c r="I784" s="4">
        <f>(Raw_Stock_Data!I784/Raw_Stock_Data!I783)-1</f>
        <v>-1.8724674770740024E-2</v>
      </c>
      <c r="J784" s="4">
        <f>(Raw_Stock_Data!J784/Raw_Stock_Data!J783)-1</f>
        <v>-1.7999002668958153E-2</v>
      </c>
    </row>
    <row r="785" spans="1:10" x14ac:dyDescent="0.2">
      <c r="A785" s="2">
        <v>45336</v>
      </c>
      <c r="B785" s="4">
        <f>(Raw_Stock_Data!B785/Raw_Stock_Data!B784)-1</f>
        <v>-4.8108879711455943E-3</v>
      </c>
      <c r="C785" s="4">
        <f>(Raw_Stock_Data!C785/Raw_Stock_Data!C784)-1</f>
        <v>9.6651417661570704E-3</v>
      </c>
      <c r="D785" s="4">
        <f>(Raw_Stock_Data!D785/Raw_Stock_Data!D784)-1</f>
        <v>2.4567486045141029E-2</v>
      </c>
      <c r="E785" s="4">
        <f>(Raw_Stock_Data!E785/Raw_Stock_Data!E784)-1</f>
        <v>4.1739535968287278E-2</v>
      </c>
      <c r="F785" s="4">
        <f>(Raw_Stock_Data!F785/Raw_Stock_Data!F784)-1</f>
        <v>1.3875711574952598E-2</v>
      </c>
      <c r="G785" s="4">
        <f>(Raw_Stock_Data!G785/Raw_Stock_Data!G784)-1</f>
        <v>2.5486360178241574E-2</v>
      </c>
      <c r="H785" s="4">
        <f>(Raw_Stock_Data!H785/Raw_Stock_Data!H784)-1</f>
        <v>5.5111467610775566E-3</v>
      </c>
      <c r="I785" s="4">
        <f>(Raw_Stock_Data!I785/Raw_Stock_Data!I784)-1</f>
        <v>2.8601234460575498E-2</v>
      </c>
      <c r="J785" s="4">
        <f>(Raw_Stock_Data!J785/Raw_Stock_Data!J784)-1</f>
        <v>1.3001737397480673E-2</v>
      </c>
    </row>
    <row r="786" spans="1:10" x14ac:dyDescent="0.2">
      <c r="A786" s="2">
        <v>45337</v>
      </c>
      <c r="B786" s="4">
        <f>(Raw_Stock_Data!B786/Raw_Stock_Data!B785)-1</f>
        <v>-1.571233829156915E-3</v>
      </c>
      <c r="C786" s="4">
        <f>(Raw_Stock_Data!C786/Raw_Stock_Data!C785)-1</f>
        <v>-7.1561358830852795E-3</v>
      </c>
      <c r="D786" s="4">
        <f>(Raw_Stock_Data!D786/Raw_Stock_Data!D785)-1</f>
        <v>-1.6805858227642578E-2</v>
      </c>
      <c r="E786" s="4">
        <f>(Raw_Stock_Data!E786/Raw_Stock_Data!E785)-1</f>
        <v>-1.0856183547845566E-2</v>
      </c>
      <c r="F786" s="4">
        <f>(Raw_Stock_Data!F786/Raw_Stock_Data!F785)-1</f>
        <v>-6.9013919756695241E-3</v>
      </c>
      <c r="G786" s="4">
        <f>(Raw_Stock_Data!G786/Raw_Stock_Data!G785)-1</f>
        <v>6.2211859466906771E-2</v>
      </c>
      <c r="H786" s="4">
        <f>(Raw_Stock_Data!H786/Raw_Stock_Data!H785)-1</f>
        <v>-2.1724330011759774E-2</v>
      </c>
      <c r="I786" s="4">
        <f>(Raw_Stock_Data!I786/Raw_Stock_Data!I785)-1</f>
        <v>2.2713826910074397E-2</v>
      </c>
      <c r="J786" s="4">
        <f>(Raw_Stock_Data!J786/Raw_Stock_Data!J785)-1</f>
        <v>2.9648499446692789E-3</v>
      </c>
    </row>
    <row r="787" spans="1:10" x14ac:dyDescent="0.2">
      <c r="A787" s="2">
        <v>45338</v>
      </c>
      <c r="B787" s="4">
        <f>(Raw_Stock_Data!B787/Raw_Stock_Data!B786)-1</f>
        <v>-8.4278288333735629E-3</v>
      </c>
      <c r="C787" s="4">
        <f>(Raw_Stock_Data!C787/Raw_Stock_Data!C786)-1</f>
        <v>-6.1490666330273891E-3</v>
      </c>
      <c r="D787" s="4">
        <f>(Raw_Stock_Data!D787/Raw_Stock_Data!D786)-1</f>
        <v>-6.1951556636119509E-4</v>
      </c>
      <c r="E787" s="4">
        <f>(Raw_Stock_Data!E787/Raw_Stock_Data!E786)-1</f>
        <v>-1.6349852907897588E-2</v>
      </c>
      <c r="F787" s="4">
        <f>(Raw_Stock_Data!F787/Raw_Stock_Data!F786)-1</f>
        <v>-1.7078916372204045E-3</v>
      </c>
      <c r="G787" s="4">
        <f>(Raw_Stock_Data!G787/Raw_Stock_Data!G786)-1</f>
        <v>-2.49438762783738E-3</v>
      </c>
      <c r="H787" s="4">
        <f>(Raw_Stock_Data!H787/Raw_Stock_Data!H786)-1</f>
        <v>-1.5753511324813285E-2</v>
      </c>
      <c r="I787" s="4">
        <f>(Raw_Stock_Data!I787/Raw_Stock_Data!I786)-1</f>
        <v>-2.212672768216839E-2</v>
      </c>
      <c r="J787" s="4">
        <f>(Raw_Stock_Data!J787/Raw_Stock_Data!J786)-1</f>
        <v>-8.205620837700156E-3</v>
      </c>
    </row>
    <row r="788" spans="1:10" x14ac:dyDescent="0.2">
      <c r="A788" s="2">
        <v>45342</v>
      </c>
      <c r="B788" s="4">
        <f>(Raw_Stock_Data!B788/Raw_Stock_Data!B787)-1</f>
        <v>-4.1253076008516132E-3</v>
      </c>
      <c r="C788" s="4">
        <f>(Raw_Stock_Data!C788/Raw_Stock_Data!C787)-1</f>
        <v>-3.1433314335631568E-3</v>
      </c>
      <c r="D788" s="4">
        <f>(Raw_Stock_Data!D788/Raw_Stock_Data!D787)-1</f>
        <v>-4.3532105289258882E-2</v>
      </c>
      <c r="E788" s="4">
        <f>(Raw_Stock_Data!E788/Raw_Stock_Data!E787)-1</f>
        <v>-4.7046644044401065E-2</v>
      </c>
      <c r="F788" s="4">
        <f>(Raw_Stock_Data!F788/Raw_Stock_Data!F787)-1</f>
        <v>-1.4335437437319243E-2</v>
      </c>
      <c r="G788" s="4">
        <f>(Raw_Stock_Data!G788/Raw_Stock_Data!G787)-1</f>
        <v>-3.0957739434858689E-2</v>
      </c>
      <c r="H788" s="4">
        <f>(Raw_Stock_Data!H788/Raw_Stock_Data!H787)-1</f>
        <v>4.2638897816631438E-3</v>
      </c>
      <c r="I788" s="4">
        <f>(Raw_Stock_Data!I788/Raw_Stock_Data!I787)-1</f>
        <v>-3.3169948449252029E-3</v>
      </c>
      <c r="J788" s="4">
        <f>(Raw_Stock_Data!J788/Raw_Stock_Data!J787)-1</f>
        <v>-9.1831398389289332E-3</v>
      </c>
    </row>
    <row r="789" spans="1:10" x14ac:dyDescent="0.2">
      <c r="A789" s="2">
        <v>45343</v>
      </c>
      <c r="B789" s="4">
        <f>(Raw_Stock_Data!B789/Raw_Stock_Data!B788)-1</f>
        <v>4.1979243596221849E-3</v>
      </c>
      <c r="C789" s="4">
        <f>(Raw_Stock_Data!C789/Raw_Stock_Data!C788)-1</f>
        <v>-1.5154541369152286E-3</v>
      </c>
      <c r="D789" s="4">
        <f>(Raw_Stock_Data!D789/Raw_Stock_Data!D788)-1</f>
        <v>-2.8508345539467905E-2</v>
      </c>
      <c r="E789" s="4">
        <f>(Raw_Stock_Data!E789/Raw_Stock_Data!E788)-1</f>
        <v>-8.4495141529362661E-3</v>
      </c>
      <c r="F789" s="4">
        <f>(Raw_Stock_Data!F789/Raw_Stock_Data!F788)-1</f>
        <v>9.0375867847736213E-3</v>
      </c>
      <c r="G789" s="4">
        <f>(Raw_Stock_Data!G789/Raw_Stock_Data!G788)-1</f>
        <v>5.2126341866227666E-3</v>
      </c>
      <c r="H789" s="4">
        <f>(Raw_Stock_Data!H789/Raw_Stock_Data!H788)-1</f>
        <v>1.0134414337529263E-2</v>
      </c>
      <c r="I789" s="4">
        <f>(Raw_Stock_Data!I789/Raw_Stock_Data!I788)-1</f>
        <v>-7.885532591415001E-3</v>
      </c>
      <c r="J789" s="4">
        <f>(Raw_Stock_Data!J789/Raw_Stock_Data!J788)-1</f>
        <v>-3.1930588236799284E-3</v>
      </c>
    </row>
    <row r="790" spans="1:10" x14ac:dyDescent="0.2">
      <c r="A790" s="2">
        <v>45344</v>
      </c>
      <c r="B790" s="4">
        <f>(Raw_Stock_Data!B790/Raw_Stock_Data!B789)-1</f>
        <v>1.1241671044264434E-2</v>
      </c>
      <c r="C790" s="4">
        <f>(Raw_Stock_Data!C790/Raw_Stock_Data!C789)-1</f>
        <v>2.3548944448195108E-2</v>
      </c>
      <c r="D790" s="4">
        <f>(Raw_Stock_Data!D790/Raw_Stock_Data!D789)-1</f>
        <v>0.16400925682958034</v>
      </c>
      <c r="E790" s="4">
        <f>(Raw_Stock_Data!E790/Raw_Stock_Data!E789)-1</f>
        <v>0.10694503621644658</v>
      </c>
      <c r="F790" s="4">
        <f>(Raw_Stock_Data!F790/Raw_Stock_Data!F789)-1</f>
        <v>3.5529983984815328E-2</v>
      </c>
      <c r="G790" s="4">
        <f>(Raw_Stock_Data!G790/Raw_Stock_Data!G789)-1</f>
        <v>1.3554448837089783E-2</v>
      </c>
      <c r="H790" s="4">
        <f>(Raw_Stock_Data!H790/Raw_Stock_Data!H789)-1</f>
        <v>1.0800154891399849E-2</v>
      </c>
      <c r="I790" s="4">
        <f>(Raw_Stock_Data!I790/Raw_Stock_Data!I789)-1</f>
        <v>3.8672734653761642E-2</v>
      </c>
      <c r="J790" s="4">
        <f>(Raw_Stock_Data!J790/Raw_Stock_Data!J789)-1</f>
        <v>2.9571519433767124E-2</v>
      </c>
    </row>
    <row r="791" spans="1:10" x14ac:dyDescent="0.2">
      <c r="A791" s="2">
        <v>45345</v>
      </c>
      <c r="B791" s="4">
        <f>(Raw_Stock_Data!B791/Raw_Stock_Data!B790)-1</f>
        <v>-1.0039479871827073E-2</v>
      </c>
      <c r="C791" s="4">
        <f>(Raw_Stock_Data!C791/Raw_Stock_Data!C790)-1</f>
        <v>-3.1855302662018303E-3</v>
      </c>
      <c r="D791" s="4">
        <f>(Raw_Stock_Data!D791/Raw_Stock_Data!D790)-1</f>
        <v>3.5521512867475735E-3</v>
      </c>
      <c r="E791" s="4">
        <f>(Raw_Stock_Data!E791/Raw_Stock_Data!E790)-1</f>
        <v>-2.9363246453315783E-2</v>
      </c>
      <c r="F791" s="4">
        <f>(Raw_Stock_Data!F791/Raw_Stock_Data!F790)-1</f>
        <v>2.3484935273228036E-3</v>
      </c>
      <c r="G791" s="4">
        <f>(Raw_Stock_Data!G791/Raw_Stock_Data!G790)-1</f>
        <v>-2.7556861354541273E-2</v>
      </c>
      <c r="H791" s="4">
        <f>(Raw_Stock_Data!H791/Raw_Stock_Data!H790)-1</f>
        <v>-8.9852266157730565E-4</v>
      </c>
      <c r="I791" s="4">
        <f>(Raw_Stock_Data!I791/Raw_Stock_Data!I790)-1</f>
        <v>-4.3198321436652698E-3</v>
      </c>
      <c r="J791" s="4">
        <f>(Raw_Stock_Data!J791/Raw_Stock_Data!J790)-1</f>
        <v>-2.7927353970484958E-3</v>
      </c>
    </row>
    <row r="792" spans="1:10" x14ac:dyDescent="0.2">
      <c r="A792" s="2">
        <v>45348</v>
      </c>
      <c r="B792" s="4">
        <f>(Raw_Stock_Data!B792/Raw_Stock_Data!B791)-1</f>
        <v>-7.4402624805294248E-3</v>
      </c>
      <c r="C792" s="4">
        <f>(Raw_Stock_Data!C792/Raw_Stock_Data!C791)-1</f>
        <v>-6.822743458474223E-3</v>
      </c>
      <c r="D792" s="4">
        <f>(Raw_Stock_Data!D792/Raw_Stock_Data!D791)-1</f>
        <v>3.4888133338915051E-3</v>
      </c>
      <c r="E792" s="4">
        <f>(Raw_Stock_Data!E792/Raw_Stock_Data!E791)-1</f>
        <v>-2.8891910265126386E-3</v>
      </c>
      <c r="F792" s="4">
        <f>(Raw_Stock_Data!F792/Raw_Stock_Data!F791)-1</f>
        <v>-1.4857991885252053E-3</v>
      </c>
      <c r="G792" s="4">
        <f>(Raw_Stock_Data!G792/Raw_Stock_Data!G791)-1</f>
        <v>3.8703964161066917E-2</v>
      </c>
      <c r="H792" s="4">
        <f>(Raw_Stock_Data!H792/Raw_Stock_Data!H791)-1</f>
        <v>-4.4387897378694863E-2</v>
      </c>
      <c r="I792" s="4">
        <f>(Raw_Stock_Data!I792/Raw_Stock_Data!I791)-1</f>
        <v>-4.7311117079519294E-3</v>
      </c>
      <c r="J792" s="4">
        <f>(Raw_Stock_Data!J792/Raw_Stock_Data!J791)-1</f>
        <v>-1.2858805687629982E-3</v>
      </c>
    </row>
    <row r="793" spans="1:10" x14ac:dyDescent="0.2">
      <c r="A793" s="2">
        <v>45349</v>
      </c>
      <c r="B793" s="4">
        <f>(Raw_Stock_Data!B793/Raw_Stock_Data!B792)-1</f>
        <v>8.1081833106095846E-3</v>
      </c>
      <c r="C793" s="4">
        <f>(Raw_Stock_Data!C793/Raw_Stock_Data!C792)-1</f>
        <v>-1.4805200573453359E-4</v>
      </c>
      <c r="D793" s="4">
        <f>(Raw_Stock_Data!D793/Raw_Stock_Data!D792)-1</f>
        <v>-4.9437457632262038E-3</v>
      </c>
      <c r="E793" s="4">
        <f>(Raw_Stock_Data!E793/Raw_Stock_Data!E792)-1</f>
        <v>1.1306175785466888E-2</v>
      </c>
      <c r="F793" s="4">
        <f>(Raw_Stock_Data!F793/Raw_Stock_Data!F792)-1</f>
        <v>-6.8105076403593978E-3</v>
      </c>
      <c r="G793" s="4">
        <f>(Raw_Stock_Data!G793/Raw_Stock_Data!G792)-1</f>
        <v>1.6549648946839746E-3</v>
      </c>
      <c r="H793" s="4">
        <f>(Raw_Stock_Data!H793/Raw_Stock_Data!H792)-1</f>
        <v>9.5204744916941308E-3</v>
      </c>
      <c r="I793" s="4">
        <f>(Raw_Stock_Data!I793/Raw_Stock_Data!I792)-1</f>
        <v>1.10225432806077E-2</v>
      </c>
      <c r="J793" s="4">
        <f>(Raw_Stock_Data!J793/Raw_Stock_Data!J792)-1</f>
        <v>3.696111415382175E-3</v>
      </c>
    </row>
    <row r="794" spans="1:10" x14ac:dyDescent="0.2">
      <c r="A794" s="2">
        <v>45350</v>
      </c>
      <c r="B794" s="4">
        <f>(Raw_Stock_Data!B794/Raw_Stock_Data!B793)-1</f>
        <v>-6.6187511040450842E-3</v>
      </c>
      <c r="C794" s="4">
        <f>(Raw_Stock_Data!C794/Raw_Stock_Data!C793)-1</f>
        <v>5.8982781470029444E-4</v>
      </c>
      <c r="D794" s="4">
        <f>(Raw_Stock_Data!D794/Raw_Stock_Data!D793)-1</f>
        <v>-1.3187813220096545E-2</v>
      </c>
      <c r="E794" s="4">
        <f>(Raw_Stock_Data!E794/Raw_Stock_Data!E793)-1</f>
        <v>-8.2022471910112582E-3</v>
      </c>
      <c r="F794" s="4">
        <f>(Raw_Stock_Data!F794/Raw_Stock_Data!F793)-1</f>
        <v>-2.1896968998501576E-3</v>
      </c>
      <c r="G794" s="4">
        <f>(Raw_Stock_Data!G794/Raw_Stock_Data!G793)-1</f>
        <v>1.1565613578330858E-2</v>
      </c>
      <c r="H794" s="4">
        <f>(Raw_Stock_Data!H794/Raw_Stock_Data!H793)-1</f>
        <v>-1.8001416410122872E-2</v>
      </c>
      <c r="I794" s="4">
        <f>(Raw_Stock_Data!I794/Raw_Stock_Data!I793)-1</f>
        <v>-6.2211271943333202E-3</v>
      </c>
      <c r="J794" s="4">
        <f>(Raw_Stock_Data!J794/Raw_Stock_Data!J793)-1</f>
        <v>-5.4604528758426252E-3</v>
      </c>
    </row>
    <row r="795" spans="1:10" x14ac:dyDescent="0.2">
      <c r="A795" s="2">
        <v>45351</v>
      </c>
      <c r="B795" s="4">
        <f>(Raw_Stock_Data!B795/Raw_Stock_Data!B794)-1</f>
        <v>-3.7065233699911104E-3</v>
      </c>
      <c r="C795" s="4">
        <f>(Raw_Stock_Data!C795/Raw_Stock_Data!C794)-1</f>
        <v>1.4519955998638423E-2</v>
      </c>
      <c r="D795" s="4">
        <f>(Raw_Stock_Data!D795/Raw_Stock_Data!D794)-1</f>
        <v>1.8656355976409467E-2</v>
      </c>
      <c r="E795" s="4">
        <f>(Raw_Stock_Data!E795/Raw_Stock_Data!E794)-1</f>
        <v>9.0574374079528841E-2</v>
      </c>
      <c r="F795" s="4">
        <f>(Raw_Stock_Data!F795/Raw_Stock_Data!F794)-1</f>
        <v>2.079002079002068E-2</v>
      </c>
      <c r="G795" s="4">
        <f>(Raw_Stock_Data!G795/Raw_Stock_Data!G794)-1</f>
        <v>-7.9192239160563727E-4</v>
      </c>
      <c r="H795" s="4">
        <f>(Raw_Stock_Data!H795/Raw_Stock_Data!H794)-1</f>
        <v>1.5255322437024876E-2</v>
      </c>
      <c r="I795" s="4">
        <f>(Raw_Stock_Data!I795/Raw_Stock_Data!I794)-1</f>
        <v>1.2623445312177184E-2</v>
      </c>
      <c r="J795" s="4">
        <f>(Raw_Stock_Data!J795/Raw_Stock_Data!J794)-1</f>
        <v>9.0407794458651214E-3</v>
      </c>
    </row>
    <row r="796" spans="1:10" x14ac:dyDescent="0.2">
      <c r="A796" s="2">
        <v>45352</v>
      </c>
      <c r="B796" s="4">
        <f>(Raw_Stock_Data!B796/Raw_Stock_Data!B795)-1</f>
        <v>-6.0183171022835102E-3</v>
      </c>
      <c r="C796" s="4">
        <f>(Raw_Stock_Data!C796/Raw_Stock_Data!C795)-1</f>
        <v>4.4976162633802996E-3</v>
      </c>
      <c r="D796" s="4">
        <f>(Raw_Stock_Data!D796/Raw_Stock_Data!D795)-1</f>
        <v>4.0030547632052826E-2</v>
      </c>
      <c r="E796" s="4">
        <f>(Raw_Stock_Data!E796/Raw_Stock_Data!E795)-1</f>
        <v>5.2511296940736418E-2</v>
      </c>
      <c r="F796" s="4">
        <f>(Raw_Stock_Data!F796/Raw_Stock_Data!F795)-1</f>
        <v>8.2597872821905671E-3</v>
      </c>
      <c r="G796" s="4">
        <f>(Raw_Stock_Data!G796/Raw_Stock_Data!G795)-1</f>
        <v>3.7646126411730041E-3</v>
      </c>
      <c r="H796" s="4">
        <f>(Raw_Stock_Data!H796/Raw_Stock_Data!H795)-1</f>
        <v>-9.5389968106698309E-3</v>
      </c>
      <c r="I796" s="4">
        <f>(Raw_Stock_Data!I796/Raw_Stock_Data!I795)-1</f>
        <v>2.4830147103829692E-2</v>
      </c>
      <c r="J796" s="4">
        <f>(Raw_Stock_Data!J796/Raw_Stock_Data!J795)-1</f>
        <v>1.1373409760923492E-2</v>
      </c>
    </row>
    <row r="797" spans="1:10" x14ac:dyDescent="0.2">
      <c r="A797" s="2">
        <v>45355</v>
      </c>
      <c r="B797" s="4">
        <f>(Raw_Stock_Data!B797/Raw_Stock_Data!B796)-1</f>
        <v>-2.5380596721789828E-2</v>
      </c>
      <c r="C797" s="4">
        <f>(Raw_Stock_Data!C797/Raw_Stock_Data!C796)-1</f>
        <v>-1.3964891729734141E-3</v>
      </c>
      <c r="D797" s="4">
        <f>(Raw_Stock_Data!D797/Raw_Stock_Data!D796)-1</f>
        <v>3.5951351640496121E-2</v>
      </c>
      <c r="E797" s="4">
        <f>(Raw_Stock_Data!E797/Raw_Stock_Data!E796)-1</f>
        <v>1.3422818791946511E-2</v>
      </c>
      <c r="F797" s="4">
        <f>(Raw_Stock_Data!F797/Raw_Stock_Data!F796)-1</f>
        <v>-3.5910672202894567E-3</v>
      </c>
      <c r="G797" s="4">
        <f>(Raw_Stock_Data!G797/Raw_Stock_Data!G796)-1</f>
        <v>-7.1555467824713781E-2</v>
      </c>
      <c r="H797" s="4">
        <f>(Raw_Stock_Data!H797/Raw_Stock_Data!H796)-1</f>
        <v>-2.763385146804842E-2</v>
      </c>
      <c r="I797" s="4">
        <f>(Raw_Stock_Data!I797/Raw_Stock_Data!I796)-1</f>
        <v>-8.1823611387616957E-3</v>
      </c>
      <c r="J797" s="4">
        <f>(Raw_Stock_Data!J797/Raw_Stock_Data!J796)-1</f>
        <v>-4.1431796369142404E-3</v>
      </c>
    </row>
    <row r="798" spans="1:10" x14ac:dyDescent="0.2">
      <c r="A798" s="2">
        <v>45356</v>
      </c>
      <c r="B798" s="4">
        <f>(Raw_Stock_Data!B798/Raw_Stock_Data!B797)-1</f>
        <v>-2.844245871813178E-2</v>
      </c>
      <c r="C798" s="4">
        <f>(Raw_Stock_Data!C798/Raw_Stock_Data!C797)-1</f>
        <v>-2.9570869748571149E-2</v>
      </c>
      <c r="D798" s="4">
        <f>(Raw_Stock_Data!D798/Raw_Stock_Data!D797)-1</f>
        <v>8.5761763490930232E-3</v>
      </c>
      <c r="E798" s="4">
        <f>(Raw_Stock_Data!E798/Raw_Stock_Data!E797)-1</f>
        <v>-1.1199844176081886E-3</v>
      </c>
      <c r="F798" s="4">
        <f>(Raw_Stock_Data!F798/Raw_Stock_Data!F797)-1</f>
        <v>-1.9484176145962429E-2</v>
      </c>
      <c r="G798" s="4">
        <f>(Raw_Stock_Data!G798/Raw_Stock_Data!G797)-1</f>
        <v>-3.9332412033591835E-2</v>
      </c>
      <c r="H798" s="4">
        <f>(Raw_Stock_Data!H798/Raw_Stock_Data!H797)-1</f>
        <v>-5.0952825360507381E-3</v>
      </c>
      <c r="I798" s="4">
        <f>(Raw_Stock_Data!I798/Raw_Stock_Data!I797)-1</f>
        <v>-1.5997912443043716E-2</v>
      </c>
      <c r="J798" s="4">
        <f>(Raw_Stock_Data!J798/Raw_Stock_Data!J797)-1</f>
        <v>-1.653060834144171E-2</v>
      </c>
    </row>
    <row r="799" spans="1:10" x14ac:dyDescent="0.2">
      <c r="A799" s="2">
        <v>45357</v>
      </c>
      <c r="B799" s="4">
        <f>(Raw_Stock_Data!B799/Raw_Stock_Data!B798)-1</f>
        <v>-5.8787275399421191E-3</v>
      </c>
      <c r="C799" s="4">
        <f>(Raw_Stock_Data!C799/Raw_Stock_Data!C798)-1</f>
        <v>-1.391105416819638E-3</v>
      </c>
      <c r="D799" s="4">
        <f>(Raw_Stock_Data!D799/Raw_Stock_Data!D798)-1</f>
        <v>3.1827849892254845E-2</v>
      </c>
      <c r="E799" s="4">
        <f>(Raw_Stock_Data!E799/Raw_Stock_Data!E798)-1</f>
        <v>2.6812265392677892E-2</v>
      </c>
      <c r="F799" s="4">
        <f>(Raw_Stock_Data!F799/Raw_Stock_Data!F798)-1</f>
        <v>-3.5033310360671477E-3</v>
      </c>
      <c r="G799" s="4">
        <f>(Raw_Stock_Data!G799/Raw_Stock_Data!G798)-1</f>
        <v>-2.323780015491872E-2</v>
      </c>
      <c r="H799" s="4">
        <f>(Raw_Stock_Data!H799/Raw_Stock_Data!H798)-1</f>
        <v>-9.5770513877646568E-3</v>
      </c>
      <c r="I799" s="4">
        <f>(Raw_Stock_Data!I799/Raw_Stock_Data!I798)-1</f>
        <v>1.1974215658275833E-2</v>
      </c>
      <c r="J799" s="4">
        <f>(Raw_Stock_Data!J799/Raw_Stock_Data!J798)-1</f>
        <v>5.7686552790880974E-3</v>
      </c>
    </row>
    <row r="800" spans="1:10" x14ac:dyDescent="0.2">
      <c r="A800" s="2">
        <v>45358</v>
      </c>
      <c r="B800" s="4">
        <f>(Raw_Stock_Data!B800/Raw_Stock_Data!B799)-1</f>
        <v>-7.0938051409219494E-4</v>
      </c>
      <c r="C800" s="4">
        <f>(Raw_Stock_Data!C800/Raw_Stock_Data!C799)-1</f>
        <v>1.7531837416592477E-2</v>
      </c>
      <c r="D800" s="4">
        <f>(Raw_Stock_Data!D800/Raw_Stock_Data!D799)-1</f>
        <v>4.4746783342166641E-2</v>
      </c>
      <c r="E800" s="4">
        <f>(Raw_Stock_Data!E800/Raw_Stock_Data!E799)-1</f>
        <v>3.5607463324311972E-3</v>
      </c>
      <c r="F800" s="4">
        <f>(Raw_Stock_Data!F800/Raw_Stock_Data!F799)-1</f>
        <v>1.9076710276064723E-2</v>
      </c>
      <c r="G800" s="4">
        <f>(Raw_Stock_Data!G800/Raw_Stock_Data!G799)-1</f>
        <v>1.1951965560213162E-2</v>
      </c>
      <c r="H800" s="4">
        <f>(Raw_Stock_Data!H800/Raw_Stock_Data!H799)-1</f>
        <v>2.2684743173572608E-2</v>
      </c>
      <c r="I800" s="4">
        <f>(Raw_Stock_Data!I800/Raw_Stock_Data!I799)-1</f>
        <v>3.2453788627063718E-2</v>
      </c>
      <c r="J800" s="4">
        <f>(Raw_Stock_Data!J800/Raw_Stock_Data!J799)-1</f>
        <v>1.5085263174966279E-2</v>
      </c>
    </row>
    <row r="801" spans="1:10" x14ac:dyDescent="0.2">
      <c r="A801" s="2">
        <v>45359</v>
      </c>
      <c r="B801" s="4">
        <f>(Raw_Stock_Data!B801/Raw_Stock_Data!B800)-1</f>
        <v>1.0236647915386365E-2</v>
      </c>
      <c r="C801" s="4">
        <f>(Raw_Stock_Data!C801/Raw_Stock_Data!C800)-1</f>
        <v>-7.1376955861316427E-3</v>
      </c>
      <c r="D801" s="4">
        <f>(Raw_Stock_Data!D801/Raw_Stock_Data!D800)-1</f>
        <v>-5.5477181692681121E-2</v>
      </c>
      <c r="E801" s="4">
        <f>(Raw_Stock_Data!E801/Raw_Stock_Data!E800)-1</f>
        <v>-1.8875957990349135E-2</v>
      </c>
      <c r="F801" s="4">
        <f>(Raw_Stock_Data!F801/Raw_Stock_Data!F800)-1</f>
        <v>-8.3135391923990776E-3</v>
      </c>
      <c r="G801" s="4">
        <f>(Raw_Stock_Data!G801/Raw_Stock_Data!G800)-1</f>
        <v>-1.8527847746991344E-2</v>
      </c>
      <c r="H801" s="4">
        <f>(Raw_Stock_Data!H801/Raw_Stock_Data!H800)-1</f>
        <v>7.6627207886774684E-3</v>
      </c>
      <c r="I801" s="4">
        <f>(Raw_Stock_Data!I801/Raw_Stock_Data!I800)-1</f>
        <v>-1.2182978972646974E-2</v>
      </c>
      <c r="J801" s="4">
        <f>(Raw_Stock_Data!J801/Raw_Stock_Data!J800)-1</f>
        <v>-1.1569200743791308E-2</v>
      </c>
    </row>
    <row r="802" spans="1:10" x14ac:dyDescent="0.2">
      <c r="A802" s="2">
        <v>45362</v>
      </c>
      <c r="B802" s="4">
        <f>(Raw_Stock_Data!B802/Raw_Stock_Data!B801)-1</f>
        <v>1.1833550832895501E-2</v>
      </c>
      <c r="C802" s="4">
        <f>(Raw_Stock_Data!C802/Raw_Stock_Data!C801)-1</f>
        <v>-4.181210545859515E-3</v>
      </c>
      <c r="D802" s="4">
        <f>(Raw_Stock_Data!D802/Raw_Stock_Data!D801)-1</f>
        <v>-2.0038328230901903E-2</v>
      </c>
      <c r="E802" s="4">
        <f>(Raw_Stock_Data!E802/Raw_Stock_Data!E801)-1</f>
        <v>-4.3396499349052542E-2</v>
      </c>
      <c r="F802" s="4">
        <f>(Raw_Stock_Data!F802/Raw_Stock_Data!F801)-1</f>
        <v>-1.933276304533782E-2</v>
      </c>
      <c r="G802" s="4">
        <f>(Raw_Stock_Data!G802/Raw_Stock_Data!G801)-1</f>
        <v>1.3858788639215192E-2</v>
      </c>
      <c r="H802" s="4">
        <f>(Raw_Stock_Data!H802/Raw_Stock_Data!H801)-1</f>
        <v>1.6691248953091042E-2</v>
      </c>
      <c r="I802" s="4">
        <f>(Raw_Stock_Data!I802/Raw_Stock_Data!I801)-1</f>
        <v>-4.4194090325130997E-2</v>
      </c>
      <c r="J802" s="4">
        <f>(Raw_Stock_Data!J802/Raw_Stock_Data!J801)-1</f>
        <v>-4.0932265927929867E-3</v>
      </c>
    </row>
    <row r="803" spans="1:10" x14ac:dyDescent="0.2">
      <c r="A803" s="2">
        <v>45363</v>
      </c>
      <c r="B803" s="4">
        <f>(Raw_Stock_Data!B803/Raw_Stock_Data!B802)-1</f>
        <v>2.7662194417372721E-3</v>
      </c>
      <c r="C803" s="4">
        <f>(Raw_Stock_Data!C803/Raw_Stock_Data!C802)-1</f>
        <v>2.6594673607433839E-2</v>
      </c>
      <c r="D803" s="4">
        <f>(Raw_Stock_Data!D803/Raw_Stock_Data!D802)-1</f>
        <v>7.1571172356210466E-2</v>
      </c>
      <c r="E803" s="4">
        <f>(Raw_Stock_Data!E803/Raw_Stock_Data!E802)-1</f>
        <v>2.2027319925399524E-2</v>
      </c>
      <c r="F803" s="4">
        <f>(Raw_Stock_Data!F803/Raw_Stock_Data!F802)-1</f>
        <v>1.9946499185857114E-2</v>
      </c>
      <c r="G803" s="4">
        <f>(Raw_Stock_Data!G803/Raw_Stock_Data!G802)-1</f>
        <v>-1.2938066040389939E-3</v>
      </c>
      <c r="H803" s="4">
        <f>(Raw_Stock_Data!H803/Raw_Stock_Data!H802)-1</f>
        <v>6.0288832350390287E-3</v>
      </c>
      <c r="I803" s="4">
        <f>(Raw_Stock_Data!I803/Raw_Stock_Data!I802)-1</f>
        <v>3.3416737318803236E-2</v>
      </c>
      <c r="J803" s="4">
        <f>(Raw_Stock_Data!J803/Raw_Stock_Data!J802)-1</f>
        <v>1.5379602191610386E-2</v>
      </c>
    </row>
    <row r="804" spans="1:10" x14ac:dyDescent="0.2">
      <c r="A804" s="2">
        <v>45364</v>
      </c>
      <c r="B804" s="4">
        <f>(Raw_Stock_Data!B804/Raw_Stock_Data!B803)-1</f>
        <v>-1.212265825510539E-2</v>
      </c>
      <c r="C804" s="4">
        <f>(Raw_Stock_Data!C804/Raw_Stock_Data!C803)-1</f>
        <v>-4.2861397862747896E-4</v>
      </c>
      <c r="D804" s="4">
        <f>(Raw_Stock_Data!D804/Raw_Stock_Data!D803)-1</f>
        <v>-1.115339537039961E-2</v>
      </c>
      <c r="E804" s="4">
        <f>(Raw_Stock_Data!E804/Raw_Stock_Data!E803)-1</f>
        <v>-3.9307555730913379E-2</v>
      </c>
      <c r="F804" s="4">
        <f>(Raw_Stock_Data!F804/Raw_Stock_Data!F803)-1</f>
        <v>6.6423399281603235E-3</v>
      </c>
      <c r="G804" s="4">
        <f>(Raw_Stock_Data!G804/Raw_Stock_Data!G803)-1</f>
        <v>-4.5398220119409749E-2</v>
      </c>
      <c r="H804" s="4">
        <f>(Raw_Stock_Data!H804/Raw_Stock_Data!H803)-1</f>
        <v>9.3115942028985099E-3</v>
      </c>
      <c r="I804" s="4">
        <f>(Raw_Stock_Data!I804/Raw_Stock_Data!I803)-1</f>
        <v>-8.3641820910455023E-3</v>
      </c>
      <c r="J804" s="4">
        <f>(Raw_Stock_Data!J804/Raw_Stock_Data!J803)-1</f>
        <v>-5.4021852198867792E-3</v>
      </c>
    </row>
    <row r="805" spans="1:10" x14ac:dyDescent="0.2">
      <c r="A805" s="2">
        <v>45365</v>
      </c>
      <c r="B805" s="4">
        <f>(Raw_Stock_Data!B805/Raw_Stock_Data!B804)-1</f>
        <v>1.0934112545951447E-2</v>
      </c>
      <c r="C805" s="4">
        <f>(Raw_Stock_Data!C805/Raw_Stock_Data!C804)-1</f>
        <v>2.4376062909719831E-2</v>
      </c>
      <c r="D805" s="4">
        <f>(Raw_Stock_Data!D805/Raw_Stock_Data!D804)-1</f>
        <v>-3.239041053678815E-2</v>
      </c>
      <c r="E805" s="4">
        <f>(Raw_Stock_Data!E805/Raw_Stock_Data!E804)-1</f>
        <v>-3.9683762000102596E-2</v>
      </c>
      <c r="F805" s="4">
        <f>(Raw_Stock_Data!F805/Raw_Stock_Data!F804)-1</f>
        <v>1.2432386508453463E-2</v>
      </c>
      <c r="G805" s="4">
        <f>(Raw_Stock_Data!G805/Raw_Stock_Data!G804)-1</f>
        <v>-4.1184800566438473E-2</v>
      </c>
      <c r="H805" s="4">
        <f>(Raw_Stock_Data!H805/Raw_Stock_Data!H804)-1</f>
        <v>2.3685249667947161E-2</v>
      </c>
      <c r="I805" s="4">
        <f>(Raw_Stock_Data!I805/Raw_Stock_Data!I804)-1</f>
        <v>-7.5468652259015334E-3</v>
      </c>
      <c r="J805" s="4">
        <f>(Raw_Stock_Data!J805/Raw_Stock_Data!J804)-1</f>
        <v>-3.0436827819902978E-3</v>
      </c>
    </row>
    <row r="806" spans="1:10" x14ac:dyDescent="0.2">
      <c r="A806" s="2">
        <v>45366</v>
      </c>
      <c r="B806" s="4">
        <f>(Raw_Stock_Data!B806/Raw_Stock_Data!B805)-1</f>
        <v>-2.1969696969695862E-3</v>
      </c>
      <c r="C806" s="4">
        <f>(Raw_Stock_Data!C806/Raw_Stock_Data!C805)-1</f>
        <v>-2.0695575673297939E-2</v>
      </c>
      <c r="D806" s="4">
        <f>(Raw_Stock_Data!D806/Raw_Stock_Data!D805)-1</f>
        <v>-1.2226579560342676E-3</v>
      </c>
      <c r="E806" s="4">
        <f>(Raw_Stock_Data!E806/Raw_Stock_Data!E805)-1</f>
        <v>2.1383513311237001E-2</v>
      </c>
      <c r="F806" s="4">
        <f>(Raw_Stock_Data!F806/Raw_Stock_Data!F805)-1</f>
        <v>-2.422377622377625E-2</v>
      </c>
      <c r="G806" s="4">
        <f>(Raw_Stock_Data!G806/Raw_Stock_Data!G805)-1</f>
        <v>6.584615384615411E-3</v>
      </c>
      <c r="H806" s="4">
        <f>(Raw_Stock_Data!H806/Raw_Stock_Data!H805)-1</f>
        <v>-1.3423666049486749E-2</v>
      </c>
      <c r="I806" s="4">
        <f>(Raw_Stock_Data!I806/Raw_Stock_Data!I805)-1</f>
        <v>-1.5716812719842155E-2</v>
      </c>
      <c r="J806" s="4">
        <f>(Raw_Stock_Data!J806/Raw_Stock_Data!J805)-1</f>
        <v>-9.6326199597855933E-3</v>
      </c>
    </row>
    <row r="807" spans="1:10" x14ac:dyDescent="0.2">
      <c r="A807" s="2">
        <v>45369</v>
      </c>
      <c r="B807" s="4">
        <f>(Raw_Stock_Data!B807/Raw_Stock_Data!B806)-1</f>
        <v>6.3776478627286526E-3</v>
      </c>
      <c r="C807" s="4">
        <f>(Raw_Stock_Data!C807/Raw_Stock_Data!C806)-1</f>
        <v>2.1637651445447492E-3</v>
      </c>
      <c r="D807" s="4">
        <f>(Raw_Stock_Data!D807/Raw_Stock_Data!D806)-1</f>
        <v>7.0408822112673075E-3</v>
      </c>
      <c r="E807" s="4">
        <f>(Raw_Stock_Data!E807/Raw_Stock_Data!E806)-1</f>
        <v>-2.1459227467810482E-3</v>
      </c>
      <c r="F807" s="4">
        <f>(Raw_Stock_Data!F807/Raw_Stock_Data!F806)-1</f>
        <v>3.4399724802192111E-4</v>
      </c>
      <c r="G807" s="4">
        <f>(Raw_Stock_Data!G807/Raw_Stock_Data!G806)-1</f>
        <v>6.2542030934768178E-2</v>
      </c>
      <c r="H807" s="4">
        <f>(Raw_Stock_Data!H807/Raw_Stock_Data!H806)-1</f>
        <v>4.604393260823203E-2</v>
      </c>
      <c r="I807" s="4">
        <f>(Raw_Stock_Data!I807/Raw_Stock_Data!I806)-1</f>
        <v>2.6606073125387208E-2</v>
      </c>
      <c r="J807" s="4">
        <f>(Raw_Stock_Data!J807/Raw_Stock_Data!J806)-1</f>
        <v>8.1561768891209585E-3</v>
      </c>
    </row>
    <row r="808" spans="1:10" x14ac:dyDescent="0.2">
      <c r="A808" s="2">
        <v>45370</v>
      </c>
      <c r="B808" s="4">
        <f>(Raw_Stock_Data!B808/Raw_Stock_Data!B807)-1</f>
        <v>1.35797812146361E-2</v>
      </c>
      <c r="C808" s="4">
        <f>(Raw_Stock_Data!C808/Raw_Stock_Data!C807)-1</f>
        <v>9.79785006349565E-3</v>
      </c>
      <c r="D808" s="4">
        <f>(Raw_Stock_Data!D808/Raw_Stock_Data!D807)-1</f>
        <v>1.0662188750933055E-2</v>
      </c>
      <c r="E808" s="4">
        <f>(Raw_Stock_Data!E808/Raw_Stock_Data!E807)-1</f>
        <v>-4.8413322842905893E-2</v>
      </c>
      <c r="F808" s="4">
        <f>(Raw_Stock_Data!F808/Raw_Stock_Data!F807)-1</f>
        <v>8.13846859238887E-3</v>
      </c>
      <c r="G808" s="4">
        <f>(Raw_Stock_Data!G808/Raw_Stock_Data!G807)-1</f>
        <v>-1.4269275028768846E-2</v>
      </c>
      <c r="H808" s="4">
        <f>(Raw_Stock_Data!H808/Raw_Stock_Data!H807)-1</f>
        <v>-4.4105554309635808E-3</v>
      </c>
      <c r="I808" s="4">
        <f>(Raw_Stock_Data!I808/Raw_Stock_Data!I807)-1</f>
        <v>-1.4889935208660665E-3</v>
      </c>
      <c r="J808" s="4">
        <f>(Raw_Stock_Data!J808/Raw_Stock_Data!J807)-1</f>
        <v>3.9333186366896644E-3</v>
      </c>
    </row>
    <row r="809" spans="1:10" x14ac:dyDescent="0.2">
      <c r="A809" s="2">
        <v>45371</v>
      </c>
      <c r="B809" s="4">
        <f>(Raw_Stock_Data!B809/Raw_Stock_Data!B808)-1</f>
        <v>1.470899773839851E-2</v>
      </c>
      <c r="C809" s="4">
        <f>(Raw_Stock_Data!C809/Raw_Stock_Data!C808)-1</f>
        <v>9.0656357757334938E-3</v>
      </c>
      <c r="D809" s="4">
        <f>(Raw_Stock_Data!D809/Raw_Stock_Data!D808)-1</f>
        <v>1.089543271247928E-2</v>
      </c>
      <c r="E809" s="4">
        <f>(Raw_Stock_Data!E809/Raw_Stock_Data!E808)-1</f>
        <v>-9.3154007275934037E-3</v>
      </c>
      <c r="F809" s="4">
        <f>(Raw_Stock_Data!F809/Raw_Stock_Data!F808)-1</f>
        <v>1.2791358726549129E-2</v>
      </c>
      <c r="G809" s="4">
        <f>(Raw_Stock_Data!G809/Raw_Stock_Data!G808)-1</f>
        <v>2.5332710716787332E-2</v>
      </c>
      <c r="H809" s="4">
        <f>(Raw_Stock_Data!H809/Raw_Stock_Data!H808)-1</f>
        <v>1.1631558110008378E-2</v>
      </c>
      <c r="I809" s="4">
        <f>(Raw_Stock_Data!I809/Raw_Stock_Data!I808)-1</f>
        <v>1.8700628728034685E-2</v>
      </c>
      <c r="J809" s="4">
        <f>(Raw_Stock_Data!J809/Raw_Stock_Data!J808)-1</f>
        <v>1.2533100262946295E-2</v>
      </c>
    </row>
    <row r="810" spans="1:10" x14ac:dyDescent="0.2">
      <c r="A810" s="2">
        <v>45372</v>
      </c>
      <c r="B810" s="4">
        <f>(Raw_Stock_Data!B810/Raw_Stock_Data!B809)-1</f>
        <v>-4.085789735024592E-2</v>
      </c>
      <c r="C810" s="4">
        <f>(Raw_Stock_Data!C810/Raw_Stock_Data!C809)-1</f>
        <v>9.7362210124534165E-3</v>
      </c>
      <c r="D810" s="4">
        <f>(Raw_Stock_Data!D810/Raw_Stock_Data!D809)-1</f>
        <v>1.1761945397213314E-2</v>
      </c>
      <c r="E810" s="4">
        <f>(Raw_Stock_Data!E810/Raw_Stock_Data!E809)-1</f>
        <v>-5.8420964780503404E-3</v>
      </c>
      <c r="F810" s="4">
        <f>(Raw_Stock_Data!F810/Raw_Stock_Data!F809)-1</f>
        <v>0</v>
      </c>
      <c r="G810" s="4">
        <f>(Raw_Stock_Data!G810/Raw_Stock_Data!G809)-1</f>
        <v>-1.6167596493225522E-2</v>
      </c>
      <c r="H810" s="4">
        <f>(Raw_Stock_Data!H810/Raw_Stock_Data!H809)-1</f>
        <v>-7.6584661475552762E-3</v>
      </c>
      <c r="I810" s="4">
        <f>(Raw_Stock_Data!I810/Raw_Stock_Data!I809)-1</f>
        <v>4.4310808672258784E-3</v>
      </c>
      <c r="J810" s="4">
        <f>(Raw_Stock_Data!J810/Raw_Stock_Data!J809)-1</f>
        <v>1.981134323106426E-3</v>
      </c>
    </row>
    <row r="811" spans="1:10" x14ac:dyDescent="0.2">
      <c r="A811" s="2">
        <v>45373</v>
      </c>
      <c r="B811" s="4">
        <f>(Raw_Stock_Data!B811/Raw_Stock_Data!B810)-1</f>
        <v>5.3064129942406169E-3</v>
      </c>
      <c r="C811" s="4">
        <f>(Raw_Stock_Data!C811/Raw_Stock_Data!C810)-1</f>
        <v>-1.4661417285950495E-3</v>
      </c>
      <c r="D811" s="4">
        <f>(Raw_Stock_Data!D811/Raw_Stock_Data!D810)-1</f>
        <v>3.1213148181776562E-2</v>
      </c>
      <c r="E811" s="4">
        <f>(Raw_Stock_Data!E811/Raw_Stock_Data!E810)-1</f>
        <v>5.4286993507948189E-3</v>
      </c>
      <c r="F811" s="4">
        <f>(Raw_Stock_Data!F811/Raw_Stock_Data!F810)-1</f>
        <v>4.041538029750269E-3</v>
      </c>
      <c r="G811" s="4">
        <f>(Raw_Stock_Data!G811/Raw_Stock_Data!G810)-1</f>
        <v>-1.1514870964008717E-2</v>
      </c>
      <c r="H811" s="4">
        <f>(Raw_Stock_Data!H811/Raw_Stock_Data!H810)-1</f>
        <v>2.1473206089741348E-2</v>
      </c>
      <c r="I811" s="4">
        <f>(Raw_Stock_Data!I811/Raw_Stock_Data!I810)-1</f>
        <v>3.584370568772588E-3</v>
      </c>
      <c r="J811" s="4">
        <f>(Raw_Stock_Data!J811/Raw_Stock_Data!J810)-1</f>
        <v>1.6449373972675652E-3</v>
      </c>
    </row>
    <row r="812" spans="1:10" x14ac:dyDescent="0.2">
      <c r="A812" s="2">
        <v>45376</v>
      </c>
      <c r="B812" s="4">
        <f>(Raw_Stock_Data!B812/Raw_Stock_Data!B811)-1</f>
        <v>-8.2921262837580834E-3</v>
      </c>
      <c r="C812" s="4">
        <f>(Raw_Stock_Data!C812/Raw_Stock_Data!C811)-1</f>
        <v>-1.371424550540068E-2</v>
      </c>
      <c r="D812" s="4">
        <f>(Raw_Stock_Data!D812/Raw_Stock_Data!D811)-1</f>
        <v>7.5625857275156694E-3</v>
      </c>
      <c r="E812" s="4">
        <f>(Raw_Stock_Data!E812/Raw_Stock_Data!E811)-1</f>
        <v>-5.6777066518231001E-3</v>
      </c>
      <c r="F812" s="4">
        <f>(Raw_Stock_Data!F812/Raw_Stock_Data!F811)-1</f>
        <v>4.6961480404763556E-3</v>
      </c>
      <c r="G812" s="4">
        <f>(Raw_Stock_Data!G812/Raw_Stock_Data!G811)-1</f>
        <v>1.0536790961774845E-2</v>
      </c>
      <c r="H812" s="4">
        <f>(Raw_Stock_Data!H812/Raw_Stock_Data!H811)-1</f>
        <v>-4.6397071060076955E-3</v>
      </c>
      <c r="I812" s="4">
        <f>(Raw_Stock_Data!I812/Raw_Stock_Data!I811)-1</f>
        <v>-1.2873346677656161E-2</v>
      </c>
      <c r="J812" s="4">
        <f>(Raw_Stock_Data!J812/Raw_Stock_Data!J811)-1</f>
        <v>-2.6995243724137197E-3</v>
      </c>
    </row>
    <row r="813" spans="1:10" x14ac:dyDescent="0.2">
      <c r="A813" s="2">
        <v>45377</v>
      </c>
      <c r="B813" s="4">
        <f>(Raw_Stock_Data!B813/Raw_Stock_Data!B812)-1</f>
        <v>-6.6738263270942344E-3</v>
      </c>
      <c r="C813" s="4">
        <f>(Raw_Stock_Data!C813/Raw_Stock_Data!C812)-1</f>
        <v>-2.8608935119786016E-3</v>
      </c>
      <c r="D813" s="4">
        <f>(Raw_Stock_Data!D813/Raw_Stock_Data!D812)-1</f>
        <v>-2.569499134551001E-2</v>
      </c>
      <c r="E813" s="4">
        <f>(Raw_Stock_Data!E813/Raw_Stock_Data!E812)-1</f>
        <v>-4.2546044897273649E-3</v>
      </c>
      <c r="F813" s="4">
        <f>(Raw_Stock_Data!F813/Raw_Stock_Data!F812)-1</f>
        <v>-7.8459740693339608E-3</v>
      </c>
      <c r="G813" s="4">
        <f>(Raw_Stock_Data!G813/Raw_Stock_Data!G812)-1</f>
        <v>2.9195388982216297E-2</v>
      </c>
      <c r="H813" s="4">
        <f>(Raw_Stock_Data!H813/Raw_Stock_Data!H812)-1</f>
        <v>3.9992509764057438E-3</v>
      </c>
      <c r="I813" s="4">
        <f>(Raw_Stock_Data!I813/Raw_Stock_Data!I812)-1</f>
        <v>-1.417438670430593E-2</v>
      </c>
      <c r="J813" s="4">
        <f>(Raw_Stock_Data!J813/Raw_Stock_Data!J812)-1</f>
        <v>-4.197267290306006E-3</v>
      </c>
    </row>
    <row r="814" spans="1:10" x14ac:dyDescent="0.2">
      <c r="A814" s="2">
        <v>45378</v>
      </c>
      <c r="B814" s="4">
        <f>(Raw_Stock_Data!B814/Raw_Stock_Data!B813)-1</f>
        <v>2.1207458847431138E-2</v>
      </c>
      <c r="C814" s="4">
        <f>(Raw_Stock_Data!C814/Raw_Stock_Data!C813)-1</f>
        <v>-5.2469025387857915E-4</v>
      </c>
      <c r="D814" s="4">
        <f>(Raw_Stock_Data!D814/Raw_Stock_Data!D813)-1</f>
        <v>-2.4966743787220746E-2</v>
      </c>
      <c r="E814" s="4">
        <f>(Raw_Stock_Data!E814/Raw_Stock_Data!E813)-1</f>
        <v>9.669983695957729E-3</v>
      </c>
      <c r="F814" s="4">
        <f>(Raw_Stock_Data!F814/Raw_Stock_Data!F813)-1</f>
        <v>8.5810431856421232E-3</v>
      </c>
      <c r="G814" s="4">
        <f>(Raw_Stock_Data!G814/Raw_Stock_Data!G813)-1</f>
        <v>1.2157370405808665E-2</v>
      </c>
      <c r="H814" s="4">
        <f>(Raw_Stock_Data!H814/Raw_Stock_Data!H813)-1</f>
        <v>1.3255532019769145E-3</v>
      </c>
      <c r="I814" s="4">
        <f>(Raw_Stock_Data!I814/Raw_Stock_Data!I813)-1</f>
        <v>-4.0936498013671718E-3</v>
      </c>
      <c r="J814" s="4">
        <f>(Raw_Stock_Data!J814/Raw_Stock_Data!J813)-1</f>
        <v>5.1373830114551655E-3</v>
      </c>
    </row>
    <row r="815" spans="1:10" x14ac:dyDescent="0.2">
      <c r="A815" s="2">
        <v>45379</v>
      </c>
      <c r="B815" s="4">
        <f>(Raw_Stock_Data!B815/Raw_Stock_Data!B814)-1</f>
        <v>-1.0558034285980233E-2</v>
      </c>
      <c r="C815" s="4">
        <f>(Raw_Stock_Data!C815/Raw_Stock_Data!C814)-1</f>
        <v>-1.6822764421642322E-3</v>
      </c>
      <c r="D815" s="4">
        <f>(Raw_Stock_Data!D815/Raw_Stock_Data!D814)-1</f>
        <v>1.1747924995040293E-3</v>
      </c>
      <c r="E815" s="4">
        <f>(Raw_Stock_Data!E815/Raw_Stock_Data!E814)-1</f>
        <v>5.0114148894704336E-3</v>
      </c>
      <c r="F815" s="4">
        <f>(Raw_Stock_Data!F815/Raw_Stock_Data!F814)-1</f>
        <v>3.0584440860812467E-3</v>
      </c>
      <c r="G815" s="4">
        <f>(Raw_Stock_Data!G815/Raw_Stock_Data!G814)-1</f>
        <v>-2.2465662014124588E-2</v>
      </c>
      <c r="H815" s="4">
        <f>(Raw_Stock_Data!H815/Raw_Stock_Data!H814)-1</f>
        <v>3.9913520705137095E-4</v>
      </c>
      <c r="I815" s="4">
        <f>(Raw_Stock_Data!I815/Raw_Stock_Data!I814)-1</f>
        <v>-1.6765885068642961E-2</v>
      </c>
      <c r="J815" s="4">
        <f>(Raw_Stock_Data!J815/Raw_Stock_Data!J814)-1</f>
        <v>-1.2232065328742214E-3</v>
      </c>
    </row>
    <row r="816" spans="1:10" x14ac:dyDescent="0.2">
      <c r="A816" s="2">
        <v>45383</v>
      </c>
      <c r="B816" s="4">
        <f>(Raw_Stock_Data!B816/Raw_Stock_Data!B815)-1</f>
        <v>-8.448369117889265E-3</v>
      </c>
      <c r="C816" s="4">
        <f>(Raw_Stock_Data!C816/Raw_Stock_Data!C815)-1</f>
        <v>9.1521858641872011E-3</v>
      </c>
      <c r="D816" s="4">
        <f>(Raw_Stock_Data!D816/Raw_Stock_Data!D815)-1</f>
        <v>7.7489602555935733E-5</v>
      </c>
      <c r="E816" s="4">
        <f>(Raw_Stock_Data!E816/Raw_Stock_Data!E815)-1</f>
        <v>1.5790348495761553E-2</v>
      </c>
      <c r="F816" s="4">
        <f>(Raw_Stock_Data!F816/Raw_Stock_Data!F815)-1</f>
        <v>3.2708726022840917E-3</v>
      </c>
      <c r="G816" s="4">
        <f>(Raw_Stock_Data!G816/Raw_Stock_Data!G815)-1</f>
        <v>-3.2425052619602379E-3</v>
      </c>
      <c r="H816" s="4">
        <f>(Raw_Stock_Data!H816/Raw_Stock_Data!H815)-1</f>
        <v>3.0209129899923637E-2</v>
      </c>
      <c r="I816" s="4">
        <f>(Raw_Stock_Data!I816/Raw_Stock_Data!I815)-1</f>
        <v>1.188269698093003E-2</v>
      </c>
      <c r="J816" s="4">
        <f>(Raw_Stock_Data!J816/Raw_Stock_Data!J815)-1</f>
        <v>1.0604745211382216E-3</v>
      </c>
    </row>
    <row r="817" spans="1:10" x14ac:dyDescent="0.2">
      <c r="A817" s="2">
        <v>45384</v>
      </c>
      <c r="B817" s="4">
        <f>(Raw_Stock_Data!B817/Raw_Stock_Data!B816)-1</f>
        <v>-7.0024606445110438E-3</v>
      </c>
      <c r="C817" s="4">
        <f>(Raw_Stock_Data!C817/Raw_Stock_Data!C816)-1</f>
        <v>-7.3756688196798814E-3</v>
      </c>
      <c r="D817" s="4">
        <f>(Raw_Stock_Data!D817/Raw_Stock_Data!D816)-1</f>
        <v>-1.0082829966670981E-2</v>
      </c>
      <c r="E817" s="4">
        <f>(Raw_Stock_Data!E817/Raw_Stock_Data!E816)-1</f>
        <v>-2.5308170611977876E-2</v>
      </c>
      <c r="F817" s="4">
        <f>(Raw_Stock_Data!F817/Raw_Stock_Data!F816)-1</f>
        <v>-1.5472177709012769E-3</v>
      </c>
      <c r="G817" s="4">
        <f>(Raw_Stock_Data!G817/Raw_Stock_Data!G816)-1</f>
        <v>-4.9024084008674862E-2</v>
      </c>
      <c r="H817" s="4">
        <f>(Raw_Stock_Data!H817/Raw_Stock_Data!H816)-1</f>
        <v>-5.9769699473303239E-3</v>
      </c>
      <c r="I817" s="4">
        <f>(Raw_Stock_Data!I817/Raw_Stock_Data!I816)-1</f>
        <v>1.2251958888775727E-2</v>
      </c>
      <c r="J817" s="4">
        <f>(Raw_Stock_Data!J817/Raw_Stock_Data!J816)-1</f>
        <v>-9.5372093264369795E-3</v>
      </c>
    </row>
    <row r="818" spans="1:10" x14ac:dyDescent="0.2">
      <c r="A818" s="2">
        <v>45385</v>
      </c>
      <c r="B818" s="4">
        <f>(Raw_Stock_Data!B818/Raw_Stock_Data!B817)-1</f>
        <v>4.7947741141909361E-3</v>
      </c>
      <c r="C818" s="4">
        <f>(Raw_Stock_Data!C818/Raw_Stock_Data!C817)-1</f>
        <v>-2.3479723683739184E-3</v>
      </c>
      <c r="D818" s="4">
        <f>(Raw_Stock_Data!D818/Raw_Stock_Data!D817)-1</f>
        <v>-5.4544966611056456E-3</v>
      </c>
      <c r="E818" s="4">
        <f>(Raw_Stock_Data!E818/Raw_Stock_Data!E817)-1</f>
        <v>1.1583659764969445E-2</v>
      </c>
      <c r="F818" s="4">
        <f>(Raw_Stock_Data!F818/Raw_Stock_Data!F817)-1</f>
        <v>9.5190658033095232E-3</v>
      </c>
      <c r="G818" s="4">
        <f>(Raw_Stock_Data!G818/Raw_Stock_Data!G817)-1</f>
        <v>1.0502310508311741E-2</v>
      </c>
      <c r="H818" s="4">
        <f>(Raw_Stock_Data!H818/Raw_Stock_Data!H817)-1</f>
        <v>2.32464513447872E-3</v>
      </c>
      <c r="I818" s="4">
        <f>(Raw_Stock_Data!I818/Raw_Stock_Data!I817)-1</f>
        <v>1.8839093632506909E-2</v>
      </c>
      <c r="J818" s="4">
        <f>(Raw_Stock_Data!J818/Raw_Stock_Data!J817)-1</f>
        <v>2.2788777404565419E-3</v>
      </c>
    </row>
    <row r="819" spans="1:10" x14ac:dyDescent="0.2">
      <c r="A819" s="2">
        <v>45386</v>
      </c>
      <c r="B819" s="4">
        <f>(Raw_Stock_Data!B819/Raw_Stock_Data!B818)-1</f>
        <v>-4.8907456158594487E-3</v>
      </c>
      <c r="C819" s="4">
        <f>(Raw_Stock_Data!C819/Raw_Stock_Data!C818)-1</f>
        <v>-6.1109636188385608E-3</v>
      </c>
      <c r="D819" s="4">
        <f>(Raw_Stock_Data!D819/Raw_Stock_Data!D818)-1</f>
        <v>-3.4384943165847837E-2</v>
      </c>
      <c r="E819" s="4">
        <f>(Raw_Stock_Data!E819/Raw_Stock_Data!E818)-1</f>
        <v>-8.2646456823587955E-2</v>
      </c>
      <c r="F819" s="4">
        <f>(Raw_Stock_Data!F819/Raw_Stock_Data!F818)-1</f>
        <v>-1.3211994956416895E-2</v>
      </c>
      <c r="G819" s="4">
        <f>(Raw_Stock_Data!G819/Raw_Stock_Data!G818)-1</f>
        <v>1.6213326998455901E-2</v>
      </c>
      <c r="H819" s="4">
        <f>(Raw_Stock_Data!H819/Raw_Stock_Data!H818)-1</f>
        <v>-2.8336356569059529E-2</v>
      </c>
      <c r="I819" s="4">
        <f>(Raw_Stock_Data!I819/Raw_Stock_Data!I818)-1</f>
        <v>8.2488060938548102E-3</v>
      </c>
      <c r="J819" s="4">
        <f>(Raw_Stock_Data!J819/Raw_Stock_Data!J818)-1</f>
        <v>-1.4030444553388532E-2</v>
      </c>
    </row>
    <row r="820" spans="1:10" x14ac:dyDescent="0.2">
      <c r="A820" s="2">
        <v>45387</v>
      </c>
      <c r="B820" s="4">
        <f>(Raw_Stock_Data!B820/Raw_Stock_Data!B819)-1</f>
        <v>4.49675731842758E-3</v>
      </c>
      <c r="C820" s="4">
        <f>(Raw_Stock_Data!C820/Raw_Stock_Data!C819)-1</f>
        <v>1.8281971189711754E-2</v>
      </c>
      <c r="D820" s="4">
        <f>(Raw_Stock_Data!D820/Raw_Stock_Data!D819)-1</f>
        <v>2.4480495361804966E-2</v>
      </c>
      <c r="E820" s="4">
        <f>(Raw_Stock_Data!E820/Raw_Stock_Data!E819)-1</f>
        <v>2.7678948320569052E-2</v>
      </c>
      <c r="F820" s="4">
        <f>(Raw_Stock_Data!F820/Raw_Stock_Data!F819)-1</f>
        <v>2.8166666666666673E-2</v>
      </c>
      <c r="G820" s="4">
        <f>(Raw_Stock_Data!G820/Raw_Stock_Data!G819)-1</f>
        <v>-3.6292443457425105E-2</v>
      </c>
      <c r="H820" s="4">
        <f>(Raw_Stock_Data!H820/Raw_Stock_Data!H819)-1</f>
        <v>1.3087888202899078E-2</v>
      </c>
      <c r="I820" s="4">
        <f>(Raw_Stock_Data!I820/Raw_Stock_Data!I819)-1</f>
        <v>3.2138103812729968E-2</v>
      </c>
      <c r="J820" s="4">
        <f>(Raw_Stock_Data!J820/Raw_Stock_Data!J819)-1</f>
        <v>1.2426880543931595E-2</v>
      </c>
    </row>
    <row r="821" spans="1:10" x14ac:dyDescent="0.2">
      <c r="A821" s="2">
        <v>45390</v>
      </c>
      <c r="B821" s="4">
        <f>(Raw_Stock_Data!B821/Raw_Stock_Data!B820)-1</f>
        <v>-6.6584624896705025E-3</v>
      </c>
      <c r="C821" s="4">
        <f>(Raw_Stock_Data!C821/Raw_Stock_Data!C820)-1</f>
        <v>-2.0229567782049651E-3</v>
      </c>
      <c r="D821" s="4">
        <f>(Raw_Stock_Data!D821/Raw_Stock_Data!D820)-1</f>
        <v>-9.9434917806225931E-3</v>
      </c>
      <c r="E821" s="4">
        <f>(Raw_Stock_Data!E821/Raw_Stock_Data!E820)-1</f>
        <v>-3.0512850604388353E-3</v>
      </c>
      <c r="F821" s="4">
        <f>(Raw_Stock_Data!F821/Raw_Stock_Data!F820)-1</f>
        <v>1.3508402226185545E-3</v>
      </c>
      <c r="G821" s="4">
        <f>(Raw_Stock_Data!G821/Raw_Stock_Data!G820)-1</f>
        <v>4.899939357186156E-2</v>
      </c>
      <c r="H821" s="4">
        <f>(Raw_Stock_Data!H821/Raw_Stock_Data!H820)-1</f>
        <v>1.5406485070648568E-2</v>
      </c>
      <c r="I821" s="4">
        <f>(Raw_Stock_Data!I821/Raw_Stock_Data!I820)-1</f>
        <v>-1.5341146129631777E-2</v>
      </c>
      <c r="J821" s="4">
        <f>(Raw_Stock_Data!J821/Raw_Stock_Data!J820)-1</f>
        <v>3.3479972329786278E-4</v>
      </c>
    </row>
    <row r="822" spans="1:10" x14ac:dyDescent="0.2">
      <c r="A822" s="2">
        <v>45391</v>
      </c>
      <c r="B822" s="4">
        <f>(Raw_Stock_Data!B822/Raw_Stock_Data!B821)-1</f>
        <v>7.2417363409482682E-3</v>
      </c>
      <c r="C822" s="4">
        <f>(Raw_Stock_Data!C822/Raw_Stock_Data!C821)-1</f>
        <v>3.8149410235219783E-3</v>
      </c>
      <c r="D822" s="4">
        <f>(Raw_Stock_Data!D822/Raw_Stock_Data!D821)-1</f>
        <v>-2.0416175442503626E-2</v>
      </c>
      <c r="E822" s="4">
        <f>(Raw_Stock_Data!E822/Raw_Stock_Data!E821)-1</f>
        <v>5.1795173631548064E-3</v>
      </c>
      <c r="F822" s="4">
        <f>(Raw_Stock_Data!F822/Raw_Stock_Data!F821)-1</f>
        <v>1.8886250809411198E-3</v>
      </c>
      <c r="G822" s="4">
        <f>(Raw_Stock_Data!G822/Raw_Stock_Data!G821)-1</f>
        <v>2.2545959070412902E-2</v>
      </c>
      <c r="H822" s="4">
        <f>(Raw_Stock_Data!H822/Raw_Stock_Data!H821)-1</f>
        <v>1.130338972065581E-2</v>
      </c>
      <c r="I822" s="4">
        <f>(Raw_Stock_Data!I822/Raw_Stock_Data!I821)-1</f>
        <v>-4.5257583052480399E-3</v>
      </c>
      <c r="J822" s="4">
        <f>(Raw_Stock_Data!J822/Raw_Stock_Data!J821)-1</f>
        <v>3.241056333348924E-3</v>
      </c>
    </row>
    <row r="823" spans="1:10" x14ac:dyDescent="0.2">
      <c r="A823" s="2">
        <v>45392</v>
      </c>
      <c r="B823" s="4">
        <f>(Raw_Stock_Data!B823/Raw_Stock_Data!B822)-1</f>
        <v>-1.1141018556480531E-2</v>
      </c>
      <c r="C823" s="4">
        <f>(Raw_Stock_Data!C823/Raw_Stock_Data!C822)-1</f>
        <v>-7.0818923420257196E-3</v>
      </c>
      <c r="D823" s="4">
        <f>(Raw_Stock_Data!D823/Raw_Stock_Data!D822)-1</f>
        <v>1.9742470158366388E-2</v>
      </c>
      <c r="E823" s="4">
        <f>(Raw_Stock_Data!E823/Raw_Stock_Data!E822)-1</f>
        <v>-2.1313971191006087E-2</v>
      </c>
      <c r="F823" s="4">
        <f>(Raw_Stock_Data!F823/Raw_Stock_Data!F822)-1</f>
        <v>1.5080519200731946E-3</v>
      </c>
      <c r="G823" s="4">
        <f>(Raw_Stock_Data!G823/Raw_Stock_Data!G822)-1</f>
        <v>-2.8946178199909522E-2</v>
      </c>
      <c r="H823" s="4">
        <f>(Raw_Stock_Data!H823/Raw_Stock_Data!H822)-1</f>
        <v>-2.935257700244831E-3</v>
      </c>
      <c r="I823" s="4">
        <f>(Raw_Stock_Data!I823/Raw_Stock_Data!I822)-1</f>
        <v>5.6684078158253381E-3</v>
      </c>
      <c r="J823" s="4">
        <f>(Raw_Stock_Data!J823/Raw_Stock_Data!J822)-1</f>
        <v>-8.3573317372553912E-3</v>
      </c>
    </row>
    <row r="824" spans="1:10" x14ac:dyDescent="0.2">
      <c r="A824" s="2">
        <v>45393</v>
      </c>
      <c r="B824" s="4">
        <f>(Raw_Stock_Data!B824/Raw_Stock_Data!B823)-1</f>
        <v>4.3275528475802405E-2</v>
      </c>
      <c r="C824" s="4">
        <f>(Raw_Stock_Data!C824/Raw_Stock_Data!C823)-1</f>
        <v>1.103122861704553E-2</v>
      </c>
      <c r="D824" s="4">
        <f>(Raw_Stock_Data!D824/Raw_Stock_Data!D823)-1</f>
        <v>4.1095858926549989E-2</v>
      </c>
      <c r="E824" s="4">
        <f>(Raw_Stock_Data!E824/Raw_Stock_Data!E823)-1</f>
        <v>2.0102907742012732E-2</v>
      </c>
      <c r="F824" s="4">
        <f>(Raw_Stock_Data!F824/Raw_Stock_Data!F823)-1</f>
        <v>1.6671148158107219E-2</v>
      </c>
      <c r="G824" s="4">
        <f>(Raw_Stock_Data!G824/Raw_Stock_Data!G823)-1</f>
        <v>1.6534699580810441E-2</v>
      </c>
      <c r="H824" s="4">
        <f>(Raw_Stock_Data!H824/Raw_Stock_Data!H823)-1</f>
        <v>2.0941533398467715E-2</v>
      </c>
      <c r="I824" s="4">
        <f>(Raw_Stock_Data!I824/Raw_Stock_Data!I823)-1</f>
        <v>6.4059404035934353E-3</v>
      </c>
      <c r="J824" s="4">
        <f>(Raw_Stock_Data!J824/Raw_Stock_Data!J823)-1</f>
        <v>1.6811004826113862E-2</v>
      </c>
    </row>
    <row r="825" spans="1:10" x14ac:dyDescent="0.2">
      <c r="A825" s="2">
        <v>45394</v>
      </c>
      <c r="B825" s="4">
        <f>(Raw_Stock_Data!B825/Raw_Stock_Data!B824)-1</f>
        <v>8.6220798967886481E-3</v>
      </c>
      <c r="C825" s="4">
        <f>(Raw_Stock_Data!C825/Raw_Stock_Data!C824)-1</f>
        <v>-1.4092715356289309E-2</v>
      </c>
      <c r="D825" s="4">
        <f>(Raw_Stock_Data!D825/Raw_Stock_Data!D824)-1</f>
        <v>-2.6816167851063999E-2</v>
      </c>
      <c r="E825" s="4">
        <f>(Raw_Stock_Data!E825/Raw_Stock_Data!E824)-1</f>
        <v>-4.2346041055718486E-2</v>
      </c>
      <c r="F825" s="4">
        <f>(Raw_Stock_Data!F825/Raw_Stock_Data!F824)-1</f>
        <v>-1.5445649299127284E-2</v>
      </c>
      <c r="G825" s="4">
        <f>(Raw_Stock_Data!G825/Raw_Stock_Data!G824)-1</f>
        <v>-2.0332187857960982E-2</v>
      </c>
      <c r="H825" s="4">
        <f>(Raw_Stock_Data!H825/Raw_Stock_Data!H824)-1</f>
        <v>-1.0539305186546999E-2</v>
      </c>
      <c r="I825" s="4">
        <f>(Raw_Stock_Data!I825/Raw_Stock_Data!I824)-1</f>
        <v>-2.1523052221117833E-2</v>
      </c>
      <c r="J825" s="4">
        <f>(Raw_Stock_Data!J825/Raw_Stock_Data!J824)-1</f>
        <v>-1.6245392952281335E-2</v>
      </c>
    </row>
    <row r="826" spans="1:10" x14ac:dyDescent="0.2">
      <c r="A826" s="2">
        <v>45397</v>
      </c>
      <c r="B826" s="4">
        <f>(Raw_Stock_Data!B826/Raw_Stock_Data!B825)-1</f>
        <v>-2.1859171658453302E-2</v>
      </c>
      <c r="C826" s="4">
        <f>(Raw_Stock_Data!C826/Raw_Stock_Data!C825)-1</f>
        <v>-1.957610918573105E-2</v>
      </c>
      <c r="D826" s="4">
        <f>(Raw_Stock_Data!D826/Raw_Stock_Data!D825)-1</f>
        <v>-2.4778484027711656E-2</v>
      </c>
      <c r="E826" s="4">
        <f>(Raw_Stock_Data!E826/Raw_Stock_Data!E825)-1</f>
        <v>-1.8128368446839849E-2</v>
      </c>
      <c r="F826" s="4">
        <f>(Raw_Stock_Data!F826/Raw_Stock_Data!F825)-1</f>
        <v>-1.3485198517165342E-2</v>
      </c>
      <c r="G826" s="4">
        <f>(Raw_Stock_Data!G826/Raw_Stock_Data!G825)-1</f>
        <v>-5.5948553054662509E-2</v>
      </c>
      <c r="H826" s="4">
        <f>(Raw_Stock_Data!H826/Raw_Stock_Data!H825)-1</f>
        <v>-1.8198014762025871E-2</v>
      </c>
      <c r="I826" s="4">
        <f>(Raw_Stock_Data!I826/Raw_Stock_Data!I825)-1</f>
        <v>-2.2797421371361537E-2</v>
      </c>
      <c r="J826" s="4">
        <f>(Raw_Stock_Data!J826/Raw_Stock_Data!J825)-1</f>
        <v>-1.7933130511174844E-2</v>
      </c>
    </row>
    <row r="827" spans="1:10" x14ac:dyDescent="0.2">
      <c r="A827" s="2">
        <v>45398</v>
      </c>
      <c r="B827" s="4">
        <f>(Raw_Stock_Data!B827/Raw_Stock_Data!B826)-1</f>
        <v>-1.9171828387616663E-2</v>
      </c>
      <c r="C827" s="4">
        <f>(Raw_Stock_Data!C827/Raw_Stock_Data!C826)-1</f>
        <v>2.273119570951776E-3</v>
      </c>
      <c r="D827" s="4">
        <f>(Raw_Stock_Data!D827/Raw_Stock_Data!D826)-1</f>
        <v>1.6442081120624952E-2</v>
      </c>
      <c r="E827" s="4">
        <f>(Raw_Stock_Data!E827/Raw_Stock_Data!E826)-1</f>
        <v>1.9585828343313461E-2</v>
      </c>
      <c r="F827" s="4">
        <f>(Raw_Stock_Data!F827/Raw_Stock_Data!F826)-1</f>
        <v>-1.6338089532731415E-3</v>
      </c>
      <c r="G827" s="4">
        <f>(Raw_Stock_Data!G827/Raw_Stock_Data!G826)-1</f>
        <v>-2.7062174882338197E-2</v>
      </c>
      <c r="H827" s="4">
        <f>(Raw_Stock_Data!H827/Raw_Stock_Data!H826)-1</f>
        <v>-2.961762799740919E-3</v>
      </c>
      <c r="I827" s="4">
        <f>(Raw_Stock_Data!I827/Raw_Stock_Data!I826)-1</f>
        <v>-9.3956779881254615E-4</v>
      </c>
      <c r="J827" s="4">
        <f>(Raw_Stock_Data!J827/Raw_Stock_Data!J826)-1</f>
        <v>-1.2445687824126361E-3</v>
      </c>
    </row>
    <row r="828" spans="1:10" x14ac:dyDescent="0.2">
      <c r="A828" s="2">
        <v>45399</v>
      </c>
      <c r="B828" s="4">
        <f>(Raw_Stock_Data!B828/Raw_Stock_Data!B827)-1</f>
        <v>-8.1483730038272029E-3</v>
      </c>
      <c r="C828" s="4">
        <f>(Raw_Stock_Data!C828/Raw_Stock_Data!C827)-1</f>
        <v>-6.6122678671919344E-3</v>
      </c>
      <c r="D828" s="4">
        <f>(Raw_Stock_Data!D828/Raw_Stock_Data!D827)-1</f>
        <v>-3.8666137265244926E-2</v>
      </c>
      <c r="E828" s="4">
        <f>(Raw_Stock_Data!E828/Raw_Stock_Data!E827)-1</f>
        <v>-5.7751131775357845E-2</v>
      </c>
      <c r="F828" s="4">
        <f>(Raw_Stock_Data!F828/Raw_Stock_Data!F827)-1</f>
        <v>-1.112808204233029E-2</v>
      </c>
      <c r="G828" s="4">
        <f>(Raw_Stock_Data!G828/Raw_Stock_Data!G827)-1</f>
        <v>-1.056584558589535E-2</v>
      </c>
      <c r="H828" s="4">
        <f>(Raw_Stock_Data!H828/Raw_Stock_Data!H827)-1</f>
        <v>6.9226419141592554E-3</v>
      </c>
      <c r="I828" s="4">
        <f>(Raw_Stock_Data!I828/Raw_Stock_Data!I827)-1</f>
        <v>-1.1185368977108978E-2</v>
      </c>
      <c r="J828" s="4">
        <f>(Raw_Stock_Data!J828/Raw_Stock_Data!J827)-1</f>
        <v>-1.1464048785868486E-2</v>
      </c>
    </row>
    <row r="829" spans="1:10" x14ac:dyDescent="0.2">
      <c r="A829" s="2">
        <v>45400</v>
      </c>
      <c r="B829" s="4">
        <f>(Raw_Stock_Data!B829/Raw_Stock_Data!B828)-1</f>
        <v>-5.7129140662506295E-3</v>
      </c>
      <c r="C829" s="4">
        <f>(Raw_Stock_Data!C829/Raw_Stock_Data!C828)-1</f>
        <v>-1.8379246858655329E-2</v>
      </c>
      <c r="D829" s="4">
        <f>(Raw_Stock_Data!D829/Raw_Stock_Data!D828)-1</f>
        <v>7.5688774994018271E-3</v>
      </c>
      <c r="E829" s="4">
        <f>(Raw_Stock_Data!E829/Raw_Stock_Data!E828)-1</f>
        <v>6.8822230879106439E-3</v>
      </c>
      <c r="F829" s="4">
        <f>(Raw_Stock_Data!F829/Raw_Stock_Data!F828)-1</f>
        <v>-1.1363636363636354E-2</v>
      </c>
      <c r="G829" s="4">
        <f>(Raw_Stock_Data!G829/Raw_Stock_Data!G828)-1</f>
        <v>-3.5509810228369187E-2</v>
      </c>
      <c r="H829" s="4">
        <f>(Raw_Stock_Data!H829/Raw_Stock_Data!H828)-1</f>
        <v>3.4730291527875767E-3</v>
      </c>
      <c r="I829" s="4">
        <f>(Raw_Stock_Data!I829/Raw_Stock_Data!I828)-1</f>
        <v>1.5440030758645751E-2</v>
      </c>
      <c r="J829" s="4">
        <f>(Raw_Stock_Data!J829/Raw_Stock_Data!J828)-1</f>
        <v>-5.2201790814092597E-3</v>
      </c>
    </row>
    <row r="830" spans="1:10" x14ac:dyDescent="0.2">
      <c r="A830" s="2">
        <v>45401</v>
      </c>
      <c r="B830" s="4">
        <f>(Raw_Stock_Data!B830/Raw_Stock_Data!B829)-1</f>
        <v>-1.2626140698179578E-2</v>
      </c>
      <c r="C830" s="4">
        <f>(Raw_Stock_Data!C830/Raw_Stock_Data!C829)-1</f>
        <v>-1.2738457405394477E-2</v>
      </c>
      <c r="D830" s="4">
        <f>(Raw_Stock_Data!D830/Raw_Stock_Data!D829)-1</f>
        <v>-0.10004607151717049</v>
      </c>
      <c r="E830" s="4">
        <f>(Raw_Stock_Data!E830/Raw_Stock_Data!E829)-1</f>
        <v>-5.4423523342790991E-2</v>
      </c>
      <c r="F830" s="4">
        <f>(Raw_Stock_Data!F830/Raw_Stock_Data!F829)-1</f>
        <v>-2.5666778261354772E-2</v>
      </c>
      <c r="G830" s="4">
        <f>(Raw_Stock_Data!G830/Raw_Stock_Data!G829)-1</f>
        <v>-1.94750883745749E-2</v>
      </c>
      <c r="H830" s="4">
        <f>(Raw_Stock_Data!H830/Raw_Stock_Data!H829)-1</f>
        <v>-1.2177862408810802E-2</v>
      </c>
      <c r="I830" s="4">
        <f>(Raw_Stock_Data!I830/Raw_Stock_Data!I829)-1</f>
        <v>-4.1331207652451241E-2</v>
      </c>
      <c r="J830" s="4">
        <f>(Raw_Stock_Data!J830/Raw_Stock_Data!J829)-1</f>
        <v>-2.047815915136364E-2</v>
      </c>
    </row>
    <row r="831" spans="1:10" x14ac:dyDescent="0.2">
      <c r="A831" s="2">
        <v>45404</v>
      </c>
      <c r="B831" s="4">
        <f>(Raw_Stock_Data!B831/Raw_Stock_Data!B830)-1</f>
        <v>5.5196948580649163E-3</v>
      </c>
      <c r="C831" s="4">
        <f>(Raw_Stock_Data!C831/Raw_Stock_Data!C830)-1</f>
        <v>4.6108493537253548E-3</v>
      </c>
      <c r="D831" s="4">
        <f>(Raw_Stock_Data!D831/Raw_Stock_Data!D830)-1</f>
        <v>4.3543094169226304E-2</v>
      </c>
      <c r="E831" s="4">
        <f>(Raw_Stock_Data!E831/Raw_Stock_Data!E830)-1</f>
        <v>1.3638843426077463E-2</v>
      </c>
      <c r="F831" s="4">
        <f>(Raw_Stock_Data!F831/Raw_Stock_Data!F830)-1</f>
        <v>1.4946741495819316E-2</v>
      </c>
      <c r="G831" s="4">
        <f>(Raw_Stock_Data!G831/Raw_Stock_Data!G830)-1</f>
        <v>-3.3739858689981084E-2</v>
      </c>
      <c r="H831" s="4">
        <f>(Raw_Stock_Data!H831/Raw_Stock_Data!H830)-1</f>
        <v>1.4086341523773527E-2</v>
      </c>
      <c r="I831" s="4">
        <f>(Raw_Stock_Data!I831/Raw_Stock_Data!I830)-1</f>
        <v>1.3927576601671099E-3</v>
      </c>
      <c r="J831" s="4">
        <f>(Raw_Stock_Data!J831/Raw_Stock_Data!J830)-1</f>
        <v>1.1078385631209553E-2</v>
      </c>
    </row>
    <row r="832" spans="1:10" x14ac:dyDescent="0.2">
      <c r="A832" s="2">
        <v>45405</v>
      </c>
      <c r="B832" s="4">
        <f>(Raw_Stock_Data!B832/Raw_Stock_Data!B831)-1</f>
        <v>6.3830175259425026E-3</v>
      </c>
      <c r="C832" s="4">
        <f>(Raw_Stock_Data!C832/Raw_Stock_Data!C831)-1</f>
        <v>1.6485252808988715E-2</v>
      </c>
      <c r="D832" s="4">
        <f>(Raw_Stock_Data!D832/Raw_Stock_Data!D831)-1</f>
        <v>3.6532443093766798E-2</v>
      </c>
      <c r="E832" s="4">
        <f>(Raw_Stock_Data!E832/Raw_Stock_Data!E831)-1</f>
        <v>2.4421420882669631E-2</v>
      </c>
      <c r="F832" s="4">
        <f>(Raw_Stock_Data!F832/Raw_Stock_Data!F831)-1</f>
        <v>1.3033910737459742E-2</v>
      </c>
      <c r="G832" s="4">
        <f>(Raw_Stock_Data!G832/Raw_Stock_Data!G831)-1</f>
        <v>1.8514607532558847E-2</v>
      </c>
      <c r="H832" s="4">
        <f>(Raw_Stock_Data!H832/Raw_Stock_Data!H831)-1</f>
        <v>1.267050271006176E-2</v>
      </c>
      <c r="I832" s="4">
        <f>(Raw_Stock_Data!I832/Raw_Stock_Data!I831)-1</f>
        <v>2.9829987752475473E-2</v>
      </c>
      <c r="J832" s="4">
        <f>(Raw_Stock_Data!J832/Raw_Stock_Data!J831)-1</f>
        <v>1.5877618143704364E-2</v>
      </c>
    </row>
    <row r="833" spans="1:10" x14ac:dyDescent="0.2">
      <c r="A833" s="2">
        <v>45406</v>
      </c>
      <c r="B833" s="4">
        <f>(Raw_Stock_Data!B833/Raw_Stock_Data!B832)-1</f>
        <v>1.2709228083528146E-2</v>
      </c>
      <c r="C833" s="4">
        <f>(Raw_Stock_Data!C833/Raw_Stock_Data!C832)-1</f>
        <v>3.656613857135449E-3</v>
      </c>
      <c r="D833" s="4">
        <f>(Raw_Stock_Data!D833/Raw_Stock_Data!D832)-1</f>
        <v>-3.3315332479809778E-2</v>
      </c>
      <c r="E833" s="4">
        <f>(Raw_Stock_Data!E833/Raw_Stock_Data!E832)-1</f>
        <v>-3.4806593550928966E-3</v>
      </c>
      <c r="F833" s="4">
        <f>(Raw_Stock_Data!F833/Raw_Stock_Data!F832)-1</f>
        <v>-1.6430878912777058E-2</v>
      </c>
      <c r="G833" s="4">
        <f>(Raw_Stock_Data!G833/Raw_Stock_Data!G832)-1</f>
        <v>0.12061100359413879</v>
      </c>
      <c r="H833" s="4">
        <f>(Raw_Stock_Data!H833/Raw_Stock_Data!H832)-1</f>
        <v>5.4918225113991248E-3</v>
      </c>
      <c r="I833" s="4">
        <f>(Raw_Stock_Data!I833/Raw_Stock_Data!I832)-1</f>
        <v>-5.2408788550696306E-3</v>
      </c>
      <c r="J833" s="4">
        <f>(Raw_Stock_Data!J833/Raw_Stock_Data!J832)-1</f>
        <v>1.0263342982956836E-3</v>
      </c>
    </row>
    <row r="834" spans="1:10" x14ac:dyDescent="0.2">
      <c r="A834" s="2">
        <v>45407</v>
      </c>
      <c r="B834" s="4">
        <f>(Raw_Stock_Data!B834/Raw_Stock_Data!B833)-1</f>
        <v>5.1535015776633664E-3</v>
      </c>
      <c r="C834" s="4">
        <f>(Raw_Stock_Data!C834/Raw_Stock_Data!C833)-1</f>
        <v>-2.4495114006514607E-2</v>
      </c>
      <c r="D834" s="4">
        <f>(Raw_Stock_Data!D834/Raw_Stock_Data!D833)-1</f>
        <v>3.7085949720179423E-2</v>
      </c>
      <c r="E834" s="4">
        <f>(Raw_Stock_Data!E834/Raw_Stock_Data!E833)-1</f>
        <v>1.3312244628970404E-2</v>
      </c>
      <c r="F834" s="4">
        <f>(Raw_Stock_Data!F834/Raw_Stock_Data!F833)-1</f>
        <v>-1.653547766011676E-2</v>
      </c>
      <c r="G834" s="4">
        <f>(Raw_Stock_Data!G834/Raw_Stock_Data!G833)-1</f>
        <v>4.9651514216986437E-2</v>
      </c>
      <c r="H834" s="4">
        <f>(Raw_Stock_Data!H834/Raw_Stock_Data!H833)-1</f>
        <v>-1.9665100438333694E-2</v>
      </c>
      <c r="I834" s="4">
        <f>(Raw_Stock_Data!I834/Raw_Stock_Data!I833)-1</f>
        <v>-0.105612968591692</v>
      </c>
      <c r="J834" s="4">
        <f>(Raw_Stock_Data!J834/Raw_Stock_Data!J833)-1</f>
        <v>-6.4272644826652847E-3</v>
      </c>
    </row>
    <row r="835" spans="1:10" x14ac:dyDescent="0.2">
      <c r="A835" s="2">
        <v>45408</v>
      </c>
      <c r="B835" s="4">
        <f>(Raw_Stock_Data!B835/Raw_Stock_Data!B834)-1</f>
        <v>-3.4833280915277376E-3</v>
      </c>
      <c r="C835" s="4">
        <f>(Raw_Stock_Data!C835/Raw_Stock_Data!C834)-1</f>
        <v>1.8240421762501624E-2</v>
      </c>
      <c r="D835" s="4">
        <f>(Raw_Stock_Data!D835/Raw_Stock_Data!D834)-1</f>
        <v>6.1757072788104495E-2</v>
      </c>
      <c r="E835" s="4">
        <f>(Raw_Stock_Data!E835/Raw_Stock_Data!E834)-1</f>
        <v>2.3673257023933525E-2</v>
      </c>
      <c r="F835" s="4">
        <f>(Raw_Stock_Data!F835/Raw_Stock_Data!F834)-1</f>
        <v>3.4260378879484188E-2</v>
      </c>
      <c r="G835" s="4">
        <f>(Raw_Stock_Data!G835/Raw_Stock_Data!G834)-1</f>
        <v>-1.1105887883417598E-2</v>
      </c>
      <c r="H835" s="4">
        <f>(Raw_Stock_Data!H835/Raw_Stock_Data!H834)-1</f>
        <v>0.10224077922245023</v>
      </c>
      <c r="I835" s="4">
        <f>(Raw_Stock_Data!I835/Raw_Stock_Data!I834)-1</f>
        <v>4.3273369885359347E-3</v>
      </c>
      <c r="J835" s="4">
        <f>(Raw_Stock_Data!J835/Raw_Stock_Data!J834)-1</f>
        <v>2.0250119140955203E-2</v>
      </c>
    </row>
    <row r="836" spans="1:10" x14ac:dyDescent="0.2">
      <c r="A836" s="2">
        <v>45411</v>
      </c>
      <c r="B836" s="4">
        <f>(Raw_Stock_Data!B836/Raw_Stock_Data!B835)-1</f>
        <v>2.4807955695825612E-2</v>
      </c>
      <c r="C836" s="4">
        <f>(Raw_Stock_Data!C836/Raw_Stock_Data!C835)-1</f>
        <v>-1.0013636959873673E-2</v>
      </c>
      <c r="D836" s="4">
        <f>(Raw_Stock_Data!D836/Raw_Stock_Data!D835)-1</f>
        <v>2.5081429139839351E-4</v>
      </c>
      <c r="E836" s="4">
        <f>(Raw_Stock_Data!E836/Raw_Stock_Data!E835)-1</f>
        <v>1.7789072426937613E-2</v>
      </c>
      <c r="F836" s="4">
        <f>(Raw_Stock_Data!F836/Raw_Stock_Data!F835)-1</f>
        <v>7.4601937423450781E-3</v>
      </c>
      <c r="G836" s="4">
        <f>(Raw_Stock_Data!G836/Raw_Stock_Data!G835)-1</f>
        <v>0.15306910689880571</v>
      </c>
      <c r="H836" s="4">
        <f>(Raw_Stock_Data!H836/Raw_Stock_Data!H835)-1</f>
        <v>-3.3730425088572269E-2</v>
      </c>
      <c r="I836" s="4">
        <f>(Raw_Stock_Data!I836/Raw_Stock_Data!I835)-1</f>
        <v>-2.4070021881838155E-2</v>
      </c>
      <c r="J836" s="4">
        <f>(Raw_Stock_Data!J836/Raw_Stock_Data!J835)-1</f>
        <v>3.4643612780089761E-3</v>
      </c>
    </row>
    <row r="837" spans="1:10" x14ac:dyDescent="0.2">
      <c r="A837" s="2">
        <v>45412</v>
      </c>
      <c r="B837" s="4">
        <f>(Raw_Stock_Data!B837/Raw_Stock_Data!B836)-1</f>
        <v>-1.8274683897359645E-2</v>
      </c>
      <c r="C837" s="4">
        <f>(Raw_Stock_Data!C837/Raw_Stock_Data!C836)-1</f>
        <v>-3.2119759101806755E-2</v>
      </c>
      <c r="D837" s="4">
        <f>(Raw_Stock_Data!D837/Raw_Stock_Data!D836)-1</f>
        <v>-1.5441727084456458E-2</v>
      </c>
      <c r="E837" s="4">
        <f>(Raw_Stock_Data!E837/Raw_Stock_Data!E836)-1</f>
        <v>-1.1360799001248423E-2</v>
      </c>
      <c r="F837" s="4">
        <f>(Raw_Stock_Data!F837/Raw_Stock_Data!F836)-1</f>
        <v>-3.2935455349248466E-2</v>
      </c>
      <c r="G837" s="4">
        <f>(Raw_Stock_Data!G837/Raw_Stock_Data!G836)-1</f>
        <v>-5.5501159494975583E-2</v>
      </c>
      <c r="H837" s="4">
        <f>(Raw_Stock_Data!H837/Raw_Stock_Data!H836)-1</f>
        <v>-2.0283902144367261E-2</v>
      </c>
      <c r="I837" s="4">
        <f>(Raw_Stock_Data!I837/Raw_Stock_Data!I836)-1</f>
        <v>-5.6631686006194393E-3</v>
      </c>
      <c r="J837" s="4">
        <f>(Raw_Stock_Data!J837/Raw_Stock_Data!J836)-1</f>
        <v>-2.0350270410959603E-2</v>
      </c>
    </row>
    <row r="838" spans="1:10" x14ac:dyDescent="0.2">
      <c r="A838" s="2">
        <v>45413</v>
      </c>
      <c r="B838" s="4">
        <f>(Raw_Stock_Data!B838/Raw_Stock_Data!B837)-1</f>
        <v>-6.0431722807203769E-3</v>
      </c>
      <c r="C838" s="4">
        <f>(Raw_Stock_Data!C838/Raw_Stock_Data!C837)-1</f>
        <v>1.441024912502753E-2</v>
      </c>
      <c r="D838" s="4">
        <f>(Raw_Stock_Data!D838/Raw_Stock_Data!D837)-1</f>
        <v>-3.8898375230807525E-2</v>
      </c>
      <c r="E838" s="4">
        <f>(Raw_Stock_Data!E838/Raw_Stock_Data!E837)-1</f>
        <v>-8.9089531506503228E-2</v>
      </c>
      <c r="F838" s="4">
        <f>(Raw_Stock_Data!F838/Raw_Stock_Data!F837)-1</f>
        <v>2.2857142857142909E-2</v>
      </c>
      <c r="G838" s="4">
        <f>(Raw_Stock_Data!G838/Raw_Stock_Data!G837)-1</f>
        <v>-1.7950676560453904E-2</v>
      </c>
      <c r="H838" s="4">
        <f>(Raw_Stock_Data!H838/Raw_Stock_Data!H837)-1</f>
        <v>6.6341126566045183E-3</v>
      </c>
      <c r="I838" s="4">
        <f>(Raw_Stock_Data!I838/Raw_Stock_Data!I837)-1</f>
        <v>2.0968454332008335E-2</v>
      </c>
      <c r="J838" s="4">
        <f>(Raw_Stock_Data!J838/Raw_Stock_Data!J837)-1</f>
        <v>-3.3427386443323215E-3</v>
      </c>
    </row>
    <row r="839" spans="1:10" x14ac:dyDescent="0.2">
      <c r="A839" s="2">
        <v>45414</v>
      </c>
      <c r="B839" s="4">
        <f>(Raw_Stock_Data!B839/Raw_Stock_Data!B838)-1</f>
        <v>2.2032989936282998E-2</v>
      </c>
      <c r="C839" s="4">
        <f>(Raw_Stock_Data!C839/Raw_Stock_Data!C838)-1</f>
        <v>7.3433927289208167E-3</v>
      </c>
      <c r="D839" s="4">
        <f>(Raw_Stock_Data!D839/Raw_Stock_Data!D838)-1</f>
        <v>3.3429934932439176E-2</v>
      </c>
      <c r="E839" s="4">
        <f>(Raw_Stock_Data!E839/Raw_Stock_Data!E838)-1</f>
        <v>1.3100436681222627E-2</v>
      </c>
      <c r="F839" s="4">
        <f>(Raw_Stock_Data!F839/Raw_Stock_Data!F838)-1</f>
        <v>3.1955307262569788E-2</v>
      </c>
      <c r="G839" s="4">
        <f>(Raw_Stock_Data!G839/Raw_Stock_Data!G838)-1</f>
        <v>1.1111728429336054E-4</v>
      </c>
      <c r="H839" s="4">
        <f>(Raw_Stock_Data!H839/Raw_Stock_Data!H838)-1</f>
        <v>1.6843472082710642E-2</v>
      </c>
      <c r="I839" s="4">
        <f>(Raw_Stock_Data!I839/Raw_Stock_Data!I838)-1</f>
        <v>5.6695279947176491E-3</v>
      </c>
      <c r="J839" s="4">
        <f>(Raw_Stock_Data!J839/Raw_Stock_Data!J838)-1</f>
        <v>1.5089571099383026E-2</v>
      </c>
    </row>
    <row r="840" spans="1:10" x14ac:dyDescent="0.2">
      <c r="A840" s="2">
        <v>45415</v>
      </c>
      <c r="B840" s="4">
        <f>(Raw_Stock_Data!B840/Raw_Stock_Data!B839)-1</f>
        <v>5.9814717706694553E-2</v>
      </c>
      <c r="C840" s="4">
        <f>(Raw_Stock_Data!C840/Raw_Stock_Data!C839)-1</f>
        <v>2.2170376474275777E-2</v>
      </c>
      <c r="D840" s="4">
        <f>(Raw_Stock_Data!D840/Raw_Stock_Data!D839)-1</f>
        <v>3.4630662215840102E-2</v>
      </c>
      <c r="E840" s="4">
        <f>(Raw_Stock_Data!E840/Raw_Stock_Data!E839)-1</f>
        <v>3.0377668308702699E-2</v>
      </c>
      <c r="F840" s="4">
        <f>(Raw_Stock_Data!F840/Raw_Stock_Data!F839)-1</f>
        <v>8.0662624512777281E-3</v>
      </c>
      <c r="G840" s="4">
        <f>(Raw_Stock_Data!G840/Raw_Stock_Data!G839)-1</f>
        <v>6.555191378256886E-3</v>
      </c>
      <c r="H840" s="4">
        <f>(Raw_Stock_Data!H840/Raw_Stock_Data!H839)-1</f>
        <v>3.7224879229962315E-3</v>
      </c>
      <c r="I840" s="4">
        <f>(Raw_Stock_Data!I840/Raw_Stock_Data!I839)-1</f>
        <v>2.3274769063575285E-2</v>
      </c>
      <c r="J840" s="4">
        <f>(Raw_Stock_Data!J840/Raw_Stock_Data!J839)-1</f>
        <v>1.9908515645516545E-2</v>
      </c>
    </row>
    <row r="841" spans="1:10" x14ac:dyDescent="0.2">
      <c r="A841" s="2">
        <v>45418</v>
      </c>
      <c r="B841" s="4">
        <f>(Raw_Stock_Data!B841/Raw_Stock_Data!B840)-1</f>
        <v>-9.1096010907331104E-3</v>
      </c>
      <c r="C841" s="4">
        <f>(Raw_Stock_Data!C841/Raw_Stock_Data!C840)-1</f>
        <v>1.6914406672782878E-2</v>
      </c>
      <c r="D841" s="4">
        <f>(Raw_Stock_Data!D841/Raw_Stock_Data!D840)-1</f>
        <v>3.7741077865897532E-2</v>
      </c>
      <c r="E841" s="4">
        <f>(Raw_Stock_Data!E841/Raw_Stock_Data!E840)-1</f>
        <v>3.439575033200537E-2</v>
      </c>
      <c r="F841" s="4">
        <f>(Raw_Stock_Data!F841/Raw_Stock_Data!F840)-1</f>
        <v>1.33719993555661E-2</v>
      </c>
      <c r="G841" s="4">
        <f>(Raw_Stock_Data!G841/Raw_Stock_Data!G840)-1</f>
        <v>1.9703074121088404E-2</v>
      </c>
      <c r="H841" s="4">
        <f>(Raw_Stock_Data!H841/Raw_Stock_Data!H840)-1</f>
        <v>5.1369451979164094E-3</v>
      </c>
      <c r="I841" s="4">
        <f>(Raw_Stock_Data!I841/Raw_Stock_Data!I840)-1</f>
        <v>3.035666873174625E-2</v>
      </c>
      <c r="J841" s="4">
        <f>(Raw_Stock_Data!J841/Raw_Stock_Data!J840)-1</f>
        <v>1.1940830621805842E-2</v>
      </c>
    </row>
    <row r="842" spans="1:10" x14ac:dyDescent="0.2">
      <c r="A842" s="2">
        <v>45419</v>
      </c>
      <c r="B842" s="4">
        <f>(Raw_Stock_Data!B842/Raw_Stock_Data!B841)-1</f>
        <v>3.7949611349374912E-3</v>
      </c>
      <c r="C842" s="4">
        <f>(Raw_Stock_Data!C842/Raw_Stock_Data!C841)-1</f>
        <v>-1.0154925844237606E-2</v>
      </c>
      <c r="D842" s="4">
        <f>(Raw_Stock_Data!D842/Raw_Stock_Data!D841)-1</f>
        <v>-1.721158251029653E-2</v>
      </c>
      <c r="E842" s="4">
        <f>(Raw_Stock_Data!E842/Raw_Stock_Data!E841)-1</f>
        <v>-8.6660675311336366E-3</v>
      </c>
      <c r="F842" s="4">
        <f>(Raw_Stock_Data!F842/Raw_Stock_Data!F841)-1</f>
        <v>3.1796502384739966E-4</v>
      </c>
      <c r="G842" s="4">
        <f>(Raw_Stock_Data!G842/Raw_Stock_Data!G841)-1</f>
        <v>-3.7616367179043042E-2</v>
      </c>
      <c r="H842" s="4">
        <f>(Raw_Stock_Data!H842/Raw_Stock_Data!H841)-1</f>
        <v>1.8741193609246976E-2</v>
      </c>
      <c r="I842" s="4">
        <f>(Raw_Stock_Data!I842/Raw_Stock_Data!I841)-1</f>
        <v>5.4973372272806298E-3</v>
      </c>
      <c r="J842" s="4">
        <f>(Raw_Stock_Data!J842/Raw_Stock_Data!J841)-1</f>
        <v>-1.0208419346453557E-3</v>
      </c>
    </row>
    <row r="843" spans="1:10" x14ac:dyDescent="0.2">
      <c r="A843" s="2">
        <v>45420</v>
      </c>
      <c r="B843" s="4">
        <f>(Raw_Stock_Data!B843/Raw_Stock_Data!B842)-1</f>
        <v>1.8681980732133674E-3</v>
      </c>
      <c r="C843" s="4">
        <f>(Raw_Stock_Data!C843/Raw_Stock_Data!C842)-1</f>
        <v>2.9332789587597219E-3</v>
      </c>
      <c r="D843" s="4">
        <f>(Raw_Stock_Data!D843/Raw_Stock_Data!D842)-1</f>
        <v>-1.5684940358567934E-3</v>
      </c>
      <c r="E843" s="4">
        <f>(Raw_Stock_Data!E843/Raw_Stock_Data!E842)-1</f>
        <v>-5.2450948649873652E-3</v>
      </c>
      <c r="F843" s="4">
        <f>(Raw_Stock_Data!F843/Raw_Stock_Data!F842)-1</f>
        <v>-4.0262767535493849E-3</v>
      </c>
      <c r="G843" s="4">
        <f>(Raw_Stock_Data!G843/Raw_Stock_Data!G842)-1</f>
        <v>-1.737810021933528E-2</v>
      </c>
      <c r="H843" s="4">
        <f>(Raw_Stock_Data!H843/Raw_Stock_Data!H842)-1</f>
        <v>-1.0912436778779955E-2</v>
      </c>
      <c r="I843" s="4">
        <f>(Raw_Stock_Data!I843/Raw_Stock_Data!I842)-1</f>
        <v>9.3114642063898412E-3</v>
      </c>
      <c r="J843" s="4">
        <f>(Raw_Stock_Data!J843/Raw_Stock_Data!J842)-1</f>
        <v>-1.8245761840152142E-3</v>
      </c>
    </row>
    <row r="844" spans="1:10" x14ac:dyDescent="0.2">
      <c r="A844" s="2">
        <v>45421</v>
      </c>
      <c r="B844" s="4">
        <f>(Raw_Stock_Data!B844/Raw_Stock_Data!B843)-1</f>
        <v>1.0018702313238981E-2</v>
      </c>
      <c r="C844" s="4">
        <f>(Raw_Stock_Data!C844/Raw_Stock_Data!C843)-1</f>
        <v>4.3356105494958275E-3</v>
      </c>
      <c r="D844" s="4">
        <f>(Raw_Stock_Data!D844/Raw_Stock_Data!D843)-1</f>
        <v>-1.8416717649050174E-2</v>
      </c>
      <c r="E844" s="4">
        <f>(Raw_Stock_Data!E844/Raw_Stock_Data!E843)-1</f>
        <v>-8.0067699518293622E-3</v>
      </c>
      <c r="F844" s="4">
        <f>(Raw_Stock_Data!F844/Raw_Stock_Data!F843)-1</f>
        <v>7.9787234042554278E-3</v>
      </c>
      <c r="G844" s="4">
        <f>(Raw_Stock_Data!G844/Raw_Stock_Data!G843)-1</f>
        <v>-1.5739468864468864E-2</v>
      </c>
      <c r="H844" s="4">
        <f>(Raw_Stock_Data!H844/Raw_Stock_Data!H843)-1</f>
        <v>3.4188743193359628E-3</v>
      </c>
      <c r="I844" s="4">
        <f>(Raw_Stock_Data!I844/Raw_Stock_Data!I843)-1</f>
        <v>5.9669911129920372E-3</v>
      </c>
      <c r="J844" s="4">
        <f>(Raw_Stock_Data!J844/Raw_Stock_Data!J843)-1</f>
        <v>2.6682598529328416E-3</v>
      </c>
    </row>
    <row r="845" spans="1:10" x14ac:dyDescent="0.2">
      <c r="A845" s="2">
        <v>45422</v>
      </c>
      <c r="B845" s="4">
        <f>(Raw_Stock_Data!B845/Raw_Stock_Data!B844)-1</f>
        <v>-6.8987365971695525E-3</v>
      </c>
      <c r="C845" s="4">
        <f>(Raw_Stock_Data!C845/Raw_Stock_Data!C844)-1</f>
        <v>5.8656104502985418E-3</v>
      </c>
      <c r="D845" s="4">
        <f>(Raw_Stock_Data!D845/Raw_Stock_Data!D844)-1</f>
        <v>1.2743727881342704E-2</v>
      </c>
      <c r="E845" s="4">
        <f>(Raw_Stock_Data!E845/Raw_Stock_Data!E844)-1</f>
        <v>-3.0841918761073117E-3</v>
      </c>
      <c r="F845" s="4">
        <f>(Raw_Stock_Data!F845/Raw_Stock_Data!F844)-1</f>
        <v>-1.065963060686026E-2</v>
      </c>
      <c r="G845" s="4">
        <f>(Raw_Stock_Data!G845/Raw_Stock_Data!G844)-1</f>
        <v>-2.0352387044251907E-2</v>
      </c>
      <c r="H845" s="4">
        <f>(Raw_Stock_Data!H845/Raw_Stock_Data!H844)-1</f>
        <v>-7.7061164716025754E-3</v>
      </c>
      <c r="I845" s="4">
        <f>(Raw_Stock_Data!I845/Raw_Stock_Data!I844)-1</f>
        <v>1.6406545791090021E-3</v>
      </c>
      <c r="J845" s="4">
        <f>(Raw_Stock_Data!J845/Raw_Stock_Data!J844)-1</f>
        <v>-3.2973903510646885E-4</v>
      </c>
    </row>
    <row r="846" spans="1:10" x14ac:dyDescent="0.2">
      <c r="A846" s="2">
        <v>45425</v>
      </c>
      <c r="B846" s="4">
        <f>(Raw_Stock_Data!B846/Raw_Stock_Data!B845)-1</f>
        <v>1.7660906200842597E-2</v>
      </c>
      <c r="C846" s="4">
        <f>(Raw_Stock_Data!C846/Raw_Stock_Data!C845)-1</f>
        <v>-2.4562220250132771E-3</v>
      </c>
      <c r="D846" s="4">
        <f>(Raw_Stock_Data!D846/Raw_Stock_Data!D845)-1</f>
        <v>5.7981207856510064E-3</v>
      </c>
      <c r="E846" s="4">
        <f>(Raw_Stock_Data!E846/Raw_Stock_Data!E845)-1</f>
        <v>-8.9520800421273306E-3</v>
      </c>
      <c r="F846" s="4">
        <f>(Raw_Stock_Data!F846/Raw_Stock_Data!F845)-1</f>
        <v>-4.8538510774482901E-3</v>
      </c>
      <c r="G846" s="4">
        <f>(Raw_Stock_Data!G846/Raw_Stock_Data!G845)-1</f>
        <v>2.0300350210719964E-2</v>
      </c>
      <c r="H846" s="4">
        <f>(Raw_Stock_Data!H846/Raw_Stock_Data!H845)-1</f>
        <v>2.9040531774984224E-3</v>
      </c>
      <c r="I846" s="4">
        <f>(Raw_Stock_Data!I846/Raw_Stock_Data!I845)-1</f>
        <v>-1.7198656026879422E-2</v>
      </c>
      <c r="J846" s="4">
        <f>(Raw_Stock_Data!J846/Raw_Stock_Data!J845)-1</f>
        <v>2.8988664618223581E-3</v>
      </c>
    </row>
    <row r="847" spans="1:10" x14ac:dyDescent="0.2">
      <c r="A847" s="2">
        <v>45426</v>
      </c>
      <c r="B847" s="4">
        <f>(Raw_Stock_Data!B847/Raw_Stock_Data!B846)-1</f>
        <v>6.1667342251046087E-3</v>
      </c>
      <c r="C847" s="4">
        <f>(Raw_Stock_Data!C847/Raw_Stock_Data!C846)-1</f>
        <v>6.8642154158027324E-3</v>
      </c>
      <c r="D847" s="4">
        <f>(Raw_Stock_Data!D847/Raw_Stock_Data!D846)-1</f>
        <v>1.0585575866613128E-2</v>
      </c>
      <c r="E847" s="4">
        <f>(Raw_Stock_Data!E847/Raw_Stock_Data!E846)-1</f>
        <v>1.7268862911795857E-2</v>
      </c>
      <c r="F847" s="4">
        <f>(Raw_Stock_Data!F847/Raw_Stock_Data!F846)-1</f>
        <v>2.6799592646191694E-3</v>
      </c>
      <c r="G847" s="4">
        <f>(Raw_Stock_Data!G847/Raw_Stock_Data!G846)-1</f>
        <v>3.2928035371458719E-2</v>
      </c>
      <c r="H847" s="4">
        <f>(Raw_Stock_Data!H847/Raw_Stock_Data!H846)-1</f>
        <v>7.0967014579093046E-3</v>
      </c>
      <c r="I847" s="4">
        <f>(Raw_Stock_Data!I847/Raw_Stock_Data!I846)-1</f>
        <v>8.2049528856220633E-3</v>
      </c>
      <c r="J847" s="4">
        <f>(Raw_Stock_Data!J847/Raw_Stock_Data!J846)-1</f>
        <v>7.5017207460958968E-3</v>
      </c>
    </row>
    <row r="848" spans="1:10" x14ac:dyDescent="0.2">
      <c r="A848" s="2">
        <v>45427</v>
      </c>
      <c r="B848" s="4">
        <f>(Raw_Stock_Data!B848/Raw_Stock_Data!B847)-1</f>
        <v>1.2214904977278396E-2</v>
      </c>
      <c r="C848" s="4">
        <f>(Raw_Stock_Data!C848/Raw_Stock_Data!C847)-1</f>
        <v>1.7482914205290356E-2</v>
      </c>
      <c r="D848" s="4">
        <f>(Raw_Stock_Data!D848/Raw_Stock_Data!D847)-1</f>
        <v>3.5837537663793828E-2</v>
      </c>
      <c r="E848" s="4">
        <f>(Raw_Stock_Data!E848/Raw_Stock_Data!E847)-1</f>
        <v>4.2504570383912199E-2</v>
      </c>
      <c r="F848" s="4">
        <f>(Raw_Stock_Data!F848/Raw_Stock_Data!F847)-1</f>
        <v>-5.7732399636498677E-3</v>
      </c>
      <c r="G848" s="4">
        <f>(Raw_Stock_Data!G848/Raw_Stock_Data!G847)-1</f>
        <v>-2.0050689946493949E-2</v>
      </c>
      <c r="H848" s="4">
        <f>(Raw_Stock_Data!H848/Raw_Stock_Data!H847)-1</f>
        <v>1.273825305641485E-2</v>
      </c>
      <c r="I848" s="4">
        <f>(Raw_Stock_Data!I848/Raw_Stock_Data!I847)-1</f>
        <v>2.0536187347674151E-2</v>
      </c>
      <c r="J848" s="4">
        <f>(Raw_Stock_Data!J848/Raw_Stock_Data!J847)-1</f>
        <v>1.4003239017441382E-2</v>
      </c>
    </row>
    <row r="849" spans="1:10" x14ac:dyDescent="0.2">
      <c r="A849" s="2">
        <v>45428</v>
      </c>
      <c r="B849" s="4">
        <f>(Raw_Stock_Data!B849/Raw_Stock_Data!B848)-1</f>
        <v>6.368074718743344E-4</v>
      </c>
      <c r="C849" s="4">
        <f>(Raw_Stock_Data!C849/Raw_Stock_Data!C848)-1</f>
        <v>-4.9374221484074221E-3</v>
      </c>
      <c r="D849" s="4">
        <f>(Raw_Stock_Data!D849/Raw_Stock_Data!D848)-1</f>
        <v>-2.8634063225365658E-3</v>
      </c>
      <c r="E849" s="4">
        <f>(Raw_Stock_Data!E849/Raw_Stock_Data!E848)-1</f>
        <v>1.8475605937245732E-2</v>
      </c>
      <c r="F849" s="4">
        <f>(Raw_Stock_Data!F849/Raw_Stock_Data!F848)-1</f>
        <v>-1.26888542394753E-2</v>
      </c>
      <c r="G849" s="4">
        <f>(Raw_Stock_Data!G849/Raw_Stock_Data!G848)-1</f>
        <v>4.8853382378297727E-3</v>
      </c>
      <c r="H849" s="4">
        <f>(Raw_Stock_Data!H849/Raw_Stock_Data!H848)-1</f>
        <v>9.6749608754589378E-3</v>
      </c>
      <c r="I849" s="4">
        <f>(Raw_Stock_Data!I849/Raw_Stock_Data!I848)-1</f>
        <v>-1.7257133363791199E-2</v>
      </c>
      <c r="J849" s="4">
        <f>(Raw_Stock_Data!J849/Raw_Stock_Data!J848)-1</f>
        <v>-2.6322406777048446E-3</v>
      </c>
    </row>
    <row r="850" spans="1:10" x14ac:dyDescent="0.2">
      <c r="A850" s="2">
        <v>45429</v>
      </c>
      <c r="B850" s="4">
        <f>(Raw_Stock_Data!B850/Raw_Stock_Data!B849)-1</f>
        <v>1.53797199830219E-4</v>
      </c>
      <c r="C850" s="4">
        <f>(Raw_Stock_Data!C850/Raw_Stock_Data!C849)-1</f>
        <v>-1.8550575353963872E-3</v>
      </c>
      <c r="D850" s="4">
        <f>(Raw_Stock_Data!D850/Raw_Stock_Data!D849)-1</f>
        <v>-1.9924377257207415E-2</v>
      </c>
      <c r="E850" s="4">
        <f>(Raw_Stock_Data!E850/Raw_Stock_Data!E849)-1</f>
        <v>1.1376214487762937E-2</v>
      </c>
      <c r="F850" s="4">
        <f>(Raw_Stock_Data!F850/Raw_Stock_Data!F849)-1</f>
        <v>5.8269345967434383E-3</v>
      </c>
      <c r="G850" s="4">
        <f>(Raw_Stock_Data!G850/Raw_Stock_Data!G849)-1</f>
        <v>1.4985129261038788E-2</v>
      </c>
      <c r="H850" s="4">
        <f>(Raw_Stock_Data!H850/Raw_Stock_Data!H849)-1</f>
        <v>1.0798040910400486E-2</v>
      </c>
      <c r="I850" s="4">
        <f>(Raw_Stock_Data!I850/Raw_Stock_Data!I849)-1</f>
        <v>-2.789341335080131E-3</v>
      </c>
      <c r="J850" s="4">
        <f>(Raw_Stock_Data!J850/Raw_Stock_Data!J849)-1</f>
        <v>-7.3959536049128527E-4</v>
      </c>
    </row>
    <row r="851" spans="1:10" x14ac:dyDescent="0.2">
      <c r="A851" s="2">
        <v>45432</v>
      </c>
      <c r="B851" s="4">
        <f>(Raw_Stock_Data!B851/Raw_Stock_Data!B850)-1</f>
        <v>6.1615470679625695E-3</v>
      </c>
      <c r="C851" s="4">
        <f>(Raw_Stock_Data!C851/Raw_Stock_Data!C850)-1</f>
        <v>1.2209280103961495E-2</v>
      </c>
      <c r="D851" s="4">
        <f>(Raw_Stock_Data!D851/Raw_Stock_Data!D850)-1</f>
        <v>2.4881810050282782E-2</v>
      </c>
      <c r="E851" s="4">
        <f>(Raw_Stock_Data!E851/Raw_Stock_Data!E850)-1</f>
        <v>1.1309053322794416E-2</v>
      </c>
      <c r="F851" s="4">
        <f>(Raw_Stock_Data!F851/Raw_Stock_Data!F850)-1</f>
        <v>-6.2804547915538134E-3</v>
      </c>
      <c r="G851" s="4">
        <f>(Raw_Stock_Data!G851/Raw_Stock_Data!G850)-1</f>
        <v>-1.4144032458018763E-2</v>
      </c>
      <c r="H851" s="4">
        <f>(Raw_Stock_Data!H851/Raw_Stock_Data!H850)-1</f>
        <v>4.885306457497185E-3</v>
      </c>
      <c r="I851" s="4">
        <f>(Raw_Stock_Data!I851/Raw_Stock_Data!I850)-1</f>
        <v>-6.5054777393995789E-3</v>
      </c>
      <c r="J851" s="4">
        <f>(Raw_Stock_Data!J851/Raw_Stock_Data!J850)-1</f>
        <v>6.5270403818298295E-3</v>
      </c>
    </row>
    <row r="852" spans="1:10" x14ac:dyDescent="0.2">
      <c r="A852" s="2">
        <v>45433</v>
      </c>
      <c r="B852" s="4">
        <f>(Raw_Stock_Data!B852/Raw_Stock_Data!B851)-1</f>
        <v>6.861623917660431E-3</v>
      </c>
      <c r="C852" s="4">
        <f>(Raw_Stock_Data!C852/Raw_Stock_Data!C851)-1</f>
        <v>8.6966372216072951E-3</v>
      </c>
      <c r="D852" s="4">
        <f>(Raw_Stock_Data!D852/Raw_Stock_Data!D851)-1</f>
        <v>6.3931547443161207E-3</v>
      </c>
      <c r="E852" s="4">
        <f>(Raw_Stock_Data!E852/Raw_Stock_Data!E851)-1</f>
        <v>-1.0040281368364212E-2</v>
      </c>
      <c r="F852" s="4">
        <f>(Raw_Stock_Data!F852/Raw_Stock_Data!F851)-1</f>
        <v>-2.1248774109184909E-3</v>
      </c>
      <c r="G852" s="4">
        <f>(Raw_Stock_Data!G852/Raw_Stock_Data!G851)-1</f>
        <v>6.659045441554734E-2</v>
      </c>
      <c r="H852" s="4">
        <f>(Raw_Stock_Data!H852/Raw_Stock_Data!H851)-1</f>
        <v>5.2586495424917779E-3</v>
      </c>
      <c r="I852" s="4">
        <f>(Raw_Stock_Data!I852/Raw_Stock_Data!I851)-1</f>
        <v>-8.9796092483576118E-3</v>
      </c>
      <c r="J852" s="4">
        <f>(Raw_Stock_Data!J852/Raw_Stock_Data!J851)-1</f>
        <v>2.2477088255468125E-3</v>
      </c>
    </row>
    <row r="853" spans="1:10" x14ac:dyDescent="0.2">
      <c r="A853" s="2">
        <v>45434</v>
      </c>
      <c r="B853" s="4">
        <f>(Raw_Stock_Data!B853/Raw_Stock_Data!B852)-1</f>
        <v>-7.5424096978325972E-3</v>
      </c>
      <c r="C853" s="4">
        <f>(Raw_Stock_Data!C853/Raw_Stock_Data!C852)-1</f>
        <v>3.4510027795195963E-3</v>
      </c>
      <c r="D853" s="4">
        <f>(Raw_Stock_Data!D853/Raw_Stock_Data!D852)-1</f>
        <v>-4.5698873991489863E-3</v>
      </c>
      <c r="E853" s="4">
        <f>(Raw_Stock_Data!E853/Raw_Stock_Data!E852)-1</f>
        <v>5.2228835175514021E-3</v>
      </c>
      <c r="F853" s="4">
        <f>(Raw_Stock_Data!F853/Raw_Stock_Data!F852)-1</f>
        <v>-1.0920010920012491E-4</v>
      </c>
      <c r="G853" s="4">
        <f>(Raw_Stock_Data!G853/Raw_Stock_Data!G852)-1</f>
        <v>-3.478027867095379E-2</v>
      </c>
      <c r="H853" s="4">
        <f>(Raw_Stock_Data!H853/Raw_Stock_Data!H852)-1</f>
        <v>-8.2614780371089713E-3</v>
      </c>
      <c r="I853" s="4">
        <f>(Raw_Stock_Data!I853/Raw_Stock_Data!I852)-1</f>
        <v>6.7795880593159996E-3</v>
      </c>
      <c r="J853" s="4">
        <f>(Raw_Stock_Data!J853/Raw_Stock_Data!J852)-1</f>
        <v>-1.847007865081074E-3</v>
      </c>
    </row>
    <row r="854" spans="1:10" x14ac:dyDescent="0.2">
      <c r="A854" s="2">
        <v>45435</v>
      </c>
      <c r="B854" s="4">
        <f>(Raw_Stock_Data!B854/Raw_Stock_Data!B853)-1</f>
        <v>-2.1058793747231186E-2</v>
      </c>
      <c r="C854" s="4">
        <f>(Raw_Stock_Data!C854/Raw_Stock_Data!C853)-1</f>
        <v>-8.1746474012969195E-3</v>
      </c>
      <c r="D854" s="4">
        <f>(Raw_Stock_Data!D854/Raw_Stock_Data!D853)-1</f>
        <v>9.3191021367863502E-2</v>
      </c>
      <c r="E854" s="4">
        <f>(Raw_Stock_Data!E854/Raw_Stock_Data!E853)-1</f>
        <v>-3.0751570807153183E-2</v>
      </c>
      <c r="F854" s="4">
        <f>(Raw_Stock_Data!F854/Raw_Stock_Data!F853)-1</f>
        <v>-1.1358051657292534E-2</v>
      </c>
      <c r="G854" s="4">
        <f>(Raw_Stock_Data!G854/Raw_Stock_Data!G853)-1</f>
        <v>-3.5367275553828237E-2</v>
      </c>
      <c r="H854" s="4">
        <f>(Raw_Stock_Data!H854/Raw_Stock_Data!H853)-1</f>
        <v>-1.6051757101238184E-2</v>
      </c>
      <c r="I854" s="4">
        <f>(Raw_Stock_Data!I854/Raw_Stock_Data!I853)-1</f>
        <v>-4.2755141305742539E-3</v>
      </c>
      <c r="J854" s="4">
        <f>(Raw_Stock_Data!J854/Raw_Stock_Data!J853)-1</f>
        <v>-3.8990473492311883E-3</v>
      </c>
    </row>
    <row r="855" spans="1:10" x14ac:dyDescent="0.2">
      <c r="A855" s="2">
        <v>45436</v>
      </c>
      <c r="B855" s="4">
        <f>(Raw_Stock_Data!B855/Raw_Stock_Data!B854)-1</f>
        <v>1.6587741556629565E-2</v>
      </c>
      <c r="C855" s="4">
        <f>(Raw_Stock_Data!C855/Raw_Stock_Data!C854)-1</f>
        <v>7.3980737268473096E-3</v>
      </c>
      <c r="D855" s="4">
        <f>(Raw_Stock_Data!D855/Raw_Stock_Data!D854)-1</f>
        <v>2.5728987993139052E-2</v>
      </c>
      <c r="E855" s="4">
        <f>(Raw_Stock_Data!E855/Raw_Stock_Data!E854)-1</f>
        <v>3.6963161503459574E-2</v>
      </c>
      <c r="F855" s="4">
        <f>(Raw_Stock_Data!F855/Raw_Stock_Data!F854)-1</f>
        <v>-1.65700082850051E-3</v>
      </c>
      <c r="G855" s="4">
        <f>(Raw_Stock_Data!G855/Raw_Stock_Data!G854)-1</f>
        <v>3.1656498215724582E-2</v>
      </c>
      <c r="H855" s="4">
        <f>(Raw_Stock_Data!H855/Raw_Stock_Data!H854)-1</f>
        <v>8.2927083152617431E-3</v>
      </c>
      <c r="I855" s="4">
        <f>(Raw_Stock_Data!I855/Raw_Stock_Data!I854)-1</f>
        <v>2.6707887844046763E-2</v>
      </c>
      <c r="J855" s="4">
        <f>(Raw_Stock_Data!J855/Raw_Stock_Data!J854)-1</f>
        <v>1.1039655163142204E-2</v>
      </c>
    </row>
    <row r="856" spans="1:10" x14ac:dyDescent="0.2">
      <c r="A856" s="2">
        <v>45440</v>
      </c>
      <c r="B856" s="4">
        <f>(Raw_Stock_Data!B856/Raw_Stock_Data!B855)-1</f>
        <v>5.2994732323563554E-5</v>
      </c>
      <c r="C856" s="4">
        <f>(Raw_Stock_Data!C856/Raw_Stock_Data!C855)-1</f>
        <v>3.7337116827829142E-4</v>
      </c>
      <c r="D856" s="4">
        <f>(Raw_Stock_Data!D856/Raw_Stock_Data!D855)-1</f>
        <v>6.9801961594829098E-2</v>
      </c>
      <c r="E856" s="4">
        <f>(Raw_Stock_Data!E856/Raw_Stock_Data!E855)-1</f>
        <v>3.1558066842991117E-2</v>
      </c>
      <c r="F856" s="4">
        <f>(Raw_Stock_Data!F856/Raw_Stock_Data!F855)-1</f>
        <v>7.7455048409404981E-3</v>
      </c>
      <c r="G856" s="4">
        <f>(Raw_Stock_Data!G856/Raw_Stock_Data!G855)-1</f>
        <v>-1.3891988395447474E-2</v>
      </c>
      <c r="H856" s="4">
        <f>(Raw_Stock_Data!H856/Raw_Stock_Data!H855)-1</f>
        <v>8.0696502004509174E-3</v>
      </c>
      <c r="I856" s="4">
        <f>(Raw_Stock_Data!I856/Raw_Stock_Data!I855)-1</f>
        <v>3.554849232570767E-3</v>
      </c>
      <c r="J856" s="4">
        <f>(Raw_Stock_Data!J856/Raw_Stock_Data!J855)-1</f>
        <v>5.856109555168576E-3</v>
      </c>
    </row>
    <row r="857" spans="1:10" x14ac:dyDescent="0.2">
      <c r="A857" s="2">
        <v>45441</v>
      </c>
      <c r="B857" s="4">
        <f>(Raw_Stock_Data!B857/Raw_Stock_Data!B856)-1</f>
        <v>1.5791593361171863E-3</v>
      </c>
      <c r="C857" s="4">
        <f>(Raw_Stock_Data!C857/Raw_Stock_Data!C856)-1</f>
        <v>-2.673272869779475E-3</v>
      </c>
      <c r="D857" s="4">
        <f>(Raw_Stock_Data!D857/Raw_Stock_Data!D856)-1</f>
        <v>8.1142315190474434E-3</v>
      </c>
      <c r="E857" s="4">
        <f>(Raw_Stock_Data!E857/Raw_Stock_Data!E856)-1</f>
        <v>-3.7701765631373618E-2</v>
      </c>
      <c r="F857" s="4">
        <f>(Raw_Stock_Data!F857/Raw_Stock_Data!F856)-1</f>
        <v>-7.1369750205874105E-4</v>
      </c>
      <c r="G857" s="4">
        <f>(Raw_Stock_Data!G857/Raw_Stock_Data!G856)-1</f>
        <v>-3.1683168316831711E-3</v>
      </c>
      <c r="H857" s="4">
        <f>(Raw_Stock_Data!H857/Raw_Stock_Data!H856)-1</f>
        <v>-2.8447236066543313E-3</v>
      </c>
      <c r="I857" s="4">
        <f>(Raw_Stock_Data!I857/Raw_Stock_Data!I856)-1</f>
        <v>-1.1585264210701829E-2</v>
      </c>
      <c r="J857" s="4">
        <f>(Raw_Stock_Data!J857/Raw_Stock_Data!J856)-1</f>
        <v>-5.8343537087217623E-3</v>
      </c>
    </row>
    <row r="858" spans="1:10" x14ac:dyDescent="0.2">
      <c r="A858" s="2">
        <v>45442</v>
      </c>
      <c r="B858" s="4">
        <f>(Raw_Stock_Data!B858/Raw_Stock_Data!B857)-1</f>
        <v>5.2538014666201338E-3</v>
      </c>
      <c r="C858" s="4">
        <f>(Raw_Stock_Data!C858/Raw_Stock_Data!C857)-1</f>
        <v>-3.3786154342731245E-2</v>
      </c>
      <c r="D858" s="4">
        <f>(Raw_Stock_Data!D858/Raw_Stock_Data!D857)-1</f>
        <v>-3.7666161431383793E-2</v>
      </c>
      <c r="E858" s="4">
        <f>(Raw_Stock_Data!E858/Raw_Stock_Data!E857)-1</f>
        <v>9.7493036211699913E-3</v>
      </c>
      <c r="F858" s="4">
        <f>(Raw_Stock_Data!F858/Raw_Stock_Data!F857)-1</f>
        <v>-1.4833534776398261E-2</v>
      </c>
      <c r="G858" s="4">
        <f>(Raw_Stock_Data!G858/Raw_Stock_Data!G857)-1</f>
        <v>1.4756796639990855E-2</v>
      </c>
      <c r="H858" s="4">
        <f>(Raw_Stock_Data!H858/Raw_Stock_Data!H857)-1</f>
        <v>-2.1544641226949102E-2</v>
      </c>
      <c r="I858" s="4">
        <f>(Raw_Stock_Data!I858/Raw_Stock_Data!I857)-1</f>
        <v>-1.5410236950838985E-2</v>
      </c>
      <c r="J858" s="4">
        <f>(Raw_Stock_Data!J858/Raw_Stock_Data!J857)-1</f>
        <v>-1.0844781916459101E-2</v>
      </c>
    </row>
    <row r="859" spans="1:10" x14ac:dyDescent="0.2">
      <c r="A859" s="2">
        <v>45443</v>
      </c>
      <c r="B859" s="4">
        <f>(Raw_Stock_Data!B859/Raw_Stock_Data!B858)-1</f>
        <v>5.021079058310951E-3</v>
      </c>
      <c r="C859" s="4">
        <f>(Raw_Stock_Data!C859/Raw_Stock_Data!C858)-1</f>
        <v>1.1086984412862488E-3</v>
      </c>
      <c r="D859" s="4">
        <f>(Raw_Stock_Data!D859/Raw_Stock_Data!D858)-1</f>
        <v>-7.8480004344914089E-3</v>
      </c>
      <c r="E859" s="4">
        <f>(Raw_Stock_Data!E859/Raw_Stock_Data!E858)-1</f>
        <v>8.9955022488763525E-4</v>
      </c>
      <c r="F859" s="4">
        <f>(Raw_Stock_Data!F859/Raw_Stock_Data!F858)-1</f>
        <v>-1.6060673656033919E-2</v>
      </c>
      <c r="G859" s="4">
        <f>(Raw_Stock_Data!G859/Raw_Stock_Data!G858)-1</f>
        <v>-3.9711393254655558E-3</v>
      </c>
      <c r="H859" s="4">
        <f>(Raw_Stock_Data!H859/Raw_Stock_Data!H858)-1</f>
        <v>2.2683802948311182E-3</v>
      </c>
      <c r="I859" s="4">
        <f>(Raw_Stock_Data!I859/Raw_Stock_Data!I858)-1</f>
        <v>-4.7104164436362339E-4</v>
      </c>
      <c r="J859" s="4">
        <f>(Raw_Stock_Data!J859/Raw_Stock_Data!J858)-1</f>
        <v>-1.230800115672448E-4</v>
      </c>
    </row>
    <row r="860" spans="1:10" x14ac:dyDescent="0.2">
      <c r="A860" s="2">
        <v>45446</v>
      </c>
      <c r="B860" s="4">
        <f>(Raw_Stock_Data!B860/Raw_Stock_Data!B859)-1</f>
        <v>9.2588228516965465E-3</v>
      </c>
      <c r="C860" s="4">
        <f>(Raw_Stock_Data!C860/Raw_Stock_Data!C859)-1</f>
        <v>-3.8785651243485875E-3</v>
      </c>
      <c r="D860" s="4">
        <f>(Raw_Stock_Data!D860/Raw_Stock_Data!D859)-1</f>
        <v>4.8956727216327378E-2</v>
      </c>
      <c r="E860" s="4">
        <f>(Raw_Stock_Data!E860/Raw_Stock_Data!E859)-1</f>
        <v>-2.0071899340922683E-2</v>
      </c>
      <c r="F860" s="4">
        <f>(Raw_Stock_Data!F860/Raw_Stock_Data!F859)-1</f>
        <v>1.0768533212423437E-2</v>
      </c>
      <c r="G860" s="4">
        <f>(Raw_Stock_Data!G860/Raw_Stock_Data!G859)-1</f>
        <v>-1.0051662174303755E-2</v>
      </c>
      <c r="H860" s="4">
        <f>(Raw_Stock_Data!H860/Raw_Stock_Data!H859)-1</f>
        <v>3.8806821156989191E-3</v>
      </c>
      <c r="I860" s="4">
        <f>(Raw_Stock_Data!I860/Raw_Stock_Data!I859)-1</f>
        <v>2.2834864940128208E-2</v>
      </c>
      <c r="J860" s="4">
        <f>(Raw_Stock_Data!J860/Raw_Stock_Data!J859)-1</f>
        <v>5.5960494818647621E-3</v>
      </c>
    </row>
    <row r="861" spans="1:10" x14ac:dyDescent="0.2">
      <c r="A861" s="2">
        <v>45447</v>
      </c>
      <c r="B861" s="4">
        <f>(Raw_Stock_Data!B861/Raw_Stock_Data!B860)-1</f>
        <v>1.6500537045780472E-3</v>
      </c>
      <c r="C861" s="4">
        <f>(Raw_Stock_Data!C861/Raw_Stock_Data!C860)-1</f>
        <v>6.1657818526958952E-3</v>
      </c>
      <c r="D861" s="4">
        <f>(Raw_Stock_Data!D861/Raw_Stock_Data!D860)-1</f>
        <v>1.2489888930444559E-2</v>
      </c>
      <c r="E861" s="4">
        <f>(Raw_Stock_Data!E861/Raw_Stock_Data!E860)-1</f>
        <v>-2.1767043717517587E-2</v>
      </c>
      <c r="F861" s="4">
        <f>(Raw_Stock_Data!F861/Raw_Stock_Data!F860)-1</f>
        <v>5.6072670180553619E-3</v>
      </c>
      <c r="G861" s="4">
        <f>(Raw_Stock_Data!G861/Raw_Stock_Data!G860)-1</f>
        <v>-8.6221566736626176E-3</v>
      </c>
      <c r="H861" s="4">
        <f>(Raw_Stock_Data!H861/Raw_Stock_Data!H860)-1</f>
        <v>3.5874907270030398E-3</v>
      </c>
      <c r="I861" s="4">
        <f>(Raw_Stock_Data!I861/Raw_Stock_Data!I860)-1</f>
        <v>-1.0471423485308717E-3</v>
      </c>
      <c r="J861" s="4">
        <f>(Raw_Stock_Data!J861/Raw_Stock_Data!J860)-1</f>
        <v>1.6864077791056697E-3</v>
      </c>
    </row>
    <row r="862" spans="1:10" x14ac:dyDescent="0.2">
      <c r="A862" s="2">
        <v>45448</v>
      </c>
      <c r="B862" s="4">
        <f>(Raw_Stock_Data!B862/Raw_Stock_Data!B861)-1</f>
        <v>7.8170732339062354E-3</v>
      </c>
      <c r="C862" s="4">
        <f>(Raw_Stock_Data!C862/Raw_Stock_Data!C861)-1</f>
        <v>1.9086059769693353E-2</v>
      </c>
      <c r="D862" s="4">
        <f>(Raw_Stock_Data!D862/Raw_Stock_Data!D861)-1</f>
        <v>5.1568177718217756E-2</v>
      </c>
      <c r="E862" s="4">
        <f>(Raw_Stock_Data!E862/Raw_Stock_Data!E861)-1</f>
        <v>3.8627414213388223E-2</v>
      </c>
      <c r="F862" s="4">
        <f>(Raw_Stock_Data!F862/Raw_Stock_Data!F861)-1</f>
        <v>1.0817441730790689E-2</v>
      </c>
      <c r="G862" s="4">
        <f>(Raw_Stock_Data!G862/Raw_Stock_Data!G861)-1</f>
        <v>1.3160153344395908E-3</v>
      </c>
      <c r="H862" s="4">
        <f>(Raw_Stock_Data!H862/Raw_Stock_Data!H861)-1</f>
        <v>9.3206978396076501E-3</v>
      </c>
      <c r="I862" s="4">
        <f>(Raw_Stock_Data!I862/Raw_Stock_Data!I861)-1</f>
        <v>3.7883393781840358E-2</v>
      </c>
      <c r="J862" s="4">
        <f>(Raw_Stock_Data!J862/Raw_Stock_Data!J861)-1</f>
        <v>1.9626803028999884E-2</v>
      </c>
    </row>
    <row r="863" spans="1:10" x14ac:dyDescent="0.2">
      <c r="A863" s="2">
        <v>45449</v>
      </c>
      <c r="B863" s="4">
        <f>(Raw_Stock_Data!B863/Raw_Stock_Data!B862)-1</f>
        <v>-7.088225013878291E-3</v>
      </c>
      <c r="C863" s="4">
        <f>(Raw_Stock_Data!C863/Raw_Stock_Data!C862)-1</f>
        <v>1.2002784077727036E-3</v>
      </c>
      <c r="D863" s="4">
        <f>(Raw_Stock_Data!D863/Raw_Stock_Data!D862)-1</f>
        <v>-1.1779890860373232E-2</v>
      </c>
      <c r="E863" s="4">
        <f>(Raw_Stock_Data!E863/Raw_Stock_Data!E862)-1</f>
        <v>3.6709393994103223E-3</v>
      </c>
      <c r="F863" s="4">
        <f>(Raw_Stock_Data!F863/Raw_Stock_Data!F862)-1</f>
        <v>2.0520741394527864E-2</v>
      </c>
      <c r="G863" s="4">
        <f>(Raw_Stock_Data!G863/Raw_Stock_Data!G862)-1</f>
        <v>1.6799999999999926E-2</v>
      </c>
      <c r="H863" s="4">
        <f>(Raw_Stock_Data!H863/Raw_Stock_Data!H862)-1</f>
        <v>7.5181517018831912E-3</v>
      </c>
      <c r="I863" s="4">
        <f>(Raw_Stock_Data!I863/Raw_Stock_Data!I862)-1</f>
        <v>-2.625944329980201E-3</v>
      </c>
      <c r="J863" s="4">
        <f>(Raw_Stock_Data!J863/Raw_Stock_Data!J862)-1</f>
        <v>-8.5990726034024245E-4</v>
      </c>
    </row>
    <row r="864" spans="1:10" x14ac:dyDescent="0.2">
      <c r="A864" s="2">
        <v>45450</v>
      </c>
      <c r="B864" s="4">
        <f>(Raw_Stock_Data!B864/Raw_Stock_Data!B863)-1</f>
        <v>1.2382939291501138E-2</v>
      </c>
      <c r="C864" s="4">
        <f>(Raw_Stock_Data!C864/Raw_Stock_Data!C863)-1</f>
        <v>-1.5771714482311072E-3</v>
      </c>
      <c r="D864" s="4">
        <f>(Raw_Stock_Data!D864/Raw_Stock_Data!D863)-1</f>
        <v>-9.0931635942792521E-4</v>
      </c>
      <c r="E864" s="4">
        <f>(Raw_Stock_Data!E864/Raw_Stock_Data!E863)-1</f>
        <v>6.535555822041017E-3</v>
      </c>
      <c r="F864" s="4">
        <f>(Raw_Stock_Data!F864/Raw_Stock_Data!F863)-1</f>
        <v>-3.7837837837837451E-3</v>
      </c>
      <c r="G864" s="4">
        <f>(Raw_Stock_Data!G864/Raw_Stock_Data!G863)-1</f>
        <v>-2.5851410587839352E-3</v>
      </c>
      <c r="H864" s="4">
        <f>(Raw_Stock_Data!H864/Raw_Stock_Data!H863)-1</f>
        <v>-1.283995207023636E-2</v>
      </c>
      <c r="I864" s="4">
        <f>(Raw_Stock_Data!I864/Raw_Stock_Data!I863)-1</f>
        <v>-1.6202203499676715E-3</v>
      </c>
      <c r="J864" s="4">
        <f>(Raw_Stock_Data!J864/Raw_Stock_Data!J863)-1</f>
        <v>-2.3286391756418556E-3</v>
      </c>
    </row>
    <row r="865" spans="1:10" x14ac:dyDescent="0.2">
      <c r="A865" s="2">
        <v>45453</v>
      </c>
      <c r="B865" s="4">
        <f>(Raw_Stock_Data!B865/Raw_Stock_Data!B864)-1</f>
        <v>-1.9144921533434611E-2</v>
      </c>
      <c r="C865" s="4">
        <f>(Raw_Stock_Data!C865/Raw_Stock_Data!C864)-1</f>
        <v>9.4850820145793158E-3</v>
      </c>
      <c r="D865" s="4">
        <f>(Raw_Stock_Data!D865/Raw_Stock_Data!D864)-1</f>
        <v>7.4631805394671513E-3</v>
      </c>
      <c r="E865" s="4">
        <f>(Raw_Stock_Data!E865/Raw_Stock_Data!E864)-1</f>
        <v>-4.4856138678739499E-2</v>
      </c>
      <c r="F865" s="4">
        <f>(Raw_Stock_Data!F865/Raw_Stock_Data!F864)-1</f>
        <v>1.49755832881171E-2</v>
      </c>
      <c r="G865" s="4">
        <f>(Raw_Stock_Data!G865/Raw_Stock_Data!G864)-1</f>
        <v>-2.0791075050709873E-2</v>
      </c>
      <c r="H865" s="4">
        <f>(Raw_Stock_Data!H865/Raw_Stock_Data!H864)-1</f>
        <v>4.303054708623355E-3</v>
      </c>
      <c r="I865" s="4">
        <f>(Raw_Stock_Data!I865/Raw_Stock_Data!I864)-1</f>
        <v>1.955533917559249E-2</v>
      </c>
      <c r="J865" s="4">
        <f>(Raw_Stock_Data!J865/Raw_Stock_Data!J864)-1</f>
        <v>3.4669672149805209E-3</v>
      </c>
    </row>
    <row r="866" spans="1:10" x14ac:dyDescent="0.2">
      <c r="A866" s="2">
        <v>45454</v>
      </c>
      <c r="B866" s="4">
        <f>(Raw_Stock_Data!B866/Raw_Stock_Data!B865)-1</f>
        <v>7.2657793626216494E-2</v>
      </c>
      <c r="C866" s="4">
        <f>(Raw_Stock_Data!C866/Raw_Stock_Data!C865)-1</f>
        <v>1.1242307863750245E-2</v>
      </c>
      <c r="D866" s="4">
        <f>(Raw_Stock_Data!D866/Raw_Stock_Data!D865)-1</f>
        <v>-7.1450863159278066E-3</v>
      </c>
      <c r="E866" s="4">
        <f>(Raw_Stock_Data!E866/Raw_Stock_Data!E865)-1</f>
        <v>-8.606710739678114E-3</v>
      </c>
      <c r="F866" s="4">
        <f>(Raw_Stock_Data!F866/Raw_Stock_Data!F865)-1</f>
        <v>9.0879931572751538E-4</v>
      </c>
      <c r="G866" s="4">
        <f>(Raw_Stock_Data!G866/Raw_Stock_Data!G865)-1</f>
        <v>-1.8010242246389252E-2</v>
      </c>
      <c r="H866" s="4">
        <f>(Raw_Stock_Data!H866/Raw_Stock_Data!H865)-1</f>
        <v>9.1993263756029453E-3</v>
      </c>
      <c r="I866" s="4">
        <f>(Raw_Stock_Data!I866/Raw_Stock_Data!I865)-1</f>
        <v>9.6896140071627279E-3</v>
      </c>
      <c r="J866" s="4">
        <f>(Raw_Stock_Data!J866/Raw_Stock_Data!J865)-1</f>
        <v>8.7840474903926324E-3</v>
      </c>
    </row>
    <row r="867" spans="1:10" x14ac:dyDescent="0.2">
      <c r="A867" s="2">
        <v>45455</v>
      </c>
      <c r="B867" s="4">
        <f>(Raw_Stock_Data!B867/Raw_Stock_Data!B866)-1</f>
        <v>2.8577816227145059E-2</v>
      </c>
      <c r="C867" s="4">
        <f>(Raw_Stock_Data!C867/Raw_Stock_Data!C866)-1</f>
        <v>1.9367157032194271E-2</v>
      </c>
      <c r="D867" s="4">
        <f>(Raw_Stock_Data!D867/Raw_Stock_Data!D866)-1</f>
        <v>3.5469675412765245E-2</v>
      </c>
      <c r="E867" s="4">
        <f>(Raw_Stock_Data!E867/Raw_Stock_Data!E866)-1</f>
        <v>8.0523402113739095E-3</v>
      </c>
      <c r="F867" s="4">
        <f>(Raw_Stock_Data!F867/Raw_Stock_Data!F866)-1</f>
        <v>-1.8159482988837627E-3</v>
      </c>
      <c r="G867" s="4">
        <f>(Raw_Stock_Data!G867/Raw_Stock_Data!G866)-1</f>
        <v>3.8849173795851399E-2</v>
      </c>
      <c r="H867" s="4">
        <f>(Raw_Stock_Data!H867/Raw_Stock_Data!H866)-1</f>
        <v>6.6237569813376584E-3</v>
      </c>
      <c r="I867" s="4">
        <f>(Raw_Stock_Data!I867/Raw_Stock_Data!I866)-1</f>
        <v>2.6996669753875935E-3</v>
      </c>
      <c r="J867" s="4">
        <f>(Raw_Stock_Data!J867/Raw_Stock_Data!J866)-1</f>
        <v>1.5273113059321775E-2</v>
      </c>
    </row>
    <row r="868" spans="1:10" x14ac:dyDescent="0.2">
      <c r="A868" s="2">
        <v>45456</v>
      </c>
      <c r="B868" s="4">
        <f>(Raw_Stock_Data!B868/Raw_Stock_Data!B867)-1</f>
        <v>5.4811608720717331E-3</v>
      </c>
      <c r="C868" s="4">
        <f>(Raw_Stock_Data!C868/Raw_Stock_Data!C867)-1</f>
        <v>1.1789151704533207E-3</v>
      </c>
      <c r="D868" s="4">
        <f>(Raw_Stock_Data!D868/Raw_Stock_Data!D867)-1</f>
        <v>3.5229269851413836E-2</v>
      </c>
      <c r="E868" s="4">
        <f>(Raw_Stock_Data!E868/Raw_Stock_Data!E867)-1</f>
        <v>-2.1218172740888885E-3</v>
      </c>
      <c r="F868" s="4">
        <f>(Raw_Stock_Data!F868/Raw_Stock_Data!F867)-1</f>
        <v>-1.6373267697575966E-2</v>
      </c>
      <c r="G868" s="4">
        <f>(Raw_Stock_Data!G868/Raw_Stock_Data!G867)-1</f>
        <v>2.9217665971007944E-2</v>
      </c>
      <c r="H868" s="4">
        <f>(Raw_Stock_Data!H868/Raw_Stock_Data!H867)-1</f>
        <v>-1.4789879955568241E-2</v>
      </c>
      <c r="I868" s="4">
        <f>(Raw_Stock_Data!I868/Raw_Stock_Data!I867)-1</f>
        <v>-9.3153054005187252E-3</v>
      </c>
      <c r="J868" s="4">
        <f>(Raw_Stock_Data!J868/Raw_Stock_Data!J867)-1</f>
        <v>3.3574808444134518E-3</v>
      </c>
    </row>
    <row r="869" spans="1:10" x14ac:dyDescent="0.2">
      <c r="A869" s="2">
        <v>45457</v>
      </c>
      <c r="B869" s="4">
        <f>(Raw_Stock_Data!B869/Raw_Stock_Data!B868)-1</f>
        <v>-8.1675235203999552E-3</v>
      </c>
      <c r="C869" s="4">
        <f>(Raw_Stock_Data!C869/Raw_Stock_Data!C868)-1</f>
        <v>2.2413930280402727E-3</v>
      </c>
      <c r="D869" s="4">
        <f>(Raw_Stock_Data!D869/Raw_Stock_Data!D868)-1</f>
        <v>1.7516783702446359E-2</v>
      </c>
      <c r="E869" s="4">
        <f>(Raw_Stock_Data!E869/Raw_Stock_Data!E868)-1</f>
        <v>-1.6885553470920023E-3</v>
      </c>
      <c r="F869" s="4">
        <f>(Raw_Stock_Data!F869/Raw_Stock_Data!F868)-1</f>
        <v>-9.2476744818592582E-4</v>
      </c>
      <c r="G869" s="4">
        <f>(Raw_Stock_Data!G869/Raw_Stock_Data!G868)-1</f>
        <v>-2.4442374088891383E-2</v>
      </c>
      <c r="H869" s="4">
        <f>(Raw_Stock_Data!H869/Raw_Stock_Data!H868)-1</f>
        <v>9.3058925873357179E-3</v>
      </c>
      <c r="I869" s="4">
        <f>(Raw_Stock_Data!I869/Raw_Stock_Data!I868)-1</f>
        <v>1.1902400317387318E-4</v>
      </c>
      <c r="J869" s="4">
        <f>(Raw_Stock_Data!J869/Raw_Stock_Data!J868)-1</f>
        <v>1.2067314332029344E-3</v>
      </c>
    </row>
    <row r="870" spans="1:10" x14ac:dyDescent="0.2">
      <c r="A870" s="2">
        <v>45460</v>
      </c>
      <c r="B870" s="4">
        <f>(Raw_Stock_Data!B870/Raw_Stock_Data!B869)-1</f>
        <v>1.9677242058979472E-2</v>
      </c>
      <c r="C870" s="4">
        <f>(Raw_Stock_Data!C870/Raw_Stock_Data!C869)-1</f>
        <v>1.310527998983857E-2</v>
      </c>
      <c r="D870" s="4">
        <f>(Raw_Stock_Data!D870/Raw_Stock_Data!D869)-1</f>
        <v>-6.8254209009556144E-3</v>
      </c>
      <c r="E870" s="4">
        <f>(Raw_Stock_Data!E870/Raw_Stock_Data!E869)-1</f>
        <v>-7.7053185491448017E-3</v>
      </c>
      <c r="F870" s="4">
        <f>(Raw_Stock_Data!F870/Raw_Stock_Data!F869)-1</f>
        <v>2.1779374931940598E-3</v>
      </c>
      <c r="G870" s="4">
        <f>(Raw_Stock_Data!G870/Raw_Stock_Data!G869)-1</f>
        <v>5.2974551991461283E-2</v>
      </c>
      <c r="H870" s="4">
        <f>(Raw_Stock_Data!H870/Raw_Stock_Data!H869)-1</f>
        <v>2.5403449879219941E-3</v>
      </c>
      <c r="I870" s="4">
        <f>(Raw_Stock_Data!I870/Raw_Stock_Data!I869)-1</f>
        <v>4.8992383370358716E-3</v>
      </c>
      <c r="J870" s="4">
        <f>(Raw_Stock_Data!J870/Raw_Stock_Data!J869)-1</f>
        <v>9.5054067866364722E-3</v>
      </c>
    </row>
    <row r="871" spans="1:10" x14ac:dyDescent="0.2">
      <c r="A871" s="2">
        <v>45461</v>
      </c>
      <c r="B871" s="4">
        <f>(Raw_Stock_Data!B871/Raw_Stock_Data!B870)-1</f>
        <v>-1.0989317361262851E-2</v>
      </c>
      <c r="C871" s="4">
        <f>(Raw_Stock_Data!C871/Raw_Stock_Data!C870)-1</f>
        <v>-4.5268420239595875E-3</v>
      </c>
      <c r="D871" s="4">
        <f>(Raw_Stock_Data!D871/Raw_Stock_Data!D870)-1</f>
        <v>3.5117593158216165E-2</v>
      </c>
      <c r="E871" s="4">
        <f>(Raw_Stock_Data!E871/Raw_Stock_Data!E870)-1</f>
        <v>-2.3800505050505127E-2</v>
      </c>
      <c r="F871" s="4">
        <f>(Raw_Stock_Data!F871/Raw_Stock_Data!F870)-1</f>
        <v>-6.7912637183527025E-3</v>
      </c>
      <c r="G871" s="4">
        <f>(Raw_Stock_Data!G871/Raw_Stock_Data!G870)-1</f>
        <v>-1.3764404609474923E-2</v>
      </c>
      <c r="H871" s="4">
        <f>(Raw_Stock_Data!H871/Raw_Stock_Data!H870)-1</f>
        <v>-1.2126559654302538E-2</v>
      </c>
      <c r="I871" s="4">
        <f>(Raw_Stock_Data!I871/Raw_Stock_Data!I870)-1</f>
        <v>-1.4093125160373421E-2</v>
      </c>
      <c r="J871" s="4">
        <f>(Raw_Stock_Data!J871/Raw_Stock_Data!J870)-1</f>
        <v>2.917620073226157E-4</v>
      </c>
    </row>
    <row r="872" spans="1:10" x14ac:dyDescent="0.2">
      <c r="A872" s="2">
        <v>45463</v>
      </c>
      <c r="B872" s="4">
        <f>(Raw_Stock_Data!B872/Raw_Stock_Data!B871)-1</f>
        <v>-2.1513408881622231E-2</v>
      </c>
      <c r="C872" s="4">
        <f>(Raw_Stock_Data!C872/Raw_Stock_Data!C871)-1</f>
        <v>-1.4348460689040943E-3</v>
      </c>
      <c r="D872" s="4">
        <f>(Raw_Stock_Data!D872/Raw_Stock_Data!D871)-1</f>
        <v>-3.5401559468570931E-2</v>
      </c>
      <c r="E872" s="4">
        <f>(Raw_Stock_Data!E872/Raw_Stock_Data!E871)-1</f>
        <v>4.6239410205005438E-2</v>
      </c>
      <c r="F872" s="4">
        <f>(Raw_Stock_Data!F872/Raw_Stock_Data!F871)-1</f>
        <v>1.7996827307040109E-2</v>
      </c>
      <c r="G872" s="4">
        <f>(Raw_Stock_Data!G872/Raw_Stock_Data!G871)-1</f>
        <v>-1.7797251974467243E-2</v>
      </c>
      <c r="H872" s="4">
        <f>(Raw_Stock_Data!H872/Raw_Stock_Data!H871)-1</f>
        <v>6.904922763343313E-3</v>
      </c>
      <c r="I872" s="4">
        <f>(Raw_Stock_Data!I872/Raw_Stock_Data!I871)-1</f>
        <v>4.4245130032631863E-3</v>
      </c>
      <c r="J872" s="4">
        <f>(Raw_Stock_Data!J872/Raw_Stock_Data!J871)-1</f>
        <v>-7.8735969696952512E-3</v>
      </c>
    </row>
    <row r="873" spans="1:10" x14ac:dyDescent="0.2">
      <c r="A873" s="2">
        <v>45464</v>
      </c>
      <c r="B873" s="4">
        <f>(Raw_Stock_Data!B873/Raw_Stock_Data!B872)-1</f>
        <v>-1.0443425443545373E-2</v>
      </c>
      <c r="C873" s="4">
        <f>(Raw_Stock_Data!C873/Raw_Stock_Data!C872)-1</f>
        <v>9.1552198266251494E-3</v>
      </c>
      <c r="D873" s="4">
        <f>(Raw_Stock_Data!D873/Raw_Stock_Data!D872)-1</f>
        <v>-3.2196390333435243E-2</v>
      </c>
      <c r="E873" s="4">
        <f>(Raw_Stock_Data!E873/Raw_Stock_Data!E872)-1</f>
        <v>-3.3996785758437786E-3</v>
      </c>
      <c r="F873" s="4">
        <f>(Raw_Stock_Data!F873/Raw_Stock_Data!F872)-1</f>
        <v>1.6012896292316059E-2</v>
      </c>
      <c r="G873" s="4">
        <f>(Raw_Stock_Data!G873/Raw_Stock_Data!G872)-1</f>
        <v>7.9308255769123814E-3</v>
      </c>
      <c r="H873" s="4">
        <f>(Raw_Stock_Data!H873/Raw_Stock_Data!H872)-1</f>
        <v>1.8895282718464301E-2</v>
      </c>
      <c r="I873" s="4">
        <f>(Raw_Stock_Data!I873/Raw_Stock_Data!I872)-1</f>
        <v>-1.379310344827589E-2</v>
      </c>
      <c r="J873" s="4">
        <f>(Raw_Stock_Data!J873/Raw_Stock_Data!J872)-1</f>
        <v>-1.8186855694098947E-3</v>
      </c>
    </row>
    <row r="874" spans="1:10" x14ac:dyDescent="0.2">
      <c r="A874" s="2">
        <v>45467</v>
      </c>
      <c r="B874" s="4">
        <f>(Raw_Stock_Data!B874/Raw_Stock_Data!B873)-1</f>
        <v>3.134552865252882E-3</v>
      </c>
      <c r="C874" s="4">
        <f>(Raw_Stock_Data!C874/Raw_Stock_Data!C873)-1</f>
        <v>-4.6911894017507283E-3</v>
      </c>
      <c r="D874" s="4">
        <f>(Raw_Stock_Data!D874/Raw_Stock_Data!D873)-1</f>
        <v>-6.683524298696164E-2</v>
      </c>
      <c r="E874" s="4">
        <f>(Raw_Stock_Data!E874/Raw_Stock_Data!E873)-1</f>
        <v>-6.0782732742045154E-3</v>
      </c>
      <c r="F874" s="4">
        <f>(Raw_Stock_Data!F874/Raw_Stock_Data!F873)-1</f>
        <v>-1.8563570975248633E-2</v>
      </c>
      <c r="G874" s="4">
        <f>(Raw_Stock_Data!G874/Raw_Stock_Data!G873)-1</f>
        <v>-2.3495983826019584E-3</v>
      </c>
      <c r="H874" s="4">
        <f>(Raw_Stock_Data!H874/Raw_Stock_Data!H873)-1</f>
        <v>-2.2881124188698365E-3</v>
      </c>
      <c r="I874" s="4">
        <f>(Raw_Stock_Data!I874/Raw_Stock_Data!I873)-1</f>
        <v>8.347144185294475E-3</v>
      </c>
      <c r="J874" s="4">
        <f>(Raw_Stock_Data!J874/Raw_Stock_Data!J873)-1</f>
        <v>-1.0884509106038887E-2</v>
      </c>
    </row>
    <row r="875" spans="1:10" x14ac:dyDescent="0.2">
      <c r="A875" s="2">
        <v>45468</v>
      </c>
      <c r="B875" s="4">
        <f>(Raw_Stock_Data!B875/Raw_Stock_Data!B874)-1</f>
        <v>4.4646312204936756E-3</v>
      </c>
      <c r="C875" s="4">
        <f>(Raw_Stock_Data!C875/Raw_Stock_Data!C874)-1</f>
        <v>7.327814302243274E-3</v>
      </c>
      <c r="D875" s="4">
        <f>(Raw_Stock_Data!D875/Raw_Stock_Data!D874)-1</f>
        <v>6.7557497544287415E-2</v>
      </c>
      <c r="E875" s="4">
        <f>(Raw_Stock_Data!E875/Raw_Stock_Data!E874)-1</f>
        <v>0</v>
      </c>
      <c r="F875" s="4">
        <f>(Raw_Stock_Data!F875/Raw_Stock_Data!F874)-1</f>
        <v>4.1493775933609811E-3</v>
      </c>
      <c r="G875" s="4">
        <f>(Raw_Stock_Data!G875/Raw_Stock_Data!G874)-1</f>
        <v>2.6125534012487517E-2</v>
      </c>
      <c r="H875" s="4">
        <f>(Raw_Stock_Data!H875/Raw_Stock_Data!H874)-1</f>
        <v>2.6843497765372648E-2</v>
      </c>
      <c r="I875" s="4">
        <f>(Raw_Stock_Data!I875/Raw_Stock_Data!I874)-1</f>
        <v>2.3431079753863493E-2</v>
      </c>
      <c r="J875" s="4">
        <f>(Raw_Stock_Data!J875/Raw_Stock_Data!J874)-1</f>
        <v>1.262115058622082E-2</v>
      </c>
    </row>
    <row r="876" spans="1:10" x14ac:dyDescent="0.2">
      <c r="A876" s="2">
        <v>45469</v>
      </c>
      <c r="B876" s="4">
        <f>(Raw_Stock_Data!B876/Raw_Stock_Data!B875)-1</f>
        <v>1.9994317607231249E-2</v>
      </c>
      <c r="C876" s="4">
        <f>(Raw_Stock_Data!C876/Raw_Stock_Data!C875)-1</f>
        <v>2.68008191612501E-3</v>
      </c>
      <c r="D876" s="4">
        <f>(Raw_Stock_Data!D876/Raw_Stock_Data!D875)-1</f>
        <v>2.4589513762196535E-3</v>
      </c>
      <c r="E876" s="4">
        <f>(Raw_Stock_Data!E876/Raw_Stock_Data!E875)-1</f>
        <v>-1.6911076443057782E-2</v>
      </c>
      <c r="F876" s="4">
        <f>(Raw_Stock_Data!F876/Raw_Stock_Data!F875)-1</f>
        <v>3.901470430396059E-2</v>
      </c>
      <c r="G876" s="4">
        <f>(Raw_Stock_Data!G876/Raw_Stock_Data!G875)-1</f>
        <v>4.8145182812917131E-2</v>
      </c>
      <c r="H876" s="4">
        <f>(Raw_Stock_Data!H876/Raw_Stock_Data!H875)-1</f>
        <v>-8.1710027454573453E-4</v>
      </c>
      <c r="I876" s="4">
        <f>(Raw_Stock_Data!I876/Raw_Stock_Data!I875)-1</f>
        <v>4.9353701527614646E-3</v>
      </c>
      <c r="J876" s="4">
        <f>(Raw_Stock_Data!J876/Raw_Stock_Data!J875)-1</f>
        <v>4.9391426063838395E-3</v>
      </c>
    </row>
    <row r="877" spans="1:10" x14ac:dyDescent="0.2">
      <c r="A877" s="2">
        <v>45470</v>
      </c>
      <c r="B877" s="4">
        <f>(Raw_Stock_Data!B877/Raw_Stock_Data!B876)-1</f>
        <v>3.9846844592583697E-3</v>
      </c>
      <c r="C877" s="4">
        <f>(Raw_Stock_Data!C877/Raw_Stock_Data!C876)-1</f>
        <v>1.5273818721084353E-3</v>
      </c>
      <c r="D877" s="4">
        <f>(Raw_Stock_Data!D877/Raw_Stock_Data!D876)-1</f>
        <v>-1.9069473017882532E-2</v>
      </c>
      <c r="E877" s="4">
        <f>(Raw_Stock_Data!E877/Raw_Stock_Data!E876)-1</f>
        <v>1.2250856925225317E-2</v>
      </c>
      <c r="F877" s="4">
        <f>(Raw_Stock_Data!F877/Raw_Stock_Data!F876)-1</f>
        <v>2.1899695263674301E-2</v>
      </c>
      <c r="G877" s="4">
        <f>(Raw_Stock_Data!G877/Raw_Stock_Data!G876)-1</f>
        <v>5.3470489382287933E-3</v>
      </c>
      <c r="H877" s="4">
        <f>(Raw_Stock_Data!H877/Raw_Stock_Data!H876)-1</f>
        <v>8.3194312692858041E-3</v>
      </c>
      <c r="I877" s="4">
        <f>(Raw_Stock_Data!I877/Raw_Stock_Data!I876)-1</f>
        <v>1.2550670408481235E-2</v>
      </c>
      <c r="J877" s="4">
        <f>(Raw_Stock_Data!J877/Raw_Stock_Data!J876)-1</f>
        <v>3.0058702084114763E-3</v>
      </c>
    </row>
    <row r="878" spans="1:10" x14ac:dyDescent="0.2">
      <c r="A878" s="2">
        <v>45471</v>
      </c>
      <c r="B878" s="4">
        <f>(Raw_Stock_Data!B878/Raw_Stock_Data!B877)-1</f>
        <v>-1.6256377700970992E-2</v>
      </c>
      <c r="C878" s="4">
        <f>(Raw_Stock_Data!C878/Raw_Stock_Data!C877)-1</f>
        <v>-1.3027229281008634E-2</v>
      </c>
      <c r="D878" s="4">
        <f>(Raw_Stock_Data!D878/Raw_Stock_Data!D877)-1</f>
        <v>-3.6299104622086187E-3</v>
      </c>
      <c r="E878" s="4">
        <f>(Raw_Stock_Data!E878/Raw_Stock_Data!E877)-1</f>
        <v>1.7181915093748001E-2</v>
      </c>
      <c r="F878" s="4">
        <f>(Raw_Stock_Data!F878/Raw_Stock_Data!F877)-1</f>
        <v>-2.324993682082388E-2</v>
      </c>
      <c r="G878" s="4">
        <f>(Raw_Stock_Data!G878/Raw_Stock_Data!G877)-1</f>
        <v>2.3300577449094639E-3</v>
      </c>
      <c r="H878" s="4">
        <f>(Raw_Stock_Data!H878/Raw_Stock_Data!H877)-1</f>
        <v>-1.7577533630347308E-2</v>
      </c>
      <c r="I878" s="4">
        <f>(Raw_Stock_Data!I878/Raw_Stock_Data!I877)-1</f>
        <v>-2.9524982677650136E-2</v>
      </c>
      <c r="J878" s="4">
        <f>(Raw_Stock_Data!J878/Raw_Stock_Data!J877)-1</f>
        <v>-7.0598722861936469E-3</v>
      </c>
    </row>
    <row r="879" spans="1:10" x14ac:dyDescent="0.2">
      <c r="A879" s="2">
        <v>45474</v>
      </c>
      <c r="B879" s="4">
        <f>(Raw_Stock_Data!B879/Raw_Stock_Data!B878)-1</f>
        <v>2.910161665025468E-2</v>
      </c>
      <c r="C879" s="4">
        <f>(Raw_Stock_Data!C879/Raw_Stock_Data!C878)-1</f>
        <v>2.1879597084816682E-2</v>
      </c>
      <c r="D879" s="4">
        <f>(Raw_Stock_Data!D879/Raw_Stock_Data!D878)-1</f>
        <v>6.1528497409326643E-3</v>
      </c>
      <c r="E879" s="4">
        <f>(Raw_Stock_Data!E879/Raw_Stock_Data!E878)-1</f>
        <v>-2.7865113124961538E-2</v>
      </c>
      <c r="F879" s="4">
        <f>(Raw_Stock_Data!F879/Raw_Stock_Data!F878)-1</f>
        <v>2.0439844760672621E-2</v>
      </c>
      <c r="G879" s="4">
        <f>(Raw_Stock_Data!G879/Raw_Stock_Data!G878)-1</f>
        <v>6.0541742470183957E-2</v>
      </c>
      <c r="H879" s="4">
        <f>(Raw_Stock_Data!H879/Raw_Stock_Data!H878)-1</f>
        <v>4.6119724162221321E-3</v>
      </c>
      <c r="I879" s="4">
        <f>(Raw_Stock_Data!I879/Raw_Stock_Data!I878)-1</f>
        <v>9.1230018642662891E-4</v>
      </c>
      <c r="J879" s="4">
        <f>(Raw_Stock_Data!J879/Raw_Stock_Data!J878)-1</f>
        <v>8.2728985033215796E-3</v>
      </c>
    </row>
    <row r="880" spans="1:10" x14ac:dyDescent="0.2">
      <c r="A880" s="2">
        <v>45475</v>
      </c>
      <c r="B880" s="4">
        <f>(Raw_Stock_Data!B880/Raw_Stock_Data!B879)-1</f>
        <v>1.6243508635024995E-2</v>
      </c>
      <c r="C880" s="4">
        <f>(Raw_Stock_Data!C880/Raw_Stock_Data!C879)-1</f>
        <v>5.5846522064979531E-3</v>
      </c>
      <c r="D880" s="4">
        <f>(Raw_Stock_Data!D880/Raw_Stock_Data!D879)-1</f>
        <v>-1.3099452848406856E-2</v>
      </c>
      <c r="E880" s="4">
        <f>(Raw_Stock_Data!E880/Raw_Stock_Data!E879)-1</f>
        <v>4.1981102162470751E-2</v>
      </c>
      <c r="F880" s="4">
        <f>(Raw_Stock_Data!F880/Raw_Stock_Data!F879)-1</f>
        <v>1.4198782961460488E-2</v>
      </c>
      <c r="G880" s="4">
        <f>(Raw_Stock_Data!G880/Raw_Stock_Data!G879)-1</f>
        <v>0.10197274373391774</v>
      </c>
      <c r="H880" s="4">
        <f>(Raw_Stock_Data!H880/Raw_Stock_Data!H879)-1</f>
        <v>1.2293263357419537E-2</v>
      </c>
      <c r="I880" s="4">
        <f>(Raw_Stock_Data!I880/Raw_Stock_Data!I879)-1</f>
        <v>9.5506063247998707E-3</v>
      </c>
      <c r="J880" s="4">
        <f>(Raw_Stock_Data!J880/Raw_Stock_Data!J879)-1</f>
        <v>8.3593876717769078E-3</v>
      </c>
    </row>
    <row r="881" spans="1:10" x14ac:dyDescent="0.2">
      <c r="A881" s="2">
        <v>45476</v>
      </c>
      <c r="B881" s="4">
        <f>(Raw_Stock_Data!B881/Raw_Stock_Data!B880)-1</f>
        <v>5.8185508014791942E-3</v>
      </c>
      <c r="C881" s="4">
        <f>(Raw_Stock_Data!C881/Raw_Stock_Data!C880)-1</f>
        <v>3.243446445978293E-3</v>
      </c>
      <c r="D881" s="4">
        <f>(Raw_Stock_Data!D881/Raw_Stock_Data!D880)-1</f>
        <v>4.5722858167824398E-2</v>
      </c>
      <c r="E881" s="4">
        <f>(Raw_Stock_Data!E881/Raw_Stock_Data!E880)-1</f>
        <v>-2.4952833059460611E-3</v>
      </c>
      <c r="F881" s="4">
        <f>(Raw_Stock_Data!F881/Raw_Stock_Data!F880)-1</f>
        <v>-1.2050000000000005E-2</v>
      </c>
      <c r="G881" s="4">
        <f>(Raw_Stock_Data!G881/Raw_Stock_Data!G880)-1</f>
        <v>6.5424197872524514E-2</v>
      </c>
      <c r="H881" s="4">
        <f>(Raw_Stock_Data!H881/Raw_Stock_Data!H880)-1</f>
        <v>3.1334051292597476E-3</v>
      </c>
      <c r="I881" s="4">
        <f>(Raw_Stock_Data!I881/Raw_Stock_Data!I880)-1</f>
        <v>9.0284592737965852E-4</v>
      </c>
      <c r="J881" s="4">
        <f>(Raw_Stock_Data!J881/Raw_Stock_Data!J880)-1</f>
        <v>8.8491942873498708E-3</v>
      </c>
    </row>
    <row r="882" spans="1:10" x14ac:dyDescent="0.2">
      <c r="A882" s="2">
        <v>45478</v>
      </c>
      <c r="B882" s="4">
        <f>(Raw_Stock_Data!B882/Raw_Stock_Data!B881)-1</f>
        <v>2.1621769004253277E-2</v>
      </c>
      <c r="C882" s="4">
        <f>(Raw_Stock_Data!C882/Raw_Stock_Data!C881)-1</f>
        <v>1.4737855701905334E-2</v>
      </c>
      <c r="D882" s="4">
        <f>(Raw_Stock_Data!D882/Raw_Stock_Data!D881)-1</f>
        <v>-1.9101824419148539E-2</v>
      </c>
      <c r="E882" s="4">
        <f>(Raw_Stock_Data!E882/Raw_Stock_Data!E881)-1</f>
        <v>4.8810250152532042E-2</v>
      </c>
      <c r="F882" s="4">
        <f>(Raw_Stock_Data!F882/Raw_Stock_Data!F881)-1</f>
        <v>1.2196973531049204E-2</v>
      </c>
      <c r="G882" s="4">
        <f>(Raw_Stock_Data!G882/Raw_Stock_Data!G881)-1</f>
        <v>2.0820650188725365E-2</v>
      </c>
      <c r="H882" s="4">
        <f>(Raw_Stock_Data!H882/Raw_Stock_Data!H881)-1</f>
        <v>2.5717245174307513E-2</v>
      </c>
      <c r="I882" s="4">
        <f>(Raw_Stock_Data!I882/Raw_Stock_Data!I881)-1</f>
        <v>5.8730096478155192E-2</v>
      </c>
      <c r="J882" s="4">
        <f>(Raw_Stock_Data!J882/Raw_Stock_Data!J881)-1</f>
        <v>9.0420764997278802E-3</v>
      </c>
    </row>
    <row r="883" spans="1:10" x14ac:dyDescent="0.2">
      <c r="A883" s="2">
        <v>45481</v>
      </c>
      <c r="B883" s="4">
        <f>(Raw_Stock_Data!B883/Raw_Stock_Data!B882)-1</f>
        <v>6.5387386906510248E-3</v>
      </c>
      <c r="C883" s="4">
        <f>(Raw_Stock_Data!C883/Raw_Stock_Data!C882)-1</f>
        <v>-2.8253257390179476E-3</v>
      </c>
      <c r="D883" s="4">
        <f>(Raw_Stock_Data!D883/Raw_Stock_Data!D882)-1</f>
        <v>1.8837930212224796E-2</v>
      </c>
      <c r="E883" s="4">
        <f>(Raw_Stock_Data!E883/Raw_Stock_Data!E882)-1</f>
        <v>3.9499709133216987E-2</v>
      </c>
      <c r="F883" s="4">
        <f>(Raw_Stock_Data!F883/Raw_Stock_Data!F882)-1</f>
        <v>-3.5500000000000531E-3</v>
      </c>
      <c r="G883" s="4">
        <f>(Raw_Stock_Data!G883/Raw_Stock_Data!G882)-1</f>
        <v>5.6456743002544219E-3</v>
      </c>
      <c r="H883" s="4">
        <f>(Raw_Stock_Data!H883/Raw_Stock_Data!H882)-1</f>
        <v>-8.2365131042607675E-3</v>
      </c>
      <c r="I883" s="4">
        <f>(Raw_Stock_Data!I883/Raw_Stock_Data!I882)-1</f>
        <v>-1.9614380174473367E-2</v>
      </c>
      <c r="J883" s="4">
        <f>(Raw_Stock_Data!J883/Raw_Stock_Data!J882)-1</f>
        <v>2.7777838319686943E-3</v>
      </c>
    </row>
    <row r="884" spans="1:10" x14ac:dyDescent="0.2">
      <c r="A884" s="2">
        <v>45482</v>
      </c>
      <c r="B884" s="4">
        <f>(Raw_Stock_Data!B884/Raw_Stock_Data!B883)-1</f>
        <v>3.7740184900392215E-3</v>
      </c>
      <c r="C884" s="4">
        <f>(Raw_Stock_Data!C884/Raw_Stock_Data!C883)-1</f>
        <v>-1.436903488054142E-2</v>
      </c>
      <c r="D884" s="4">
        <f>(Raw_Stock_Data!D884/Raw_Stock_Data!D883)-1</f>
        <v>2.4808862537057275E-2</v>
      </c>
      <c r="E884" s="4">
        <f>(Raw_Stock_Data!E884/Raw_Stock_Data!E883)-1</f>
        <v>-8.8980916671330679E-3</v>
      </c>
      <c r="F884" s="4">
        <f>(Raw_Stock_Data!F884/Raw_Stock_Data!F883)-1</f>
        <v>2.5089066184968978E-4</v>
      </c>
      <c r="G884" s="4">
        <f>(Raw_Stock_Data!G884/Raw_Stock_Data!G883)-1</f>
        <v>3.7123428481062648E-2</v>
      </c>
      <c r="H884" s="4">
        <f>(Raw_Stock_Data!H884/Raw_Stock_Data!H883)-1</f>
        <v>-2.5986009980738523E-4</v>
      </c>
      <c r="I884" s="4">
        <f>(Raw_Stock_Data!I884/Raw_Stock_Data!I883)-1</f>
        <v>1.2846671200785753E-3</v>
      </c>
      <c r="J884" s="4">
        <f>(Raw_Stock_Data!J884/Raw_Stock_Data!J883)-1</f>
        <v>1.3883047684872807E-3</v>
      </c>
    </row>
    <row r="885" spans="1:10" x14ac:dyDescent="0.2">
      <c r="A885" s="2">
        <v>45483</v>
      </c>
      <c r="B885" s="4">
        <f>(Raw_Stock_Data!B885/Raw_Stock_Data!B884)-1</f>
        <v>1.8803546742508948E-2</v>
      </c>
      <c r="C885" s="4">
        <f>(Raw_Stock_Data!C885/Raw_Stock_Data!C884)-1</f>
        <v>1.4600357800509833E-2</v>
      </c>
      <c r="D885" s="4">
        <f>(Raw_Stock_Data!D885/Raw_Stock_Data!D884)-1</f>
        <v>2.6865103532277779E-2</v>
      </c>
      <c r="E885" s="4">
        <f>(Raw_Stock_Data!E885/Raw_Stock_Data!E884)-1</f>
        <v>3.8735177865612647E-2</v>
      </c>
      <c r="F885" s="4">
        <f>(Raw_Stock_Data!F885/Raw_Stock_Data!F884)-1</f>
        <v>2.2574495836258368E-3</v>
      </c>
      <c r="G885" s="4">
        <f>(Raw_Stock_Data!G885/Raw_Stock_Data!G884)-1</f>
        <v>3.5451530515000496E-3</v>
      </c>
      <c r="H885" s="4">
        <f>(Raw_Stock_Data!H885/Raw_Stock_Data!H884)-1</f>
        <v>1.1638392904505634E-2</v>
      </c>
      <c r="I885" s="4">
        <f>(Raw_Stock_Data!I885/Raw_Stock_Data!I884)-1</f>
        <v>8.849056603773775E-3</v>
      </c>
      <c r="J885" s="4">
        <f>(Raw_Stock_Data!J885/Raw_Stock_Data!J884)-1</f>
        <v>1.1837677957208248E-2</v>
      </c>
    </row>
    <row r="886" spans="1:10" x14ac:dyDescent="0.2">
      <c r="A886" s="2">
        <v>45484</v>
      </c>
      <c r="B886" s="4">
        <f>(Raw_Stock_Data!B886/Raw_Stock_Data!B885)-1</f>
        <v>-2.3222951570595729E-2</v>
      </c>
      <c r="C886" s="4">
        <f>(Raw_Stock_Data!C886/Raw_Stock_Data!C885)-1</f>
        <v>-2.4771734473530649E-2</v>
      </c>
      <c r="D886" s="4">
        <f>(Raw_Stock_Data!D886/Raw_Stock_Data!D885)-1</f>
        <v>-5.5667993683695571E-2</v>
      </c>
      <c r="E886" s="4">
        <f>(Raw_Stock_Data!E886/Raw_Stock_Data!E885)-1</f>
        <v>-1.0980647966949419E-2</v>
      </c>
      <c r="F886" s="4">
        <f>(Raw_Stock_Data!F886/Raw_Stock_Data!F885)-1</f>
        <v>-2.372491115671449E-2</v>
      </c>
      <c r="G886" s="4">
        <f>(Raw_Stock_Data!G886/Raw_Stock_Data!G885)-1</f>
        <v>-8.44412368001215E-2</v>
      </c>
      <c r="H886" s="4">
        <f>(Raw_Stock_Data!H886/Raw_Stock_Data!H885)-1</f>
        <v>-2.9343289217022894E-2</v>
      </c>
      <c r="I886" s="4">
        <f>(Raw_Stock_Data!I886/Raw_Stock_Data!I885)-1</f>
        <v>-4.1126634124445949E-2</v>
      </c>
      <c r="J886" s="4">
        <f>(Raw_Stock_Data!J886/Raw_Stock_Data!J885)-1</f>
        <v>-1.9522240306315441E-2</v>
      </c>
    </row>
    <row r="887" spans="1:10" x14ac:dyDescent="0.2">
      <c r="A887" s="2">
        <v>45485</v>
      </c>
      <c r="B887" s="4">
        <f>(Raw_Stock_Data!B887/Raw_Stock_Data!B886)-1</f>
        <v>1.3046652067157716E-2</v>
      </c>
      <c r="C887" s="4">
        <f>(Raw_Stock_Data!C887/Raw_Stock_Data!C886)-1</f>
        <v>-2.5277333186158879E-3</v>
      </c>
      <c r="D887" s="4">
        <f>(Raw_Stock_Data!D887/Raw_Stock_Data!D886)-1</f>
        <v>1.4444967812843545E-2</v>
      </c>
      <c r="E887" s="4">
        <f>(Raw_Stock_Data!E887/Raw_Stock_Data!E886)-1</f>
        <v>-1.8137847642079041E-3</v>
      </c>
      <c r="F887" s="4">
        <f>(Raw_Stock_Data!F887/Raw_Stock_Data!F886)-1</f>
        <v>-2.8710587028967227E-3</v>
      </c>
      <c r="G887" s="4">
        <f>(Raw_Stock_Data!G887/Raw_Stock_Data!G886)-1</f>
        <v>2.9871800190847564E-2</v>
      </c>
      <c r="H887" s="4">
        <f>(Raw_Stock_Data!H887/Raw_Stock_Data!H886)-1</f>
        <v>-2.6956653269372133E-3</v>
      </c>
      <c r="I887" s="4">
        <f>(Raw_Stock_Data!I887/Raw_Stock_Data!I886)-1</f>
        <v>-2.6974839087185565E-2</v>
      </c>
      <c r="J887" s="4">
        <f>(Raw_Stock_Data!J887/Raw_Stock_Data!J886)-1</f>
        <v>6.292042895718053E-3</v>
      </c>
    </row>
    <row r="888" spans="1:10" x14ac:dyDescent="0.2">
      <c r="A888" s="2">
        <v>45488</v>
      </c>
      <c r="B888" s="4">
        <f>(Raw_Stock_Data!B888/Raw_Stock_Data!B887)-1</f>
        <v>1.6747895049435746E-2</v>
      </c>
      <c r="C888" s="4">
        <f>(Raw_Stock_Data!C888/Raw_Stock_Data!C887)-1</f>
        <v>9.0299448907771307E-4</v>
      </c>
      <c r="D888" s="4">
        <f>(Raw_Stock_Data!D888/Raw_Stock_Data!D887)-1</f>
        <v>-6.1909921064851048E-3</v>
      </c>
      <c r="E888" s="4">
        <f>(Raw_Stock_Data!E888/Raw_Stock_Data!E887)-1</f>
        <v>-9.8012223996476466E-3</v>
      </c>
      <c r="F888" s="4">
        <f>(Raw_Stock_Data!F888/Raw_Stock_Data!F887)-1</f>
        <v>-9.1007249730064022E-3</v>
      </c>
      <c r="G888" s="4">
        <f>(Raw_Stock_Data!G888/Raw_Stock_Data!G887)-1</f>
        <v>1.7765781734681463E-2</v>
      </c>
      <c r="H888" s="4">
        <f>(Raw_Stock_Data!H888/Raw_Stock_Data!H887)-1</f>
        <v>7.8921852740596599E-3</v>
      </c>
      <c r="I888" s="4">
        <f>(Raw_Stock_Data!I888/Raw_Stock_Data!I887)-1</f>
        <v>-5.4322769458976516E-3</v>
      </c>
      <c r="J888" s="4">
        <f>(Raw_Stock_Data!J888/Raw_Stock_Data!J887)-1</f>
        <v>4.0286002353457917E-3</v>
      </c>
    </row>
    <row r="889" spans="1:10" x14ac:dyDescent="0.2">
      <c r="A889" s="2">
        <v>45489</v>
      </c>
      <c r="B889" s="4">
        <f>(Raw_Stock_Data!B889/Raw_Stock_Data!B888)-1</f>
        <v>1.7953861153943151E-3</v>
      </c>
      <c r="C889" s="4">
        <f>(Raw_Stock_Data!C889/Raw_Stock_Data!C888)-1</f>
        <v>-9.7802484532480971E-3</v>
      </c>
      <c r="D889" s="4">
        <f>(Raw_Stock_Data!D889/Raw_Stock_Data!D888)-1</f>
        <v>-1.6196854072574207E-2</v>
      </c>
      <c r="E889" s="4">
        <f>(Raw_Stock_Data!E889/Raw_Stock_Data!E888)-1</f>
        <v>-1.2678640938664332E-2</v>
      </c>
      <c r="F889" s="4">
        <f>(Raw_Stock_Data!F889/Raw_Stock_Data!F888)-1</f>
        <v>1.5566625155667424E-3</v>
      </c>
      <c r="G889" s="4">
        <f>(Raw_Stock_Data!G889/Raw_Stock_Data!G888)-1</f>
        <v>1.551614946168467E-2</v>
      </c>
      <c r="H889" s="4">
        <f>(Raw_Stock_Data!H889/Raw_Stock_Data!H888)-1</f>
        <v>-1.3994733164937823E-2</v>
      </c>
      <c r="I889" s="4">
        <f>(Raw_Stock_Data!I889/Raw_Stock_Data!I888)-1</f>
        <v>-1.283860045146723E-2</v>
      </c>
      <c r="J889" s="4">
        <f>(Raw_Stock_Data!J889/Raw_Stock_Data!J888)-1</f>
        <v>1.9905189153430758E-3</v>
      </c>
    </row>
    <row r="890" spans="1:10" x14ac:dyDescent="0.2">
      <c r="A890" s="2">
        <v>45490</v>
      </c>
      <c r="B890" s="4">
        <f>(Raw_Stock_Data!B890/Raw_Stock_Data!B889)-1</f>
        <v>-2.5300445469629507E-2</v>
      </c>
      <c r="C890" s="4">
        <f>(Raw_Stock_Data!C890/Raw_Stock_Data!C889)-1</f>
        <v>-1.3347029465292537E-2</v>
      </c>
      <c r="D890" s="4">
        <f>(Raw_Stock_Data!D890/Raw_Stock_Data!D889)-1</f>
        <v>-6.6233971822067472E-2</v>
      </c>
      <c r="E890" s="4">
        <f>(Raw_Stock_Data!E890/Raw_Stock_Data!E889)-1</f>
        <v>-0.10205575894114338</v>
      </c>
      <c r="F890" s="4">
        <f>(Raw_Stock_Data!F890/Raw_Stock_Data!F889)-1</f>
        <v>-2.6370324318723437E-2</v>
      </c>
      <c r="G890" s="4">
        <f>(Raw_Stock_Data!G890/Raw_Stock_Data!G889)-1</f>
        <v>-3.1415653258497045E-2</v>
      </c>
      <c r="H890" s="4">
        <f>(Raw_Stock_Data!H890/Raw_Stock_Data!H889)-1</f>
        <v>-1.5768589275397038E-2</v>
      </c>
      <c r="I890" s="4">
        <f>(Raw_Stock_Data!I890/Raw_Stock_Data!I889)-1</f>
        <v>-5.6759019171481628E-2</v>
      </c>
      <c r="J890" s="4">
        <f>(Raw_Stock_Data!J890/Raw_Stock_Data!J889)-1</f>
        <v>-2.7684401496757993E-2</v>
      </c>
    </row>
    <row r="891" spans="1:10" x14ac:dyDescent="0.2">
      <c r="A891" s="2">
        <v>45491</v>
      </c>
      <c r="B891" s="4">
        <f>(Raw_Stock_Data!B891/Raw_Stock_Data!B890)-1</f>
        <v>-2.0537882253580664E-2</v>
      </c>
      <c r="C891" s="4">
        <f>(Raw_Stock_Data!C891/Raw_Stock_Data!C890)-1</f>
        <v>-7.1021505619707215E-3</v>
      </c>
      <c r="D891" s="4">
        <f>(Raw_Stock_Data!D891/Raw_Stock_Data!D890)-1</f>
        <v>2.6277421761095932E-2</v>
      </c>
      <c r="E891" s="4">
        <f>(Raw_Stock_Data!E891/Raw_Stock_Data!E890)-1</f>
        <v>-2.2956783541366099E-2</v>
      </c>
      <c r="F891" s="4">
        <f>(Raw_Stock_Data!F891/Raw_Stock_Data!F890)-1</f>
        <v>-2.2242324269674874E-2</v>
      </c>
      <c r="G891" s="4">
        <f>(Raw_Stock_Data!G891/Raw_Stock_Data!G890)-1</f>
        <v>2.9376257545270512E-3</v>
      </c>
      <c r="H891" s="4">
        <f>(Raw_Stock_Data!H891/Raw_Stock_Data!H890)-1</f>
        <v>-1.8391453871841268E-2</v>
      </c>
      <c r="I891" s="4">
        <f>(Raw_Stock_Data!I891/Raw_Stock_Data!I890)-1</f>
        <v>3.0000649364704923E-2</v>
      </c>
      <c r="J891" s="4">
        <f>(Raw_Stock_Data!J891/Raw_Stock_Data!J890)-1</f>
        <v>-6.9845284637591876E-3</v>
      </c>
    </row>
    <row r="892" spans="1:10" x14ac:dyDescent="0.2">
      <c r="A892" s="2">
        <v>45492</v>
      </c>
      <c r="B892" s="4">
        <f>(Raw_Stock_Data!B892/Raw_Stock_Data!B891)-1</f>
        <v>5.8383146133023089E-4</v>
      </c>
      <c r="C892" s="4">
        <f>(Raw_Stock_Data!C892/Raw_Stock_Data!C891)-1</f>
        <v>-7.4036927285160425E-3</v>
      </c>
      <c r="D892" s="4">
        <f>(Raw_Stock_Data!D892/Raw_Stock_Data!D891)-1</f>
        <v>-2.6100171798599137E-2</v>
      </c>
      <c r="E892" s="4">
        <f>(Raw_Stock_Data!E892/Raw_Stock_Data!E891)-1</f>
        <v>-2.6898632599345218E-2</v>
      </c>
      <c r="F892" s="4">
        <f>(Raw_Stock_Data!F892/Raw_Stock_Data!F891)-1</f>
        <v>-3.3741496598639342E-3</v>
      </c>
      <c r="G892" s="4">
        <f>(Raw_Stock_Data!G892/Raw_Stock_Data!G891)-1</f>
        <v>-4.0243951370220299E-2</v>
      </c>
      <c r="H892" s="4">
        <f>(Raw_Stock_Data!H892/Raw_Stock_Data!H891)-1</f>
        <v>-1.6925055852690107E-4</v>
      </c>
      <c r="I892" s="4">
        <f>(Raw_Stock_Data!I892/Raw_Stock_Data!I891)-1</f>
        <v>1.9754124198803069E-3</v>
      </c>
      <c r="J892" s="4">
        <f>(Raw_Stock_Data!J892/Raw_Stock_Data!J891)-1</f>
        <v>-8.0733156438118625E-3</v>
      </c>
    </row>
    <row r="893" spans="1:10" x14ac:dyDescent="0.2">
      <c r="A893" s="2">
        <v>45495</v>
      </c>
      <c r="B893" s="4">
        <f>(Raw_Stock_Data!B893/Raw_Stock_Data!B892)-1</f>
        <v>-1.5619599904845849E-3</v>
      </c>
      <c r="C893" s="4">
        <f>(Raw_Stock_Data!C893/Raw_Stock_Data!C892)-1</f>
        <v>1.3337865023010487E-2</v>
      </c>
      <c r="D893" s="4">
        <f>(Raw_Stock_Data!D893/Raw_Stock_Data!D892)-1</f>
        <v>4.7560892869258353E-2</v>
      </c>
      <c r="E893" s="4">
        <f>(Raw_Stock_Data!E893/Raw_Stock_Data!E892)-1</f>
        <v>2.8301886792452713E-2</v>
      </c>
      <c r="F893" s="4">
        <f>(Raw_Stock_Data!F893/Raw_Stock_Data!F892)-1</f>
        <v>-3.1671490198218466E-3</v>
      </c>
      <c r="G893" s="4">
        <f>(Raw_Stock_Data!G893/Raw_Stock_Data!G892)-1</f>
        <v>5.1463210702341167E-2</v>
      </c>
      <c r="H893" s="4">
        <f>(Raw_Stock_Data!H893/Raw_Stock_Data!H892)-1</f>
        <v>2.2564918576700288E-2</v>
      </c>
      <c r="I893" s="4">
        <f>(Raw_Stock_Data!I893/Raw_Stock_Data!I892)-1</f>
        <v>2.2252983493781242E-2</v>
      </c>
      <c r="J893" s="4">
        <f>(Raw_Stock_Data!J893/Raw_Stock_Data!J892)-1</f>
        <v>1.583070738661041E-2</v>
      </c>
    </row>
    <row r="894" spans="1:10" x14ac:dyDescent="0.2">
      <c r="A894" s="2">
        <v>45496</v>
      </c>
      <c r="B894" s="4">
        <f>(Raw_Stock_Data!B894/Raw_Stock_Data!B893)-1</f>
        <v>4.6842197537413366E-3</v>
      </c>
      <c r="C894" s="4">
        <f>(Raw_Stock_Data!C894/Raw_Stock_Data!C893)-1</f>
        <v>4.3126501382404481E-3</v>
      </c>
      <c r="D894" s="4">
        <f>(Raw_Stock_Data!D894/Raw_Stock_Data!D893)-1</f>
        <v>-7.6748704663212042E-3</v>
      </c>
      <c r="E894" s="4">
        <f>(Raw_Stock_Data!E894/Raw_Stock_Data!E893)-1</f>
        <v>-1.199717713479187E-2</v>
      </c>
      <c r="F894" s="4">
        <f>(Raw_Stock_Data!F894/Raw_Stock_Data!F893)-1</f>
        <v>2.1144891810462862E-2</v>
      </c>
      <c r="G894" s="4">
        <f>(Raw_Stock_Data!G894/Raw_Stock_Data!G893)-1</f>
        <v>-2.0396803308019518E-2</v>
      </c>
      <c r="H894" s="4">
        <f>(Raw_Stock_Data!H894/Raw_Stock_Data!H893)-1</f>
        <v>6.6217491350339941E-4</v>
      </c>
      <c r="I894" s="4">
        <f>(Raw_Stock_Data!I894/Raw_Stock_Data!I893)-1</f>
        <v>2.6466967583094192E-3</v>
      </c>
      <c r="J894" s="4">
        <f>(Raw_Stock_Data!J894/Raw_Stock_Data!J893)-1</f>
        <v>-5.6753909605800068E-4</v>
      </c>
    </row>
    <row r="895" spans="1:10" x14ac:dyDescent="0.2">
      <c r="A895" s="2">
        <v>45497</v>
      </c>
      <c r="B895" s="4">
        <f>(Raw_Stock_Data!B895/Raw_Stock_Data!B894)-1</f>
        <v>-2.8748361231548558E-2</v>
      </c>
      <c r="C895" s="4">
        <f>(Raw_Stock_Data!C895/Raw_Stock_Data!C894)-1</f>
        <v>-3.5855881470249096E-2</v>
      </c>
      <c r="D895" s="4">
        <f>(Raw_Stock_Data!D895/Raw_Stock_Data!D894)-1</f>
        <v>-6.8041640831511319E-2</v>
      </c>
      <c r="E895" s="4">
        <f>(Raw_Stock_Data!E895/Raw_Stock_Data!E894)-1</f>
        <v>-6.0844155844155923E-2</v>
      </c>
      <c r="F895" s="4">
        <f>(Raw_Stock_Data!F895/Raw_Stock_Data!F894)-1</f>
        <v>-2.9934016415428255E-2</v>
      </c>
      <c r="G895" s="4">
        <f>(Raw_Stock_Data!G895/Raw_Stock_Data!G894)-1</f>
        <v>-0.12334605081581296</v>
      </c>
      <c r="H895" s="4">
        <f>(Raw_Stock_Data!H895/Raw_Stock_Data!H894)-1</f>
        <v>-5.0385737367721561E-2</v>
      </c>
      <c r="I895" s="4">
        <f>(Raw_Stock_Data!I895/Raw_Stock_Data!I894)-1</f>
        <v>-5.6109189874971932E-2</v>
      </c>
      <c r="J895" s="4">
        <f>(Raw_Stock_Data!J895/Raw_Stock_Data!J894)-1</f>
        <v>-3.6390913106651768E-2</v>
      </c>
    </row>
    <row r="896" spans="1:10" x14ac:dyDescent="0.2">
      <c r="A896" s="2">
        <v>45498</v>
      </c>
      <c r="B896" s="4">
        <f>(Raw_Stock_Data!B896/Raw_Stock_Data!B895)-1</f>
        <v>-4.8003832935604729E-3</v>
      </c>
      <c r="C896" s="4">
        <f>(Raw_Stock_Data!C896/Raw_Stock_Data!C895)-1</f>
        <v>-2.4480835437764692E-2</v>
      </c>
      <c r="D896" s="4">
        <f>(Raw_Stock_Data!D896/Raw_Stock_Data!D895)-1</f>
        <v>-1.7245605434554223E-2</v>
      </c>
      <c r="E896" s="4">
        <f>(Raw_Stock_Data!E896/Raw_Stock_Data!E895)-1</f>
        <v>-4.362856945308724E-2</v>
      </c>
      <c r="F896" s="4">
        <f>(Raw_Stock_Data!F896/Raw_Stock_Data!F895)-1</f>
        <v>-5.4194547364929679E-3</v>
      </c>
      <c r="G896" s="4">
        <f>(Raw_Stock_Data!G896/Raw_Stock_Data!G895)-1</f>
        <v>1.9723135330339314E-2</v>
      </c>
      <c r="H896" s="4">
        <f>(Raw_Stock_Data!H896/Raw_Stock_Data!H895)-1</f>
        <v>-3.0992311444565823E-2</v>
      </c>
      <c r="I896" s="4">
        <f>(Raw_Stock_Data!I896/Raw_Stock_Data!I895)-1</f>
        <v>-1.7039911548550668E-2</v>
      </c>
      <c r="J896" s="4">
        <f>(Raw_Stock_Data!J896/Raw_Stock_Data!J895)-1</f>
        <v>-9.265724890600513E-3</v>
      </c>
    </row>
    <row r="897" spans="1:10" x14ac:dyDescent="0.2">
      <c r="A897" s="2">
        <v>45499</v>
      </c>
      <c r="B897" s="4">
        <f>(Raw_Stock_Data!B897/Raw_Stock_Data!B896)-1</f>
        <v>2.1571677221050578E-3</v>
      </c>
      <c r="C897" s="4">
        <f>(Raw_Stock_Data!C897/Raw_Stock_Data!C896)-1</f>
        <v>1.6419833354525792E-2</v>
      </c>
      <c r="D897" s="4">
        <f>(Raw_Stock_Data!D897/Raw_Stock_Data!D896)-1</f>
        <v>6.9480322816268814E-3</v>
      </c>
      <c r="E897" s="4">
        <f>(Raw_Stock_Data!E897/Raw_Stock_Data!E896)-1</f>
        <v>1.2073452862926715E-2</v>
      </c>
      <c r="F897" s="4">
        <f>(Raw_Stock_Data!F897/Raw_Stock_Data!F896)-1</f>
        <v>1.4734500973033082E-2</v>
      </c>
      <c r="G897" s="4">
        <f>(Raw_Stock_Data!G897/Raw_Stock_Data!G896)-1</f>
        <v>-2.0431328036322194E-3</v>
      </c>
      <c r="H897" s="4">
        <f>(Raw_Stock_Data!H897/Raw_Stock_Data!H896)-1</f>
        <v>-1.6719902676981535E-3</v>
      </c>
      <c r="I897" s="4">
        <f>(Raw_Stock_Data!I897/Raw_Stock_Data!I896)-1</f>
        <v>2.7105710063739075E-2</v>
      </c>
      <c r="J897" s="4">
        <f>(Raw_Stock_Data!J897/Raw_Stock_Data!J896)-1</f>
        <v>1.0252756999881152E-2</v>
      </c>
    </row>
    <row r="898" spans="1:10" x14ac:dyDescent="0.2">
      <c r="A898" s="2">
        <v>45502</v>
      </c>
      <c r="B898" s="4">
        <f>(Raw_Stock_Data!B898/Raw_Stock_Data!B897)-1</f>
        <v>1.2841239780128078E-3</v>
      </c>
      <c r="C898" s="4">
        <f>(Raw_Stock_Data!C898/Raw_Stock_Data!C897)-1</f>
        <v>3.4320216590308927E-3</v>
      </c>
      <c r="D898" s="4">
        <f>(Raw_Stock_Data!D898/Raw_Stock_Data!D897)-1</f>
        <v>-1.300401620636582E-2</v>
      </c>
      <c r="E898" s="4">
        <f>(Raw_Stock_Data!E898/Raw_Stock_Data!E897)-1</f>
        <v>-1.7144081720124049E-3</v>
      </c>
      <c r="F898" s="4">
        <f>(Raw_Stock_Data!F898/Raw_Stock_Data!F897)-1</f>
        <v>3.8356164383561708E-3</v>
      </c>
      <c r="G898" s="4">
        <f>(Raw_Stock_Data!G898/Raw_Stock_Data!G897)-1</f>
        <v>5.5959963603275709E-2</v>
      </c>
      <c r="H898" s="4">
        <f>(Raw_Stock_Data!H898/Raw_Stock_Data!H897)-1</f>
        <v>1.5145148510096851E-2</v>
      </c>
      <c r="I898" s="4">
        <f>(Raw_Stock_Data!I898/Raw_Stock_Data!I897)-1</f>
        <v>2.1473051320608505E-5</v>
      </c>
      <c r="J898" s="4">
        <f>(Raw_Stock_Data!J898/Raw_Stock_Data!J897)-1</f>
        <v>7.0976409561529508E-4</v>
      </c>
    </row>
    <row r="899" spans="1:10" x14ac:dyDescent="0.2">
      <c r="A899" s="2">
        <v>45503</v>
      </c>
      <c r="B899" s="4">
        <f>(Raw_Stock_Data!B899/Raw_Stock_Data!B898)-1</f>
        <v>2.5603410097432278E-3</v>
      </c>
      <c r="C899" s="4">
        <f>(Raw_Stock_Data!C899/Raw_Stock_Data!C898)-1</f>
        <v>-8.9270802214009848E-3</v>
      </c>
      <c r="D899" s="4">
        <f>(Raw_Stock_Data!D899/Raw_Stock_Data!D898)-1</f>
        <v>-7.0429856953357461E-2</v>
      </c>
      <c r="E899" s="4">
        <f>(Raw_Stock_Data!E899/Raw_Stock_Data!E898)-1</f>
        <v>-9.3738819320214883E-3</v>
      </c>
      <c r="F899" s="4">
        <f>(Raw_Stock_Data!F899/Raw_Stock_Data!F898)-1</f>
        <v>-8.1331877729257096E-3</v>
      </c>
      <c r="G899" s="4">
        <f>(Raw_Stock_Data!G899/Raw_Stock_Data!G898)-1</f>
        <v>-4.0844463593278757E-2</v>
      </c>
      <c r="H899" s="4">
        <f>(Raw_Stock_Data!H899/Raw_Stock_Data!H898)-1</f>
        <v>4.4822631289509474E-3</v>
      </c>
      <c r="I899" s="4">
        <f>(Raw_Stock_Data!I899/Raw_Stock_Data!I898)-1</f>
        <v>-5.411092740117196E-3</v>
      </c>
      <c r="J899" s="4">
        <f>(Raw_Stock_Data!J899/Raw_Stock_Data!J898)-1</f>
        <v>-1.2825413639451666E-2</v>
      </c>
    </row>
    <row r="900" spans="1:10" x14ac:dyDescent="0.2">
      <c r="A900" s="2">
        <v>45504</v>
      </c>
      <c r="B900" s="4">
        <f>(Raw_Stock_Data!B900/Raw_Stock_Data!B899)-1</f>
        <v>1.4991510332546421E-2</v>
      </c>
      <c r="C900" s="4">
        <f>(Raw_Stock_Data!C900/Raw_Stock_Data!C899)-1</f>
        <v>-1.0806615462028546E-2</v>
      </c>
      <c r="D900" s="4">
        <f>(Raw_Stock_Data!D900/Raw_Stock_Data!D899)-1</f>
        <v>0.12812156507318195</v>
      </c>
      <c r="E900" s="4">
        <f>(Raw_Stock_Data!E900/Raw_Stock_Data!E899)-1</f>
        <v>4.3629008956948878E-2</v>
      </c>
      <c r="F900" s="4">
        <f>(Raw_Stock_Data!F900/Raw_Stock_Data!F899)-1</f>
        <v>2.9002256342523625E-2</v>
      </c>
      <c r="G900" s="4">
        <f>(Raw_Stock_Data!G900/Raw_Stock_Data!G899)-1</f>
        <v>4.2449016260893035E-2</v>
      </c>
      <c r="H900" s="4">
        <f>(Raw_Stock_Data!H900/Raw_Stock_Data!H899)-1</f>
        <v>7.3468378574077509E-3</v>
      </c>
      <c r="I900" s="4">
        <f>(Raw_Stock_Data!I900/Raw_Stock_Data!I899)-1</f>
        <v>2.5130076210626351E-2</v>
      </c>
      <c r="J900" s="4">
        <f>(Raw_Stock_Data!J900/Raw_Stock_Data!J899)-1</f>
        <v>2.6358484250109004E-2</v>
      </c>
    </row>
    <row r="901" spans="1:10" x14ac:dyDescent="0.2">
      <c r="A901" s="2">
        <v>45505</v>
      </c>
      <c r="B901" s="4">
        <f>(Raw_Stock_Data!B901/Raw_Stock_Data!B900)-1</f>
        <v>-1.6742149142491836E-2</v>
      </c>
      <c r="C901" s="4">
        <f>(Raw_Stock_Data!C901/Raw_Stock_Data!C900)-1</f>
        <v>-2.9633148815992882E-3</v>
      </c>
      <c r="D901" s="4">
        <f>(Raw_Stock_Data!D901/Raw_Stock_Data!D900)-1</f>
        <v>-6.6742448847028291E-2</v>
      </c>
      <c r="E901" s="4">
        <f>(Raw_Stock_Data!E901/Raw_Stock_Data!E900)-1</f>
        <v>-8.2641196013289009E-2</v>
      </c>
      <c r="F901" s="4">
        <f>(Raw_Stock_Data!F901/Raw_Stock_Data!F900)-1</f>
        <v>-1.5563161835490447E-2</v>
      </c>
      <c r="G901" s="4">
        <f>(Raw_Stock_Data!G901/Raw_Stock_Data!G900)-1</f>
        <v>-6.5540569655707204E-2</v>
      </c>
      <c r="H901" s="4">
        <f>(Raw_Stock_Data!H901/Raw_Stock_Data!H900)-1</f>
        <v>-4.5465967729682033E-3</v>
      </c>
      <c r="I901" s="4">
        <f>(Raw_Stock_Data!I901/Raw_Stock_Data!I900)-1</f>
        <v>4.8248846955752711E-2</v>
      </c>
      <c r="J901" s="4">
        <f>(Raw_Stock_Data!J901/Raw_Stock_Data!J900)-1</f>
        <v>-2.3026921372319653E-2</v>
      </c>
    </row>
    <row r="902" spans="1:10" x14ac:dyDescent="0.2">
      <c r="A902" s="2">
        <v>45506</v>
      </c>
      <c r="B902" s="4">
        <f>(Raw_Stock_Data!B902/Raw_Stock_Data!B901)-1</f>
        <v>6.8652945298957047E-3</v>
      </c>
      <c r="C902" s="4">
        <f>(Raw_Stock_Data!C902/Raw_Stock_Data!C901)-1</f>
        <v>-2.0667680637646568E-2</v>
      </c>
      <c r="D902" s="4">
        <f>(Raw_Stock_Data!D902/Raw_Stock_Data!D901)-1</f>
        <v>-1.7757548560805136E-2</v>
      </c>
      <c r="E902" s="4">
        <f>(Raw_Stock_Data!E902/Raw_Stock_Data!E901)-1</f>
        <v>-3.0179568432164849E-4</v>
      </c>
      <c r="F902" s="4">
        <f>(Raw_Stock_Data!F902/Raw_Stock_Data!F901)-1</f>
        <v>-8.7847014722659766E-2</v>
      </c>
      <c r="G902" s="4">
        <f>(Raw_Stock_Data!G902/Raw_Stock_Data!G901)-1</f>
        <v>-4.2377570782993756E-2</v>
      </c>
      <c r="H902" s="4">
        <f>(Raw_Stock_Data!H902/Raw_Stock_Data!H901)-1</f>
        <v>-2.4016813530665315E-2</v>
      </c>
      <c r="I902" s="4">
        <f>(Raw_Stock_Data!I902/Raw_Stock_Data!I901)-1</f>
        <v>-1.9287178044762321E-2</v>
      </c>
      <c r="J902" s="4">
        <f>(Raw_Stock_Data!J902/Raw_Stock_Data!J901)-1</f>
        <v>-2.4309444962062665E-2</v>
      </c>
    </row>
    <row r="903" spans="1:10" x14ac:dyDescent="0.2">
      <c r="A903" s="2">
        <v>45509</v>
      </c>
      <c r="B903" s="4">
        <f>(Raw_Stock_Data!B903/Raw_Stock_Data!B902)-1</f>
        <v>-4.8164412918942912E-2</v>
      </c>
      <c r="C903" s="4">
        <f>(Raw_Stock_Data!C903/Raw_Stock_Data!C902)-1</f>
        <v>-3.2655919791615418E-2</v>
      </c>
      <c r="D903" s="4">
        <f>(Raw_Stock_Data!D903/Raw_Stock_Data!D902)-1</f>
        <v>-6.3587372032744782E-2</v>
      </c>
      <c r="E903" s="4">
        <f>(Raw_Stock_Data!E903/Raw_Stock_Data!E902)-1</f>
        <v>1.750943396226412E-2</v>
      </c>
      <c r="F903" s="4">
        <f>(Raw_Stock_Data!F903/Raw_Stock_Data!F902)-1</f>
        <v>-4.0976771888028507E-2</v>
      </c>
      <c r="G903" s="4">
        <f>(Raw_Stock_Data!G903/Raw_Stock_Data!G902)-1</f>
        <v>-4.2326768430683281E-2</v>
      </c>
      <c r="H903" s="4">
        <f>(Raw_Stock_Data!H903/Raw_Stock_Data!H902)-1</f>
        <v>-4.4457677686348007E-2</v>
      </c>
      <c r="I903" s="4">
        <f>(Raw_Stock_Data!I903/Raw_Stock_Data!I902)-1</f>
        <v>-2.5423034375384068E-2</v>
      </c>
      <c r="J903" s="4">
        <f>(Raw_Stock_Data!J903/Raw_Stock_Data!J902)-1</f>
        <v>-3.4339205157795316E-2</v>
      </c>
    </row>
    <row r="904" spans="1:10" x14ac:dyDescent="0.2">
      <c r="A904" s="2">
        <v>45510</v>
      </c>
      <c r="B904" s="4">
        <f>(Raw_Stock_Data!B904/Raw_Stock_Data!B903)-1</f>
        <v>-9.7518029048538901E-3</v>
      </c>
      <c r="C904" s="4">
        <f>(Raw_Stock_Data!C904/Raw_Stock_Data!C903)-1</f>
        <v>1.128664730941864E-2</v>
      </c>
      <c r="D904" s="4">
        <f>(Raw_Stock_Data!D904/Raw_Stock_Data!D903)-1</f>
        <v>3.783579265985626E-2</v>
      </c>
      <c r="E904" s="4">
        <f>(Raw_Stock_Data!E904/Raw_Stock_Data!E903)-1</f>
        <v>-3.4416258715324055E-2</v>
      </c>
      <c r="F904" s="4">
        <f>(Raw_Stock_Data!F904/Raw_Stock_Data!F903)-1</f>
        <v>5.6514718668487784E-3</v>
      </c>
      <c r="G904" s="4">
        <f>(Raw_Stock_Data!G904/Raw_Stock_Data!G903)-1</f>
        <v>8.8495575221239076E-3</v>
      </c>
      <c r="H904" s="4">
        <f>(Raw_Stock_Data!H904/Raw_Stock_Data!H903)-1</f>
        <v>-6.030580962752663E-3</v>
      </c>
      <c r="I904" s="4">
        <f>(Raw_Stock_Data!I904/Raw_Stock_Data!I903)-1</f>
        <v>3.8593319740188647E-2</v>
      </c>
      <c r="J904" s="4">
        <f>(Raw_Stock_Data!J904/Raw_Stock_Data!J903)-1</f>
        <v>1.0294393607932717E-2</v>
      </c>
    </row>
    <row r="905" spans="1:10" x14ac:dyDescent="0.2">
      <c r="A905" s="2">
        <v>45511</v>
      </c>
      <c r="B905" s="4">
        <f>(Raw_Stock_Data!B905/Raw_Stock_Data!B904)-1</f>
        <v>1.2495627502040474E-2</v>
      </c>
      <c r="C905" s="4">
        <f>(Raw_Stock_Data!C905/Raw_Stock_Data!C904)-1</f>
        <v>-2.9515642034293466E-3</v>
      </c>
      <c r="D905" s="4">
        <f>(Raw_Stock_Data!D905/Raw_Stock_Data!D904)-1</f>
        <v>-5.1224168697354022E-2</v>
      </c>
      <c r="E905" s="4">
        <f>(Raw_Stock_Data!E905/Raw_Stock_Data!E904)-1</f>
        <v>-1.159932401290531E-2</v>
      </c>
      <c r="F905" s="4">
        <f>(Raw_Stock_Data!F905/Raw_Stock_Data!F904)-1</f>
        <v>5.1874266658433754E-3</v>
      </c>
      <c r="G905" s="4">
        <f>(Raw_Stock_Data!G905/Raw_Stock_Data!G904)-1</f>
        <v>-4.4258373205741552E-2</v>
      </c>
      <c r="H905" s="4">
        <f>(Raw_Stock_Data!H905/Raw_Stock_Data!H904)-1</f>
        <v>4.1038891949916056E-3</v>
      </c>
      <c r="I905" s="4">
        <f>(Raw_Stock_Data!I905/Raw_Stock_Data!I904)-1</f>
        <v>-1.0463680705944167E-2</v>
      </c>
      <c r="J905" s="4">
        <f>(Raw_Stock_Data!J905/Raw_Stock_Data!J904)-1</f>
        <v>-1.045039210355081E-2</v>
      </c>
    </row>
    <row r="906" spans="1:10" x14ac:dyDescent="0.2">
      <c r="A906" s="2">
        <v>45512</v>
      </c>
      <c r="B906" s="4">
        <f>(Raw_Stock_Data!B906/Raw_Stock_Data!B905)-1</f>
        <v>1.6635957083357411E-2</v>
      </c>
      <c r="C906" s="4">
        <f>(Raw_Stock_Data!C906/Raw_Stock_Data!C905)-1</f>
        <v>1.0689838480899105E-2</v>
      </c>
      <c r="D906" s="4">
        <f>(Raw_Stock_Data!D906/Raw_Stock_Data!D905)-1</f>
        <v>6.1270219738772669E-2</v>
      </c>
      <c r="E906" s="4">
        <f>(Raw_Stock_Data!E906/Raw_Stock_Data!E905)-1</f>
        <v>5.9454418279319299E-2</v>
      </c>
      <c r="F906" s="4">
        <f>(Raw_Stock_Data!F906/Raw_Stock_Data!F905)-1</f>
        <v>1.8615223935614766E-2</v>
      </c>
      <c r="G906" s="4">
        <f>(Raw_Stock_Data!G906/Raw_Stock_Data!G905)-1</f>
        <v>3.6921151439299082E-2</v>
      </c>
      <c r="H906" s="4">
        <f>(Raw_Stock_Data!H906/Raw_Stock_Data!H905)-1</f>
        <v>1.9445337975489974E-2</v>
      </c>
      <c r="I906" s="4">
        <f>(Raw_Stock_Data!I906/Raw_Stock_Data!I905)-1</f>
        <v>4.23586680847583E-2</v>
      </c>
      <c r="J906" s="4">
        <f>(Raw_Stock_Data!J906/Raw_Stock_Data!J905)-1</f>
        <v>2.8662351558829124E-2</v>
      </c>
    </row>
    <row r="907" spans="1:10" x14ac:dyDescent="0.2">
      <c r="A907" s="2">
        <v>45513</v>
      </c>
      <c r="B907" s="4">
        <f>(Raw_Stock_Data!B907/Raw_Stock_Data!B906)-1</f>
        <v>1.373949242699557E-2</v>
      </c>
      <c r="C907" s="4">
        <f>(Raw_Stock_Data!C907/Raw_Stock_Data!C906)-1</f>
        <v>8.2709728239465097E-3</v>
      </c>
      <c r="D907" s="4">
        <f>(Raw_Stock_Data!D907/Raw_Stock_Data!D906)-1</f>
        <v>-2.0961564113801678E-3</v>
      </c>
      <c r="E907" s="4">
        <f>(Raw_Stock_Data!E907/Raw_Stock_Data!E906)-1</f>
        <v>-1.5038145539906012E-2</v>
      </c>
      <c r="F907" s="4">
        <f>(Raw_Stock_Data!F907/Raw_Stock_Data!F906)-1</f>
        <v>6.8757539203858631E-3</v>
      </c>
      <c r="G907" s="4">
        <f>(Raw_Stock_Data!G907/Raw_Stock_Data!G906)-1</f>
        <v>5.8338362502514673E-3</v>
      </c>
      <c r="H907" s="4">
        <f>(Raw_Stock_Data!H907/Raw_Stock_Data!H906)-1</f>
        <v>1.0121883313741309E-2</v>
      </c>
      <c r="I907" s="4">
        <f>(Raw_Stock_Data!I907/Raw_Stock_Data!I906)-1</f>
        <v>1.5972372113101541E-2</v>
      </c>
      <c r="J907" s="4">
        <f>(Raw_Stock_Data!J907/Raw_Stock_Data!J906)-1</f>
        <v>5.1188413939478039E-3</v>
      </c>
    </row>
    <row r="908" spans="1:10" x14ac:dyDescent="0.2">
      <c r="A908" s="2">
        <v>45516</v>
      </c>
      <c r="B908" s="4">
        <f>(Raw_Stock_Data!B908/Raw_Stock_Data!B907)-1</f>
        <v>7.1235019694388946E-3</v>
      </c>
      <c r="C908" s="4">
        <f>(Raw_Stock_Data!C908/Raw_Stock_Data!C907)-1</f>
        <v>1.9457080696201334E-3</v>
      </c>
      <c r="D908" s="4">
        <f>(Raw_Stock_Data!D908/Raw_Stock_Data!D907)-1</f>
        <v>4.0760402543586594E-2</v>
      </c>
      <c r="E908" s="4">
        <f>(Raw_Stock_Data!E908/Raw_Stock_Data!E907)-1</f>
        <v>1.861920011916296E-2</v>
      </c>
      <c r="F908" s="4">
        <f>(Raw_Stock_Data!F908/Raw_Stock_Data!F907)-1</f>
        <v>-8.3862465556483468E-4</v>
      </c>
      <c r="G908" s="4">
        <f>(Raw_Stock_Data!G908/Raw_Stock_Data!G907)-1</f>
        <v>-1.254999999999995E-2</v>
      </c>
      <c r="H908" s="4">
        <f>(Raw_Stock_Data!H908/Raw_Stock_Data!H907)-1</f>
        <v>-8.4340891551210051E-3</v>
      </c>
      <c r="I908" s="4">
        <f>(Raw_Stock_Data!I908/Raw_Stock_Data!I907)-1</f>
        <v>-3.515074260772022E-3</v>
      </c>
      <c r="J908" s="4">
        <f>(Raw_Stock_Data!J908/Raw_Stock_Data!J907)-1</f>
        <v>2.108651382776161E-3</v>
      </c>
    </row>
    <row r="909" spans="1:10" x14ac:dyDescent="0.2">
      <c r="A909" s="2">
        <v>45517</v>
      </c>
      <c r="B909" s="4">
        <f>(Raw_Stock_Data!B909/Raw_Stock_Data!B908)-1</f>
        <v>1.7197381559968861E-2</v>
      </c>
      <c r="C909" s="4">
        <f>(Raw_Stock_Data!C909/Raw_Stock_Data!C908)-1</f>
        <v>1.7696975080625954E-2</v>
      </c>
      <c r="D909" s="4">
        <f>(Raw_Stock_Data!D909/Raw_Stock_Data!D908)-1</f>
        <v>6.5310129079016122E-2</v>
      </c>
      <c r="E909" s="4">
        <f>(Raw_Stock_Data!E909/Raw_Stock_Data!E908)-1</f>
        <v>3.1878335892373988E-2</v>
      </c>
      <c r="F909" s="4">
        <f>(Raw_Stock_Data!F909/Raw_Stock_Data!F908)-1</f>
        <v>2.0563549160671268E-2</v>
      </c>
      <c r="G909" s="4">
        <f>(Raw_Stock_Data!G909/Raw_Stock_Data!G908)-1</f>
        <v>5.2357081371208647E-2</v>
      </c>
      <c r="H909" s="4">
        <f>(Raw_Stock_Data!H909/Raw_Stock_Data!H908)-1</f>
        <v>1.1520239176225466E-2</v>
      </c>
      <c r="I909" s="4">
        <f>(Raw_Stock_Data!I909/Raw_Stock_Data!I908)-1</f>
        <v>2.4401589301288773E-2</v>
      </c>
      <c r="J909" s="4">
        <f>(Raw_Stock_Data!J909/Raw_Stock_Data!J908)-1</f>
        <v>2.4254183846713628E-2</v>
      </c>
    </row>
    <row r="910" spans="1:10" x14ac:dyDescent="0.2">
      <c r="A910" s="2">
        <v>45518</v>
      </c>
      <c r="B910" s="4">
        <f>(Raw_Stock_Data!B910/Raw_Stock_Data!B909)-1</f>
        <v>2.0315226876090886E-3</v>
      </c>
      <c r="C910" s="4">
        <f>(Raw_Stock_Data!C910/Raw_Stock_Data!C909)-1</f>
        <v>6.8858667584781319E-3</v>
      </c>
      <c r="D910" s="4">
        <f>(Raw_Stock_Data!D910/Raw_Stock_Data!D909)-1</f>
        <v>1.6706567231015601E-2</v>
      </c>
      <c r="E910" s="4">
        <f>(Raw_Stock_Data!E910/Raw_Stock_Data!E909)-1</f>
        <v>-2.6925529653510916E-3</v>
      </c>
      <c r="F910" s="4">
        <f>(Raw_Stock_Data!F910/Raw_Stock_Data!F909)-1</f>
        <v>-7.6367267814125839E-4</v>
      </c>
      <c r="G910" s="4">
        <f>(Raw_Stock_Data!G910/Raw_Stock_Data!G909)-1</f>
        <v>-3.1034980512919308E-2</v>
      </c>
      <c r="H910" s="4">
        <f>(Raw_Stock_Data!H910/Raw_Stock_Data!H909)-1</f>
        <v>-2.3083405596199147E-2</v>
      </c>
      <c r="I910" s="4">
        <f>(Raw_Stock_Data!I910/Raw_Stock_Data!I909)-1</f>
        <v>-3.3677678132212341E-3</v>
      </c>
      <c r="J910" s="4">
        <f>(Raw_Stock_Data!J910/Raw_Stock_Data!J909)-1</f>
        <v>2.903254146444656E-4</v>
      </c>
    </row>
    <row r="911" spans="1:10" x14ac:dyDescent="0.2">
      <c r="A911" s="2">
        <v>45519</v>
      </c>
      <c r="B911" s="4">
        <f>(Raw_Stock_Data!B911/Raw_Stock_Data!B910)-1</f>
        <v>1.3525097628345639E-2</v>
      </c>
      <c r="C911" s="4">
        <f>(Raw_Stock_Data!C911/Raw_Stock_Data!C910)-1</f>
        <v>1.1823376573339983E-2</v>
      </c>
      <c r="D911" s="4">
        <f>(Raw_Stock_Data!D911/Raw_Stock_Data!D910)-1</f>
        <v>4.0478731513950317E-2</v>
      </c>
      <c r="E911" s="4">
        <f>(Raw_Stock_Data!E911/Raw_Stock_Data!E910)-1</f>
        <v>4.6962699822380216E-2</v>
      </c>
      <c r="F911" s="4">
        <f>(Raw_Stock_Data!F911/Raw_Stock_Data!F910)-1</f>
        <v>4.4032921810699621E-2</v>
      </c>
      <c r="G911" s="4">
        <f>(Raw_Stock_Data!G911/Raw_Stock_Data!G910)-1</f>
        <v>6.3362796702751023E-2</v>
      </c>
      <c r="H911" s="4">
        <f>(Raw_Stock_Data!H911/Raw_Stock_Data!H910)-1</f>
        <v>5.8009426531810959E-3</v>
      </c>
      <c r="I911" s="4">
        <f>(Raw_Stock_Data!I911/Raw_Stock_Data!I910)-1</f>
        <v>2.0066064241780035E-2</v>
      </c>
      <c r="J911" s="4">
        <f>(Raw_Stock_Data!J911/Raw_Stock_Data!J910)-1</f>
        <v>2.3376336330747094E-2</v>
      </c>
    </row>
    <row r="912" spans="1:10" x14ac:dyDescent="0.2">
      <c r="A912" s="2">
        <v>45520</v>
      </c>
      <c r="B912" s="4">
        <f>(Raw_Stock_Data!B912/Raw_Stock_Data!B911)-1</f>
        <v>5.9294463015917565E-3</v>
      </c>
      <c r="C912" s="4">
        <f>(Raw_Stock_Data!C912/Raw_Stock_Data!C911)-1</f>
        <v>-6.0805970646542473E-3</v>
      </c>
      <c r="D912" s="4">
        <f>(Raw_Stock_Data!D912/Raw_Stock_Data!D911)-1</f>
        <v>1.3993699172100582E-2</v>
      </c>
      <c r="E912" s="4">
        <f>(Raw_Stock_Data!E912/Raw_Stock_Data!E911)-1</f>
        <v>8.1433224755700362E-3</v>
      </c>
      <c r="F912" s="4">
        <f>(Raw_Stock_Data!F912/Raw_Stock_Data!F911)-1</f>
        <v>-2.9844022749028198E-3</v>
      </c>
      <c r="G912" s="4">
        <f>(Raw_Stock_Data!G912/Raw_Stock_Data!G911)-1</f>
        <v>9.2462874754835056E-3</v>
      </c>
      <c r="H912" s="4">
        <f>(Raw_Stock_Data!H912/Raw_Stock_Data!H911)-1</f>
        <v>1.0291978968564708E-2</v>
      </c>
      <c r="I912" s="4">
        <f>(Raw_Stock_Data!I912/Raw_Stock_Data!I911)-1</f>
        <v>-1.8443042450635661E-2</v>
      </c>
      <c r="J912" s="4">
        <f>(Raw_Stock_Data!J912/Raw_Stock_Data!J911)-1</f>
        <v>2.1154338003352979E-3</v>
      </c>
    </row>
    <row r="913" spans="1:10" x14ac:dyDescent="0.2">
      <c r="A913" s="2">
        <v>45523</v>
      </c>
      <c r="B913" s="4">
        <f>(Raw_Stock_Data!B913/Raw_Stock_Data!B912)-1</f>
        <v>-7.1178810068239784E-4</v>
      </c>
      <c r="C913" s="4">
        <f>(Raw_Stock_Data!C913/Raw_Stock_Data!C912)-1</f>
        <v>7.3126230144096027E-3</v>
      </c>
      <c r="D913" s="4">
        <f>(Raw_Stock_Data!D913/Raw_Stock_Data!D912)-1</f>
        <v>4.3513166345536147E-2</v>
      </c>
      <c r="E913" s="4">
        <f>(Raw_Stock_Data!E913/Raw_Stock_Data!E912)-1</f>
        <v>4.5234248788368348E-2</v>
      </c>
      <c r="F913" s="4">
        <f>(Raw_Stock_Data!F913/Raw_Stock_Data!F912)-1</f>
        <v>6.5514514853721728E-3</v>
      </c>
      <c r="G913" s="4">
        <f>(Raw_Stock_Data!G913/Raw_Stock_Data!G912)-1</f>
        <v>3.0538589672404193E-2</v>
      </c>
      <c r="H913" s="4">
        <f>(Raw_Stock_Data!H913/Raw_Stock_Data!H912)-1</f>
        <v>2.27611068049558E-2</v>
      </c>
      <c r="I913" s="4">
        <f>(Raw_Stock_Data!I913/Raw_Stock_Data!I912)-1</f>
        <v>3.5266011907020278E-3</v>
      </c>
      <c r="J913" s="4">
        <f>(Raw_Stock_Data!J913/Raw_Stock_Data!J912)-1</f>
        <v>1.3898247022978927E-2</v>
      </c>
    </row>
    <row r="914" spans="1:10" x14ac:dyDescent="0.2">
      <c r="A914" s="2">
        <v>45524</v>
      </c>
      <c r="B914" s="4">
        <f>(Raw_Stock_Data!B914/Raw_Stock_Data!B913)-1</f>
        <v>2.7467879942659756E-3</v>
      </c>
      <c r="C914" s="4">
        <f>(Raw_Stock_Data!C914/Raw_Stock_Data!C913)-1</f>
        <v>7.7563419921653498E-3</v>
      </c>
      <c r="D914" s="4">
        <f>(Raw_Stock_Data!D914/Raw_Stock_Data!D913)-1</f>
        <v>-2.1157101092475705E-2</v>
      </c>
      <c r="E914" s="4">
        <f>(Raw_Stock_Data!E914/Raw_Stock_Data!E913)-1</f>
        <v>7.2127769191139279E-3</v>
      </c>
      <c r="F914" s="4">
        <f>(Raw_Stock_Data!F914/Raw_Stock_Data!F913)-1</f>
        <v>3.7032880709235716E-3</v>
      </c>
      <c r="G914" s="4">
        <f>(Raw_Stock_Data!G914/Raw_Stock_Data!G913)-1</f>
        <v>-7.2737068965517127E-3</v>
      </c>
      <c r="H914" s="4">
        <f>(Raw_Stock_Data!H914/Raw_Stock_Data!H913)-1</f>
        <v>3.0615068147095137E-3</v>
      </c>
      <c r="I914" s="4">
        <f>(Raw_Stock_Data!I914/Raw_Stock_Data!I913)-1</f>
        <v>-4.8178657799273772E-3</v>
      </c>
      <c r="J914" s="4">
        <f>(Raw_Stock_Data!J914/Raw_Stock_Data!J913)-1</f>
        <v>-3.3468014635754662E-3</v>
      </c>
    </row>
    <row r="915" spans="1:10" x14ac:dyDescent="0.2">
      <c r="A915" s="2">
        <v>45525</v>
      </c>
      <c r="B915" s="4">
        <f>(Raw_Stock_Data!B915/Raw_Stock_Data!B914)-1</f>
        <v>-4.8836145851360868E-4</v>
      </c>
      <c r="C915" s="4">
        <f>(Raw_Stock_Data!C915/Raw_Stock_Data!C914)-1</f>
        <v>-1.5520661585891604E-3</v>
      </c>
      <c r="D915" s="4">
        <f>(Raw_Stock_Data!D915/Raw_Stock_Data!D914)-1</f>
        <v>9.8247268725928372E-3</v>
      </c>
      <c r="E915" s="4">
        <f>(Raw_Stock_Data!E915/Raw_Stock_Data!E914)-1</f>
        <v>9.0153452685421964E-3</v>
      </c>
      <c r="F915" s="4">
        <f>(Raw_Stock_Data!F915/Raw_Stock_Data!F914)-1</f>
        <v>6.8761180679786094E-3</v>
      </c>
      <c r="G915" s="4">
        <f>(Raw_Stock_Data!G915/Raw_Stock_Data!G914)-1</f>
        <v>9.8145635459068181E-3</v>
      </c>
      <c r="H915" s="4">
        <f>(Raw_Stock_Data!H915/Raw_Stock_Data!H914)-1</f>
        <v>-7.9572097597245817E-3</v>
      </c>
      <c r="I915" s="4">
        <f>(Raw_Stock_Data!I915/Raw_Stock_Data!I914)-1</f>
        <v>1.6004404533631833E-2</v>
      </c>
      <c r="J915" s="4">
        <f>(Raw_Stock_Data!J915/Raw_Stock_Data!J914)-1</f>
        <v>5.7276951036486778E-3</v>
      </c>
    </row>
    <row r="916" spans="1:10" x14ac:dyDescent="0.2">
      <c r="A916" s="2">
        <v>45526</v>
      </c>
      <c r="B916" s="4">
        <f>(Raw_Stock_Data!B916/Raw_Stock_Data!B915)-1</f>
        <v>-8.2573412160812376E-3</v>
      </c>
      <c r="C916" s="4">
        <f>(Raw_Stock_Data!C916/Raw_Stock_Data!C915)-1</f>
        <v>-2.0253110729447354E-2</v>
      </c>
      <c r="D916" s="4">
        <f>(Raw_Stock_Data!D916/Raw_Stock_Data!D915)-1</f>
        <v>-3.7048567870485605E-2</v>
      </c>
      <c r="E916" s="4">
        <f>(Raw_Stock_Data!E916/Raw_Stock_Data!E915)-1</f>
        <v>-3.8717445028832231E-2</v>
      </c>
      <c r="F916" s="4">
        <f>(Raw_Stock_Data!F916/Raw_Stock_Data!F915)-1</f>
        <v>-2.2097607017933618E-2</v>
      </c>
      <c r="G916" s="4">
        <f>(Raw_Stock_Data!G916/Raw_Stock_Data!G915)-1</f>
        <v>-5.6478702915752299E-2</v>
      </c>
      <c r="H916" s="4">
        <f>(Raw_Stock_Data!H916/Raw_Stock_Data!H915)-1</f>
        <v>-1.2354932301740895E-2</v>
      </c>
      <c r="I916" s="4">
        <f>(Raw_Stock_Data!I916/Raw_Stock_Data!I915)-1</f>
        <v>-6.0355781448538925E-3</v>
      </c>
      <c r="J916" s="4">
        <f>(Raw_Stock_Data!J916/Raw_Stock_Data!J915)-1</f>
        <v>-1.6721924617403294E-2</v>
      </c>
    </row>
    <row r="917" spans="1:10" x14ac:dyDescent="0.2">
      <c r="A917" s="2">
        <v>45527</v>
      </c>
      <c r="B917" s="4">
        <f>(Raw_Stock_Data!B917/Raw_Stock_Data!B916)-1</f>
        <v>1.0287807805655858E-2</v>
      </c>
      <c r="C917" s="4">
        <f>(Raw_Stock_Data!C917/Raw_Stock_Data!C916)-1</f>
        <v>2.982735339505993E-3</v>
      </c>
      <c r="D917" s="4">
        <f>(Raw_Stock_Data!D917/Raw_Stock_Data!D916)-1</f>
        <v>4.5505981247979221E-2</v>
      </c>
      <c r="E917" s="4">
        <f>(Raw_Stock_Data!E917/Raw_Stock_Data!E916)-1</f>
        <v>2.1621621621621623E-2</v>
      </c>
      <c r="F917" s="4">
        <f>(Raw_Stock_Data!F917/Raw_Stock_Data!F916)-1</f>
        <v>5.1666382785442444E-3</v>
      </c>
      <c r="G917" s="4">
        <f>(Raw_Stock_Data!G917/Raw_Stock_Data!G916)-1</f>
        <v>4.5855881515237895E-2</v>
      </c>
      <c r="H917" s="4">
        <f>(Raw_Stock_Data!H917/Raw_Stock_Data!H916)-1</f>
        <v>1.1114103160420052E-2</v>
      </c>
      <c r="I917" s="4">
        <f>(Raw_Stock_Data!I917/Raw_Stock_Data!I916)-1</f>
        <v>-7.3881901753989343E-3</v>
      </c>
      <c r="J917" s="4">
        <f>(Raw_Stock_Data!J917/Raw_Stock_Data!J916)-1</f>
        <v>1.4667964482231399E-2</v>
      </c>
    </row>
    <row r="918" spans="1:10" x14ac:dyDescent="0.2">
      <c r="A918" s="2">
        <v>45530</v>
      </c>
      <c r="B918" s="4">
        <f>(Raw_Stock_Data!B918/Raw_Stock_Data!B917)-1</f>
        <v>1.4939863723617552E-3</v>
      </c>
      <c r="C918" s="4">
        <f>(Raw_Stock_Data!C918/Raw_Stock_Data!C917)-1</f>
        <v>-7.9166836956704456E-3</v>
      </c>
      <c r="D918" s="4">
        <f>(Raw_Stock_Data!D918/Raw_Stock_Data!D917)-1</f>
        <v>-2.2497100889060651E-2</v>
      </c>
      <c r="E918" s="4">
        <f>(Raw_Stock_Data!E918/Raw_Stock_Data!E917)-1</f>
        <v>-3.2197702929410155E-2</v>
      </c>
      <c r="F918" s="4">
        <f>(Raw_Stock_Data!F918/Raw_Stock_Data!F917)-1</f>
        <v>-8.6985991866244117E-3</v>
      </c>
      <c r="G918" s="4">
        <f>(Raw_Stock_Data!G918/Raw_Stock_Data!G917)-1</f>
        <v>-3.2271241830065245E-2</v>
      </c>
      <c r="H918" s="4">
        <f>(Raw_Stock_Data!H918/Raw_Stock_Data!H917)-1</f>
        <v>3.2564220516670961E-3</v>
      </c>
      <c r="I918" s="4">
        <f>(Raw_Stock_Data!I918/Raw_Stock_Data!I917)-1</f>
        <v>-1.3030303030303059E-2</v>
      </c>
      <c r="J918" s="4">
        <f>(Raw_Stock_Data!J918/Raw_Stock_Data!J917)-1</f>
        <v>-8.5032881581000863E-3</v>
      </c>
    </row>
    <row r="919" spans="1:10" x14ac:dyDescent="0.2">
      <c r="A919" s="2">
        <v>45531</v>
      </c>
      <c r="B919" s="4">
        <f>(Raw_Stock_Data!B919/Raw_Stock_Data!B918)-1</f>
        <v>3.7404607185225203E-3</v>
      </c>
      <c r="C919" s="4">
        <f>(Raw_Stock_Data!C919/Raw_Stock_Data!C918)-1</f>
        <v>8.4572436655494521E-4</v>
      </c>
      <c r="D919" s="4">
        <f>(Raw_Stock_Data!D919/Raw_Stock_Data!D918)-1</f>
        <v>1.4552356849098391E-2</v>
      </c>
      <c r="E919" s="4">
        <f>(Raw_Stock_Data!E919/Raw_Stock_Data!E918)-1</f>
        <v>3.4002266817787508E-3</v>
      </c>
      <c r="F919" s="4">
        <f>(Raw_Stock_Data!F919/Raw_Stock_Data!F918)-1</f>
        <v>-1.3561253561253483E-2</v>
      </c>
      <c r="G919" s="4">
        <f>(Raw_Stock_Data!G919/Raw_Stock_Data!G918)-1</f>
        <v>-1.8760846114159735E-2</v>
      </c>
      <c r="H919" s="4">
        <f>(Raw_Stock_Data!H919/Raw_Stock_Data!H918)-1</f>
        <v>-8.9049773755656148E-3</v>
      </c>
      <c r="I919" s="4">
        <f>(Raw_Stock_Data!I919/Raw_Stock_Data!I918)-1</f>
        <v>-3.8762665029167254E-3</v>
      </c>
      <c r="J919" s="4">
        <f>(Raw_Stock_Data!J919/Raw_Stock_Data!J918)-1</f>
        <v>1.6388568733542996E-3</v>
      </c>
    </row>
    <row r="920" spans="1:10" x14ac:dyDescent="0.2">
      <c r="A920" s="2">
        <v>45532</v>
      </c>
      <c r="B920" s="4">
        <f>(Raw_Stock_Data!B920/Raw_Stock_Data!B919)-1</f>
        <v>-6.7474300229763973E-3</v>
      </c>
      <c r="C920" s="4">
        <f>(Raw_Stock_Data!C920/Raw_Stock_Data!C919)-1</f>
        <v>-7.8278407701453112E-3</v>
      </c>
      <c r="D920" s="4">
        <f>(Raw_Stock_Data!D920/Raw_Stock_Data!D919)-1</f>
        <v>-2.0969753663860335E-2</v>
      </c>
      <c r="E920" s="4">
        <f>(Raw_Stock_Data!E920/Raw_Stock_Data!E919)-1</f>
        <v>-2.7508305647840459E-2</v>
      </c>
      <c r="F920" s="4">
        <f>(Raw_Stock_Data!F920/Raw_Stock_Data!F919)-1</f>
        <v>-1.3401109057301297E-2</v>
      </c>
      <c r="G920" s="4">
        <f>(Raw_Stock_Data!G920/Raw_Stock_Data!G919)-1</f>
        <v>-1.6538406385928073E-2</v>
      </c>
      <c r="H920" s="4">
        <f>(Raw_Stock_Data!H920/Raw_Stock_Data!H919)-1</f>
        <v>-1.111557519753581E-2</v>
      </c>
      <c r="I920" s="4">
        <f>(Raw_Stock_Data!I920/Raw_Stock_Data!I919)-1</f>
        <v>-4.4692737430168661E-3</v>
      </c>
      <c r="J920" s="4">
        <f>(Raw_Stock_Data!J920/Raw_Stock_Data!J919)-1</f>
        <v>-1.11963962462025E-2</v>
      </c>
    </row>
    <row r="921" spans="1:10" x14ac:dyDescent="0.2">
      <c r="A921" s="2">
        <v>45533</v>
      </c>
      <c r="B921" s="4">
        <f>(Raw_Stock_Data!B921/Raw_Stock_Data!B920)-1</f>
        <v>1.4563343885837465E-2</v>
      </c>
      <c r="C921" s="4">
        <f>(Raw_Stock_Data!C921/Raw_Stock_Data!C920)-1</f>
        <v>6.1374396017375155E-3</v>
      </c>
      <c r="D921" s="4">
        <f>(Raw_Stock_Data!D921/Raw_Stock_Data!D920)-1</f>
        <v>-6.3842662632375147E-2</v>
      </c>
      <c r="E921" s="4">
        <f>(Raw_Stock_Data!E921/Raw_Stock_Data!E920)-1</f>
        <v>-5.9442470620388876E-3</v>
      </c>
      <c r="F921" s="4">
        <f>(Raw_Stock_Data!F921/Raw_Stock_Data!F920)-1</f>
        <v>7.7283372365339886E-3</v>
      </c>
      <c r="G921" s="4">
        <f>(Raw_Stock_Data!G921/Raw_Stock_Data!G920)-1</f>
        <v>2.5759416767923149E-3</v>
      </c>
      <c r="H921" s="4">
        <f>(Raw_Stock_Data!H921/Raw_Stock_Data!H920)-1</f>
        <v>-6.5682556879740339E-3</v>
      </c>
      <c r="I921" s="4">
        <f>(Raw_Stock_Data!I921/Raw_Stock_Data!I920)-1</f>
        <v>2.7864855451062986E-3</v>
      </c>
      <c r="J921" s="4">
        <f>(Raw_Stock_Data!J921/Raw_Stock_Data!J920)-1</f>
        <v>-2.2556352432753224E-3</v>
      </c>
    </row>
    <row r="922" spans="1:10" x14ac:dyDescent="0.2">
      <c r="A922" s="2">
        <v>45534</v>
      </c>
      <c r="B922" s="4">
        <f>(Raw_Stock_Data!B922/Raw_Stock_Data!B921)-1</f>
        <v>-3.4354034739150219E-3</v>
      </c>
      <c r="C922" s="4">
        <f>(Raw_Stock_Data!C922/Raw_Stock_Data!C921)-1</f>
        <v>9.7308965667786129E-3</v>
      </c>
      <c r="D922" s="4">
        <f>(Raw_Stock_Data!D922/Raw_Stock_Data!D921)-1</f>
        <v>1.5139659102507474E-2</v>
      </c>
      <c r="E922" s="4">
        <f>(Raw_Stock_Data!E922/Raw_Stock_Data!E921)-1</f>
        <v>2.1101106605264874E-2</v>
      </c>
      <c r="F922" s="4">
        <f>(Raw_Stock_Data!F922/Raw_Stock_Data!F921)-1</f>
        <v>3.7067162444806012E-2</v>
      </c>
      <c r="G922" s="4">
        <f>(Raw_Stock_Data!G922/Raw_Stock_Data!G921)-1</f>
        <v>3.795811518324621E-2</v>
      </c>
      <c r="H922" s="4">
        <f>(Raw_Stock_Data!H922/Raw_Stock_Data!H921)-1</f>
        <v>9.8834435280485966E-3</v>
      </c>
      <c r="I922" s="4">
        <f>(Raw_Stock_Data!I922/Raw_Stock_Data!I921)-1</f>
        <v>5.9627185365287438E-3</v>
      </c>
      <c r="J922" s="4">
        <f>(Raw_Stock_Data!J922/Raw_Stock_Data!J921)-1</f>
        <v>1.1258001773192472E-2</v>
      </c>
    </row>
    <row r="923" spans="1:10" x14ac:dyDescent="0.2">
      <c r="A923" s="2">
        <v>45538</v>
      </c>
      <c r="B923" s="4">
        <f>(Raw_Stock_Data!B923/Raw_Stock_Data!B922)-1</f>
        <v>-2.7204700550681027E-2</v>
      </c>
      <c r="C923" s="4">
        <f>(Raw_Stock_Data!C923/Raw_Stock_Data!C922)-1</f>
        <v>-1.845993461556017E-2</v>
      </c>
      <c r="D923" s="4">
        <f>(Raw_Stock_Data!D923/Raw_Stock_Data!D922)-1</f>
        <v>-9.5247670755412628E-2</v>
      </c>
      <c r="E923" s="4">
        <f>(Raw_Stock_Data!E923/Raw_Stock_Data!E922)-1</f>
        <v>-7.8217555196553601E-2</v>
      </c>
      <c r="F923" s="4">
        <f>(Raw_Stock_Data!F923/Raw_Stock_Data!F922)-1</f>
        <v>-1.2605042016806678E-2</v>
      </c>
      <c r="G923" s="4">
        <f>(Raw_Stock_Data!G923/Raw_Stock_Data!G922)-1</f>
        <v>-1.6393442622950949E-2</v>
      </c>
      <c r="H923" s="4">
        <f>(Raw_Stock_Data!H923/Raw_Stock_Data!H922)-1</f>
        <v>-3.6845915963086506E-2</v>
      </c>
      <c r="I923" s="4">
        <f>(Raw_Stock_Data!I923/Raw_Stock_Data!I922)-1</f>
        <v>-1.8319234236826354E-2</v>
      </c>
      <c r="J923" s="4">
        <f>(Raw_Stock_Data!J923/Raw_Stock_Data!J922)-1</f>
        <v>-3.2592416122500079E-2</v>
      </c>
    </row>
    <row r="924" spans="1:10" x14ac:dyDescent="0.2">
      <c r="A924" s="2">
        <v>45539</v>
      </c>
      <c r="B924" s="4">
        <f>(Raw_Stock_Data!B924/Raw_Stock_Data!B923)-1</f>
        <v>-8.6176153266251942E-3</v>
      </c>
      <c r="C924" s="4">
        <f>(Raw_Stock_Data!C924/Raw_Stock_Data!C923)-1</f>
        <v>-1.3190675000366303E-3</v>
      </c>
      <c r="D924" s="4">
        <f>(Raw_Stock_Data!D924/Raw_Stock_Data!D923)-1</f>
        <v>-1.6576529856274891E-2</v>
      </c>
      <c r="E924" s="4">
        <f>(Raw_Stock_Data!E924/Raw_Stock_Data!E923)-1</f>
        <v>2.8698700160654456E-2</v>
      </c>
      <c r="F924" s="4">
        <f>(Raw_Stock_Data!F924/Raw_Stock_Data!F923)-1</f>
        <v>-1.6567375886524793E-2</v>
      </c>
      <c r="G924" s="4">
        <f>(Raw_Stock_Data!G924/Raw_Stock_Data!G923)-1</f>
        <v>4.1832858499525116E-2</v>
      </c>
      <c r="H924" s="4">
        <f>(Raw_Stock_Data!H924/Raw_Stock_Data!H923)-1</f>
        <v>-5.7781373629524069E-3</v>
      </c>
      <c r="I924" s="4">
        <f>(Raw_Stock_Data!I924/Raw_Stock_Data!I923)-1</f>
        <v>1.9149601375645364E-3</v>
      </c>
      <c r="J924" s="4">
        <f>(Raw_Stock_Data!J924/Raw_Stock_Data!J923)-1</f>
        <v>-3.0344940272988286E-3</v>
      </c>
    </row>
    <row r="925" spans="1:10" x14ac:dyDescent="0.2">
      <c r="A925" s="2">
        <v>45540</v>
      </c>
      <c r="B925" s="4">
        <f>(Raw_Stock_Data!B925/Raw_Stock_Data!B924)-1</f>
        <v>6.9303414172137145E-3</v>
      </c>
      <c r="C925" s="4">
        <f>(Raw_Stock_Data!C925/Raw_Stock_Data!C924)-1</f>
        <v>-1.2472952806169557E-3</v>
      </c>
      <c r="D925" s="4">
        <f>(Raw_Stock_Data!D925/Raw_Stock_Data!D924)-1</f>
        <v>9.4167278753978234E-3</v>
      </c>
      <c r="E925" s="4">
        <f>(Raw_Stock_Data!E925/Raw_Stock_Data!E924)-1</f>
        <v>-1.0151203237027118E-2</v>
      </c>
      <c r="F925" s="4">
        <f>(Raw_Stock_Data!F925/Raw_Stock_Data!F924)-1</f>
        <v>2.6308198234581193E-2</v>
      </c>
      <c r="G925" s="4">
        <f>(Raw_Stock_Data!G925/Raw_Stock_Data!G924)-1</f>
        <v>4.904060890570161E-2</v>
      </c>
      <c r="H925" s="4">
        <f>(Raw_Stock_Data!H925/Raw_Stock_Data!H924)-1</f>
        <v>5.0492105802748544E-3</v>
      </c>
      <c r="I925" s="4">
        <f>(Raw_Stock_Data!I925/Raw_Stock_Data!I924)-1</f>
        <v>8.0352615360612667E-3</v>
      </c>
      <c r="J925" s="4">
        <f>(Raw_Stock_Data!J925/Raw_Stock_Data!J924)-1</f>
        <v>2.5380027276504791E-3</v>
      </c>
    </row>
    <row r="926" spans="1:10" x14ac:dyDescent="0.2">
      <c r="A926" s="2">
        <v>45541</v>
      </c>
      <c r="B926" s="4">
        <f>(Raw_Stock_Data!B926/Raw_Stock_Data!B925)-1</f>
        <v>-7.0183054771724152E-3</v>
      </c>
      <c r="C926" s="4">
        <f>(Raw_Stock_Data!C926/Raw_Stock_Data!C925)-1</f>
        <v>-1.6379847585959784E-2</v>
      </c>
      <c r="D926" s="4">
        <f>(Raw_Stock_Data!D926/Raw_Stock_Data!D925)-1</f>
        <v>-4.0860495923279339E-2</v>
      </c>
      <c r="E926" s="4">
        <f>(Raw_Stock_Data!E926/Raw_Stock_Data!E925)-1</f>
        <v>-3.6503155479059135E-2</v>
      </c>
      <c r="F926" s="4">
        <f>(Raw_Stock_Data!F926/Raw_Stock_Data!F925)-1</f>
        <v>-3.6539434481983268E-2</v>
      </c>
      <c r="G926" s="4">
        <f>(Raw_Stock_Data!G926/Raw_Stock_Data!G925)-1</f>
        <v>-8.4459312681930743E-2</v>
      </c>
      <c r="H926" s="4">
        <f>(Raw_Stock_Data!H926/Raw_Stock_Data!H925)-1</f>
        <v>-4.0197128503302482E-2</v>
      </c>
      <c r="I926" s="4">
        <f>(Raw_Stock_Data!I926/Raw_Stock_Data!I925)-1</f>
        <v>-3.2097666679565151E-2</v>
      </c>
      <c r="J926" s="4">
        <f>(Raw_Stock_Data!J926/Raw_Stock_Data!J925)-1</f>
        <v>-2.5504359614798355E-2</v>
      </c>
    </row>
    <row r="927" spans="1:10" x14ac:dyDescent="0.2">
      <c r="A927" s="2">
        <v>45544</v>
      </c>
      <c r="B927" s="4">
        <f>(Raw_Stock_Data!B927/Raw_Stock_Data!B926)-1</f>
        <v>4.0531186243075723E-4</v>
      </c>
      <c r="C927" s="4">
        <f>(Raw_Stock_Data!C927/Raw_Stock_Data!C926)-1</f>
        <v>1.0007533088217002E-2</v>
      </c>
      <c r="D927" s="4">
        <f>(Raw_Stock_Data!D927/Raw_Stock_Data!D926)-1</f>
        <v>3.5403738790437123E-2</v>
      </c>
      <c r="E927" s="4">
        <f>(Raw_Stock_Data!E927/Raw_Stock_Data!E926)-1</f>
        <v>2.8284331968738474E-2</v>
      </c>
      <c r="F927" s="4">
        <f>(Raw_Stock_Data!F927/Raw_Stock_Data!F926)-1</f>
        <v>2.3396930976136376E-2</v>
      </c>
      <c r="G927" s="4">
        <f>(Raw_Stock_Data!G927/Raw_Stock_Data!G926)-1</f>
        <v>2.6289564846011526E-2</v>
      </c>
      <c r="H927" s="4">
        <f>(Raw_Stock_Data!H927/Raw_Stock_Data!H926)-1</f>
        <v>-1.333138488312624E-2</v>
      </c>
      <c r="I927" s="4">
        <f>(Raw_Stock_Data!I927/Raw_Stock_Data!I926)-1</f>
        <v>9.0351210346413247E-3</v>
      </c>
      <c r="J927" s="4">
        <f>(Raw_Stock_Data!J927/Raw_Stock_Data!J926)-1</f>
        <v>1.1609368737204528E-2</v>
      </c>
    </row>
    <row r="928" spans="1:10" x14ac:dyDescent="0.2">
      <c r="A928" s="2">
        <v>45545</v>
      </c>
      <c r="B928" s="4">
        <f>(Raw_Stock_Data!B928/Raw_Stock_Data!B927)-1</f>
        <v>-3.6190155367297194E-3</v>
      </c>
      <c r="C928" s="4">
        <f>(Raw_Stock_Data!C928/Raw_Stock_Data!C927)-1</f>
        <v>2.090094094984063E-2</v>
      </c>
      <c r="D928" s="4">
        <f>(Raw_Stock_Data!D928/Raw_Stock_Data!D927)-1</f>
        <v>1.5311777857102582E-2</v>
      </c>
      <c r="E928" s="4">
        <f>(Raw_Stock_Data!E928/Raw_Stock_Data!E927)-1</f>
        <v>3.3948606587043129E-2</v>
      </c>
      <c r="F928" s="4">
        <f>(Raw_Stock_Data!F928/Raw_Stock_Data!F927)-1</f>
        <v>2.3660205245153998E-2</v>
      </c>
      <c r="G928" s="4">
        <f>(Raw_Stock_Data!G928/Raw_Stock_Data!G927)-1</f>
        <v>4.5776113191843493E-2</v>
      </c>
      <c r="H928" s="4">
        <f>(Raw_Stock_Data!H928/Raw_Stock_Data!H927)-1</f>
        <v>-3.3660966742954379E-4</v>
      </c>
      <c r="I928" s="4">
        <f>(Raw_Stock_Data!I928/Raw_Stock_Data!I927)-1</f>
        <v>0</v>
      </c>
      <c r="J928" s="4">
        <f>(Raw_Stock_Data!J928/Raw_Stock_Data!J927)-1</f>
        <v>8.3673880340666695E-3</v>
      </c>
    </row>
    <row r="929" spans="1:10" x14ac:dyDescent="0.2">
      <c r="A929" s="2">
        <v>45546</v>
      </c>
      <c r="B929" s="4">
        <f>(Raw_Stock_Data!B929/Raw_Stock_Data!B928)-1</f>
        <v>1.1581794424291303E-2</v>
      </c>
      <c r="C929" s="4">
        <f>(Raw_Stock_Data!C929/Raw_Stock_Data!C928)-1</f>
        <v>2.1341500291504278E-2</v>
      </c>
      <c r="D929" s="4">
        <f>(Raw_Stock_Data!D929/Raw_Stock_Data!D928)-1</f>
        <v>8.1492172754524139E-2</v>
      </c>
      <c r="E929" s="4">
        <f>(Raw_Stock_Data!E929/Raw_Stock_Data!E928)-1</f>
        <v>4.9145897507701042E-2</v>
      </c>
      <c r="F929" s="4">
        <f>(Raw_Stock_Data!F929/Raw_Stock_Data!F928)-1</f>
        <v>2.7680311890838194E-2</v>
      </c>
      <c r="G929" s="4">
        <f>(Raw_Stock_Data!G929/Raw_Stock_Data!G928)-1</f>
        <v>8.6660476632622885E-3</v>
      </c>
      <c r="H929" s="4">
        <f>(Raw_Stock_Data!H929/Raw_Stock_Data!H928)-1</f>
        <v>1.681594720183166E-2</v>
      </c>
      <c r="I929" s="4">
        <f>(Raw_Stock_Data!I929/Raw_Stock_Data!I928)-1</f>
        <v>1.394639354979299E-2</v>
      </c>
      <c r="J929" s="4">
        <f>(Raw_Stock_Data!J929/Raw_Stock_Data!J928)-1</f>
        <v>2.1711065742269886E-2</v>
      </c>
    </row>
    <row r="930" spans="1:10" x14ac:dyDescent="0.2">
      <c r="A930" s="2">
        <v>45547</v>
      </c>
      <c r="B930" s="4">
        <f>(Raw_Stock_Data!B930/Raw_Stock_Data!B929)-1</f>
        <v>4.968091304484723E-4</v>
      </c>
      <c r="C930" s="4">
        <f>(Raw_Stock_Data!C930/Raw_Stock_Data!C929)-1</f>
        <v>9.3606035125948228E-3</v>
      </c>
      <c r="D930" s="4">
        <f>(Raw_Stock_Data!D930/Raw_Stock_Data!D929)-1</f>
        <v>1.9162988057352059E-2</v>
      </c>
      <c r="E930" s="4">
        <f>(Raw_Stock_Data!E930/Raw_Stock_Data!E929)-1</f>
        <v>6.072334178566674E-3</v>
      </c>
      <c r="F930" s="4">
        <f>(Raw_Stock_Data!F930/Raw_Stock_Data!F929)-1</f>
        <v>1.3440277476696183E-2</v>
      </c>
      <c r="G930" s="4">
        <f>(Raw_Stock_Data!G930/Raw_Stock_Data!G929)-1</f>
        <v>7.3642221540350938E-3</v>
      </c>
      <c r="H930" s="4">
        <f>(Raw_Stock_Data!H930/Raw_Stock_Data!H929)-1</f>
        <v>2.3353003900998148E-2</v>
      </c>
      <c r="I930" s="4">
        <f>(Raw_Stock_Data!I930/Raw_Stock_Data!I929)-1</f>
        <v>2.69034640407948E-2</v>
      </c>
      <c r="J930" s="4">
        <f>(Raw_Stock_Data!J930/Raw_Stock_Data!J929)-1</f>
        <v>1.0011192530495094E-2</v>
      </c>
    </row>
    <row r="931" spans="1:10" x14ac:dyDescent="0.2">
      <c r="A931" s="2">
        <v>45548</v>
      </c>
      <c r="B931" s="4">
        <f>(Raw_Stock_Data!B931/Raw_Stock_Data!B930)-1</f>
        <v>-1.2098066566451626E-3</v>
      </c>
      <c r="C931" s="4">
        <f>(Raw_Stock_Data!C931/Raw_Stock_Data!C930)-1</f>
        <v>8.4078968055625314E-3</v>
      </c>
      <c r="D931" s="4">
        <f>(Raw_Stock_Data!D931/Raw_Stock_Data!D930)-1</f>
        <v>-3.357620118860094E-4</v>
      </c>
      <c r="E931" s="4">
        <f>(Raw_Stock_Data!E931/Raw_Stock_Data!E930)-1</f>
        <v>1.0214233600848832E-2</v>
      </c>
      <c r="F931" s="4">
        <f>(Raw_Stock_Data!F931/Raw_Stock_Data!F930)-1</f>
        <v>-2.7272727272726893E-3</v>
      </c>
      <c r="G931" s="4">
        <f>(Raw_Stock_Data!G931/Raw_Stock_Data!G930)-1</f>
        <v>2.088681954658167E-3</v>
      </c>
      <c r="H931" s="4">
        <f>(Raw_Stock_Data!H931/Raw_Stock_Data!H930)-1</f>
        <v>1.7907878301502089E-2</v>
      </c>
      <c r="I931" s="4">
        <f>(Raw_Stock_Data!I931/Raw_Stock_Data!I930)-1</f>
        <v>-1.8645357686454256E-3</v>
      </c>
      <c r="J931" s="4">
        <f>(Raw_Stock_Data!J931/Raw_Stock_Data!J930)-1</f>
        <v>6.505525427896286E-3</v>
      </c>
    </row>
    <row r="932" spans="1:10" x14ac:dyDescent="0.2">
      <c r="A932" s="2">
        <v>45551</v>
      </c>
      <c r="B932" s="4">
        <f>(Raw_Stock_Data!B932/Raw_Stock_Data!B931)-1</f>
        <v>-2.7777903324218589E-2</v>
      </c>
      <c r="C932" s="4">
        <f>(Raw_Stock_Data!C932/Raw_Stock_Data!C931)-1</f>
        <v>1.7406278360831973E-3</v>
      </c>
      <c r="D932" s="4">
        <f>(Raw_Stock_Data!D932/Raw_Stock_Data!D931)-1</f>
        <v>-1.948073758102975E-2</v>
      </c>
      <c r="E932" s="4">
        <f>(Raw_Stock_Data!E932/Raw_Stock_Data!E931)-1</f>
        <v>-1.5100781301292665E-3</v>
      </c>
      <c r="F932" s="4">
        <f>(Raw_Stock_Data!F932/Raw_Stock_Data!F931)-1</f>
        <v>-8.5795485012601924E-3</v>
      </c>
      <c r="G932" s="4">
        <f>(Raw_Stock_Data!G932/Raw_Stock_Data!G931)-1</f>
        <v>-1.5241651830300906E-2</v>
      </c>
      <c r="H932" s="4">
        <f>(Raw_Stock_Data!H932/Raw_Stock_Data!H931)-1</f>
        <v>3.8084944048828451E-3</v>
      </c>
      <c r="I932" s="4">
        <f>(Raw_Stock_Data!I932/Raw_Stock_Data!I931)-1</f>
        <v>1.6507186153787545E-2</v>
      </c>
      <c r="J932" s="4">
        <f>(Raw_Stock_Data!J932/Raw_Stock_Data!J931)-1</f>
        <v>-5.1939665165872118E-3</v>
      </c>
    </row>
    <row r="933" spans="1:10" x14ac:dyDescent="0.2">
      <c r="A933" s="2">
        <v>45552</v>
      </c>
      <c r="B933" s="4">
        <f>(Raw_Stock_Data!B933/Raw_Stock_Data!B932)-1</f>
        <v>2.1756411865612169E-3</v>
      </c>
      <c r="C933" s="4">
        <f>(Raw_Stock_Data!C933/Raw_Stock_Data!C932)-1</f>
        <v>8.834365519259979E-3</v>
      </c>
      <c r="D933" s="4">
        <f>(Raw_Stock_Data!D933/Raw_Stock_Data!D932)-1</f>
        <v>-1.0190799164183306E-2</v>
      </c>
      <c r="E933" s="4">
        <f>(Raw_Stock_Data!E933/Raw_Stock_Data!E932)-1</f>
        <v>-8.2851130983694343E-3</v>
      </c>
      <c r="F933" s="4">
        <f>(Raw_Stock_Data!F933/Raw_Stock_Data!F932)-1</f>
        <v>1.0763156471415458E-2</v>
      </c>
      <c r="G933" s="4">
        <f>(Raw_Stock_Data!G933/Raw_Stock_Data!G932)-1</f>
        <v>4.8064203192521582E-3</v>
      </c>
      <c r="H933" s="4">
        <f>(Raw_Stock_Data!H933/Raw_Stock_Data!H932)-1</f>
        <v>7.9744614546584103E-3</v>
      </c>
      <c r="I933" s="4">
        <f>(Raw_Stock_Data!I933/Raw_Stock_Data!I932)-1</f>
        <v>5.6911941194119908E-3</v>
      </c>
      <c r="J933" s="4">
        <f>(Raw_Stock_Data!J933/Raw_Stock_Data!J932)-1</f>
        <v>2.0423905462272351E-3</v>
      </c>
    </row>
    <row r="934" spans="1:10" x14ac:dyDescent="0.2">
      <c r="A934" s="2">
        <v>45553</v>
      </c>
      <c r="B934" s="4">
        <f>(Raw_Stock_Data!B934/Raw_Stock_Data!B933)-1</f>
        <v>1.798893202892704E-2</v>
      </c>
      <c r="C934" s="4">
        <f>(Raw_Stock_Data!C934/Raw_Stock_Data!C933)-1</f>
        <v>-9.9751082824254267E-3</v>
      </c>
      <c r="D934" s="4">
        <f>(Raw_Stock_Data!D934/Raw_Stock_Data!D933)-1</f>
        <v>-1.9207142980740888E-2</v>
      </c>
      <c r="E934" s="4">
        <f>(Raw_Stock_Data!E934/Raw_Stock_Data!E933)-1</f>
        <v>-1.6774963532687925E-2</v>
      </c>
      <c r="F934" s="4">
        <f>(Raw_Stock_Data!F934/Raw_Stock_Data!F933)-1</f>
        <v>-2.4079623287670548E-3</v>
      </c>
      <c r="G934" s="4">
        <f>(Raw_Stock_Data!G934/Raw_Stock_Data!G933)-1</f>
        <v>-2.9402729626542001E-3</v>
      </c>
      <c r="H934" s="4">
        <f>(Raw_Stock_Data!H934/Raw_Stock_Data!H933)-1</f>
        <v>3.0728047355126353E-3</v>
      </c>
      <c r="I934" s="4">
        <f>(Raw_Stock_Data!I934/Raw_Stock_Data!I933)-1</f>
        <v>3.0485815239178482E-3</v>
      </c>
      <c r="J934" s="4">
        <f>(Raw_Stock_Data!J934/Raw_Stock_Data!J933)-1</f>
        <v>-3.1064110287803981E-3</v>
      </c>
    </row>
    <row r="935" spans="1:10" x14ac:dyDescent="0.2">
      <c r="A935" s="2">
        <v>45554</v>
      </c>
      <c r="B935" s="4">
        <f>(Raw_Stock_Data!B935/Raw_Stock_Data!B934)-1</f>
        <v>3.705998951949141E-2</v>
      </c>
      <c r="C935" s="4">
        <f>(Raw_Stock_Data!C935/Raw_Stock_Data!C934)-1</f>
        <v>1.829286729356272E-2</v>
      </c>
      <c r="D935" s="4">
        <f>(Raw_Stock_Data!D935/Raw_Stock_Data!D934)-1</f>
        <v>3.9695841640055685E-2</v>
      </c>
      <c r="E935" s="4">
        <f>(Raw_Stock_Data!E935/Raw_Stock_Data!E934)-1</f>
        <v>5.6982938836064534E-2</v>
      </c>
      <c r="F935" s="4">
        <f>(Raw_Stock_Data!F935/Raw_Stock_Data!F934)-1</f>
        <v>1.8451965885318833E-2</v>
      </c>
      <c r="G935" s="4">
        <f>(Raw_Stock_Data!G935/Raw_Stock_Data!G934)-1</f>
        <v>7.3591549295774605E-2</v>
      </c>
      <c r="H935" s="4">
        <f>(Raw_Stock_Data!H935/Raw_Stock_Data!H934)-1</f>
        <v>1.4577734343187654E-2</v>
      </c>
      <c r="I935" s="4">
        <f>(Raw_Stock_Data!I935/Raw_Stock_Data!I934)-1</f>
        <v>3.9315921554047728E-2</v>
      </c>
      <c r="J935" s="4">
        <f>(Raw_Stock_Data!J935/Raw_Stock_Data!J934)-1</f>
        <v>2.5076678825263432E-2</v>
      </c>
    </row>
    <row r="936" spans="1:10" x14ac:dyDescent="0.2">
      <c r="A936" s="2">
        <v>45555</v>
      </c>
      <c r="B936" s="4">
        <f>(Raw_Stock_Data!B936/Raw_Stock_Data!B935)-1</f>
        <v>-2.9219466755716628E-3</v>
      </c>
      <c r="C936" s="4">
        <f>(Raw_Stock_Data!C936/Raw_Stock_Data!C935)-1</f>
        <v>-7.7978319560362275E-3</v>
      </c>
      <c r="D936" s="4">
        <f>(Raw_Stock_Data!D936/Raw_Stock_Data!D935)-1</f>
        <v>-1.5866012794624185E-2</v>
      </c>
      <c r="E936" s="4">
        <f>(Raw_Stock_Data!E936/Raw_Stock_Data!E935)-1</f>
        <v>-5.0401939517673577E-3</v>
      </c>
      <c r="F936" s="4">
        <f>(Raw_Stock_Data!F936/Raw_Stock_Data!F935)-1</f>
        <v>9.1114973402854904E-3</v>
      </c>
      <c r="G936" s="4">
        <f>(Raw_Stock_Data!G936/Raw_Stock_Data!G935)-1</f>
        <v>-2.3245326336503669E-2</v>
      </c>
      <c r="H936" s="4">
        <f>(Raw_Stock_Data!H936/Raw_Stock_Data!H935)-1</f>
        <v>8.9469849463426065E-3</v>
      </c>
      <c r="I936" s="4">
        <f>(Raw_Stock_Data!I936/Raw_Stock_Data!I935)-1</f>
        <v>4.0243248077267424E-3</v>
      </c>
      <c r="J936" s="4">
        <f>(Raw_Stock_Data!J936/Raw_Stock_Data!J935)-1</f>
        <v>-3.6449468690428199E-3</v>
      </c>
    </row>
    <row r="937" spans="1:10" x14ac:dyDescent="0.2">
      <c r="A937" s="2">
        <v>45558</v>
      </c>
      <c r="B937" s="4">
        <f>(Raw_Stock_Data!B937/Raw_Stock_Data!B936)-1</f>
        <v>-7.5796635863266681E-3</v>
      </c>
      <c r="C937" s="4">
        <f>(Raw_Stock_Data!C937/Raw_Stock_Data!C936)-1</f>
        <v>-4.0423572744013869E-3</v>
      </c>
      <c r="D937" s="4">
        <f>(Raw_Stock_Data!D937/Raw_Stock_Data!D936)-1</f>
        <v>2.2415338988894806E-3</v>
      </c>
      <c r="E937" s="4">
        <f>(Raw_Stock_Data!E937/Raw_Stock_Data!E936)-1</f>
        <v>5.1298493106766152E-3</v>
      </c>
      <c r="F937" s="4">
        <f>(Raw_Stock_Data!F937/Raw_Stock_Data!F936)-1</f>
        <v>1.1899791231732681E-2</v>
      </c>
      <c r="G937" s="4">
        <f>(Raw_Stock_Data!G937/Raw_Stock_Data!G936)-1</f>
        <v>4.9317943336831149E-2</v>
      </c>
      <c r="H937" s="4">
        <f>(Raw_Stock_Data!H937/Raw_Stock_Data!H936)-1</f>
        <v>-1.0636279627668999E-2</v>
      </c>
      <c r="I937" s="4">
        <f>(Raw_Stock_Data!I937/Raw_Stock_Data!I936)-1</f>
        <v>5.4511445622160704E-3</v>
      </c>
      <c r="J937" s="4">
        <f>(Raw_Stock_Data!J937/Raw_Stock_Data!J936)-1</f>
        <v>1.4458177701310859E-3</v>
      </c>
    </row>
    <row r="938" spans="1:10" x14ac:dyDescent="0.2">
      <c r="A938" s="2">
        <v>45559</v>
      </c>
      <c r="B938" s="4">
        <f>(Raw_Stock_Data!B938/Raw_Stock_Data!B937)-1</f>
        <v>3.9741921732836527E-3</v>
      </c>
      <c r="C938" s="4">
        <f>(Raw_Stock_Data!C938/Raw_Stock_Data!C937)-1</f>
        <v>-1.0010539843381627E-2</v>
      </c>
      <c r="D938" s="4">
        <f>(Raw_Stock_Data!D938/Raw_Stock_Data!D937)-1</f>
        <v>3.9655231737948604E-2</v>
      </c>
      <c r="E938" s="4">
        <f>(Raw_Stock_Data!E938/Raw_Stock_Data!E937)-1</f>
        <v>1.0015948963317367E-2</v>
      </c>
      <c r="F938" s="4">
        <f>(Raw_Stock_Data!F938/Raw_Stock_Data!F937)-1</f>
        <v>4.1262636682493081E-4</v>
      </c>
      <c r="G938" s="4">
        <f>(Raw_Stock_Data!G938/Raw_Stock_Data!G937)-1</f>
        <v>1.7079999999999984E-2</v>
      </c>
      <c r="H938" s="4">
        <f>(Raw_Stock_Data!H938/Raw_Stock_Data!H937)-1</f>
        <v>2.7154919122878152E-3</v>
      </c>
      <c r="I938" s="4">
        <f>(Raw_Stock_Data!I938/Raw_Stock_Data!I937)-1</f>
        <v>-1.9135025956307228E-3</v>
      </c>
      <c r="J938" s="4">
        <f>(Raw_Stock_Data!J938/Raw_Stock_Data!J937)-1</f>
        <v>5.5774170522642219E-3</v>
      </c>
    </row>
    <row r="939" spans="1:10" x14ac:dyDescent="0.2">
      <c r="A939" s="2">
        <v>45560</v>
      </c>
      <c r="B939" s="4">
        <f>(Raw_Stock_Data!B939/Raw_Stock_Data!B938)-1</f>
        <v>-4.4007465789170919E-3</v>
      </c>
      <c r="C939" s="4">
        <f>(Raw_Stock_Data!C939/Raw_Stock_Data!C938)-1</f>
        <v>6.8501306287691577E-3</v>
      </c>
      <c r="D939" s="4">
        <f>(Raw_Stock_Data!D939/Raw_Stock_Data!D938)-1</f>
        <v>2.1834819877215361E-2</v>
      </c>
      <c r="E939" s="4">
        <f>(Raw_Stock_Data!E939/Raw_Stock_Data!E938)-1</f>
        <v>2.3370389085396681E-2</v>
      </c>
      <c r="F939" s="4">
        <f>(Raw_Stock_Data!F939/Raw_Stock_Data!F938)-1</f>
        <v>-7.372654155496039E-3</v>
      </c>
      <c r="G939" s="4">
        <f>(Raw_Stock_Data!G939/Raw_Stock_Data!G938)-1</f>
        <v>1.0815275101270228E-2</v>
      </c>
      <c r="H939" s="4">
        <f>(Raw_Stock_Data!H939/Raw_Stock_Data!H938)-1</f>
        <v>-4.9289345111780403E-3</v>
      </c>
      <c r="I939" s="4">
        <f>(Raw_Stock_Data!I939/Raw_Stock_Data!I938)-1</f>
        <v>8.840288995792811E-3</v>
      </c>
      <c r="J939" s="4">
        <f>(Raw_Stock_Data!J939/Raw_Stock_Data!J938)-1</f>
        <v>4.2546081445027362E-4</v>
      </c>
    </row>
    <row r="940" spans="1:10" x14ac:dyDescent="0.2">
      <c r="A940" s="2">
        <v>45561</v>
      </c>
      <c r="B940" s="4">
        <f>(Raw_Stock_Data!B940/Raw_Stock_Data!B939)-1</f>
        <v>5.0821179637765557E-3</v>
      </c>
      <c r="C940" s="4">
        <f>(Raw_Stock_Data!C940/Raw_Stock_Data!C939)-1</f>
        <v>-1.85276651199906E-3</v>
      </c>
      <c r="D940" s="4">
        <f>(Raw_Stock_Data!D940/Raw_Stock_Data!D939)-1</f>
        <v>4.2914632270183439E-3</v>
      </c>
      <c r="E940" s="4">
        <f>(Raw_Stock_Data!E940/Raw_Stock_Data!E939)-1</f>
        <v>3.3761264041476391E-2</v>
      </c>
      <c r="F940" s="4">
        <f>(Raw_Stock_Data!F940/Raw_Stock_Data!F939)-1</f>
        <v>-7.1157741650652584E-3</v>
      </c>
      <c r="G940" s="4">
        <f>(Raw_Stock_Data!G940/Raw_Stock_Data!G939)-1</f>
        <v>-1.0894093844836861E-2</v>
      </c>
      <c r="H940" s="4">
        <f>(Raw_Stock_Data!H940/Raw_Stock_Data!H939)-1</f>
        <v>7.6811010198072349E-3</v>
      </c>
      <c r="I940" s="4">
        <f>(Raw_Stock_Data!I940/Raw_Stock_Data!I939)-1</f>
        <v>-8.270134257709616E-4</v>
      </c>
      <c r="J940" s="4">
        <f>(Raw_Stock_Data!J940/Raw_Stock_Data!J939)-1</f>
        <v>5.9771454927246559E-3</v>
      </c>
    </row>
    <row r="941" spans="1:10" x14ac:dyDescent="0.2">
      <c r="A941" s="2">
        <v>45562</v>
      </c>
      <c r="B941" s="4">
        <f>(Raw_Stock_Data!B941/Raw_Stock_Data!B940)-1</f>
        <v>1.1845460934287733E-3</v>
      </c>
      <c r="C941" s="4">
        <f>(Raw_Stock_Data!C941/Raw_Stock_Data!C940)-1</f>
        <v>-7.6269375162619779E-3</v>
      </c>
      <c r="D941" s="4">
        <f>(Raw_Stock_Data!D941/Raw_Stock_Data!D940)-1</f>
        <v>-2.1276938829808745E-2</v>
      </c>
      <c r="E941" s="4">
        <f>(Raw_Stock_Data!E941/Raw_Stock_Data!E940)-1</f>
        <v>-1.8747387903755519E-2</v>
      </c>
      <c r="F941" s="4">
        <f>(Raw_Stock_Data!F941/Raw_Stock_Data!F940)-1</f>
        <v>-1.6687591546348579E-2</v>
      </c>
      <c r="G941" s="4">
        <f>(Raw_Stock_Data!G941/Raw_Stock_Data!G940)-1</f>
        <v>2.4545669105499046E-2</v>
      </c>
      <c r="H941" s="4">
        <f>(Raw_Stock_Data!H941/Raw_Stock_Data!H940)-1</f>
        <v>7.4933556452405625E-3</v>
      </c>
      <c r="I941" s="4">
        <f>(Raw_Stock_Data!I941/Raw_Stock_Data!I940)-1</f>
        <v>-8.4530853761621838E-4</v>
      </c>
      <c r="J941" s="4">
        <f>(Raw_Stock_Data!J941/Raw_Stock_Data!J940)-1</f>
        <v>-3.8866889972617447E-3</v>
      </c>
    </row>
    <row r="942" spans="1:10" x14ac:dyDescent="0.2">
      <c r="A942" s="2">
        <v>45565</v>
      </c>
      <c r="B942" s="4">
        <f>(Raw_Stock_Data!B942/Raw_Stock_Data!B941)-1</f>
        <v>2.2872657439904742E-2</v>
      </c>
      <c r="C942" s="4">
        <f>(Raw_Stock_Data!C942/Raw_Stock_Data!C941)-1</f>
        <v>5.325810869336145E-3</v>
      </c>
      <c r="D942" s="4">
        <f>(Raw_Stock_Data!D942/Raw_Stock_Data!D941)-1</f>
        <v>3.2951100566758207E-4</v>
      </c>
      <c r="E942" s="4">
        <f>(Raw_Stock_Data!E942/Raw_Stock_Data!E941)-1</f>
        <v>-1.6428354122298705E-3</v>
      </c>
      <c r="F942" s="4">
        <f>(Raw_Stock_Data!F942/Raw_Stock_Data!F941)-1</f>
        <v>-8.7247965100812896E-3</v>
      </c>
      <c r="G942" s="4">
        <f>(Raw_Stock_Data!G942/Raw_Stock_Data!G941)-1</f>
        <v>4.4920525224603214E-3</v>
      </c>
      <c r="H942" s="4">
        <f>(Raw_Stock_Data!H942/Raw_Stock_Data!H941)-1</f>
        <v>1.1589990351852153E-2</v>
      </c>
      <c r="I942" s="4">
        <f>(Raw_Stock_Data!I942/Raw_Stock_Data!I941)-1</f>
        <v>8.9537507050199139E-3</v>
      </c>
      <c r="J942" s="4">
        <f>(Raw_Stock_Data!J942/Raw_Stock_Data!J941)-1</f>
        <v>3.8400427382738744E-3</v>
      </c>
    </row>
    <row r="943" spans="1:10" x14ac:dyDescent="0.2">
      <c r="A943" s="2">
        <v>45566</v>
      </c>
      <c r="B943" s="4">
        <f>(Raw_Stock_Data!B943/Raw_Stock_Data!B942)-1</f>
        <v>-2.9145949865340692E-2</v>
      </c>
      <c r="C943" s="4">
        <f>(Raw_Stock_Data!C943/Raw_Stock_Data!C942)-1</f>
        <v>-2.2331408345752535E-2</v>
      </c>
      <c r="D943" s="4">
        <f>(Raw_Stock_Data!D943/Raw_Stock_Data!D942)-1</f>
        <v>-3.656367349627776E-2</v>
      </c>
      <c r="E943" s="4">
        <f>(Raw_Stock_Data!E943/Raw_Stock_Data!E942)-1</f>
        <v>-2.6389566065334047E-2</v>
      </c>
      <c r="F943" s="4">
        <f>(Raw_Stock_Data!F943/Raw_Stock_Data!F942)-1</f>
        <v>-6.4401867654162448E-3</v>
      </c>
      <c r="G943" s="4">
        <f>(Raw_Stock_Data!G943/Raw_Stock_Data!G942)-1</f>
        <v>-1.3798111837327598E-2</v>
      </c>
      <c r="H943" s="4">
        <f>(Raw_Stock_Data!H943/Raw_Stock_Data!H942)-1</f>
        <v>6.8755281902692644E-3</v>
      </c>
      <c r="I943" s="4">
        <f>(Raw_Stock_Data!I943/Raw_Stock_Data!I942)-1</f>
        <v>7.0400391307385846E-3</v>
      </c>
      <c r="J943" s="4">
        <f>(Raw_Stock_Data!J943/Raw_Stock_Data!J942)-1</f>
        <v>-1.5328351980876453E-2</v>
      </c>
    </row>
    <row r="944" spans="1:10" x14ac:dyDescent="0.2">
      <c r="A944" s="2">
        <v>45567</v>
      </c>
      <c r="B944" s="4">
        <f>(Raw_Stock_Data!B944/Raw_Stock_Data!B943)-1</f>
        <v>2.5250841324246931E-3</v>
      </c>
      <c r="C944" s="4">
        <f>(Raw_Stock_Data!C944/Raw_Stock_Data!C943)-1</f>
        <v>-8.4625461474335806E-3</v>
      </c>
      <c r="D944" s="4">
        <f>(Raw_Stock_Data!D944/Raw_Stock_Data!D943)-1</f>
        <v>1.5813047045951878E-2</v>
      </c>
      <c r="E944" s="4">
        <f>(Raw_Stock_Data!E944/Raw_Stock_Data!E943)-1</f>
        <v>1.877934272300763E-4</v>
      </c>
      <c r="F944" s="4">
        <f>(Raw_Stock_Data!F944/Raw_Stock_Data!F943)-1</f>
        <v>-1.9985955814832979E-3</v>
      </c>
      <c r="G944" s="4">
        <f>(Raw_Stock_Data!G944/Raw_Stock_Data!G943)-1</f>
        <v>-3.4881016975428114E-2</v>
      </c>
      <c r="H944" s="4">
        <f>(Raw_Stock_Data!H944/Raw_Stock_Data!H943)-1</f>
        <v>-6.7686257111854164E-3</v>
      </c>
      <c r="I944" s="4">
        <f>(Raw_Stock_Data!I944/Raw_Stock_Data!I943)-1</f>
        <v>-6.3489860703941359E-3</v>
      </c>
      <c r="J944" s="4">
        <f>(Raw_Stock_Data!J944/Raw_Stock_Data!J943)-1</f>
        <v>8.2410403810961874E-4</v>
      </c>
    </row>
    <row r="945" spans="1:10" x14ac:dyDescent="0.2">
      <c r="A945" s="2">
        <v>45568</v>
      </c>
      <c r="B945" s="4">
        <f>(Raw_Stock_Data!B945/Raw_Stock_Data!B944)-1</f>
        <v>-4.8999827059433843E-3</v>
      </c>
      <c r="C945" s="4">
        <f>(Raw_Stock_Data!C945/Raw_Stock_Data!C944)-1</f>
        <v>-1.4148552595862895E-3</v>
      </c>
      <c r="D945" s="4">
        <f>(Raw_Stock_Data!D945/Raw_Stock_Data!D944)-1</f>
        <v>3.3658134329614064E-2</v>
      </c>
      <c r="E945" s="4">
        <f>(Raw_Stock_Data!E945/Raw_Stock_Data!E944)-1</f>
        <v>1.9213919138815871E-2</v>
      </c>
      <c r="F945" s="4">
        <f>(Raw_Stock_Data!F945/Raw_Stock_Data!F944)-1</f>
        <v>-1.5154795410261879E-2</v>
      </c>
      <c r="G945" s="4">
        <f>(Raw_Stock_Data!G945/Raw_Stock_Data!G944)-1</f>
        <v>-3.3571600674644708E-2</v>
      </c>
      <c r="H945" s="4">
        <f>(Raw_Stock_Data!H945/Raw_Stock_Data!H944)-1</f>
        <v>0</v>
      </c>
      <c r="I945" s="4">
        <f>(Raw_Stock_Data!I945/Raw_Stock_Data!I944)-1</f>
        <v>1.7387964595590333E-2</v>
      </c>
      <c r="J945" s="4">
        <f>(Raw_Stock_Data!J945/Raw_Stock_Data!J944)-1</f>
        <v>-3.709877534988637E-4</v>
      </c>
    </row>
    <row r="946" spans="1:10" x14ac:dyDescent="0.2">
      <c r="A946" s="2">
        <v>45569</v>
      </c>
      <c r="B946" s="4">
        <f>(Raw_Stock_Data!B946/Raw_Stock_Data!B945)-1</f>
        <v>5.013234940242306E-3</v>
      </c>
      <c r="C946" s="4">
        <f>(Raw_Stock_Data!C946/Raw_Stock_Data!C945)-1</f>
        <v>-1.1522510993294821E-3</v>
      </c>
      <c r="D946" s="4">
        <f>(Raw_Stock_Data!D946/Raw_Stock_Data!D945)-1</f>
        <v>1.6842773644193398E-2</v>
      </c>
      <c r="E946" s="4">
        <f>(Raw_Stock_Data!E946/Raw_Stock_Data!E945)-1</f>
        <v>4.9431992631255861E-2</v>
      </c>
      <c r="F946" s="4">
        <f>(Raw_Stock_Data!F946/Raw_Stock_Data!F945)-1</f>
        <v>2.5005495713343429E-2</v>
      </c>
      <c r="G946" s="4">
        <f>(Raw_Stock_Data!G946/Raw_Stock_Data!G945)-1</f>
        <v>3.9142358514086428E-2</v>
      </c>
      <c r="H946" s="4">
        <f>(Raw_Stock_Data!H946/Raw_Stock_Data!H945)-1</f>
        <v>7.2372789279895322E-3</v>
      </c>
      <c r="I946" s="4">
        <f>(Raw_Stock_Data!I946/Raw_Stock_Data!I945)-1</f>
        <v>2.259896700241959E-2</v>
      </c>
      <c r="J946" s="4">
        <f>(Raw_Stock_Data!J946/Raw_Stock_Data!J945)-1</f>
        <v>1.22432328206592E-2</v>
      </c>
    </row>
    <row r="947" spans="1:10" x14ac:dyDescent="0.2">
      <c r="A947" s="2">
        <v>45572</v>
      </c>
      <c r="B947" s="4">
        <f>(Raw_Stock_Data!B947/Raw_Stock_Data!B946)-1</f>
        <v>-2.2533487635846061E-2</v>
      </c>
      <c r="C947" s="4">
        <f>(Raw_Stock_Data!C947/Raw_Stock_Data!C946)-1</f>
        <v>-1.5670870772513501E-2</v>
      </c>
      <c r="D947" s="4">
        <f>(Raw_Stock_Data!D947/Raw_Stock_Data!D946)-1</f>
        <v>2.241596016363645E-2</v>
      </c>
      <c r="E947" s="4">
        <f>(Raw_Stock_Data!E947/Raw_Stock_Data!E946)-1</f>
        <v>4.0959625511982622E-4</v>
      </c>
      <c r="F947" s="4">
        <f>(Raw_Stock_Data!F947/Raw_Stock_Data!F946)-1</f>
        <v>-3.0614980430003658E-2</v>
      </c>
      <c r="G947" s="4">
        <f>(Raw_Stock_Data!G947/Raw_Stock_Data!G946)-1</f>
        <v>-3.6988163787587958E-2</v>
      </c>
      <c r="H947" s="4">
        <f>(Raw_Stock_Data!H947/Raw_Stock_Data!H946)-1</f>
        <v>-2.4426346415451605E-2</v>
      </c>
      <c r="I947" s="4">
        <f>(Raw_Stock_Data!I947/Raw_Stock_Data!I946)-1</f>
        <v>-1.8726717454777497E-2</v>
      </c>
      <c r="J947" s="4">
        <f>(Raw_Stock_Data!J947/Raw_Stock_Data!J946)-1</f>
        <v>-1.1795775133215725E-2</v>
      </c>
    </row>
    <row r="948" spans="1:10" x14ac:dyDescent="0.2">
      <c r="A948" s="2">
        <v>45573</v>
      </c>
      <c r="B948" s="4">
        <f>(Raw_Stock_Data!B948/Raw_Stock_Data!B947)-1</f>
        <v>1.8403349527555068E-2</v>
      </c>
      <c r="C948" s="4">
        <f>(Raw_Stock_Data!C948/Raw_Stock_Data!C947)-1</f>
        <v>1.2624718023497739E-2</v>
      </c>
      <c r="D948" s="4">
        <f>(Raw_Stock_Data!D948/Raw_Stock_Data!D947)-1</f>
        <v>4.0482025823930678E-2</v>
      </c>
      <c r="E948" s="4">
        <f>(Raw_Stock_Data!E948/Raw_Stock_Data!E947)-1</f>
        <v>1.0703632216178427E-2</v>
      </c>
      <c r="F948" s="4">
        <f>(Raw_Stock_Data!F948/Raw_Stock_Data!F947)-1</f>
        <v>1.0619469026548645E-2</v>
      </c>
      <c r="G948" s="4">
        <f>(Raw_Stock_Data!G948/Raw_Stock_Data!G947)-1</f>
        <v>1.5238965245193636E-2</v>
      </c>
      <c r="H948" s="4">
        <f>(Raw_Stock_Data!H948/Raw_Stock_Data!H947)-1</f>
        <v>8.5937356028822354E-3</v>
      </c>
      <c r="I948" s="4">
        <f>(Raw_Stock_Data!I948/Raw_Stock_Data!I947)-1</f>
        <v>1.3868463353739813E-2</v>
      </c>
      <c r="J948" s="4">
        <f>(Raw_Stock_Data!J948/Raw_Stock_Data!J947)-1</f>
        <v>1.4451096022628729E-2</v>
      </c>
    </row>
    <row r="949" spans="1:10" x14ac:dyDescent="0.2">
      <c r="A949" s="2">
        <v>45574</v>
      </c>
      <c r="B949" s="4">
        <f>(Raw_Stock_Data!B949/Raw_Stock_Data!B948)-1</f>
        <v>1.6703339777110582E-2</v>
      </c>
      <c r="C949" s="4">
        <f>(Raw_Stock_Data!C949/Raw_Stock_Data!C948)-1</f>
        <v>6.6299090078814071E-3</v>
      </c>
      <c r="D949" s="4">
        <f>(Raw_Stock_Data!D949/Raw_Stock_Data!D948)-1</f>
        <v>-1.8061272868206135E-3</v>
      </c>
      <c r="E949" s="4">
        <f>(Raw_Stock_Data!E949/Raw_Stock_Data!E948)-1</f>
        <v>-1.0300925925925908E-2</v>
      </c>
      <c r="F949" s="4">
        <f>(Raw_Stock_Data!F949/Raw_Stock_Data!F948)-1</f>
        <v>1.340849387040266E-2</v>
      </c>
      <c r="G949" s="4">
        <f>(Raw_Stock_Data!G949/Raw_Stock_Data!G948)-1</f>
        <v>-1.4110429447852679E-2</v>
      </c>
      <c r="H949" s="4">
        <f>(Raw_Stock_Data!H949/Raw_Stock_Data!H948)-1</f>
        <v>-1.5329614110309864E-2</v>
      </c>
      <c r="I949" s="4">
        <f>(Raw_Stock_Data!I949/Raw_Stock_Data!I948)-1</f>
        <v>-4.0142353556308352E-3</v>
      </c>
      <c r="J949" s="4">
        <f>(Raw_Stock_Data!J949/Raw_Stock_Data!J948)-1</f>
        <v>5.9781377248540046E-3</v>
      </c>
    </row>
    <row r="950" spans="1:10" x14ac:dyDescent="0.2">
      <c r="A950" s="2">
        <v>45575</v>
      </c>
      <c r="B950" s="4">
        <f>(Raw_Stock_Data!B950/Raw_Stock_Data!B949)-1</f>
        <v>-2.1817608299452562E-3</v>
      </c>
      <c r="C950" s="4">
        <f>(Raw_Stock_Data!C950/Raw_Stock_Data!C949)-1</f>
        <v>-3.8811788030510552E-3</v>
      </c>
      <c r="D950" s="4">
        <f>(Raw_Stock_Data!D950/Raw_Stock_Data!D949)-1</f>
        <v>1.6284557565157121E-2</v>
      </c>
      <c r="E950" s="4">
        <f>(Raw_Stock_Data!E950/Raw_Stock_Data!E949)-1</f>
        <v>-3.9995322184539828E-2</v>
      </c>
      <c r="F950" s="4">
        <f>(Raw_Stock_Data!F950/Raw_Stock_Data!F949)-1</f>
        <v>7.9926553977427428E-3</v>
      </c>
      <c r="G950" s="4">
        <f>(Raw_Stock_Data!G950/Raw_Stock_Data!G949)-1</f>
        <v>-9.4586185438705339E-3</v>
      </c>
      <c r="H950" s="4">
        <f>(Raw_Stock_Data!H950/Raw_Stock_Data!H949)-1</f>
        <v>1.354569352095325E-3</v>
      </c>
      <c r="I950" s="4">
        <f>(Raw_Stock_Data!I950/Raw_Stock_Data!I949)-1</f>
        <v>-1.1312255507950675E-2</v>
      </c>
      <c r="J950" s="4">
        <f>(Raw_Stock_Data!J950/Raw_Stock_Data!J949)-1</f>
        <v>-5.2319040085024859E-4</v>
      </c>
    </row>
    <row r="951" spans="1:10" x14ac:dyDescent="0.2">
      <c r="A951" s="2">
        <v>45576</v>
      </c>
      <c r="B951" s="4">
        <f>(Raw_Stock_Data!B951/Raw_Stock_Data!B950)-1</f>
        <v>-6.5025158282037143E-3</v>
      </c>
      <c r="C951" s="4">
        <f>(Raw_Stock_Data!C951/Raw_Stock_Data!C950)-1</f>
        <v>1.154191836803431E-3</v>
      </c>
      <c r="D951" s="4">
        <f>(Raw_Stock_Data!D951/Raw_Stock_Data!D950)-1</f>
        <v>-7.4183425938900704E-5</v>
      </c>
      <c r="E951" s="4">
        <f>(Raw_Stock_Data!E951/Raw_Stock_Data!E950)-1</f>
        <v>2.2597149470093614E-2</v>
      </c>
      <c r="F951" s="4">
        <f>(Raw_Stock_Data!F951/Raw_Stock_Data!F950)-1</f>
        <v>1.1626038039110664E-2</v>
      </c>
      <c r="G951" s="4">
        <f>(Raw_Stock_Data!G951/Raw_Stock_Data!G950)-1</f>
        <v>-8.782510365623819E-2</v>
      </c>
      <c r="H951" s="4">
        <f>(Raw_Stock_Data!H951/Raw_Stock_Data!H950)-1</f>
        <v>7.1590052750565292E-3</v>
      </c>
      <c r="I951" s="4">
        <f>(Raw_Stock_Data!I951/Raw_Stock_Data!I950)-1</f>
        <v>1.0482503468475457E-2</v>
      </c>
      <c r="J951" s="4">
        <f>(Raw_Stock_Data!J951/Raw_Stock_Data!J950)-1</f>
        <v>3.3305892938702009E-3</v>
      </c>
    </row>
    <row r="952" spans="1:10" x14ac:dyDescent="0.2">
      <c r="A952" s="2">
        <v>45579</v>
      </c>
      <c r="B952" s="4">
        <f>(Raw_Stock_Data!B952/Raw_Stock_Data!B951)-1</f>
        <v>1.6479801305479658E-2</v>
      </c>
      <c r="C952" s="4">
        <f>(Raw_Stock_Data!C952/Raw_Stock_Data!C951)-1</f>
        <v>6.7751655884165096E-3</v>
      </c>
      <c r="D952" s="4">
        <f>(Raw_Stock_Data!D952/Raw_Stock_Data!D951)-1</f>
        <v>2.4252361062682359E-2</v>
      </c>
      <c r="E952" s="4">
        <f>(Raw_Stock_Data!E952/Raw_Stock_Data!E951)-1</f>
        <v>-1.5605455953302649E-2</v>
      </c>
      <c r="F952" s="4">
        <f>(Raw_Stock_Data!F952/Raw_Stock_Data!F951)-1</f>
        <v>-6.7789429085901576E-3</v>
      </c>
      <c r="G952" s="4">
        <f>(Raw_Stock_Data!G952/Raw_Stock_Data!G951)-1</f>
        <v>6.2442607897152946E-3</v>
      </c>
      <c r="H952" s="4">
        <f>(Raw_Stock_Data!H952/Raw_Stock_Data!H951)-1</f>
        <v>1.0536451337908481E-2</v>
      </c>
      <c r="I952" s="4">
        <f>(Raw_Stock_Data!I952/Raw_Stock_Data!I951)-1</f>
        <v>7.9667768454938503E-4</v>
      </c>
      <c r="J952" s="4">
        <f>(Raw_Stock_Data!J952/Raw_Stock_Data!J951)-1</f>
        <v>8.7090728094842973E-3</v>
      </c>
    </row>
    <row r="953" spans="1:10" x14ac:dyDescent="0.2">
      <c r="A953" s="2">
        <v>45580</v>
      </c>
      <c r="B953" s="4">
        <f>(Raw_Stock_Data!B953/Raw_Stock_Data!B952)-1</f>
        <v>1.1021451614305677E-2</v>
      </c>
      <c r="C953" s="4">
        <f>(Raw_Stock_Data!C953/Raw_Stock_Data!C952)-1</f>
        <v>-9.5385402447512035E-4</v>
      </c>
      <c r="D953" s="4">
        <f>(Raw_Stock_Data!D953/Raw_Stock_Data!D952)-1</f>
        <v>-4.685643922932059E-2</v>
      </c>
      <c r="E953" s="4">
        <f>(Raw_Stock_Data!E953/Raw_Stock_Data!E952)-1</f>
        <v>-5.2217583348460272E-2</v>
      </c>
      <c r="F953" s="4">
        <f>(Raw_Stock_Data!F953/Raw_Stock_Data!F952)-1</f>
        <v>7.9982936973443941E-4</v>
      </c>
      <c r="G953" s="4">
        <f>(Raw_Stock_Data!G953/Raw_Stock_Data!G952)-1</f>
        <v>1.8707793392955807E-3</v>
      </c>
      <c r="H953" s="4">
        <f>(Raw_Stock_Data!H953/Raw_Stock_Data!H952)-1</f>
        <v>3.0345145687045161E-3</v>
      </c>
      <c r="I953" s="4">
        <f>(Raw_Stock_Data!I953/Raw_Stock_Data!I952)-1</f>
        <v>-7.0288946851393419E-3</v>
      </c>
      <c r="J953" s="4">
        <f>(Raw_Stock_Data!J953/Raw_Stock_Data!J952)-1</f>
        <v>-1.0112043167777141E-2</v>
      </c>
    </row>
    <row r="954" spans="1:10" x14ac:dyDescent="0.2">
      <c r="A954" s="2">
        <v>45581</v>
      </c>
      <c r="B954" s="4">
        <f>(Raw_Stock_Data!B954/Raw_Stock_Data!B953)-1</f>
        <v>-8.850052248850715E-3</v>
      </c>
      <c r="C954" s="4">
        <f>(Raw_Stock_Data!C954/Raw_Stock_Data!C953)-1</f>
        <v>-6.2574179715916278E-3</v>
      </c>
      <c r="D954" s="4">
        <f>(Raw_Stock_Data!D954/Raw_Stock_Data!D953)-1</f>
        <v>3.1309132083501279E-2</v>
      </c>
      <c r="E954" s="4">
        <f>(Raw_Stock_Data!E954/Raw_Stock_Data!E953)-1</f>
        <v>-3.2558733401429896E-3</v>
      </c>
      <c r="F954" s="4">
        <f>(Raw_Stock_Data!F954/Raw_Stock_Data!F953)-1</f>
        <v>-4.2623474878790146E-3</v>
      </c>
      <c r="G954" s="4">
        <f>(Raw_Stock_Data!G954/Raw_Stock_Data!G953)-1</f>
        <v>8.0156669854716256E-3</v>
      </c>
      <c r="H954" s="4">
        <f>(Raw_Stock_Data!H954/Raw_Stock_Data!H953)-1</f>
        <v>-1.8152004888939421E-3</v>
      </c>
      <c r="I954" s="4">
        <f>(Raw_Stock_Data!I954/Raw_Stock_Data!I953)-1</f>
        <v>-1.6170024050352283E-2</v>
      </c>
      <c r="J954" s="4">
        <f>(Raw_Stock_Data!J954/Raw_Stock_Data!J953)-1</f>
        <v>2.8112662491353024E-3</v>
      </c>
    </row>
    <row r="955" spans="1:10" x14ac:dyDescent="0.2">
      <c r="A955" s="2">
        <v>45582</v>
      </c>
      <c r="B955" s="4">
        <f>(Raw_Stock_Data!B955/Raw_Stock_Data!B954)-1</f>
        <v>1.5966470412134282E-3</v>
      </c>
      <c r="C955" s="4">
        <f>(Raw_Stock_Data!C955/Raw_Stock_Data!C954)-1</f>
        <v>1.4423690490237284E-3</v>
      </c>
      <c r="D955" s="4">
        <f>(Raw_Stock_Data!D955/Raw_Stock_Data!D954)-1</f>
        <v>8.9160053348658064E-3</v>
      </c>
      <c r="E955" s="4">
        <f>(Raw_Stock_Data!E955/Raw_Stock_Data!E954)-1</f>
        <v>7.6859027733311436E-4</v>
      </c>
      <c r="F955" s="4">
        <f>(Raw_Stock_Data!F955/Raw_Stock_Data!F954)-1</f>
        <v>3.4244742896891722E-3</v>
      </c>
      <c r="G955" s="4">
        <f>(Raw_Stock_Data!G955/Raw_Stock_Data!G954)-1</f>
        <v>-1.9879817467132188E-3</v>
      </c>
      <c r="H955" s="4">
        <f>(Raw_Stock_Data!H955/Raw_Stock_Data!H954)-1</f>
        <v>-1.3505403980093478E-2</v>
      </c>
      <c r="I955" s="4">
        <f>(Raw_Stock_Data!I955/Raw_Stock_Data!I954)-1</f>
        <v>2.4272265469238441E-4</v>
      </c>
      <c r="J955" s="4">
        <f>(Raw_Stock_Data!J955/Raw_Stock_Data!J954)-1</f>
        <v>3.5552738922017824E-4</v>
      </c>
    </row>
    <row r="956" spans="1:10" x14ac:dyDescent="0.2">
      <c r="A956" s="2">
        <v>45583</v>
      </c>
      <c r="B956" s="4">
        <f>(Raw_Stock_Data!B956/Raw_Stock_Data!B955)-1</f>
        <v>1.2276316758428552E-2</v>
      </c>
      <c r="C956" s="4">
        <f>(Raw_Stock_Data!C956/Raw_Stock_Data!C955)-1</f>
        <v>3.4552571846266922E-3</v>
      </c>
      <c r="D956" s="4">
        <f>(Raw_Stock_Data!D956/Raw_Stock_Data!D955)-1</f>
        <v>7.8074217979711147E-3</v>
      </c>
      <c r="E956" s="4">
        <f>(Raw_Stock_Data!E956/Raw_Stock_Data!E955)-1</f>
        <v>-1.7920000000000158E-3</v>
      </c>
      <c r="F956" s="4">
        <f>(Raw_Stock_Data!F956/Raw_Stock_Data!F955)-1</f>
        <v>7.7854209993069023E-3</v>
      </c>
      <c r="G956" s="4">
        <f>(Raw_Stock_Data!G956/Raw_Stock_Data!G955)-1</f>
        <v>-8.6015663905114614E-4</v>
      </c>
      <c r="H956" s="4">
        <f>(Raw_Stock_Data!H956/Raw_Stock_Data!H955)-1</f>
        <v>3.0108821884813342E-3</v>
      </c>
      <c r="I956" s="4">
        <f>(Raw_Stock_Data!I956/Raw_Stock_Data!I955)-1</f>
        <v>-7.9732376544805472E-4</v>
      </c>
      <c r="J956" s="4">
        <f>(Raw_Stock_Data!J956/Raw_Stock_Data!J955)-1</f>
        <v>6.3101372022154045E-3</v>
      </c>
    </row>
    <row r="957" spans="1:10" x14ac:dyDescent="0.2">
      <c r="A957" s="2">
        <v>45586</v>
      </c>
      <c r="B957" s="4">
        <f>(Raw_Stock_Data!B957/Raw_Stock_Data!B956)-1</f>
        <v>6.2990778184308649E-3</v>
      </c>
      <c r="C957" s="4">
        <f>(Raw_Stock_Data!C957/Raw_Stock_Data!C956)-1</f>
        <v>1.4808602408193927E-3</v>
      </c>
      <c r="D957" s="4">
        <f>(Raw_Stock_Data!D957/Raw_Stock_Data!D956)-1</f>
        <v>4.137981013116887E-2</v>
      </c>
      <c r="E957" s="4">
        <f>(Raw_Stock_Data!E957/Raw_Stock_Data!E956)-1</f>
        <v>1.2374174520741299E-2</v>
      </c>
      <c r="F957" s="4">
        <f>(Raw_Stock_Data!F957/Raw_Stock_Data!F956)-1</f>
        <v>4.2330282025493382E-4</v>
      </c>
      <c r="G957" s="4">
        <f>(Raw_Stock_Data!G957/Raw_Stock_Data!G956)-1</f>
        <v>-8.3824195740824781E-3</v>
      </c>
      <c r="H957" s="4">
        <f>(Raw_Stock_Data!H957/Raw_Stock_Data!H956)-1</f>
        <v>3.9759117335342875E-3</v>
      </c>
      <c r="I957" s="4">
        <f>(Raw_Stock_Data!I957/Raw_Stock_Data!I956)-1</f>
        <v>-2.2724512984197975E-3</v>
      </c>
      <c r="J957" s="4">
        <f>(Raw_Stock_Data!J957/Raw_Stock_Data!J956)-1</f>
        <v>2.729109145436226E-3</v>
      </c>
    </row>
    <row r="958" spans="1:10" x14ac:dyDescent="0.2">
      <c r="A958" s="2">
        <v>45587</v>
      </c>
      <c r="B958" s="4">
        <f>(Raw_Stock_Data!B958/Raw_Stock_Data!B957)-1</f>
        <v>-2.6195265290849257E-3</v>
      </c>
      <c r="C958" s="4">
        <f>(Raw_Stock_Data!C958/Raw_Stock_Data!C957)-1</f>
        <v>2.0847340426804584E-2</v>
      </c>
      <c r="D958" s="4">
        <f>(Raw_Stock_Data!D958/Raw_Stock_Data!D957)-1</f>
        <v>-8.3507306889341049E-4</v>
      </c>
      <c r="E958" s="4">
        <f>(Raw_Stock_Data!E958/Raw_Stock_Data!E957)-1</f>
        <v>-2.4129195693476935E-2</v>
      </c>
      <c r="F958" s="4">
        <f>(Raw_Stock_Data!F958/Raw_Stock_Data!F957)-1</f>
        <v>3.3320992225100987E-3</v>
      </c>
      <c r="G958" s="4">
        <f>(Raw_Stock_Data!G958/Raw_Stock_Data!G957)-1</f>
        <v>-4.0210189627598591E-3</v>
      </c>
      <c r="H958" s="4">
        <f>(Raw_Stock_Data!H958/Raw_Stock_Data!H957)-1</f>
        <v>6.5229860509390392E-3</v>
      </c>
      <c r="I958" s="4">
        <f>(Raw_Stock_Data!I958/Raw_Stock_Data!I957)-1</f>
        <v>1.1909729466583308E-2</v>
      </c>
      <c r="J958" s="4">
        <f>(Raw_Stock_Data!J958/Raw_Stock_Data!J957)-1</f>
        <v>1.7864068034485481E-3</v>
      </c>
    </row>
    <row r="959" spans="1:10" x14ac:dyDescent="0.2">
      <c r="A959" s="2">
        <v>45588</v>
      </c>
      <c r="B959" s="4">
        <f>(Raw_Stock_Data!B959/Raw_Stock_Data!B958)-1</f>
        <v>-2.1629480559902103E-2</v>
      </c>
      <c r="C959" s="4">
        <f>(Raw_Stock_Data!C959/Raw_Stock_Data!C958)-1</f>
        <v>-6.8064201605040342E-3</v>
      </c>
      <c r="D959" s="4">
        <f>(Raw_Stock_Data!D959/Raw_Stock_Data!D958)-1</f>
        <v>-2.8067976041231346E-2</v>
      </c>
      <c r="E959" s="4">
        <f>(Raw_Stock_Data!E959/Raw_Stock_Data!E958)-1</f>
        <v>-7.6578622882731429E-3</v>
      </c>
      <c r="F959" s="4">
        <f>(Raw_Stock_Data!F959/Raw_Stock_Data!F958)-1</f>
        <v>-2.63046916183447E-2</v>
      </c>
      <c r="G959" s="4">
        <f>(Raw_Stock_Data!G959/Raw_Stock_Data!G958)-1</f>
        <v>-1.9819241179978908E-2</v>
      </c>
      <c r="H959" s="4">
        <f>(Raw_Stock_Data!H959/Raw_Stock_Data!H958)-1</f>
        <v>-1.4289091912143559E-2</v>
      </c>
      <c r="I959" s="4">
        <f>(Raw_Stock_Data!I959/Raw_Stock_Data!I958)-1</f>
        <v>-3.1477122386213141E-2</v>
      </c>
      <c r="J959" s="4">
        <f>(Raw_Stock_Data!J959/Raw_Stock_Data!J958)-1</f>
        <v>-1.5962845250100499E-2</v>
      </c>
    </row>
    <row r="960" spans="1:10" x14ac:dyDescent="0.2">
      <c r="A960" s="2">
        <v>45589</v>
      </c>
      <c r="B960" s="4">
        <f>(Raw_Stock_Data!B960/Raw_Stock_Data!B959)-1</f>
        <v>-8.1492844318153956E-4</v>
      </c>
      <c r="C960" s="4">
        <f>(Raw_Stock_Data!C960/Raw_Stock_Data!C959)-1</f>
        <v>3.0678321282251453E-4</v>
      </c>
      <c r="D960" s="4">
        <f>(Raw_Stock_Data!D960/Raw_Stock_Data!D959)-1</f>
        <v>6.091006807595889E-3</v>
      </c>
      <c r="E960" s="4">
        <f>(Raw_Stock_Data!E960/Raw_Stock_Data!E959)-1</f>
        <v>3.4660911647375059E-3</v>
      </c>
      <c r="F960" s="4">
        <f>(Raw_Stock_Data!F960/Raw_Stock_Data!F959)-1</f>
        <v>9.0411997184776105E-3</v>
      </c>
      <c r="G960" s="4">
        <f>(Raw_Stock_Data!G960/Raw_Stock_Data!G959)-1</f>
        <v>0.21919026445120537</v>
      </c>
      <c r="H960" s="4">
        <f>(Raw_Stock_Data!H960/Raw_Stock_Data!H959)-1</f>
        <v>-3.6901730691174528E-4</v>
      </c>
      <c r="I960" s="4">
        <f>(Raw_Stock_Data!I960/Raw_Stock_Data!I959)-1</f>
        <v>7.2557611453101245E-3</v>
      </c>
      <c r="J960" s="4">
        <f>(Raw_Stock_Data!J960/Raw_Stock_Data!J959)-1</f>
        <v>7.5965781475271221E-3</v>
      </c>
    </row>
    <row r="961" spans="1:10" x14ac:dyDescent="0.2">
      <c r="A961" s="2">
        <v>45590</v>
      </c>
      <c r="B961" s="4">
        <f>(Raw_Stock_Data!B961/Raw_Stock_Data!B960)-1</f>
        <v>3.6418194268168502E-3</v>
      </c>
      <c r="C961" s="4">
        <f>(Raw_Stock_Data!C961/Raw_Stock_Data!C960)-1</f>
        <v>8.051769124426178E-3</v>
      </c>
      <c r="D961" s="4">
        <f>(Raw_Stock_Data!D961/Raw_Stock_Data!D960)-1</f>
        <v>8.0484330484329458E-3</v>
      </c>
      <c r="E961" s="4">
        <f>(Raw_Stock_Data!E961/Raw_Stock_Data!E960)-1</f>
        <v>1.8183003128258601E-2</v>
      </c>
      <c r="F961" s="4">
        <f>(Raw_Stock_Data!F961/Raw_Stock_Data!F960)-1</f>
        <v>7.7798047000752213E-3</v>
      </c>
      <c r="G961" s="4">
        <f>(Raw_Stock_Data!G961/Raw_Stock_Data!G960)-1</f>
        <v>3.3438267813267641E-2</v>
      </c>
      <c r="H961" s="4">
        <f>(Raw_Stock_Data!H961/Raw_Stock_Data!H960)-1</f>
        <v>1.5670567388976986E-2</v>
      </c>
      <c r="I961" s="4">
        <f>(Raw_Stock_Data!I961/Raw_Stock_Data!I960)-1</f>
        <v>9.6340131741168289E-3</v>
      </c>
      <c r="J961" s="4">
        <f>(Raw_Stock_Data!J961/Raw_Stock_Data!J960)-1</f>
        <v>5.5996337865567014E-3</v>
      </c>
    </row>
    <row r="962" spans="1:10" x14ac:dyDescent="0.2">
      <c r="A962" s="2">
        <v>45593</v>
      </c>
      <c r="B962" s="4">
        <f>(Raw_Stock_Data!B962/Raw_Stock_Data!B961)-1</f>
        <v>8.5913191607709383E-3</v>
      </c>
      <c r="C962" s="4">
        <f>(Raw_Stock_Data!C962/Raw_Stock_Data!C961)-1</f>
        <v>-3.6438526076832956E-3</v>
      </c>
      <c r="D962" s="4">
        <f>(Raw_Stock_Data!D962/Raw_Stock_Data!D961)-1</f>
        <v>-7.2069525895570585E-3</v>
      </c>
      <c r="E962" s="4">
        <f>(Raw_Stock_Data!E962/Raw_Stock_Data!E961)-1</f>
        <v>2.3619023234974001E-2</v>
      </c>
      <c r="F962" s="4">
        <f>(Raw_Stock_Data!F962/Raw_Stock_Data!F961)-1</f>
        <v>2.9814193685777646E-3</v>
      </c>
      <c r="G962" s="4">
        <f>(Raw_Stock_Data!G962/Raw_Stock_Data!G961)-1</f>
        <v>-2.4815186299639636E-2</v>
      </c>
      <c r="H962" s="4">
        <f>(Raw_Stock_Data!H962/Raw_Stock_Data!H961)-1</f>
        <v>8.7714515904313561E-3</v>
      </c>
      <c r="I962" s="4">
        <f>(Raw_Stock_Data!I962/Raw_Stock_Data!I961)-1</f>
        <v>8.5651984300043615E-3</v>
      </c>
      <c r="J962" s="4">
        <f>(Raw_Stock_Data!J962/Raw_Stock_Data!J961)-1</f>
        <v>2.6233070408632209E-3</v>
      </c>
    </row>
    <row r="963" spans="1:10" x14ac:dyDescent="0.2">
      <c r="A963" s="2">
        <v>45594</v>
      </c>
      <c r="B963" s="4">
        <f>(Raw_Stock_Data!B963/Raw_Stock_Data!B962)-1</f>
        <v>1.1633267698725192E-3</v>
      </c>
      <c r="C963" s="4">
        <f>(Raw_Stock_Data!C963/Raw_Stock_Data!C962)-1</f>
        <v>1.2564065223212406E-2</v>
      </c>
      <c r="D963" s="4">
        <f>(Raw_Stock_Data!D963/Raw_Stock_Data!D962)-1</f>
        <v>5.1953597608711544E-3</v>
      </c>
      <c r="E963" s="4">
        <f>(Raw_Stock_Data!E963/Raw_Stock_Data!E962)-1</f>
        <v>3.9582291145572768E-2</v>
      </c>
      <c r="F963" s="4">
        <f>(Raw_Stock_Data!F963/Raw_Stock_Data!F962)-1</f>
        <v>1.2951855194012651E-2</v>
      </c>
      <c r="G963" s="4">
        <f>(Raw_Stock_Data!G963/Raw_Stock_Data!G962)-1</f>
        <v>-1.1390042284103452E-2</v>
      </c>
      <c r="H963" s="4">
        <f>(Raw_Stock_Data!H963/Raw_Stock_Data!H962)-1</f>
        <v>1.7756667006947779E-2</v>
      </c>
      <c r="I963" s="4">
        <f>(Raw_Stock_Data!I963/Raw_Stock_Data!I962)-1</f>
        <v>2.6151930261519407E-2</v>
      </c>
      <c r="J963" s="4">
        <f>(Raw_Stock_Data!J963/Raw_Stock_Data!J962)-1</f>
        <v>7.8396353998639867E-3</v>
      </c>
    </row>
    <row r="964" spans="1:10" x14ac:dyDescent="0.2">
      <c r="A964" s="2">
        <v>45595</v>
      </c>
      <c r="B964" s="4">
        <f>(Raw_Stock_Data!B964/Raw_Stock_Data!B963)-1</f>
        <v>-1.5282123229601874E-2</v>
      </c>
      <c r="C964" s="4">
        <f>(Raw_Stock_Data!C964/Raw_Stock_Data!C963)-1</f>
        <v>1.3431163547032998E-3</v>
      </c>
      <c r="D964" s="4">
        <f>(Raw_Stock_Data!D964/Raw_Stock_Data!D963)-1</f>
        <v>-1.3558482016426066E-2</v>
      </c>
      <c r="E964" s="4">
        <f>(Raw_Stock_Data!E964/Raw_Stock_Data!E963)-1</f>
        <v>-0.10616541353383457</v>
      </c>
      <c r="F964" s="4">
        <f>(Raw_Stock_Data!F964/Raw_Stock_Data!F963)-1</f>
        <v>9.956505790494008E-3</v>
      </c>
      <c r="G964" s="4">
        <f>(Raw_Stock_Data!G964/Raw_Stock_Data!G963)-1</f>
        <v>-7.5909371146731797E-3</v>
      </c>
      <c r="H964" s="4">
        <f>(Raw_Stock_Data!H964/Raw_Stock_Data!H963)-1</f>
        <v>2.8167518261095426E-2</v>
      </c>
      <c r="I964" s="4">
        <f>(Raw_Stock_Data!I964/Raw_Stock_Data!I963)-1</f>
        <v>-2.4946062567422489E-3</v>
      </c>
      <c r="J964" s="4">
        <f>(Raw_Stock_Data!J964/Raw_Stock_Data!J963)-1</f>
        <v>-5.6015283696944085E-3</v>
      </c>
    </row>
    <row r="965" spans="1:10" x14ac:dyDescent="0.2">
      <c r="A965" s="2">
        <v>45596</v>
      </c>
      <c r="B965" s="4">
        <f>(Raw_Stock_Data!B965/Raw_Stock_Data!B964)-1</f>
        <v>-1.820708704088958E-2</v>
      </c>
      <c r="C965" s="4">
        <f>(Raw_Stock_Data!C965/Raw_Stock_Data!C964)-1</f>
        <v>-6.0528278808152591E-2</v>
      </c>
      <c r="D965" s="4">
        <f>(Raw_Stock_Data!D965/Raw_Stock_Data!D964)-1</f>
        <v>-4.718464022967872E-2</v>
      </c>
      <c r="E965" s="4">
        <f>(Raw_Stock_Data!E965/Raw_Stock_Data!E964)-1</f>
        <v>-3.0484522207267828E-2</v>
      </c>
      <c r="F965" s="4">
        <f>(Raw_Stock_Data!F965/Raw_Stock_Data!F964)-1</f>
        <v>-3.2843874850827515E-2</v>
      </c>
      <c r="G965" s="4">
        <f>(Raw_Stock_Data!G965/Raw_Stock_Data!G964)-1</f>
        <v>-2.9897107357794717E-2</v>
      </c>
      <c r="H965" s="4">
        <f>(Raw_Stock_Data!H965/Raw_Stock_Data!H964)-1</f>
        <v>-1.9201193618730628E-2</v>
      </c>
      <c r="I965" s="4">
        <f>(Raw_Stock_Data!I965/Raw_Stock_Data!I964)-1</f>
        <v>-4.0925988509631472E-2</v>
      </c>
      <c r="J965" s="4">
        <f>(Raw_Stock_Data!J965/Raw_Stock_Data!J964)-1</f>
        <v>-2.7557068411155794E-2</v>
      </c>
    </row>
    <row r="966" spans="1:10" x14ac:dyDescent="0.2">
      <c r="A966" s="2">
        <v>45597</v>
      </c>
      <c r="B966" s="4">
        <f>(Raw_Stock_Data!B966/Raw_Stock_Data!B965)-1</f>
        <v>-1.3283120999260989E-2</v>
      </c>
      <c r="C966" s="4">
        <f>(Raw_Stock_Data!C966/Raw_Stock_Data!C965)-1</f>
        <v>9.8930309859988075E-3</v>
      </c>
      <c r="D966" s="4">
        <f>(Raw_Stock_Data!D966/Raw_Stock_Data!D965)-1</f>
        <v>1.9660868844679102E-2</v>
      </c>
      <c r="E966" s="4">
        <f>(Raw_Stock_Data!E966/Raw_Stock_Data!E965)-1</f>
        <v>-1.5339765391823246E-2</v>
      </c>
      <c r="F966" s="4">
        <f>(Raw_Stock_Data!F966/Raw_Stock_Data!F965)-1</f>
        <v>6.1856223175965619E-2</v>
      </c>
      <c r="G966" s="4">
        <f>(Raw_Stock_Data!G966/Raw_Stock_Data!G965)-1</f>
        <v>-3.4820892535522008E-3</v>
      </c>
      <c r="H966" s="4">
        <f>(Raw_Stock_Data!H966/Raw_Stock_Data!H965)-1</f>
        <v>1.0531612389856893E-3</v>
      </c>
      <c r="I966" s="4">
        <f>(Raw_Stock_Data!I966/Raw_Stock_Data!I965)-1</f>
        <v>-7.3998379083139998E-4</v>
      </c>
      <c r="J966" s="4">
        <f>(Raw_Stock_Data!J966/Raw_Stock_Data!J965)-1</f>
        <v>8.0004863181568631E-3</v>
      </c>
    </row>
    <row r="967" spans="1:10" x14ac:dyDescent="0.2">
      <c r="A967" s="2">
        <v>45600</v>
      </c>
      <c r="B967" s="4">
        <f>(Raw_Stock_Data!B967/Raw_Stock_Data!B966)-1</f>
        <v>-4.0376789887306419E-3</v>
      </c>
      <c r="C967" s="4">
        <f>(Raw_Stock_Data!C967/Raw_Stock_Data!C966)-1</f>
        <v>-4.6538884141130721E-3</v>
      </c>
      <c r="D967" s="4">
        <f>(Raw_Stock_Data!D967/Raw_Stock_Data!D966)-1</f>
        <v>5.0236035490283104E-3</v>
      </c>
      <c r="E967" s="4">
        <f>(Raw_Stock_Data!E967/Raw_Stock_Data!E966)-1</f>
        <v>-8.106583956013047E-3</v>
      </c>
      <c r="F967" s="4">
        <f>(Raw_Stock_Data!F967/Raw_Stock_Data!F966)-1</f>
        <v>-1.0862426110241019E-2</v>
      </c>
      <c r="G967" s="4">
        <f>(Raw_Stock_Data!G967/Raw_Stock_Data!G966)-1</f>
        <v>-2.4660615310466705E-2</v>
      </c>
      <c r="H967" s="4">
        <f>(Raw_Stock_Data!H967/Raw_Stock_Data!H966)-1</f>
        <v>-1.1970028171648384E-2</v>
      </c>
      <c r="I967" s="4">
        <f>(Raw_Stock_Data!I967/Raw_Stock_Data!I966)-1</f>
        <v>-1.1425347344664716E-2</v>
      </c>
      <c r="J967" s="4">
        <f>(Raw_Stock_Data!J967/Raw_Stock_Data!J966)-1</f>
        <v>-3.2861986236780716E-3</v>
      </c>
    </row>
    <row r="968" spans="1:10" x14ac:dyDescent="0.2">
      <c r="A968" s="2">
        <v>45601</v>
      </c>
      <c r="B968" s="4">
        <f>(Raw_Stock_Data!B968/Raw_Stock_Data!B967)-1</f>
        <v>6.4910063551164576E-3</v>
      </c>
      <c r="C968" s="4">
        <f>(Raw_Stock_Data!C968/Raw_Stock_Data!C967)-1</f>
        <v>7.3446438559134908E-3</v>
      </c>
      <c r="D968" s="4">
        <f>(Raw_Stock_Data!D968/Raw_Stock_Data!D967)-1</f>
        <v>2.8366448350129803E-2</v>
      </c>
      <c r="E968" s="4">
        <f>(Raw_Stock_Data!E968/Raw_Stock_Data!E967)-1</f>
        <v>6.7514746642027834E-3</v>
      </c>
      <c r="F968" s="4">
        <f>(Raw_Stock_Data!F968/Raw_Stock_Data!F967)-1</f>
        <v>1.9000919399325689E-2</v>
      </c>
      <c r="G968" s="4">
        <f>(Raw_Stock_Data!G968/Raw_Stock_Data!G967)-1</f>
        <v>3.5414264536320239E-2</v>
      </c>
      <c r="H968" s="4">
        <f>(Raw_Stock_Data!H968/Raw_Stock_Data!H967)-1</f>
        <v>2.9577748068572163E-3</v>
      </c>
      <c r="I968" s="4">
        <f>(Raw_Stock_Data!I968/Raw_Stock_Data!I967)-1</f>
        <v>2.0956695441249895E-2</v>
      </c>
      <c r="J968" s="4">
        <f>(Raw_Stock_Data!J968/Raw_Stock_Data!J967)-1</f>
        <v>1.4256891371717595E-2</v>
      </c>
    </row>
    <row r="969" spans="1:10" x14ac:dyDescent="0.2">
      <c r="A969" s="2">
        <v>45602</v>
      </c>
      <c r="B969" s="4">
        <f>(Raw_Stock_Data!B969/Raw_Stock_Data!B968)-1</f>
        <v>-3.2718271827181233E-3</v>
      </c>
      <c r="C969" s="4">
        <f>(Raw_Stock_Data!C969/Raw_Stock_Data!C968)-1</f>
        <v>2.1193849570668055E-2</v>
      </c>
      <c r="D969" s="4">
        <f>(Raw_Stock_Data!D969/Raw_Stock_Data!D968)-1</f>
        <v>4.0743388134381719E-2</v>
      </c>
      <c r="E969" s="4">
        <f>(Raw_Stock_Data!E969/Raw_Stock_Data!E968)-1</f>
        <v>2.428349569391508E-2</v>
      </c>
      <c r="F969" s="4">
        <f>(Raw_Stock_Data!F969/Raw_Stock_Data!F968)-1</f>
        <v>3.8045112781954993E-2</v>
      </c>
      <c r="G969" s="4">
        <f>(Raw_Stock_Data!G969/Raw_Stock_Data!G968)-1</f>
        <v>0.14751034043907096</v>
      </c>
      <c r="H969" s="4">
        <f>(Raw_Stock_Data!H969/Raw_Stock_Data!H968)-1</f>
        <v>3.9882981609710599E-2</v>
      </c>
      <c r="I969" s="4">
        <f>(Raw_Stock_Data!I969/Raw_Stock_Data!I968)-1</f>
        <v>-6.6383662631241958E-4</v>
      </c>
      <c r="J969" s="4">
        <f>(Raw_Stock_Data!J969/Raw_Stock_Data!J968)-1</f>
        <v>2.9518139916276054E-2</v>
      </c>
    </row>
    <row r="970" spans="1:10" x14ac:dyDescent="0.2">
      <c r="A970" s="2">
        <v>45603</v>
      </c>
      <c r="B970" s="4">
        <f>(Raw_Stock_Data!B970/Raw_Stock_Data!B969)-1</f>
        <v>2.137506603513728E-2</v>
      </c>
      <c r="C970" s="4">
        <f>(Raw_Stock_Data!C970/Raw_Stock_Data!C969)-1</f>
        <v>1.2493412282605254E-2</v>
      </c>
      <c r="D970" s="4">
        <f>(Raw_Stock_Data!D970/Raw_Stock_Data!D969)-1</f>
        <v>2.245879120879124E-2</v>
      </c>
      <c r="E970" s="4">
        <f>(Raw_Stock_Data!E970/Raw_Stock_Data!E969)-1</f>
        <v>3.2529290144727829E-2</v>
      </c>
      <c r="F970" s="4">
        <f>(Raw_Stock_Data!F970/Raw_Stock_Data!F969)-1</f>
        <v>1.4293302428895593E-2</v>
      </c>
      <c r="G970" s="4">
        <f>(Raw_Stock_Data!G970/Raw_Stock_Data!G969)-1</f>
        <v>2.9043773611063139E-2</v>
      </c>
      <c r="H970" s="4">
        <f>(Raw_Stock_Data!H970/Raw_Stock_Data!H969)-1</f>
        <v>2.4020464187671564E-2</v>
      </c>
      <c r="I970" s="4">
        <f>(Raw_Stock_Data!I970/Raw_Stock_Data!I969)-1</f>
        <v>3.4350144218162848E-2</v>
      </c>
      <c r="J970" s="4">
        <f>(Raw_Stock_Data!J970/Raw_Stock_Data!J969)-1</f>
        <v>1.50657467079236E-2</v>
      </c>
    </row>
    <row r="971" spans="1:10" x14ac:dyDescent="0.2">
      <c r="A971" s="2">
        <v>45604</v>
      </c>
      <c r="B971" s="4">
        <f>(Raw_Stock_Data!B971/Raw_Stock_Data!B970)-1</f>
        <v>-1.1891762854376875E-3</v>
      </c>
      <c r="C971" s="4">
        <f>(Raw_Stock_Data!C971/Raw_Stock_Data!C970)-1</f>
        <v>-6.7925950350934405E-3</v>
      </c>
      <c r="D971" s="4">
        <f>(Raw_Stock_Data!D971/Raw_Stock_Data!D970)-1</f>
        <v>-8.3965876267885209E-3</v>
      </c>
      <c r="E971" s="4">
        <f>(Raw_Stock_Data!E971/Raw_Stock_Data!E970)-1</f>
        <v>-1.2481644640234935E-2</v>
      </c>
      <c r="F971" s="4">
        <f>(Raw_Stock_Data!F971/Raw_Stock_Data!F970)-1</f>
        <v>-8.9026422280409356E-3</v>
      </c>
      <c r="G971" s="4">
        <f>(Raw_Stock_Data!G971/Raw_Stock_Data!G970)-1</f>
        <v>8.1876662961840374E-2</v>
      </c>
      <c r="H971" s="4">
        <f>(Raw_Stock_Data!H971/Raw_Stock_Data!H970)-1</f>
        <v>-1.3276615543111769E-2</v>
      </c>
      <c r="I971" s="4">
        <f>(Raw_Stock_Data!I971/Raw_Stock_Data!I970)-1</f>
        <v>-3.9885076897075988E-3</v>
      </c>
      <c r="J971" s="4">
        <f>(Raw_Stock_Data!J971/Raw_Stock_Data!J970)-1</f>
        <v>8.9883162268167283E-4</v>
      </c>
    </row>
    <row r="972" spans="1:10" x14ac:dyDescent="0.2">
      <c r="A972" s="2">
        <v>45607</v>
      </c>
      <c r="B972" s="4">
        <f>(Raw_Stock_Data!B972/Raw_Stock_Data!B971)-1</f>
        <v>-1.2025422903628402E-2</v>
      </c>
      <c r="C972" s="4">
        <f>(Raw_Stock_Data!C972/Raw_Stock_Data!C971)-1</f>
        <v>-1.0720993322203665E-2</v>
      </c>
      <c r="D972" s="4">
        <f>(Raw_Stock_Data!D972/Raw_Stock_Data!D971)-1</f>
        <v>-1.6054735130741071E-2</v>
      </c>
      <c r="E972" s="4">
        <f>(Raw_Stock_Data!E972/Raw_Stock_Data!E971)-1</f>
        <v>-4.0554241297735549E-3</v>
      </c>
      <c r="F972" s="4">
        <f>(Raw_Stock_Data!F972/Raw_Stock_Data!F971)-1</f>
        <v>-6.436737438754947E-3</v>
      </c>
      <c r="G972" s="4">
        <f>(Raw_Stock_Data!G972/Raw_Stock_Data!G971)-1</f>
        <v>8.9595915571882179E-2</v>
      </c>
      <c r="H972" s="4">
        <f>(Raw_Stock_Data!H972/Raw_Stock_Data!H971)-1</f>
        <v>1.1215519854501421E-2</v>
      </c>
      <c r="I972" s="4">
        <f>(Raw_Stock_Data!I972/Raw_Stock_Data!I971)-1</f>
        <v>-1.0469338582142829E-2</v>
      </c>
      <c r="J972" s="4">
        <f>(Raw_Stock_Data!J972/Raw_Stock_Data!J971)-1</f>
        <v>6.2115086084868487E-4</v>
      </c>
    </row>
    <row r="973" spans="1:10" x14ac:dyDescent="0.2">
      <c r="A973" s="2">
        <v>45608</v>
      </c>
      <c r="B973" s="4">
        <f>(Raw_Stock_Data!B973/Raw_Stock_Data!B972)-1</f>
        <v>0</v>
      </c>
      <c r="C973" s="4">
        <f>(Raw_Stock_Data!C973/Raw_Stock_Data!C972)-1</f>
        <v>1.2009348594714364E-2</v>
      </c>
      <c r="D973" s="4">
        <f>(Raw_Stock_Data!D973/Raw_Stock_Data!D972)-1</f>
        <v>2.0860585197934656E-2</v>
      </c>
      <c r="E973" s="4">
        <f>(Raw_Stock_Data!E973/Raw_Stock_Data!E972)-1</f>
        <v>-2.5246012894468928E-2</v>
      </c>
      <c r="F973" s="4">
        <f>(Raw_Stock_Data!F973/Raw_Stock_Data!F972)-1</f>
        <v>1.000773544768907E-2</v>
      </c>
      <c r="G973" s="4">
        <f>(Raw_Stock_Data!G973/Raw_Stock_Data!G972)-1</f>
        <v>-6.1457142857142877E-2</v>
      </c>
      <c r="H973" s="4">
        <f>(Raw_Stock_Data!H973/Raw_Stock_Data!H972)-1</f>
        <v>7.0388133937293595E-3</v>
      </c>
      <c r="I973" s="4">
        <f>(Raw_Stock_Data!I973/Raw_Stock_Data!I972)-1</f>
        <v>2.829363650393768E-3</v>
      </c>
      <c r="J973" s="4">
        <f>(Raw_Stock_Data!J973/Raw_Stock_Data!J972)-1</f>
        <v>-8.9953965954270299E-4</v>
      </c>
    </row>
    <row r="974" spans="1:10" x14ac:dyDescent="0.2">
      <c r="A974" s="2">
        <v>45609</v>
      </c>
      <c r="B974" s="4">
        <f>(Raw_Stock_Data!B974/Raw_Stock_Data!B973)-1</f>
        <v>3.9691606076488473E-3</v>
      </c>
      <c r="C974" s="4">
        <f>(Raw_Stock_Data!C974/Raw_Stock_Data!C973)-1</f>
        <v>5.1304522898729665E-3</v>
      </c>
      <c r="D974" s="4">
        <f>(Raw_Stock_Data!D974/Raw_Stock_Data!D973)-1</f>
        <v>-1.3622875640679877E-2</v>
      </c>
      <c r="E974" s="4">
        <f>(Raw_Stock_Data!E974/Raw_Stock_Data!E973)-1</f>
        <v>-3.014690524263719E-2</v>
      </c>
      <c r="F974" s="4">
        <f>(Raw_Stock_Data!F974/Raw_Stock_Data!F973)-1</f>
        <v>2.4843233928485864E-2</v>
      </c>
      <c r="G974" s="4">
        <f>(Raw_Stock_Data!G974/Raw_Stock_Data!G973)-1</f>
        <v>5.3274072270084183E-3</v>
      </c>
      <c r="H974" s="4">
        <f>(Raw_Stock_Data!H974/Raw_Stock_Data!H973)-1</f>
        <v>-1.508720481555792E-2</v>
      </c>
      <c r="I974" s="4">
        <f>(Raw_Stock_Data!I974/Raw_Stock_Data!I973)-1</f>
        <v>-8.2418521938375511E-3</v>
      </c>
      <c r="J974" s="4">
        <f>(Raw_Stock_Data!J974/Raw_Stock_Data!J973)-1</f>
        <v>-2.6284398435798551E-3</v>
      </c>
    </row>
    <row r="975" spans="1:10" x14ac:dyDescent="0.2">
      <c r="A975" s="2">
        <v>45610</v>
      </c>
      <c r="B975" s="4">
        <f>(Raw_Stock_Data!B975/Raw_Stock_Data!B974)-1</f>
        <v>1.376574582677037E-2</v>
      </c>
      <c r="C975" s="4">
        <f>(Raw_Stock_Data!C975/Raw_Stock_Data!C974)-1</f>
        <v>3.973126020676121E-3</v>
      </c>
      <c r="D975" s="4">
        <f>(Raw_Stock_Data!D975/Raw_Stock_Data!D974)-1</f>
        <v>3.3501982770409722E-3</v>
      </c>
      <c r="E975" s="4">
        <f>(Raw_Stock_Data!E975/Raw_Stock_Data!E974)-1</f>
        <v>-3.302225412778248E-3</v>
      </c>
      <c r="F975" s="4">
        <f>(Raw_Stock_Data!F975/Raw_Stock_Data!F974)-1</f>
        <v>-1.2237272302662361E-2</v>
      </c>
      <c r="G975" s="4">
        <f>(Raw_Stock_Data!G975/Raw_Stock_Data!G974)-1</f>
        <v>-5.7715600775193776E-2</v>
      </c>
      <c r="H975" s="4">
        <f>(Raw_Stock_Data!H975/Raw_Stock_Data!H974)-1</f>
        <v>-1.8446900797537524E-2</v>
      </c>
      <c r="I975" s="4">
        <f>(Raw_Stock_Data!I975/Raw_Stock_Data!I974)-1</f>
        <v>-4.896551724137943E-3</v>
      </c>
      <c r="J975" s="4">
        <f>(Raw_Stock_Data!J975/Raw_Stock_Data!J974)-1</f>
        <v>-6.3996563831203446E-3</v>
      </c>
    </row>
    <row r="976" spans="1:10" x14ac:dyDescent="0.2">
      <c r="A976" s="2">
        <v>45611</v>
      </c>
      <c r="B976" s="4">
        <f>(Raw_Stock_Data!B976/Raw_Stock_Data!B975)-1</f>
        <v>-1.4102609246804509E-2</v>
      </c>
      <c r="C976" s="4">
        <f>(Raw_Stock_Data!C976/Raw_Stock_Data!C975)-1</f>
        <v>-2.7852041019911344E-2</v>
      </c>
      <c r="D976" s="4">
        <f>(Raw_Stock_Data!D976/Raw_Stock_Data!D975)-1</f>
        <v>-3.2572402044293014E-2</v>
      </c>
      <c r="E976" s="4">
        <f>(Raw_Stock_Data!E976/Raw_Stock_Data!E975)-1</f>
        <v>-2.8377989052146391E-2</v>
      </c>
      <c r="F976" s="4">
        <f>(Raw_Stock_Data!F976/Raw_Stock_Data!F975)-1</f>
        <v>-4.1942500472857858E-2</v>
      </c>
      <c r="G976" s="4">
        <f>(Raw_Stock_Data!G976/Raw_Stock_Data!G975)-1</f>
        <v>3.0657497268462119E-2</v>
      </c>
      <c r="H976" s="4">
        <f>(Raw_Stock_Data!H976/Raw_Stock_Data!H975)-1</f>
        <v>-1.7596177421470016E-2</v>
      </c>
      <c r="I976" s="4">
        <f>(Raw_Stock_Data!I976/Raw_Stock_Data!I975)-1</f>
        <v>-3.9988911220458667E-2</v>
      </c>
      <c r="J976" s="4">
        <f>(Raw_Stock_Data!J976/Raw_Stock_Data!J975)-1</f>
        <v>-2.2374807995750534E-2</v>
      </c>
    </row>
    <row r="977" spans="1:10" x14ac:dyDescent="0.2">
      <c r="A977" s="2">
        <v>45614</v>
      </c>
      <c r="B977" s="4">
        <f>(Raw_Stock_Data!B977/Raw_Stock_Data!B976)-1</f>
        <v>1.3420361805096759E-2</v>
      </c>
      <c r="C977" s="4">
        <f>(Raw_Stock_Data!C977/Raw_Stock_Data!C976)-1</f>
        <v>1.8301619379434975E-3</v>
      </c>
      <c r="D977" s="4">
        <f>(Raw_Stock_Data!D977/Raw_Stock_Data!D976)-1</f>
        <v>-1.2890047193069076E-2</v>
      </c>
      <c r="E977" s="4">
        <f>(Raw_Stock_Data!E977/Raw_Stock_Data!E976)-1</f>
        <v>2.9873980726464078E-2</v>
      </c>
      <c r="F977" s="4">
        <f>(Raw_Stock_Data!F977/Raw_Stock_Data!F976)-1</f>
        <v>-4.4913873945018334E-3</v>
      </c>
      <c r="G977" s="4">
        <f>(Raw_Stock_Data!G977/Raw_Stock_Data!G976)-1</f>
        <v>5.6186081317036507E-2</v>
      </c>
      <c r="H977" s="4">
        <f>(Raw_Stock_Data!H977/Raw_Stock_Data!H976)-1</f>
        <v>1.6286210118809041E-2</v>
      </c>
      <c r="I977" s="4">
        <f>(Raw_Stock_Data!I977/Raw_Stock_Data!I976)-1</f>
        <v>5.7753393011839016E-4</v>
      </c>
      <c r="J977" s="4">
        <f>(Raw_Stock_Data!J977/Raw_Stock_Data!J976)-1</f>
        <v>5.9790836461437458E-3</v>
      </c>
    </row>
    <row r="978" spans="1:10" x14ac:dyDescent="0.2">
      <c r="A978" s="2">
        <v>45615</v>
      </c>
      <c r="B978" s="4">
        <f>(Raw_Stock_Data!B978/Raw_Stock_Data!B977)-1</f>
        <v>1.1365939187819585E-3</v>
      </c>
      <c r="C978" s="4">
        <f>(Raw_Stock_Data!C978/Raw_Stock_Data!C977)-1</f>
        <v>4.8827630751284712E-3</v>
      </c>
      <c r="D978" s="4">
        <f>(Raw_Stock_Data!D978/Raw_Stock_Data!D977)-1</f>
        <v>4.8951048951048959E-2</v>
      </c>
      <c r="E978" s="4">
        <f>(Raw_Stock_Data!E978/Raw_Stock_Data!E977)-1</f>
        <v>3.3110199380981253E-3</v>
      </c>
      <c r="F978" s="4">
        <f>(Raw_Stock_Data!F978/Raw_Stock_Data!F977)-1</f>
        <v>1.4427367377293221E-2</v>
      </c>
      <c r="G978" s="4">
        <f>(Raw_Stock_Data!G978/Raw_Stock_Data!G977)-1</f>
        <v>2.1432367007144126E-2</v>
      </c>
      <c r="H978" s="4">
        <f>(Raw_Stock_Data!H978/Raw_Stock_Data!H977)-1</f>
        <v>1.6088041622168037E-2</v>
      </c>
      <c r="I978" s="4">
        <f>(Raw_Stock_Data!I978/Raw_Stock_Data!I977)-1</f>
        <v>1.2067099567099726E-2</v>
      </c>
      <c r="J978" s="4">
        <f>(Raw_Stock_Data!J978/Raw_Stock_Data!J977)-1</f>
        <v>1.0411982666917119E-2</v>
      </c>
    </row>
    <row r="979" spans="1:10" x14ac:dyDescent="0.2">
      <c r="A979" s="2">
        <v>45616</v>
      </c>
      <c r="B979" s="4">
        <f>(Raw_Stock_Data!B979/Raw_Stock_Data!B978)-1</f>
        <v>3.150687342685643E-3</v>
      </c>
      <c r="C979" s="4">
        <f>(Raw_Stock_Data!C979/Raw_Stock_Data!C978)-1</f>
        <v>-5.5041910997588595E-3</v>
      </c>
      <c r="D979" s="4">
        <f>(Raw_Stock_Data!D979/Raw_Stock_Data!D978)-1</f>
        <v>-7.6190476190476364E-3</v>
      </c>
      <c r="E979" s="4">
        <f>(Raw_Stock_Data!E979/Raw_Stock_Data!E978)-1</f>
        <v>-1.2841667264509637E-2</v>
      </c>
      <c r="F979" s="4">
        <f>(Raw_Stock_Data!F979/Raw_Stock_Data!F978)-1</f>
        <v>-8.4551097209325521E-3</v>
      </c>
      <c r="G979" s="4">
        <f>(Raw_Stock_Data!G979/Raw_Stock_Data!G978)-1</f>
        <v>-1.1473988439306471E-2</v>
      </c>
      <c r="H979" s="4">
        <f>(Raw_Stock_Data!H979/Raw_Stock_Data!H978)-1</f>
        <v>-1.201128622496006E-2</v>
      </c>
      <c r="I979" s="4">
        <f>(Raw_Stock_Data!I979/Raw_Stock_Data!I978)-1</f>
        <v>7.8953465575932746E-3</v>
      </c>
      <c r="J979" s="4">
        <f>(Raw_Stock_Data!J979/Raw_Stock_Data!J978)-1</f>
        <v>-1.1233724134916967E-3</v>
      </c>
    </row>
    <row r="980" spans="1:10" x14ac:dyDescent="0.2">
      <c r="A980" s="2">
        <v>45617</v>
      </c>
      <c r="B980" s="4">
        <f>(Raw_Stock_Data!B980/Raw_Stock_Data!B979)-1</f>
        <v>-2.0923989331834703E-3</v>
      </c>
      <c r="C980" s="4">
        <f>(Raw_Stock_Data!C980/Raw_Stock_Data!C979)-1</f>
        <v>-4.3167896589977328E-3</v>
      </c>
      <c r="D980" s="4">
        <f>(Raw_Stock_Data!D980/Raw_Stock_Data!D979)-1</f>
        <v>5.3468604332327363E-3</v>
      </c>
      <c r="E980" s="4">
        <f>(Raw_Stock_Data!E980/Raw_Stock_Data!E979)-1</f>
        <v>-7.9941860465104764E-4</v>
      </c>
      <c r="F980" s="4">
        <f>(Raw_Stock_Data!F980/Raw_Stock_Data!F979)-1</f>
        <v>-2.2180599369085119E-2</v>
      </c>
      <c r="G980" s="4">
        <f>(Raw_Stock_Data!G980/Raw_Stock_Data!G979)-1</f>
        <v>-6.9876911382041884E-3</v>
      </c>
      <c r="H980" s="4">
        <f>(Raw_Stock_Data!H980/Raw_Stock_Data!H979)-1</f>
        <v>-4.7451629603081136E-2</v>
      </c>
      <c r="I980" s="4">
        <f>(Raw_Stock_Data!I980/Raw_Stock_Data!I979)-1</f>
        <v>-4.2969302588766745E-3</v>
      </c>
      <c r="J980" s="4">
        <f>(Raw_Stock_Data!J980/Raw_Stock_Data!J979)-1</f>
        <v>3.3111640006877607E-4</v>
      </c>
    </row>
    <row r="981" spans="1:10" x14ac:dyDescent="0.2">
      <c r="A981" s="2">
        <v>45618</v>
      </c>
      <c r="B981" s="4">
        <f>(Raw_Stock_Data!B981/Raw_Stock_Data!B980)-1</f>
        <v>5.9079260278427359E-3</v>
      </c>
      <c r="C981" s="4">
        <f>(Raw_Stock_Data!C981/Raw_Stock_Data!C980)-1</f>
        <v>1.0003148690871155E-2</v>
      </c>
      <c r="D981" s="4">
        <f>(Raw_Stock_Data!D981/Raw_Stock_Data!D980)-1</f>
        <v>-3.2183281058229873E-2</v>
      </c>
      <c r="E981" s="4">
        <f>(Raw_Stock_Data!E981/Raw_Stock_Data!E980)-1</f>
        <v>6.2550003636627771E-3</v>
      </c>
      <c r="F981" s="4">
        <f>(Raw_Stock_Data!F981/Raw_Stock_Data!F980)-1</f>
        <v>-6.3514467184191403E-3</v>
      </c>
      <c r="G981" s="4">
        <f>(Raw_Stock_Data!G981/Raw_Stock_Data!G980)-1</f>
        <v>3.8040277941349787E-2</v>
      </c>
      <c r="H981" s="4">
        <f>(Raw_Stock_Data!H981/Raw_Stock_Data!H980)-1</f>
        <v>-1.7122755885760621E-2</v>
      </c>
      <c r="I981" s="4">
        <f>(Raw_Stock_Data!I981/Raw_Stock_Data!I980)-1</f>
        <v>-7.0148644088867673E-3</v>
      </c>
      <c r="J981" s="4">
        <f>(Raw_Stock_Data!J981/Raw_Stock_Data!J980)-1</f>
        <v>1.6460736163337319E-3</v>
      </c>
    </row>
    <row r="982" spans="1:10" x14ac:dyDescent="0.2">
      <c r="A982" s="2">
        <v>45621</v>
      </c>
      <c r="B982" s="4">
        <f>(Raw_Stock_Data!B982/Raw_Stock_Data!B981)-1</f>
        <v>1.3048703214106228E-2</v>
      </c>
      <c r="C982" s="4">
        <f>(Raw_Stock_Data!C982/Raw_Stock_Data!C981)-1</f>
        <v>4.2925659472423661E-3</v>
      </c>
      <c r="D982" s="4">
        <f>(Raw_Stock_Data!D982/Raw_Stock_Data!D981)-1</f>
        <v>-4.1771170917288991E-2</v>
      </c>
      <c r="E982" s="4">
        <f>(Raw_Stock_Data!E982/Raw_Stock_Data!E981)-1</f>
        <v>2.0093964582580393E-2</v>
      </c>
      <c r="F982" s="4">
        <f>(Raw_Stock_Data!F982/Raw_Stock_Data!F981)-1</f>
        <v>2.1966314935064846E-2</v>
      </c>
      <c r="G982" s="4">
        <f>(Raw_Stock_Data!G982/Raw_Stock_Data!G981)-1</f>
        <v>-3.962446108463813E-2</v>
      </c>
      <c r="H982" s="4">
        <f>(Raw_Stock_Data!H982/Raw_Stock_Data!H981)-1</f>
        <v>1.754258040602541E-2</v>
      </c>
      <c r="I982" s="4">
        <f>(Raw_Stock_Data!I982/Raw_Stock_Data!I981)-1</f>
        <v>1.0677111278034168E-2</v>
      </c>
      <c r="J982" s="4">
        <f>(Raw_Stock_Data!J982/Raw_Stock_Data!J981)-1</f>
        <v>2.693693053702706E-3</v>
      </c>
    </row>
    <row r="983" spans="1:10" x14ac:dyDescent="0.2">
      <c r="A983" s="2">
        <v>45622</v>
      </c>
      <c r="B983" s="4">
        <f>(Raw_Stock_Data!B983/Raw_Stock_Data!B982)-1</f>
        <v>9.4038072478335177E-3</v>
      </c>
      <c r="C983" s="4">
        <f>(Raw_Stock_Data!C983/Raw_Stock_Data!C982)-1</f>
        <v>2.1968050813056639E-2</v>
      </c>
      <c r="D983" s="4">
        <f>(Raw_Stock_Data!D983/Raw_Stock_Data!D982)-1</f>
        <v>6.6171118512474703E-3</v>
      </c>
      <c r="E983" s="4">
        <f>(Raw_Stock_Data!E983/Raw_Stock_Data!E982)-1</f>
        <v>-2.4162120031176904E-2</v>
      </c>
      <c r="F983" s="4">
        <f>(Raw_Stock_Data!F983/Raw_Stock_Data!F982)-1</f>
        <v>3.1819310002482171E-2</v>
      </c>
      <c r="G983" s="4">
        <f>(Raw_Stock_Data!G983/Raw_Stock_Data!G982)-1</f>
        <v>-1.0632328184528861E-3</v>
      </c>
      <c r="H983" s="4">
        <f>(Raw_Stock_Data!H983/Raw_Stock_Data!H982)-1</f>
        <v>8.7663772408603791E-3</v>
      </c>
      <c r="I983" s="4">
        <f>(Raw_Stock_Data!I983/Raw_Stock_Data!I982)-1</f>
        <v>1.4917449700058372E-2</v>
      </c>
      <c r="J983" s="4">
        <f>(Raw_Stock_Data!J983/Raw_Stock_Data!J982)-1</f>
        <v>6.3364478526191093E-3</v>
      </c>
    </row>
    <row r="984" spans="1:10" x14ac:dyDescent="0.2">
      <c r="A984" s="2">
        <v>45623</v>
      </c>
      <c r="B984" s="4">
        <f>(Raw_Stock_Data!B984/Raw_Stock_Data!B983)-1</f>
        <v>-5.5127969538593113E-4</v>
      </c>
      <c r="C984" s="4">
        <f>(Raw_Stock_Data!C984/Raw_Stock_Data!C983)-1</f>
        <v>-1.1682515946634275E-2</v>
      </c>
      <c r="D984" s="4">
        <f>(Raw_Stock_Data!D984/Raw_Stock_Data!D983)-1</f>
        <v>-1.1540343726946789E-2</v>
      </c>
      <c r="E984" s="4">
        <f>(Raw_Stock_Data!E984/Raw_Stock_Data!E983)-1</f>
        <v>-1.0746442056346117E-2</v>
      </c>
      <c r="F984" s="4">
        <f>(Raw_Stock_Data!F984/Raw_Stock_Data!F983)-1</f>
        <v>-1.0199172519965383E-2</v>
      </c>
      <c r="G984" s="4">
        <f>(Raw_Stock_Data!G984/Raw_Stock_Data!G983)-1</f>
        <v>-1.5788073204624165E-2</v>
      </c>
      <c r="H984" s="4">
        <f>(Raw_Stock_Data!H984/Raw_Stock_Data!H983)-1</f>
        <v>6.5117270284043016E-4</v>
      </c>
      <c r="I984" s="4">
        <f>(Raw_Stock_Data!I984/Raw_Stock_Data!I983)-1</f>
        <v>-7.5670397879832318E-3</v>
      </c>
      <c r="J984" s="4">
        <f>(Raw_Stock_Data!J984/Raw_Stock_Data!J983)-1</f>
        <v>-6.0024260022383258E-3</v>
      </c>
    </row>
    <row r="985" spans="1:10" x14ac:dyDescent="0.2">
      <c r="A985" s="2">
        <v>45625</v>
      </c>
      <c r="B985" s="4">
        <f>(Raw_Stock_Data!B985/Raw_Stock_Data!B984)-1</f>
        <v>1.0219265239105102E-2</v>
      </c>
      <c r="C985" s="4">
        <f>(Raw_Stock_Data!C985/Raw_Stock_Data!C984)-1</f>
        <v>1.1111373791341528E-3</v>
      </c>
      <c r="D985" s="4">
        <f>(Raw_Stock_Data!D985/Raw_Stock_Data!D984)-1</f>
        <v>2.1495444502737993E-2</v>
      </c>
      <c r="E985" s="4">
        <f>(Raw_Stock_Data!E985/Raw_Stock_Data!E984)-1</f>
        <v>6.8628890193775938E-3</v>
      </c>
      <c r="F985" s="4">
        <f>(Raw_Stock_Data!F985/Raw_Stock_Data!F984)-1</f>
        <v>1.0450082628560287E-2</v>
      </c>
      <c r="G985" s="4">
        <f>(Raw_Stock_Data!G985/Raw_Stock_Data!G984)-1</f>
        <v>3.6859022499925009E-2</v>
      </c>
      <c r="H985" s="4">
        <f>(Raw_Stock_Data!H985/Raw_Stock_Data!H984)-1</f>
        <v>-1.6505359805011333E-3</v>
      </c>
      <c r="I985" s="4">
        <f>(Raw_Stock_Data!I985/Raw_Stock_Data!I984)-1</f>
        <v>8.9950808151793016E-3</v>
      </c>
      <c r="J985" s="4">
        <f>(Raw_Stock_Data!J985/Raw_Stock_Data!J984)-1</f>
        <v>8.2731389765628993E-3</v>
      </c>
    </row>
    <row r="986" spans="1:10" x14ac:dyDescent="0.2">
      <c r="A986" s="2">
        <v>45628</v>
      </c>
      <c r="B986" s="4">
        <f>(Raw_Stock_Data!B986/Raw_Stock_Data!B985)-1</f>
        <v>9.5233257993245779E-3</v>
      </c>
      <c r="C986" s="4">
        <f>(Raw_Stock_Data!C986/Raw_Stock_Data!C985)-1</f>
        <v>1.7758465970811876E-2</v>
      </c>
      <c r="D986" s="4">
        <f>(Raw_Stock_Data!D986/Raw_Stock_Data!D985)-1</f>
        <v>2.7488425925925597E-3</v>
      </c>
      <c r="E986" s="4">
        <f>(Raw_Stock_Data!E986/Raw_Stock_Data!E985)-1</f>
        <v>3.5611445234189798E-2</v>
      </c>
      <c r="F986" s="4">
        <f>(Raw_Stock_Data!F986/Raw_Stock_Data!F985)-1</f>
        <v>1.3564866034922352E-2</v>
      </c>
      <c r="G986" s="4">
        <f>(Raw_Stock_Data!G986/Raw_Stock_Data!G985)-1</f>
        <v>3.456368061189008E-2</v>
      </c>
      <c r="H986" s="4">
        <f>(Raw_Stock_Data!H986/Raw_Stock_Data!H985)-1</f>
        <v>1.5033450464277065E-2</v>
      </c>
      <c r="I986" s="4">
        <f>(Raw_Stock_Data!I986/Raw_Stock_Data!I985)-1</f>
        <v>3.222941913915589E-2</v>
      </c>
      <c r="J986" s="4">
        <f>(Raw_Stock_Data!J986/Raw_Stock_Data!J985)-1</f>
        <v>9.6668933618551112E-3</v>
      </c>
    </row>
    <row r="987" spans="1:10" x14ac:dyDescent="0.2">
      <c r="A987" s="2">
        <v>45629</v>
      </c>
      <c r="B987" s="4">
        <f>(Raw_Stock_Data!B987/Raw_Stock_Data!B986)-1</f>
        <v>1.2775038572482744E-2</v>
      </c>
      <c r="C987" s="4">
        <f>(Raw_Stock_Data!C987/Raw_Stock_Data!C986)-1</f>
        <v>5.104645227156368E-4</v>
      </c>
      <c r="D987" s="4">
        <f>(Raw_Stock_Data!D987/Raw_Stock_Data!D986)-1</f>
        <v>1.1758764968979873E-2</v>
      </c>
      <c r="E987" s="4">
        <f>(Raw_Stock_Data!E987/Raw_Stock_Data!E986)-1</f>
        <v>-5.63142334225053E-4</v>
      </c>
      <c r="F987" s="4">
        <f>(Raw_Stock_Data!F987/Raw_Stock_Data!F986)-1</f>
        <v>1.2956195719235009E-2</v>
      </c>
      <c r="G987" s="4">
        <f>(Raw_Stock_Data!G987/Raw_Stock_Data!G986)-1</f>
        <v>-1.587834999579929E-2</v>
      </c>
      <c r="H987" s="4">
        <f>(Raw_Stock_Data!H987/Raw_Stock_Data!H986)-1</f>
        <v>-8.7568741462051847E-4</v>
      </c>
      <c r="I987" s="4">
        <f>(Raw_Stock_Data!I987/Raw_Stock_Data!I986)-1</f>
        <v>3.5119680178128609E-2</v>
      </c>
      <c r="J987" s="4">
        <f>(Raw_Stock_Data!J987/Raw_Stock_Data!J986)-1</f>
        <v>3.9662027576858883E-3</v>
      </c>
    </row>
    <row r="988" spans="1:10" x14ac:dyDescent="0.2">
      <c r="A988" s="2">
        <v>45630</v>
      </c>
      <c r="B988" s="4">
        <f>(Raw_Stock_Data!B988/Raw_Stock_Data!B987)-1</f>
        <v>1.4737600337806356E-3</v>
      </c>
      <c r="C988" s="4">
        <f>(Raw_Stock_Data!C988/Raw_Stock_Data!C987)-1</f>
        <v>1.4424860853432309E-2</v>
      </c>
      <c r="D988" s="4">
        <f>(Raw_Stock_Data!D988/Raw_Stock_Data!D987)-1</f>
        <v>3.4795008912655856E-2</v>
      </c>
      <c r="E988" s="4">
        <f>(Raw_Stock_Data!E988/Raw_Stock_Data!E987)-1</f>
        <v>1.4156923510353803E-2</v>
      </c>
      <c r="F988" s="4">
        <f>(Raw_Stock_Data!F988/Raw_Stock_Data!F987)-1</f>
        <v>2.2113943028485794E-2</v>
      </c>
      <c r="G988" s="4">
        <f>(Raw_Stock_Data!G988/Raw_Stock_Data!G987)-1</f>
        <v>1.8524842069318703E-2</v>
      </c>
      <c r="H988" s="4">
        <f>(Raw_Stock_Data!H988/Raw_Stock_Data!H987)-1</f>
        <v>1.768101715514403E-2</v>
      </c>
      <c r="I988" s="4">
        <f>(Raw_Stock_Data!I988/Raw_Stock_Data!I987)-1</f>
        <v>2.1184714413746697E-4</v>
      </c>
      <c r="J988" s="4">
        <f>(Raw_Stock_Data!J988/Raw_Stock_Data!J987)-1</f>
        <v>1.30491850740031E-2</v>
      </c>
    </row>
    <row r="989" spans="1:10" x14ac:dyDescent="0.2">
      <c r="A989" s="2">
        <v>45631</v>
      </c>
      <c r="B989" s="4">
        <f>(Raw_Stock_Data!B989/Raw_Stock_Data!B988)-1</f>
        <v>1.2401049955568233E-4</v>
      </c>
      <c r="C989" s="4">
        <f>(Raw_Stock_Data!C989/Raw_Stock_Data!C988)-1</f>
        <v>1.1887888070961417E-2</v>
      </c>
      <c r="D989" s="4">
        <f>(Raw_Stock_Data!D989/Raw_Stock_Data!D988)-1</f>
        <v>-4.823261903120768E-4</v>
      </c>
      <c r="E989" s="4">
        <f>(Raw_Stock_Data!E989/Raw_Stock_Data!E988)-1</f>
        <v>-1.8265157302590374E-2</v>
      </c>
      <c r="F989" s="4">
        <f>(Raw_Stock_Data!F989/Raw_Stock_Data!F988)-1</f>
        <v>1.0955262192886117E-2</v>
      </c>
      <c r="G989" s="4">
        <f>(Raw_Stock_Data!G989/Raw_Stock_Data!G988)-1</f>
        <v>3.2296817813538992E-2</v>
      </c>
      <c r="H989" s="4">
        <f>(Raw_Stock_Data!H989/Raw_Stock_Data!H988)-1</f>
        <v>-9.9213412183497551E-3</v>
      </c>
      <c r="I989" s="4">
        <f>(Raw_Stock_Data!I989/Raw_Stock_Data!I988)-1</f>
        <v>-7.9018540845254837E-3</v>
      </c>
      <c r="J989" s="4">
        <f>(Raw_Stock_Data!J989/Raw_Stock_Data!J988)-1</f>
        <v>-1.7430854233466686E-3</v>
      </c>
    </row>
    <row r="990" spans="1:10" x14ac:dyDescent="0.2">
      <c r="A990" s="2">
        <v>45632</v>
      </c>
      <c r="B990" s="4">
        <f>(Raw_Stock_Data!B990/Raw_Stock_Data!B989)-1</f>
        <v>-8.2250098162794938E-4</v>
      </c>
      <c r="C990" s="4">
        <f>(Raw_Stock_Data!C990/Raw_Stock_Data!C989)-1</f>
        <v>2.1463106050336744E-3</v>
      </c>
      <c r="D990" s="4">
        <f>(Raw_Stock_Data!D990/Raw_Stock_Data!D989)-1</f>
        <v>-1.8061491796498075E-2</v>
      </c>
      <c r="E990" s="4">
        <f>(Raw_Stock_Data!E990/Raw_Stock_Data!E989)-1</f>
        <v>-1.9595359366157417E-2</v>
      </c>
      <c r="F990" s="4">
        <f>(Raw_Stock_Data!F990/Raw_Stock_Data!F989)-1</f>
        <v>2.9381092722738478E-2</v>
      </c>
      <c r="G990" s="4">
        <f>(Raw_Stock_Data!G990/Raw_Stock_Data!G989)-1</f>
        <v>5.339792687217515E-2</v>
      </c>
      <c r="H990" s="4">
        <f>(Raw_Stock_Data!H990/Raw_Stock_Data!H989)-1</f>
        <v>1.199243803713701E-2</v>
      </c>
      <c r="I990" s="4">
        <f>(Raw_Stock_Data!I990/Raw_Stock_Data!I989)-1</f>
        <v>2.4370617312334808E-2</v>
      </c>
      <c r="J990" s="4">
        <f>(Raw_Stock_Data!J990/Raw_Stock_Data!J989)-1</f>
        <v>8.0733089958133775E-3</v>
      </c>
    </row>
    <row r="991" spans="1:10" x14ac:dyDescent="0.2">
      <c r="A991" s="2">
        <v>45635</v>
      </c>
      <c r="B991" s="4">
        <f>(Raw_Stock_Data!B991/Raw_Stock_Data!B990)-1</f>
        <v>1.6103679068112831E-2</v>
      </c>
      <c r="C991" s="4">
        <f>(Raw_Stock_Data!C991/Raw_Stock_Data!C990)-1</f>
        <v>5.5233672250152299E-3</v>
      </c>
      <c r="D991" s="4">
        <f>(Raw_Stock_Data!D991/Raw_Stock_Data!D990)-1</f>
        <v>-2.5484414490311691E-2</v>
      </c>
      <c r="E991" s="4">
        <f>(Raw_Stock_Data!E991/Raw_Stock_Data!E990)-1</f>
        <v>-5.5703874738437076E-2</v>
      </c>
      <c r="F991" s="4">
        <f>(Raw_Stock_Data!F991/Raw_Stock_Data!F990)-1</f>
        <v>-4.140421970664665E-3</v>
      </c>
      <c r="G991" s="4">
        <f>(Raw_Stock_Data!G991/Raw_Stock_Data!G990)-1</f>
        <v>1.4644673963311039E-3</v>
      </c>
      <c r="H991" s="4">
        <f>(Raw_Stock_Data!H991/Raw_Stock_Data!H990)-1</f>
        <v>4.928084350467099E-3</v>
      </c>
      <c r="I991" s="4">
        <f>(Raw_Stock_Data!I991/Raw_Stock_Data!I990)-1</f>
        <v>-1.6352181092389673E-2</v>
      </c>
      <c r="J991" s="4">
        <f>(Raw_Stock_Data!J991/Raw_Stock_Data!J990)-1</f>
        <v>-6.1974534448284713E-3</v>
      </c>
    </row>
    <row r="992" spans="1:10" x14ac:dyDescent="0.2">
      <c r="A992" s="2">
        <v>45636</v>
      </c>
      <c r="B992" s="4">
        <f>(Raw_Stock_Data!B992/Raw_Stock_Data!B991)-1</f>
        <v>4.1361510183643979E-3</v>
      </c>
      <c r="C992" s="4">
        <f>(Raw_Stock_Data!C992/Raw_Stock_Data!C991)-1</f>
        <v>-6.031119680731778E-3</v>
      </c>
      <c r="D992" s="4">
        <f>(Raw_Stock_Data!D992/Raw_Stock_Data!D991)-1</f>
        <v>-2.6943303796556517E-2</v>
      </c>
      <c r="E992" s="4">
        <f>(Raw_Stock_Data!E992/Raw_Stock_Data!E991)-1</f>
        <v>-2.3916864063574628E-2</v>
      </c>
      <c r="F992" s="4">
        <f>(Raw_Stock_Data!F992/Raw_Stock_Data!F991)-1</f>
        <v>-4.6441682515813154E-3</v>
      </c>
      <c r="G992" s="4">
        <f>(Raw_Stock_Data!G992/Raw_Stock_Data!G991)-1</f>
        <v>2.8733420559788669E-2</v>
      </c>
      <c r="H992" s="4">
        <f>(Raw_Stock_Data!H992/Raw_Stock_Data!H991)-1</f>
        <v>5.5881849803272932E-2</v>
      </c>
      <c r="I992" s="4">
        <f>(Raw_Stock_Data!I992/Raw_Stock_Data!I991)-1</f>
        <v>9.37138386818126E-3</v>
      </c>
      <c r="J992" s="4">
        <f>(Raw_Stock_Data!J992/Raw_Stock_Data!J991)-1</f>
        <v>-2.505485975611732E-3</v>
      </c>
    </row>
    <row r="993" spans="1:10" x14ac:dyDescent="0.2">
      <c r="A993" s="2">
        <v>45637</v>
      </c>
      <c r="B993" s="4">
        <f>(Raw_Stock_Data!B993/Raw_Stock_Data!B992)-1</f>
        <v>-5.1691634063772973E-3</v>
      </c>
      <c r="C993" s="4">
        <f>(Raw_Stock_Data!C993/Raw_Stock_Data!C992)-1</f>
        <v>1.2767013285814199E-2</v>
      </c>
      <c r="D993" s="4">
        <f>(Raw_Stock_Data!D993/Raw_Stock_Data!D992)-1</f>
        <v>3.1391130524913047E-2</v>
      </c>
      <c r="E993" s="4">
        <f>(Raw_Stock_Data!E993/Raw_Stock_Data!E992)-1</f>
        <v>1.8866447471426406E-2</v>
      </c>
      <c r="F993" s="4">
        <f>(Raw_Stock_Data!F993/Raw_Stock_Data!F992)-1</f>
        <v>2.3195876288659711E-2</v>
      </c>
      <c r="G993" s="4">
        <f>(Raw_Stock_Data!G993/Raw_Stock_Data!G992)-1</f>
        <v>5.9303224519314579E-2</v>
      </c>
      <c r="H993" s="4">
        <f>(Raw_Stock_Data!H993/Raw_Stock_Data!H992)-1</f>
        <v>5.5246530215477874E-2</v>
      </c>
      <c r="I993" s="4">
        <f>(Raw_Stock_Data!I993/Raw_Stock_Data!I992)-1</f>
        <v>2.157204676096347E-2</v>
      </c>
      <c r="J993" s="4">
        <f>(Raw_Stock_Data!J993/Raw_Stock_Data!J992)-1</f>
        <v>1.7658645904656822E-2</v>
      </c>
    </row>
    <row r="994" spans="1:10" x14ac:dyDescent="0.2">
      <c r="A994" s="2">
        <v>45638</v>
      </c>
      <c r="B994" s="4">
        <f>(Raw_Stock_Data!B994/Raw_Stock_Data!B993)-1</f>
        <v>5.9703317303774206E-3</v>
      </c>
      <c r="C994" s="4">
        <f>(Raw_Stock_Data!C994/Raw_Stock_Data!C993)-1</f>
        <v>1.2695160248556991E-3</v>
      </c>
      <c r="D994" s="4">
        <f>(Raw_Stock_Data!D994/Raw_Stock_Data!D993)-1</f>
        <v>-1.4141124111693326E-2</v>
      </c>
      <c r="E994" s="4">
        <f>(Raw_Stock_Data!E994/Raw_Stock_Data!E993)-1</f>
        <v>3.4575489819437255E-3</v>
      </c>
      <c r="F994" s="4">
        <f>(Raw_Stock_Data!F994/Raw_Stock_Data!F993)-1</f>
        <v>-5.6023625466863347E-3</v>
      </c>
      <c r="G994" s="4">
        <f>(Raw_Stock_Data!G994/Raw_Stock_Data!G993)-1</f>
        <v>-1.5702615533111919E-2</v>
      </c>
      <c r="H994" s="4">
        <f>(Raw_Stock_Data!H994/Raw_Stock_Data!H993)-1</f>
        <v>-1.7604912998976485E-2</v>
      </c>
      <c r="I994" s="4">
        <f>(Raw_Stock_Data!I994/Raw_Stock_Data!I993)-1</f>
        <v>-2.9872921540115005E-3</v>
      </c>
      <c r="J994" s="4">
        <f>(Raw_Stock_Data!J994/Raw_Stock_Data!J993)-1</f>
        <v>-6.5910019970161215E-3</v>
      </c>
    </row>
    <row r="995" spans="1:10" x14ac:dyDescent="0.2">
      <c r="A995" s="2">
        <v>45639</v>
      </c>
      <c r="B995" s="4">
        <f>(Raw_Stock_Data!B995/Raw_Stock_Data!B994)-1</f>
        <v>6.7653790840416228E-4</v>
      </c>
      <c r="C995" s="4">
        <f>(Raw_Stock_Data!C995/Raw_Stock_Data!C994)-1</f>
        <v>-5.0938695613489404E-3</v>
      </c>
      <c r="D995" s="4">
        <f>(Raw_Stock_Data!D995/Raw_Stock_Data!D994)-1</f>
        <v>-2.249890782000874E-2</v>
      </c>
      <c r="E995" s="4">
        <f>(Raw_Stock_Data!E995/Raw_Stock_Data!E994)-1</f>
        <v>-2.8254211332312429E-2</v>
      </c>
      <c r="F995" s="4">
        <f>(Raw_Stock_Data!F995/Raw_Stock_Data!F994)-1</f>
        <v>-6.5947504039830518E-3</v>
      </c>
      <c r="G995" s="4">
        <f>(Raw_Stock_Data!G995/Raw_Stock_Data!G994)-1</f>
        <v>4.3362831858407169E-2</v>
      </c>
      <c r="H995" s="4">
        <f>(Raw_Stock_Data!H995/Raw_Stock_Data!H994)-1</f>
        <v>-1.114815586580542E-2</v>
      </c>
      <c r="I995" s="4">
        <f>(Raw_Stock_Data!I995/Raw_Stock_Data!I994)-1</f>
        <v>-1.6550674550959821E-2</v>
      </c>
      <c r="J995" s="4">
        <f>(Raw_Stock_Data!J995/Raw_Stock_Data!J994)-1</f>
        <v>1.1998287681558306E-3</v>
      </c>
    </row>
    <row r="996" spans="1:10" x14ac:dyDescent="0.2">
      <c r="A996" s="2">
        <v>45642</v>
      </c>
      <c r="B996" s="4">
        <f>(Raw_Stock_Data!B996/Raw_Stock_Data!B995)-1</f>
        <v>1.1732223535698694E-2</v>
      </c>
      <c r="C996" s="4">
        <f>(Raw_Stock_Data!C996/Raw_Stock_Data!C995)-1</f>
        <v>9.6585954792407502E-3</v>
      </c>
      <c r="D996" s="4">
        <f>(Raw_Stock_Data!D996/Raw_Stock_Data!D995)-1</f>
        <v>-1.6759776536312887E-2</v>
      </c>
      <c r="E996" s="4">
        <f>(Raw_Stock_Data!E996/Raw_Stock_Data!E995)-1</f>
        <v>-1.7335119375935237E-3</v>
      </c>
      <c r="F996" s="4">
        <f>(Raw_Stock_Data!F996/Raw_Stock_Data!F995)-1</f>
        <v>2.4048184296139974E-2</v>
      </c>
      <c r="G996" s="4">
        <f>(Raw_Stock_Data!G996/Raw_Stock_Data!G995)-1</f>
        <v>6.1412557595763584E-2</v>
      </c>
      <c r="H996" s="4">
        <f>(Raw_Stock_Data!H996/Raw_Stock_Data!H995)-1</f>
        <v>3.6034137604046057E-2</v>
      </c>
      <c r="I996" s="4">
        <f>(Raw_Stock_Data!I996/Raw_Stock_Data!I995)-1</f>
        <v>6.2706536632546328E-3</v>
      </c>
      <c r="J996" s="4">
        <f>(Raw_Stock_Data!J996/Raw_Stock_Data!J995)-1</f>
        <v>1.2403948065712767E-2</v>
      </c>
    </row>
    <row r="997" spans="1:10" x14ac:dyDescent="0.2">
      <c r="A997" s="2">
        <v>45643</v>
      </c>
      <c r="B997" s="4">
        <f>(Raw_Stock_Data!B997/Raw_Stock_Data!B996)-1</f>
        <v>9.7154975791284848E-3</v>
      </c>
      <c r="C997" s="4">
        <f>(Raw_Stock_Data!C997/Raw_Stock_Data!C996)-1</f>
        <v>6.3553223056311836E-3</v>
      </c>
      <c r="D997" s="4">
        <f>(Raw_Stock_Data!D997/Raw_Stock_Data!D996)-1</f>
        <v>-1.2196969696969817E-2</v>
      </c>
      <c r="E997" s="4">
        <f>(Raw_Stock_Data!E997/Raw_Stock_Data!E996)-1</f>
        <v>-1.3181782303259948E-2</v>
      </c>
      <c r="F997" s="4">
        <f>(Raw_Stock_Data!F997/Raw_Stock_Data!F996)-1</f>
        <v>-7.6417807925127645E-3</v>
      </c>
      <c r="G997" s="4">
        <f>(Raw_Stock_Data!G997/Raw_Stock_Data!G996)-1</f>
        <v>3.6369919225951453E-2</v>
      </c>
      <c r="H997" s="4">
        <f>(Raw_Stock_Data!H997/Raw_Stock_Data!H996)-1</f>
        <v>-6.3052984846944105E-3</v>
      </c>
      <c r="I997" s="4">
        <f>(Raw_Stock_Data!I997/Raw_Stock_Data!I996)-1</f>
        <v>-7.6893502499038036E-3</v>
      </c>
      <c r="J997" s="4">
        <f>(Raw_Stock_Data!J997/Raw_Stock_Data!J996)-1</f>
        <v>-3.2135597051435871E-3</v>
      </c>
    </row>
    <row r="998" spans="1:10" x14ac:dyDescent="0.2">
      <c r="A998" s="2">
        <v>45644</v>
      </c>
      <c r="B998" s="4">
        <f>(Raw_Stock_Data!B998/Raw_Stock_Data!B997)-1</f>
        <v>-2.1415720184831399E-2</v>
      </c>
      <c r="C998" s="4">
        <f>(Raw_Stock_Data!C998/Raw_Stock_Data!C997)-1</f>
        <v>-3.7561061479558178E-2</v>
      </c>
      <c r="D998" s="4">
        <f>(Raw_Stock_Data!D998/Raw_Stock_Data!D997)-1</f>
        <v>-1.135056369353471E-2</v>
      </c>
      <c r="E998" s="4">
        <f>(Raw_Stock_Data!E998/Raw_Stock_Data!E997)-1</f>
        <v>-2.8875379939209744E-2</v>
      </c>
      <c r="F998" s="4">
        <f>(Raw_Stock_Data!F998/Raw_Stock_Data!F997)-1</f>
        <v>-4.5987454034176922E-2</v>
      </c>
      <c r="G998" s="4">
        <f>(Raw_Stock_Data!G998/Raw_Stock_Data!G997)-1</f>
        <v>-8.2794981869712014E-2</v>
      </c>
      <c r="H998" s="4">
        <f>(Raw_Stock_Data!H998/Raw_Stock_Data!H997)-1</f>
        <v>-3.592262818544667E-2</v>
      </c>
      <c r="I998" s="4">
        <f>(Raw_Stock_Data!I998/Raw_Stock_Data!I997)-1</f>
        <v>-3.5919540229885083E-2</v>
      </c>
      <c r="J998" s="4">
        <f>(Raw_Stock_Data!J998/Raw_Stock_Data!J997)-1</f>
        <v>-3.5624241013752167E-2</v>
      </c>
    </row>
    <row r="999" spans="1:10" x14ac:dyDescent="0.2">
      <c r="A999" s="2">
        <v>45645</v>
      </c>
      <c r="B999" s="4">
        <f>(Raw_Stock_Data!B999/Raw_Stock_Data!B998)-1</f>
        <v>7.0140199405508419E-3</v>
      </c>
      <c r="C999" s="4">
        <f>(Raw_Stock_Data!C999/Raw_Stock_Data!C998)-1</f>
        <v>-8.2306408468413306E-4</v>
      </c>
      <c r="D999" s="4">
        <f>(Raw_Stock_Data!D999/Raw_Stock_Data!D998)-1</f>
        <v>1.3730509657901013E-2</v>
      </c>
      <c r="E999" s="4">
        <f>(Raw_Stock_Data!E999/Raw_Stock_Data!E998)-1</f>
        <v>-2.0838481179474511E-2</v>
      </c>
      <c r="F999" s="4">
        <f>(Raw_Stock_Data!F999/Raw_Stock_Data!F998)-1</f>
        <v>1.2561218937057861E-2</v>
      </c>
      <c r="G999" s="4">
        <f>(Raw_Stock_Data!G999/Raw_Stock_Data!G998)-1</f>
        <v>-8.9973416944992834E-3</v>
      </c>
      <c r="H999" s="4">
        <f>(Raw_Stock_Data!H999/Raw_Stock_Data!H998)-1</f>
        <v>5.8386411889599366E-4</v>
      </c>
      <c r="I999" s="4">
        <f>(Raw_Stock_Data!I999/Raw_Stock_Data!I998)-1</f>
        <v>-2.7127044994055272E-3</v>
      </c>
      <c r="J999" s="4">
        <f>(Raw_Stock_Data!J999/Raw_Stock_Data!J998)-1</f>
        <v>-1.0271911735812989E-3</v>
      </c>
    </row>
    <row r="1000" spans="1:10" x14ac:dyDescent="0.2">
      <c r="A1000" s="2">
        <v>45646</v>
      </c>
      <c r="B1000" s="4">
        <f>(Raw_Stock_Data!B1000/Raw_Stock_Data!B999)-1</f>
        <v>1.8812382875021072E-2</v>
      </c>
      <c r="C1000" s="4">
        <f>(Raw_Stock_Data!C1000/Raw_Stock_Data!C999)-1</f>
        <v>-9.8391414777010411E-4</v>
      </c>
      <c r="D1000" s="4">
        <f>(Raw_Stock_Data!D1000/Raw_Stock_Data!D999)-1</f>
        <v>3.0762167125803375E-2</v>
      </c>
      <c r="E1000" s="4">
        <f>(Raw_Stock_Data!E1000/Raw_Stock_Data!E999)-1</f>
        <v>2.7759084791385558E-3</v>
      </c>
      <c r="F1000" s="4">
        <f>(Raw_Stock_Data!F1000/Raw_Stock_Data!F999)-1</f>
        <v>7.2999238658246757E-3</v>
      </c>
      <c r="G1000" s="4">
        <f>(Raw_Stock_Data!G1000/Raw_Stock_Data!G999)-1</f>
        <v>-3.4642455923149296E-2</v>
      </c>
      <c r="H1000" s="4">
        <f>(Raw_Stock_Data!H1000/Raw_Stock_Data!H999)-1</f>
        <v>1.538379926794331E-2</v>
      </c>
      <c r="I1000" s="4">
        <f>(Raw_Stock_Data!I1000/Raw_Stock_Data!I999)-1</f>
        <v>-1.7327937941803762E-2</v>
      </c>
      <c r="J1000" s="4">
        <f>(Raw_Stock_Data!J1000/Raw_Stock_Data!J999)-1</f>
        <v>1.0314993674110484E-2</v>
      </c>
    </row>
    <row r="1001" spans="1:10" x14ac:dyDescent="0.2">
      <c r="A1001" s="2">
        <v>45649</v>
      </c>
      <c r="B1001" s="4">
        <f>(Raw_Stock_Data!B1001/Raw_Stock_Data!B1000)-1</f>
        <v>3.0669761273209861E-3</v>
      </c>
      <c r="C1001" s="4">
        <f>(Raw_Stock_Data!C1001/Raw_Stock_Data!C1000)-1</f>
        <v>-3.0920751259735368E-3</v>
      </c>
      <c r="D1001" s="4">
        <f>(Raw_Stock_Data!D1001/Raw_Stock_Data!D1000)-1</f>
        <v>3.6896807720861124E-2</v>
      </c>
      <c r="E1001" s="4">
        <f>(Raw_Stock_Data!E1001/Raw_Stock_Data!E1000)-1</f>
        <v>4.5214327657075781E-2</v>
      </c>
      <c r="F1001" s="4">
        <f>(Raw_Stock_Data!F1001/Raw_Stock_Data!F1000)-1</f>
        <v>6.224435354793556E-4</v>
      </c>
      <c r="G1001" s="4">
        <f>(Raw_Stock_Data!G1001/Raw_Stock_Data!G1000)-1</f>
        <v>2.2657103500688835E-2</v>
      </c>
      <c r="H1001" s="4">
        <f>(Raw_Stock_Data!H1001/Raw_Stock_Data!H1000)-1</f>
        <v>1.6822527558643774E-2</v>
      </c>
      <c r="I1001" s="4">
        <f>(Raw_Stock_Data!I1001/Raw_Stock_Data!I1000)-1</f>
        <v>2.4946604015378071E-2</v>
      </c>
      <c r="J1001" s="4">
        <f>(Raw_Stock_Data!J1001/Raw_Stock_Data!J1000)-1</f>
        <v>9.8239375453441635E-3</v>
      </c>
    </row>
    <row r="1002" spans="1:10" x14ac:dyDescent="0.2">
      <c r="A1002" s="2">
        <v>45650</v>
      </c>
      <c r="B1002" s="4">
        <f>(Raw_Stock_Data!B1002/Raw_Stock_Data!B1001)-1</f>
        <v>1.1474848595747655E-2</v>
      </c>
      <c r="C1002" s="4">
        <f>(Raw_Stock_Data!C1002/Raw_Stock_Data!C1001)-1</f>
        <v>9.3739230327398726E-3</v>
      </c>
      <c r="D1002" s="4">
        <f>(Raw_Stock_Data!D1002/Raw_Stock_Data!D1001)-1</f>
        <v>3.9378535118494984E-3</v>
      </c>
      <c r="E1002" s="4">
        <f>(Raw_Stock_Data!E1002/Raw_Stock_Data!E1001)-1</f>
        <v>1.3563402889245735E-2</v>
      </c>
      <c r="F1002" s="4">
        <f>(Raw_Stock_Data!F1002/Raw_Stock_Data!F1001)-1</f>
        <v>1.7728605705145339E-2</v>
      </c>
      <c r="G1002" s="4">
        <f>(Raw_Stock_Data!G1002/Raw_Stock_Data!G1001)-1</f>
        <v>7.3571760334417036E-2</v>
      </c>
      <c r="H1002" s="4">
        <f>(Raw_Stock_Data!H1002/Raw_Stock_Data!H1001)-1</f>
        <v>7.6041720187023376E-3</v>
      </c>
      <c r="I1002" s="4">
        <f>(Raw_Stock_Data!I1002/Raw_Stock_Data!I1001)-1</f>
        <v>1.3169959156455802E-2</v>
      </c>
      <c r="J1002" s="4">
        <f>(Raw_Stock_Data!J1002/Raw_Stock_Data!J1001)-1</f>
        <v>1.34708634709646E-2</v>
      </c>
    </row>
    <row r="1003" spans="1:10" x14ac:dyDescent="0.2">
      <c r="A1003" s="2">
        <v>45652</v>
      </c>
      <c r="B1003" s="4">
        <f>(Raw_Stock_Data!B1003/Raw_Stock_Data!B1002)-1</f>
        <v>3.1785307173675115E-3</v>
      </c>
      <c r="C1003" s="4">
        <f>(Raw_Stock_Data!C1003/Raw_Stock_Data!C1002)-1</f>
        <v>-2.7769558190881005E-3</v>
      </c>
      <c r="D1003" s="4">
        <f>(Raw_Stock_Data!D1003/Raw_Stock_Data!D1002)-1</f>
        <v>-2.068178576522528E-3</v>
      </c>
      <c r="E1003" s="4">
        <f>(Raw_Stock_Data!E1003/Raw_Stock_Data!E1002)-1</f>
        <v>-9.7394884788978286E-3</v>
      </c>
      <c r="F1003" s="4">
        <f>(Raw_Stock_Data!F1003/Raw_Stock_Data!F1002)-1</f>
        <v>-8.7317179655097554E-3</v>
      </c>
      <c r="G1003" s="4">
        <f>(Raw_Stock_Data!G1003/Raw_Stock_Data!G1002)-1</f>
        <v>-1.7630007787488022E-2</v>
      </c>
      <c r="H1003" s="4">
        <f>(Raw_Stock_Data!H1003/Raw_Stock_Data!H1002)-1</f>
        <v>-2.6005813064097216E-3</v>
      </c>
      <c r="I1003" s="4">
        <f>(Raw_Stock_Data!I1003/Raw_Stock_Data!I1002)-1</f>
        <v>-7.2398190045248612E-3</v>
      </c>
      <c r="J1003" s="4">
        <f>(Raw_Stock_Data!J1003/Raw_Stock_Data!J1002)-1</f>
        <v>-5.376631273422694E-4</v>
      </c>
    </row>
    <row r="1004" spans="1:10" x14ac:dyDescent="0.2">
      <c r="A1004" s="2">
        <v>45653</v>
      </c>
      <c r="B1004" s="4">
        <f>(Raw_Stock_Data!B1004/Raw_Stock_Data!B1003)-1</f>
        <v>-1.3243928734865462E-2</v>
      </c>
      <c r="C1004" s="4">
        <f>(Raw_Stock_Data!C1004/Raw_Stock_Data!C1003)-1</f>
        <v>-1.7301590924653665E-2</v>
      </c>
      <c r="D1004" s="4">
        <f>(Raw_Stock_Data!D1004/Raw_Stock_Data!D1003)-1</f>
        <v>-2.086757664546568E-2</v>
      </c>
      <c r="E1004" s="4">
        <f>(Raw_Stock_Data!E1004/Raw_Stock_Data!E1003)-1</f>
        <v>1.0395010395010118E-3</v>
      </c>
      <c r="F1004" s="4">
        <f>(Raw_Stock_Data!F1004/Raw_Stock_Data!F1003)-1</f>
        <v>-1.4534243558687598E-2</v>
      </c>
      <c r="G1004" s="4">
        <f>(Raw_Stock_Data!G1004/Raw_Stock_Data!G1003)-1</f>
        <v>-4.9479224010745781E-2</v>
      </c>
      <c r="H1004" s="4">
        <f>(Raw_Stock_Data!H1004/Raw_Stock_Data!H1003)-1</f>
        <v>-1.451942740286305E-2</v>
      </c>
      <c r="I1004" s="4">
        <f>(Raw_Stock_Data!I1004/Raw_Stock_Data!I1003)-1</f>
        <v>-5.8672412364300097E-3</v>
      </c>
      <c r="J1004" s="4">
        <f>(Raw_Stock_Data!J1004/Raw_Stock_Data!J1003)-1</f>
        <v>-1.4901330445606487E-2</v>
      </c>
    </row>
    <row r="1005" spans="1:10" x14ac:dyDescent="0.2">
      <c r="A1005" s="2">
        <v>45656</v>
      </c>
      <c r="B1005" s="4">
        <f>(Raw_Stock_Data!B1005/Raw_Stock_Data!B1004)-1</f>
        <v>-1.3260545749668839E-2</v>
      </c>
      <c r="C1005" s="4">
        <f>(Raw_Stock_Data!C1005/Raw_Stock_Data!C1004)-1</f>
        <v>-1.3239495505539711E-2</v>
      </c>
      <c r="D1005" s="4">
        <f>(Raw_Stock_Data!D1005/Raw_Stock_Data!D1004)-1</f>
        <v>3.5033939128532587E-3</v>
      </c>
      <c r="E1005" s="4">
        <f>(Raw_Stock_Data!E1005/Raw_Stock_Data!E1004)-1</f>
        <v>-2.1966610751657512E-2</v>
      </c>
      <c r="F1005" s="4">
        <f>(Raw_Stock_Data!F1005/Raw_Stock_Data!F1004)-1</f>
        <v>-1.0949720670391017E-2</v>
      </c>
      <c r="G1005" s="4">
        <f>(Raw_Stock_Data!G1005/Raw_Stock_Data!G1004)-1</f>
        <v>-3.3012092850854824E-2</v>
      </c>
      <c r="H1005" s="4">
        <f>(Raw_Stock_Data!H1005/Raw_Stock_Data!H1004)-1</f>
        <v>-7.885453413571164E-3</v>
      </c>
      <c r="I1005" s="4">
        <f>(Raw_Stock_Data!I1005/Raw_Stock_Data!I1004)-1</f>
        <v>-1.4287857821643435E-2</v>
      </c>
      <c r="J1005" s="4">
        <f>(Raw_Stock_Data!J1005/Raw_Stock_Data!J1004)-1</f>
        <v>-1.1927778225669372E-2</v>
      </c>
    </row>
    <row r="1006" spans="1:10" x14ac:dyDescent="0.2">
      <c r="A1006" s="2">
        <v>45657</v>
      </c>
      <c r="B1006" s="4">
        <f>(Raw_Stock_Data!B1006/Raw_Stock_Data!B1005)-1</f>
        <v>-7.0619162368310562E-3</v>
      </c>
      <c r="C1006" s="4">
        <f>(Raw_Stock_Data!C1006/Raw_Stock_Data!C1005)-1</f>
        <v>-7.8384294894427997E-3</v>
      </c>
      <c r="D1006" s="4">
        <f>(Raw_Stock_Data!D1006/Raw_Stock_Data!D1005)-1</f>
        <v>-2.3274419957815207E-2</v>
      </c>
      <c r="E1006" s="4">
        <f>(Raw_Stock_Data!E1006/Raw_Stock_Data!E1005)-1</f>
        <v>-1.3475988239137426E-2</v>
      </c>
      <c r="F1006" s="4">
        <f>(Raw_Stock_Data!F1006/Raw_Stock_Data!F1005)-1</f>
        <v>-8.6308178942613445E-3</v>
      </c>
      <c r="G1006" s="4">
        <f>(Raw_Stock_Data!G1006/Raw_Stock_Data!G1005)-1</f>
        <v>-3.2510002156153517E-2</v>
      </c>
      <c r="H1006" s="4">
        <f>(Raw_Stock_Data!H1006/Raw_Stock_Data!H1005)-1</f>
        <v>-1.0144321271700507E-2</v>
      </c>
      <c r="I1006" s="4">
        <f>(Raw_Stock_Data!I1006/Raw_Stock_Data!I1005)-1</f>
        <v>-9.6914958392531059E-3</v>
      </c>
      <c r="J1006" s="4">
        <f>(Raw_Stock_Data!J1006/Raw_Stock_Data!J1005)-1</f>
        <v>-9.0317594637187026E-3</v>
      </c>
    </row>
    <row r="1007" spans="1:10" x14ac:dyDescent="0.2">
      <c r="A1007" s="2">
        <v>45659</v>
      </c>
      <c r="B1007" s="4">
        <f>(Raw_Stock_Data!B1007/Raw_Stock_Data!B1006)-1</f>
        <v>-2.623429552492651E-2</v>
      </c>
      <c r="C1007" s="4">
        <f>(Raw_Stock_Data!C1007/Raw_Stock_Data!C1006)-1</f>
        <v>-6.9276393831554373E-3</v>
      </c>
      <c r="D1007" s="4">
        <f>(Raw_Stock_Data!D1007/Raw_Stock_Data!D1006)-1</f>
        <v>2.9935214833569201E-2</v>
      </c>
      <c r="E1007" s="4">
        <f>(Raw_Stock_Data!E1007/Raw_Stock_Data!E1006)-1</f>
        <v>-1.3246129646494742E-3</v>
      </c>
      <c r="F1007" s="4">
        <f>(Raw_Stock_Data!F1007/Raw_Stock_Data!F1006)-1</f>
        <v>3.7832171019644978E-3</v>
      </c>
      <c r="G1007" s="4">
        <f>(Raw_Stock_Data!G1007/Raw_Stock_Data!G1006)-1</f>
        <v>-6.0816164817749652E-2</v>
      </c>
      <c r="H1007" s="4">
        <f>(Raw_Stock_Data!H1007/Raw_Stock_Data!H1006)-1</f>
        <v>6.8674062334905805E-4</v>
      </c>
      <c r="I1007" s="4">
        <f>(Raw_Stock_Data!I1007/Raw_Stock_Data!I1006)-1</f>
        <v>2.3449642192276743E-2</v>
      </c>
      <c r="J1007" s="4">
        <f>(Raw_Stock_Data!J1007/Raw_Stock_Data!J1006)-1</f>
        <v>-1.5535356140271572E-3</v>
      </c>
    </row>
    <row r="1008" spans="1:10" x14ac:dyDescent="0.2">
      <c r="A1008" s="2">
        <v>45660</v>
      </c>
      <c r="B1008" s="4">
        <f>(Raw_Stock_Data!B1008/Raw_Stock_Data!B1007)-1</f>
        <v>-2.0061626680728528E-3</v>
      </c>
      <c r="C1008" s="4">
        <f>(Raw_Stock_Data!C1008/Raw_Stock_Data!C1007)-1</f>
        <v>1.1395671078407998E-2</v>
      </c>
      <c r="D1008" s="4">
        <f>(Raw_Stock_Data!D1008/Raw_Stock_Data!D1007)-1</f>
        <v>4.4537632853734355E-2</v>
      </c>
      <c r="E1008" s="4">
        <f>(Raw_Stock_Data!E1008/Raw_Stock_Data!E1007)-1</f>
        <v>3.9293708032827723E-2</v>
      </c>
      <c r="F1008" s="4">
        <f>(Raw_Stock_Data!F1008/Raw_Stock_Data!F1007)-1</f>
        <v>1.802742711833627E-2</v>
      </c>
      <c r="G1008" s="4">
        <f>(Raw_Stock_Data!G1008/Raw_Stock_Data!G1007)-1</f>
        <v>8.2155663362159848E-2</v>
      </c>
      <c r="H1008" s="4">
        <f>(Raw_Stock_Data!H1008/Raw_Stock_Data!H1007)-1</f>
        <v>1.245842791532481E-2</v>
      </c>
      <c r="I1008" s="4">
        <f>(Raw_Stock_Data!I1008/Raw_Stock_Data!I1007)-1</f>
        <v>8.9947266537613313E-3</v>
      </c>
      <c r="J1008" s="4">
        <f>(Raw_Stock_Data!J1008/Raw_Stock_Data!J1007)-1</f>
        <v>1.7680292145705545E-2</v>
      </c>
    </row>
    <row r="1009" spans="1:10" x14ac:dyDescent="0.2">
      <c r="A1009" s="2">
        <v>45663</v>
      </c>
      <c r="B1009" s="4">
        <f>(Raw_Stock_Data!B1009/Raw_Stock_Data!B1008)-1</f>
        <v>6.7364249891648242E-3</v>
      </c>
      <c r="C1009" s="4">
        <f>(Raw_Stock_Data!C1009/Raw_Stock_Data!C1008)-1</f>
        <v>1.0629502775481248E-2</v>
      </c>
      <c r="D1009" s="4">
        <f>(Raw_Stock_Data!D1009/Raw_Stock_Data!D1008)-1</f>
        <v>3.4332387346854176E-2</v>
      </c>
      <c r="E1009" s="4">
        <f>(Raw_Stock_Data!E1009/Raw_Stock_Data!E1008)-1</f>
        <v>3.3341309723219359E-2</v>
      </c>
      <c r="F1009" s="4">
        <f>(Raw_Stock_Data!F1009/Raw_Stock_Data!F1008)-1</f>
        <v>1.525491770373355E-2</v>
      </c>
      <c r="G1009" s="4">
        <f>(Raw_Stock_Data!G1009/Raw_Stock_Data!G1008)-1</f>
        <v>1.4862099210604107E-3</v>
      </c>
      <c r="H1009" s="4">
        <f>(Raw_Stock_Data!H1009/Raw_Stock_Data!H1008)-1</f>
        <v>2.6487303821888686E-2</v>
      </c>
      <c r="I1009" s="4">
        <f>(Raw_Stock_Data!I1009/Raw_Stock_Data!I1008)-1</f>
        <v>4.229032631526719E-2</v>
      </c>
      <c r="J1009" s="4">
        <f>(Raw_Stock_Data!J1009/Raw_Stock_Data!J1008)-1</f>
        <v>1.2399549885636629E-2</v>
      </c>
    </row>
    <row r="1010" spans="1:10" x14ac:dyDescent="0.2">
      <c r="A1010" s="2">
        <v>45664</v>
      </c>
      <c r="B1010" s="4">
        <f>(Raw_Stock_Data!B1010/Raw_Stock_Data!B1009)-1</f>
        <v>-1.1390053998204142E-2</v>
      </c>
      <c r="C1010" s="4">
        <f>(Raw_Stock_Data!C1010/Raw_Stock_Data!C1009)-1</f>
        <v>-1.2808227182423804E-2</v>
      </c>
      <c r="D1010" s="4">
        <f>(Raw_Stock_Data!D1010/Raw_Stock_Data!D1009)-1</f>
        <v>-6.2169577728702574E-2</v>
      </c>
      <c r="E1010" s="4">
        <f>(Raw_Stock_Data!E1010/Raw_Stock_Data!E1009)-1</f>
        <v>-1.7136240833655059E-2</v>
      </c>
      <c r="F1010" s="4">
        <f>(Raw_Stock_Data!F1010/Raw_Stock_Data!F1009)-1</f>
        <v>-2.4164140415623203E-2</v>
      </c>
      <c r="G1010" s="4">
        <f>(Raw_Stock_Data!G1010/Raw_Stock_Data!G1009)-1</f>
        <v>-4.0603332927867664E-2</v>
      </c>
      <c r="H1010" s="4">
        <f>(Raw_Stock_Data!H1010/Raw_Stock_Data!H1009)-1</f>
        <v>-7.0097018336973127E-3</v>
      </c>
      <c r="I1010" s="4">
        <f>(Raw_Stock_Data!I1010/Raw_Stock_Data!I1009)-1</f>
        <v>-1.9533481434465316E-2</v>
      </c>
      <c r="J1010" s="4">
        <f>(Raw_Stock_Data!J1010/Raw_Stock_Data!J1009)-1</f>
        <v>-1.8892543561584207E-2</v>
      </c>
    </row>
    <row r="1011" spans="1:10" x14ac:dyDescent="0.2">
      <c r="A1011" s="2">
        <v>45665</v>
      </c>
      <c r="B1011" s="4">
        <f>(Raw_Stock_Data!B1011/Raw_Stock_Data!B1010)-1</f>
        <v>2.0280442437137225E-3</v>
      </c>
      <c r="C1011" s="4">
        <f>(Raw_Stock_Data!C1011/Raw_Stock_Data!C1010)-1</f>
        <v>5.1850273456921503E-3</v>
      </c>
      <c r="D1011" s="4">
        <f>(Raw_Stock_Data!D1011/Raw_Stock_Data!D1010)-1</f>
        <v>-2.1407164264286571E-4</v>
      </c>
      <c r="E1011" s="4">
        <f>(Raw_Stock_Data!E1011/Raw_Stock_Data!E1010)-1</f>
        <v>-4.3116311945338825E-2</v>
      </c>
      <c r="F1011" s="4">
        <f>(Raw_Stock_Data!F1011/Raw_Stock_Data!F1010)-1</f>
        <v>9.0045472963762307E-5</v>
      </c>
      <c r="G1011" s="4">
        <f>(Raw_Stock_Data!G1011/Raw_Stock_Data!G1010)-1</f>
        <v>1.4707373973019688E-3</v>
      </c>
      <c r="H1011" s="4">
        <f>(Raw_Stock_Data!H1011/Raw_Stock_Data!H1010)-1</f>
        <v>-7.8776408000410525E-3</v>
      </c>
      <c r="I1011" s="4">
        <f>(Raw_Stock_Data!I1011/Raw_Stock_Data!I1010)-1</f>
        <v>-1.1604007185744947E-2</v>
      </c>
      <c r="J1011" s="4">
        <f>(Raw_Stock_Data!J1011/Raw_Stock_Data!J1010)-1</f>
        <v>-5.5413942147841677E-4</v>
      </c>
    </row>
    <row r="1012" spans="1:10" x14ac:dyDescent="0.2">
      <c r="A1012" s="2">
        <v>45667</v>
      </c>
      <c r="B1012" s="4">
        <f>(Raw_Stock_Data!B1012/Raw_Stock_Data!B1011)-1</f>
        <v>-2.4109301016522755E-2</v>
      </c>
      <c r="C1012" s="4">
        <f>(Raw_Stock_Data!C1012/Raw_Stock_Data!C1011)-1</f>
        <v>-1.3213680045223275E-2</v>
      </c>
      <c r="D1012" s="4">
        <f>(Raw_Stock_Data!D1012/Raw_Stock_Data!D1011)-1</f>
        <v>-2.997644707729652E-2</v>
      </c>
      <c r="E1012" s="4">
        <f>(Raw_Stock_Data!E1012/Raw_Stock_Data!E1011)-1</f>
        <v>-4.7603414313854175E-2</v>
      </c>
      <c r="F1012" s="4">
        <f>(Raw_Stock_Data!F1012/Raw_Stock_Data!F1011)-1</f>
        <v>-1.4360959798316308E-2</v>
      </c>
      <c r="G1012" s="4">
        <f>(Raw_Stock_Data!G1012/Raw_Stock_Data!G1011)-1</f>
        <v>-5.0640603635987436E-4</v>
      </c>
      <c r="H1012" s="4">
        <f>(Raw_Stock_Data!H1012/Raw_Stock_Data!H1011)-1</f>
        <v>-9.8478989430265118E-3</v>
      </c>
      <c r="I1012" s="4">
        <f>(Raw_Stock_Data!I1012/Raw_Stock_Data!I1011)-1</f>
        <v>8.416295520041972E-3</v>
      </c>
      <c r="J1012" s="4">
        <f>(Raw_Stock_Data!J1012/Raw_Stock_Data!J1011)-1</f>
        <v>-1.6286870703038359E-2</v>
      </c>
    </row>
    <row r="1013" spans="1:10" x14ac:dyDescent="0.2">
      <c r="A1013" s="2">
        <v>45670</v>
      </c>
      <c r="B1013" s="4">
        <f>(Raw_Stock_Data!B1013/Raw_Stock_Data!B1012)-1</f>
        <v>-1.0340016031690102E-2</v>
      </c>
      <c r="C1013" s="4">
        <f>(Raw_Stock_Data!C1013/Raw_Stock_Data!C1012)-1</f>
        <v>-4.2009786370688085E-3</v>
      </c>
      <c r="D1013" s="4">
        <f>(Raw_Stock_Data!D1013/Raw_Stock_Data!D1012)-1</f>
        <v>-1.9718931645942184E-2</v>
      </c>
      <c r="E1013" s="4">
        <f>(Raw_Stock_Data!E1013/Raw_Stock_Data!E1012)-1</f>
        <v>1.1030679076180494E-2</v>
      </c>
      <c r="F1013" s="4">
        <f>(Raw_Stock_Data!F1013/Raw_Stock_Data!F1012)-1</f>
        <v>-2.1923814743765035E-3</v>
      </c>
      <c r="G1013" s="4">
        <f>(Raw_Stock_Data!G1013/Raw_Stock_Data!G1012)-1</f>
        <v>2.1710492982722762E-2</v>
      </c>
      <c r="H1013" s="4">
        <f>(Raw_Stock_Data!H1013/Raw_Stock_Data!H1012)-1</f>
        <v>-5.363465944594914E-3</v>
      </c>
      <c r="I1013" s="4">
        <f>(Raw_Stock_Data!I1013/Raw_Stock_Data!I1012)-1</f>
        <v>-1.2226804793297186E-2</v>
      </c>
      <c r="J1013" s="4">
        <f>(Raw_Stock_Data!J1013/Raw_Stock_Data!J1012)-1</f>
        <v>-3.837356216564114E-3</v>
      </c>
    </row>
    <row r="1014" spans="1:10" x14ac:dyDescent="0.2">
      <c r="A1014" s="2">
        <v>45671</v>
      </c>
      <c r="B1014" s="4">
        <f>(Raw_Stock_Data!B1014/Raw_Stock_Data!B1013)-1</f>
        <v>-4.7783325119458153E-3</v>
      </c>
      <c r="C1014" s="4">
        <f>(Raw_Stock_Data!C1014/Raw_Stock_Data!C1013)-1</f>
        <v>-3.6434238596322333E-3</v>
      </c>
      <c r="D1014" s="4">
        <f>(Raw_Stock_Data!D1014/Raw_Stock_Data!D1013)-1</f>
        <v>-1.103355100202652E-2</v>
      </c>
      <c r="E1014" s="4">
        <f>(Raw_Stock_Data!E1014/Raw_Stock_Data!E1013)-1</f>
        <v>-1.0484145925673261E-2</v>
      </c>
      <c r="F1014" s="4">
        <f>(Raw_Stock_Data!F1014/Raw_Stock_Data!F1013)-1</f>
        <v>-3.2042479172389449E-3</v>
      </c>
      <c r="G1014" s="4">
        <f>(Raw_Stock_Data!G1014/Raw_Stock_Data!G1013)-1</f>
        <v>-1.7232401874488601E-2</v>
      </c>
      <c r="H1014" s="4">
        <f>(Raw_Stock_Data!H1014/Raw_Stock_Data!H1013)-1</f>
        <v>-7.0676927909533172E-3</v>
      </c>
      <c r="I1014" s="4">
        <f>(Raw_Stock_Data!I1014/Raw_Stock_Data!I1013)-1</f>
        <v>-2.3145332303190713E-2</v>
      </c>
      <c r="J1014" s="4">
        <f>(Raw_Stock_Data!J1014/Raw_Stock_Data!J1013)-1</f>
        <v>-2.2899083722318636E-3</v>
      </c>
    </row>
    <row r="1015" spans="1:10" x14ac:dyDescent="0.2">
      <c r="A1015" s="2">
        <v>45672</v>
      </c>
      <c r="B1015" s="4">
        <f>(Raw_Stock_Data!B1015/Raw_Stock_Data!B1014)-1</f>
        <v>1.9674460663996918E-2</v>
      </c>
      <c r="C1015" s="4">
        <f>(Raw_Stock_Data!C1015/Raw_Stock_Data!C1014)-1</f>
        <v>2.5597228570741093E-2</v>
      </c>
      <c r="D1015" s="4">
        <f>(Raw_Stock_Data!D1015/Raw_Stock_Data!D1014)-1</f>
        <v>3.4001214329083318E-2</v>
      </c>
      <c r="E1015" s="4">
        <f>(Raw_Stock_Data!E1015/Raw_Stock_Data!E1014)-1</f>
        <v>3.3336204668791281E-2</v>
      </c>
      <c r="F1015" s="4">
        <f>(Raw_Stock_Data!F1015/Raw_Stock_Data!F1014)-1</f>
        <v>2.5670462894930246E-2</v>
      </c>
      <c r="G1015" s="4">
        <f>(Raw_Stock_Data!G1015/Raw_Stock_Data!G1014)-1</f>
        <v>8.0381471389645798E-2</v>
      </c>
      <c r="H1015" s="4">
        <f>(Raw_Stock_Data!H1015/Raw_Stock_Data!H1014)-1</f>
        <v>3.1055573130865932E-2</v>
      </c>
      <c r="I1015" s="4">
        <f>(Raw_Stock_Data!I1015/Raw_Stock_Data!I1014)-1</f>
        <v>3.8485485906605055E-2</v>
      </c>
      <c r="J1015" s="4">
        <f>(Raw_Stock_Data!J1015/Raw_Stock_Data!J1014)-1</f>
        <v>2.4513255609657225E-2</v>
      </c>
    </row>
    <row r="1016" spans="1:10" x14ac:dyDescent="0.2">
      <c r="A1016" s="2">
        <v>45673</v>
      </c>
      <c r="B1016" s="4">
        <f>(Raw_Stock_Data!B1016/Raw_Stock_Data!B1015)-1</f>
        <v>-4.0401353046254473E-2</v>
      </c>
      <c r="C1016" s="4">
        <f>(Raw_Stock_Data!C1016/Raw_Stock_Data!C1015)-1</f>
        <v>-4.0580798010837471E-3</v>
      </c>
      <c r="D1016" s="4">
        <f>(Raw_Stock_Data!D1016/Raw_Stock_Data!D1015)-1</f>
        <v>-1.9597768643570324E-2</v>
      </c>
      <c r="E1016" s="4">
        <f>(Raw_Stock_Data!E1016/Raw_Stock_Data!E1015)-1</f>
        <v>-1.2670890296765602E-2</v>
      </c>
      <c r="F1016" s="4">
        <f>(Raw_Stock_Data!F1016/Raw_Stock_Data!F1015)-1</f>
        <v>-1.2043877322587826E-2</v>
      </c>
      <c r="G1016" s="4">
        <f>(Raw_Stock_Data!G1016/Raw_Stock_Data!G1015)-1</f>
        <v>-3.3627574611181266E-2</v>
      </c>
      <c r="H1016" s="4">
        <f>(Raw_Stock_Data!H1016/Raw_Stock_Data!H1015)-1</f>
        <v>-1.350038353362315E-2</v>
      </c>
      <c r="I1016" s="4">
        <f>(Raw_Stock_Data!I1016/Raw_Stock_Data!I1015)-1</f>
        <v>-9.4309048483277591E-3</v>
      </c>
      <c r="J1016" s="4">
        <f>(Raw_Stock_Data!J1016/Raw_Stock_Data!J1015)-1</f>
        <v>-8.8636134164785663E-3</v>
      </c>
    </row>
    <row r="1017" spans="1:10" x14ac:dyDescent="0.2">
      <c r="A1017" s="2">
        <v>45674</v>
      </c>
      <c r="B1017" s="4">
        <f>(Raw_Stock_Data!B1017/Raw_Stock_Data!B1016)-1</f>
        <v>7.5341501197014882E-3</v>
      </c>
      <c r="C1017" s="4">
        <f>(Raw_Stock_Data!C1017/Raw_Stock_Data!C1016)-1</f>
        <v>1.0480945875924519E-2</v>
      </c>
      <c r="D1017" s="4">
        <f>(Raw_Stock_Data!D1017/Raw_Stock_Data!D1016)-1</f>
        <v>3.0994983903571249E-2</v>
      </c>
      <c r="E1017" s="4">
        <f>(Raw_Stock_Data!E1017/Raw_Stock_Data!E1016)-1</f>
        <v>2.5498142519419176E-2</v>
      </c>
      <c r="F1017" s="4">
        <f>(Raw_Stock_Data!F1017/Raw_Stock_Data!F1016)-1</f>
        <v>2.3928215353938187E-2</v>
      </c>
      <c r="G1017" s="4">
        <f>(Raw_Stock_Data!G1017/Raw_Stock_Data!G1016)-1</f>
        <v>3.0641341646126419E-2</v>
      </c>
      <c r="H1017" s="4">
        <f>(Raw_Stock_Data!H1017/Raw_Stock_Data!H1016)-1</f>
        <v>1.601783214970709E-2</v>
      </c>
      <c r="I1017" s="4">
        <f>(Raw_Stock_Data!I1017/Raw_Stock_Data!I1016)-1</f>
        <v>2.4047112710616769E-3</v>
      </c>
      <c r="J1017" s="4">
        <f>(Raw_Stock_Data!J1017/Raw_Stock_Data!J1016)-1</f>
        <v>1.5094923077479949E-2</v>
      </c>
    </row>
    <row r="1018" spans="1:10" x14ac:dyDescent="0.2">
      <c r="A1018" s="2">
        <v>45678</v>
      </c>
      <c r="B1018" s="4">
        <f>(Raw_Stock_Data!B1018/Raw_Stock_Data!B1017)-1</f>
        <v>-3.1916101754140724E-2</v>
      </c>
      <c r="C1018" s="4">
        <f>(Raw_Stock_Data!C1018/Raw_Stock_Data!C1017)-1</f>
        <v>-1.2353448476796203E-3</v>
      </c>
      <c r="D1018" s="4">
        <f>(Raw_Stock_Data!D1018/Raw_Stock_Data!D1017)-1</f>
        <v>2.265630673153729E-2</v>
      </c>
      <c r="E1018" s="4">
        <f>(Raw_Stock_Data!E1018/Raw_Stock_Data!E1017)-1</f>
        <v>6.7511938086612933E-3</v>
      </c>
      <c r="F1018" s="4">
        <f>(Raw_Stock_Data!F1018/Raw_Stock_Data!F1017)-1</f>
        <v>2.1111799592812286E-2</v>
      </c>
      <c r="G1018" s="4">
        <f>(Raw_Stock_Data!G1018/Raw_Stock_Data!G1017)-1</f>
        <v>-5.6975381008206316E-3</v>
      </c>
      <c r="H1018" s="4">
        <f>(Raw_Stock_Data!H1018/Raw_Stock_Data!H1017)-1</f>
        <v>1.0459183673469541E-2</v>
      </c>
      <c r="I1018" s="4">
        <f>(Raw_Stock_Data!I1018/Raw_Stock_Data!I1017)-1</f>
        <v>6.021835272614684E-3</v>
      </c>
      <c r="J1018" s="4">
        <f>(Raw_Stock_Data!J1018/Raw_Stock_Data!J1017)-1</f>
        <v>6.4482277307413849E-3</v>
      </c>
    </row>
    <row r="1019" spans="1:10" x14ac:dyDescent="0.2">
      <c r="A1019" s="2">
        <v>45679</v>
      </c>
      <c r="B1019" s="4">
        <f>(Raw_Stock_Data!B1019/Raw_Stock_Data!B1018)-1</f>
        <v>5.3465802190066913E-3</v>
      </c>
      <c r="C1019" s="4">
        <f>(Raw_Stock_Data!C1019/Raw_Stock_Data!C1018)-1</f>
        <v>4.1306884480746708E-2</v>
      </c>
      <c r="D1019" s="4">
        <f>(Raw_Stock_Data!D1019/Raw_Stock_Data!D1018)-1</f>
        <v>4.43087410352907E-2</v>
      </c>
      <c r="E1019" s="4">
        <f>(Raw_Stock_Data!E1019/Raw_Stock_Data!E1018)-1</f>
        <v>1.2021589793915544E-2</v>
      </c>
      <c r="F1019" s="4">
        <f>(Raw_Stock_Data!F1019/Raw_Stock_Data!F1018)-1</f>
        <v>1.8638117116726471E-2</v>
      </c>
      <c r="G1019" s="4">
        <f>(Raw_Stock_Data!G1019/Raw_Stock_Data!G1018)-1</f>
        <v>-2.1128587261536991E-2</v>
      </c>
      <c r="H1019" s="4">
        <f>(Raw_Stock_Data!H1019/Raw_Stock_Data!H1018)-1</f>
        <v>1.6157535975762638E-3</v>
      </c>
      <c r="I1019" s="4">
        <f>(Raw_Stock_Data!I1019/Raw_Stock_Data!I1018)-1</f>
        <v>1.1420043474029029E-2</v>
      </c>
      <c r="J1019" s="4">
        <f>(Raw_Stock_Data!J1019/Raw_Stock_Data!J1018)-1</f>
        <v>1.2783459652838225E-2</v>
      </c>
    </row>
    <row r="1020" spans="1:10" x14ac:dyDescent="0.2">
      <c r="A1020" s="2">
        <v>45680</v>
      </c>
      <c r="B1020" s="4">
        <f>(Raw_Stock_Data!B1020/Raw_Stock_Data!B1019)-1</f>
        <v>-7.6294082271954888E-4</v>
      </c>
      <c r="C1020" s="4">
        <f>(Raw_Stock_Data!C1020/Raw_Stock_Data!C1019)-1</f>
        <v>1.1429852084265946E-3</v>
      </c>
      <c r="D1020" s="4">
        <f>(Raw_Stock_Data!D1020/Raw_Stock_Data!D1019)-1</f>
        <v>1.0199224858911116E-3</v>
      </c>
      <c r="E1020" s="4">
        <f>(Raw_Stock_Data!E1020/Raw_Stock_Data!E1019)-1</f>
        <v>-5.7373737373737077E-3</v>
      </c>
      <c r="F1020" s="4">
        <f>(Raw_Stock_Data!F1020/Raw_Stock_Data!F1019)-1</f>
        <v>1.744606612484656E-3</v>
      </c>
      <c r="G1020" s="4">
        <f>(Raw_Stock_Data!G1020/Raw_Stock_Data!G1019)-1</f>
        <v>-6.57657006576573E-3</v>
      </c>
      <c r="H1020" s="4">
        <f>(Raw_Stock_Data!H1020/Raw_Stock_Data!H1019)-1</f>
        <v>-1.9660230881686225E-3</v>
      </c>
      <c r="I1020" s="4">
        <f>(Raw_Stock_Data!I1020/Raw_Stock_Data!I1019)-1</f>
        <v>2.0769847634322547E-2</v>
      </c>
      <c r="J1020" s="4">
        <f>(Raw_Stock_Data!J1020/Raw_Stock_Data!J1019)-1</f>
        <v>2.2159651442776873E-3</v>
      </c>
    </row>
    <row r="1021" spans="1:10" x14ac:dyDescent="0.2">
      <c r="A1021" s="2">
        <v>45681</v>
      </c>
      <c r="B1021" s="4">
        <f>(Raw_Stock_Data!B1021/Raw_Stock_Data!B1020)-1</f>
        <v>-3.9298995742234055E-3</v>
      </c>
      <c r="C1021" s="4">
        <f>(Raw_Stock_Data!C1021/Raw_Stock_Data!C1020)-1</f>
        <v>-5.932260303104897E-3</v>
      </c>
      <c r="D1021" s="4">
        <f>(Raw_Stock_Data!D1021/Raw_Stock_Data!D1020)-1</f>
        <v>-3.1245754652900359E-2</v>
      </c>
      <c r="E1021" s="4">
        <f>(Raw_Stock_Data!E1021/Raw_Stock_Data!E1020)-1</f>
        <v>-1.6254876462938883E-3</v>
      </c>
      <c r="F1021" s="4">
        <f>(Raw_Stock_Data!F1021/Raw_Stock_Data!F1020)-1</f>
        <v>-2.4212046555093236E-3</v>
      </c>
      <c r="G1021" s="4">
        <f>(Raw_Stock_Data!G1021/Raw_Stock_Data!G1020)-1</f>
        <v>-1.406469760900142E-2</v>
      </c>
      <c r="H1021" s="4">
        <f>(Raw_Stock_Data!H1021/Raw_Stock_Data!H1020)-1</f>
        <v>1.1263764016567368E-2</v>
      </c>
      <c r="I1021" s="4">
        <f>(Raw_Stock_Data!I1021/Raw_Stock_Data!I1020)-1</f>
        <v>1.7346217299080813E-2</v>
      </c>
      <c r="J1021" s="4">
        <f>(Raw_Stock_Data!J1021/Raw_Stock_Data!J1020)-1</f>
        <v>-4.9556989041413813E-3</v>
      </c>
    </row>
    <row r="1022" spans="1:10" x14ac:dyDescent="0.2">
      <c r="A1022" s="2">
        <v>45684</v>
      </c>
      <c r="B1022" s="4">
        <f>(Raw_Stock_Data!B1022/Raw_Stock_Data!B1021)-1</f>
        <v>3.1779670569986873E-2</v>
      </c>
      <c r="C1022" s="4">
        <f>(Raw_Stock_Data!C1022/Raw_Stock_Data!C1021)-1</f>
        <v>-2.1393505382155564E-2</v>
      </c>
      <c r="D1022" s="4">
        <f>(Raw_Stock_Data!D1022/Raw_Stock_Data!D1021)-1</f>
        <v>-0.16968167157481417</v>
      </c>
      <c r="E1022" s="4">
        <f>(Raw_Stock_Data!E1022/Raw_Stock_Data!E1021)-1</f>
        <v>-6.3741452295669188E-2</v>
      </c>
      <c r="F1022" s="4">
        <f>(Raw_Stock_Data!F1022/Raw_Stock_Data!F1021)-1</f>
        <v>2.4270811156057448E-3</v>
      </c>
      <c r="G1022" s="4">
        <f>(Raw_Stock_Data!G1022/Raw_Stock_Data!G1021)-1</f>
        <v>-2.3193467460278394E-2</v>
      </c>
      <c r="H1022" s="4">
        <f>(Raw_Stock_Data!H1022/Raw_Stock_Data!H1021)-1</f>
        <v>-4.1955946256430732E-2</v>
      </c>
      <c r="I1022" s="4">
        <f>(Raw_Stock_Data!I1022/Raw_Stock_Data!I1021)-1</f>
        <v>1.9135430663021813E-2</v>
      </c>
      <c r="J1022" s="4">
        <f>(Raw_Stock_Data!J1022/Raw_Stock_Data!J1021)-1</f>
        <v>-3.0693634955874072E-2</v>
      </c>
    </row>
    <row r="1023" spans="1:10" x14ac:dyDescent="0.2">
      <c r="A1023" s="2">
        <v>45685</v>
      </c>
      <c r="B1023" s="4">
        <f>(Raw_Stock_Data!B1023/Raw_Stock_Data!B1022)-1</f>
        <v>3.6543209876543248E-2</v>
      </c>
      <c r="C1023" s="4">
        <f>(Raw_Stock_Data!C1023/Raw_Stock_Data!C1022)-1</f>
        <v>2.9086892488954241E-2</v>
      </c>
      <c r="D1023" s="4">
        <f>(Raw_Stock_Data!D1023/Raw_Stock_Data!D1022)-1</f>
        <v>8.9258571187299518E-2</v>
      </c>
      <c r="E1023" s="4">
        <f>(Raw_Stock_Data!E1023/Raw_Stock_Data!E1022)-1</f>
        <v>-7.3037127206330155E-3</v>
      </c>
      <c r="F1023" s="4">
        <f>(Raw_Stock_Data!F1023/Raw_Stock_Data!F1022)-1</f>
        <v>1.1596295981649796E-2</v>
      </c>
      <c r="G1023" s="4">
        <f>(Raw_Stock_Data!G1023/Raw_Stock_Data!G1022)-1</f>
        <v>2.3668639053253671E-3</v>
      </c>
      <c r="H1023" s="4">
        <f>(Raw_Stock_Data!H1023/Raw_Stock_Data!H1022)-1</f>
        <v>1.8195088890047506E-2</v>
      </c>
      <c r="I1023" s="4">
        <f>(Raw_Stock_Data!I1023/Raw_Stock_Data!I1022)-1</f>
        <v>2.1897920834091034E-2</v>
      </c>
      <c r="J1023" s="4">
        <f>(Raw_Stock_Data!J1023/Raw_Stock_Data!J1022)-1</f>
        <v>2.0254546751780955E-2</v>
      </c>
    </row>
    <row r="1024" spans="1:10" x14ac:dyDescent="0.2">
      <c r="A1024" s="2">
        <v>45686</v>
      </c>
      <c r="B1024" s="4">
        <f>(Raw_Stock_Data!B1024/Raw_Stock_Data!B1023)-1</f>
        <v>4.616610522499176E-3</v>
      </c>
      <c r="C1024" s="4">
        <f>(Raw_Stock_Data!C1024/Raw_Stock_Data!C1023)-1</f>
        <v>-1.08899821109123E-2</v>
      </c>
      <c r="D1024" s="4">
        <f>(Raw_Stock_Data!D1024/Raw_Stock_Data!D1023)-1</f>
        <v>-4.1010931079928703E-2</v>
      </c>
      <c r="E1024" s="4">
        <f>(Raw_Stock_Data!E1024/Raw_Stock_Data!E1023)-1</f>
        <v>2.7853201366383473E-2</v>
      </c>
      <c r="F1024" s="4">
        <f>(Raw_Stock_Data!F1024/Raw_Stock_Data!F1023)-1</f>
        <v>-4.5349569598992501E-3</v>
      </c>
      <c r="G1024" s="4">
        <f>(Raw_Stock_Data!G1024/Raw_Stock_Data!G1023)-1</f>
        <v>-2.2582833027707139E-2</v>
      </c>
      <c r="H1024" s="4">
        <f>(Raw_Stock_Data!H1024/Raw_Stock_Data!H1023)-1</f>
        <v>5.6323604710684094E-4</v>
      </c>
      <c r="I1024" s="4">
        <f>(Raw_Stock_Data!I1024/Raw_Stock_Data!I1023)-1</f>
        <v>3.203179452196947E-3</v>
      </c>
      <c r="J1024" s="4">
        <f>(Raw_Stock_Data!J1024/Raw_Stock_Data!J1023)-1</f>
        <v>-5.1318589268348758E-3</v>
      </c>
    </row>
    <row r="1025" spans="1:10" x14ac:dyDescent="0.2">
      <c r="A1025" s="2">
        <v>45687</v>
      </c>
      <c r="B1025" s="4">
        <f>(Raw_Stock_Data!B1025/Raw_Stock_Data!B1024)-1</f>
        <v>-7.3945996760141908E-3</v>
      </c>
      <c r="C1025" s="4">
        <f>(Raw_Stock_Data!C1025/Raw_Stock_Data!C1024)-1</f>
        <v>-6.1809056586711209E-2</v>
      </c>
      <c r="D1025" s="4">
        <f>(Raw_Stock_Data!D1025/Raw_Stock_Data!D1024)-1</f>
        <v>7.6798706548100171E-3</v>
      </c>
      <c r="E1025" s="4">
        <f>(Raw_Stock_Data!E1025/Raw_Stock_Data!E1024)-1</f>
        <v>1.2867490413293714E-2</v>
      </c>
      <c r="F1025" s="4">
        <f>(Raw_Stock_Data!F1025/Raw_Stock_Data!F1024)-1</f>
        <v>-1.0250137090310862E-2</v>
      </c>
      <c r="G1025" s="4">
        <f>(Raw_Stock_Data!G1025/Raw_Stock_Data!G1024)-1</f>
        <v>2.873297352865567E-2</v>
      </c>
      <c r="H1025" s="4">
        <f>(Raw_Stock_Data!H1025/Raw_Stock_Data!H1024)-1</f>
        <v>2.7941251727137795E-2</v>
      </c>
      <c r="I1025" s="4">
        <f>(Raw_Stock_Data!I1025/Raw_Stock_Data!I1024)-1</f>
        <v>1.5536075921299686E-2</v>
      </c>
      <c r="J1025" s="4">
        <f>(Raw_Stock_Data!J1025/Raw_Stock_Data!J1024)-1</f>
        <v>2.5177869961370281E-3</v>
      </c>
    </row>
    <row r="1026" spans="1:10" x14ac:dyDescent="0.2">
      <c r="A1026" s="2">
        <v>45688</v>
      </c>
      <c r="B1026" s="4">
        <f>(Raw_Stock_Data!B1026/Raw_Stock_Data!B1025)-1</f>
        <v>-6.6928800947065881E-3</v>
      </c>
      <c r="C1026" s="4">
        <f>(Raw_Stock_Data!C1026/Raw_Stock_Data!C1025)-1</f>
        <v>1.6867876334369925E-4</v>
      </c>
      <c r="D1026" s="4">
        <f>(Raw_Stock_Data!D1026/Raw_Stock_Data!D1025)-1</f>
        <v>-3.6742880064179806E-2</v>
      </c>
      <c r="E1026" s="4">
        <f>(Raw_Stock_Data!E1026/Raw_Stock_Data!E1025)-1</f>
        <v>-2.4482584553255915E-2</v>
      </c>
      <c r="F1026" s="4">
        <f>(Raw_Stock_Data!F1026/Raw_Stock_Data!F1025)-1</f>
        <v>1.2956017729287561E-2</v>
      </c>
      <c r="G1026" s="4">
        <f>(Raw_Stock_Data!G1026/Raw_Stock_Data!G1025)-1</f>
        <v>1.0792445288298369E-2</v>
      </c>
      <c r="H1026" s="4">
        <f>(Raw_Stock_Data!H1026/Raw_Stock_Data!H1025)-1</f>
        <v>1.5681784238562368E-2</v>
      </c>
      <c r="I1026" s="4">
        <f>(Raw_Stock_Data!I1026/Raw_Stock_Data!I1025)-1</f>
        <v>3.1732168850071574E-3</v>
      </c>
      <c r="J1026" s="4">
        <f>(Raw_Stock_Data!J1026/Raw_Stock_Data!J1025)-1</f>
        <v>-2.7594090972602459E-3</v>
      </c>
    </row>
    <row r="1027" spans="1:10" x14ac:dyDescent="0.2">
      <c r="A1027" s="2">
        <v>45691</v>
      </c>
      <c r="B1027" s="4">
        <f>(Raw_Stock_Data!B1027/Raw_Stock_Data!B1026)-1</f>
        <v>-3.3851628308865789E-2</v>
      </c>
      <c r="C1027" s="4">
        <f>(Raw_Stock_Data!C1027/Raw_Stock_Data!C1026)-1</f>
        <v>-9.9744615236351253E-3</v>
      </c>
      <c r="D1027" s="4">
        <f>(Raw_Stock_Data!D1027/Raw_Stock_Data!D1026)-1</f>
        <v>-2.8400099941700674E-2</v>
      </c>
      <c r="E1027" s="4">
        <f>(Raw_Stock_Data!E1027/Raw_Stock_Data!E1026)-1</f>
        <v>-1.4489003880983287E-2</v>
      </c>
      <c r="F1027" s="4">
        <f>(Raw_Stock_Data!F1027/Raw_Stock_Data!F1026)-1</f>
        <v>-1.0939077751599413E-3</v>
      </c>
      <c r="G1027" s="4">
        <f>(Raw_Stock_Data!G1027/Raw_Stock_Data!G1026)-1</f>
        <v>-5.1705388037567968E-2</v>
      </c>
      <c r="H1027" s="4">
        <f>(Raw_Stock_Data!H1027/Raw_Stock_Data!H1026)-1</f>
        <v>-1.36751298892267E-2</v>
      </c>
      <c r="I1027" s="4">
        <f>(Raw_Stock_Data!I1027/Raw_Stock_Data!I1026)-1</f>
        <v>1.2014277837430143E-2</v>
      </c>
      <c r="J1027" s="4">
        <f>(Raw_Stock_Data!J1027/Raw_Stock_Data!J1026)-1</f>
        <v>-1.1997489229364611E-2</v>
      </c>
    </row>
    <row r="1028" spans="1:10" x14ac:dyDescent="0.2">
      <c r="A1028" s="2">
        <v>45692</v>
      </c>
      <c r="B1028" s="4">
        <f>(Raw_Stock_Data!B1028/Raw_Stock_Data!B1027)-1</f>
        <v>2.100148028054849E-2</v>
      </c>
      <c r="C1028" s="4">
        <f>(Raw_Stock_Data!C1028/Raw_Stock_Data!C1027)-1</f>
        <v>3.5286673805119406E-3</v>
      </c>
      <c r="D1028" s="4">
        <f>(Raw_Stock_Data!D1028/Raw_Stock_Data!D1027)-1</f>
        <v>1.705811760672038E-2</v>
      </c>
      <c r="E1028" s="4">
        <f>(Raw_Stock_Data!E1028/Raw_Stock_Data!E1027)-1</f>
        <v>4.5768793209066239E-2</v>
      </c>
      <c r="F1028" s="4">
        <f>(Raw_Stock_Data!F1028/Raw_Stock_Data!F1027)-1</f>
        <v>1.9543425153736083E-2</v>
      </c>
      <c r="G1028" s="4">
        <f>(Raw_Stock_Data!G1028/Raw_Stock_Data!G1027)-1</f>
        <v>2.223206839032521E-2</v>
      </c>
      <c r="H1028" s="4">
        <f>(Raw_Stock_Data!H1028/Raw_Stock_Data!H1027)-1</f>
        <v>2.5592605476320696E-2</v>
      </c>
      <c r="I1028" s="4">
        <f>(Raw_Stock_Data!I1028/Raw_Stock_Data!I1027)-1</f>
        <v>9.6492988845238159E-3</v>
      </c>
      <c r="J1028" s="4">
        <f>(Raw_Stock_Data!J1028/Raw_Stock_Data!J1027)-1</f>
        <v>1.3513848007112195E-2</v>
      </c>
    </row>
    <row r="1029" spans="1:10" x14ac:dyDescent="0.2">
      <c r="A1029" s="2">
        <v>45693</v>
      </c>
      <c r="B1029" s="4">
        <f>(Raw_Stock_Data!B1029/Raw_Stock_Data!B1028)-1</f>
        <v>-1.4109971478009076E-3</v>
      </c>
      <c r="C1029" s="4">
        <f>(Raw_Stock_Data!C1029/Raw_Stock_Data!C1028)-1</f>
        <v>2.2310061352668331E-3</v>
      </c>
      <c r="D1029" s="4">
        <f>(Raw_Stock_Data!D1029/Raw_Stock_Data!D1028)-1</f>
        <v>5.2085967130214961E-2</v>
      </c>
      <c r="E1029" s="4">
        <f>(Raw_Stock_Data!E1029/Raw_Stock_Data!E1028)-1</f>
        <v>-6.2677824267782345E-2</v>
      </c>
      <c r="F1029" s="4">
        <f>(Raw_Stock_Data!F1029/Raw_Stock_Data!F1028)-1</f>
        <v>-2.4332810047095865E-2</v>
      </c>
      <c r="G1029" s="4">
        <f>(Raw_Stock_Data!G1029/Raw_Stock_Data!G1028)-1</f>
        <v>-3.5797149486244573E-2</v>
      </c>
      <c r="H1029" s="4">
        <f>(Raw_Stock_Data!H1029/Raw_Stock_Data!H1028)-1</f>
        <v>-7.2923732919856543E-2</v>
      </c>
      <c r="I1029" s="4">
        <f>(Raw_Stock_Data!I1029/Raw_Stock_Data!I1028)-1</f>
        <v>9.6564847555336009E-4</v>
      </c>
      <c r="J1029" s="4">
        <f>(Raw_Stock_Data!J1029/Raw_Stock_Data!J1028)-1</f>
        <v>1.9492195489778652E-3</v>
      </c>
    </row>
    <row r="1030" spans="1:10" x14ac:dyDescent="0.2">
      <c r="A1030" s="2">
        <v>45694</v>
      </c>
      <c r="B1030" s="4">
        <f>(Raw_Stock_Data!B1030/Raw_Stock_Data!B1029)-1</f>
        <v>3.2235204646016147E-3</v>
      </c>
      <c r="C1030" s="4">
        <f>(Raw_Stock_Data!C1030/Raw_Stock_Data!C1029)-1</f>
        <v>6.1216095235789858E-3</v>
      </c>
      <c r="D1030" s="4">
        <f>(Raw_Stock_Data!D1030/Raw_Stock_Data!D1029)-1</f>
        <v>3.0841945045261721E-2</v>
      </c>
      <c r="E1030" s="4">
        <f>(Raw_Stock_Data!E1030/Raw_Stock_Data!E1029)-1</f>
        <v>-1.6516382465851298E-2</v>
      </c>
      <c r="F1030" s="4">
        <f>(Raw_Stock_Data!F1030/Raw_Stock_Data!F1029)-1</f>
        <v>1.1263073209975882E-2</v>
      </c>
      <c r="G1030" s="4">
        <f>(Raw_Stock_Data!G1030/Raw_Stock_Data!G1029)-1</f>
        <v>-1.0180606605494913E-2</v>
      </c>
      <c r="H1030" s="4">
        <f>(Raw_Stock_Data!H1030/Raw_Stock_Data!H1029)-1</f>
        <v>1.4111744107039303E-3</v>
      </c>
      <c r="I1030" s="4">
        <f>(Raw_Stock_Data!I1030/Raw_Stock_Data!I1029)-1</f>
        <v>1.0101153404173724E-2</v>
      </c>
      <c r="J1030" s="4">
        <f>(Raw_Stock_Data!J1030/Raw_Stock_Data!J1029)-1</f>
        <v>5.0608536420018169E-3</v>
      </c>
    </row>
    <row r="1031" spans="1:10" x14ac:dyDescent="0.2">
      <c r="A1031" s="2">
        <v>45695</v>
      </c>
      <c r="B1031" s="4">
        <f>(Raw_Stock_Data!B1031/Raw_Stock_Data!B1030)-1</f>
        <v>-2.3969505104018629E-2</v>
      </c>
      <c r="C1031" s="4">
        <f>(Raw_Stock_Data!C1031/Raw_Stock_Data!C1030)-1</f>
        <v>-1.4597662450098636E-2</v>
      </c>
      <c r="D1031" s="4">
        <f>(Raw_Stock_Data!D1031/Raw_Stock_Data!D1030)-1</f>
        <v>9.0146098849859246E-3</v>
      </c>
      <c r="E1031" s="4">
        <f>(Raw_Stock_Data!E1031/Raw_Stock_Data!E1030)-1</f>
        <v>-2.3602033405954903E-2</v>
      </c>
      <c r="F1031" s="4">
        <f>(Raw_Stock_Data!F1031/Raw_Stock_Data!F1030)-1</f>
        <v>-4.0530921576016454E-2</v>
      </c>
      <c r="G1031" s="4">
        <f>(Raw_Stock_Data!G1031/Raw_Stock_Data!G1030)-1</f>
        <v>-3.3928189784141916E-2</v>
      </c>
      <c r="H1031" s="4">
        <f>(Raw_Stock_Data!H1031/Raw_Stock_Data!H1030)-1</f>
        <v>-3.2672233820459251E-2</v>
      </c>
      <c r="I1031" s="4">
        <f>(Raw_Stock_Data!I1031/Raw_Stock_Data!I1030)-1</f>
        <v>3.5534206941107982E-3</v>
      </c>
      <c r="J1031" s="4">
        <f>(Raw_Stock_Data!J1031/Raw_Stock_Data!J1030)-1</f>
        <v>-1.3570641456468024E-2</v>
      </c>
    </row>
    <row r="1032" spans="1:10" x14ac:dyDescent="0.2">
      <c r="A1032" s="2">
        <v>45698</v>
      </c>
      <c r="B1032" s="4">
        <f>(Raw_Stock_Data!B1032/Raw_Stock_Data!B1031)-1</f>
        <v>1.1870876635555749E-3</v>
      </c>
      <c r="C1032" s="4">
        <f>(Raw_Stock_Data!C1032/Raw_Stock_Data!C1031)-1</f>
        <v>6.028065893837864E-3</v>
      </c>
      <c r="D1032" s="4">
        <f>(Raw_Stock_Data!D1032/Raw_Stock_Data!D1031)-1</f>
        <v>2.8727664818237741E-2</v>
      </c>
      <c r="E1032" s="4">
        <f>(Raw_Stock_Data!E1032/Raw_Stock_Data!E1031)-1</f>
        <v>2.7147638527333706E-2</v>
      </c>
      <c r="F1032" s="4">
        <f>(Raw_Stock_Data!F1032/Raw_Stock_Data!F1031)-1</f>
        <v>1.7412175430940424E-2</v>
      </c>
      <c r="G1032" s="4">
        <f>(Raw_Stock_Data!G1032/Raw_Stock_Data!G1031)-1</f>
        <v>-3.0114484818317577E-2</v>
      </c>
      <c r="H1032" s="4">
        <f>(Raw_Stock_Data!H1032/Raw_Stock_Data!H1031)-1</f>
        <v>6.0969029891011495E-3</v>
      </c>
      <c r="I1032" s="4">
        <f>(Raw_Stock_Data!I1032/Raw_Stock_Data!I1031)-1</f>
        <v>4.030677937636451E-3</v>
      </c>
      <c r="J1032" s="4">
        <f>(Raw_Stock_Data!J1032/Raw_Stock_Data!J1031)-1</f>
        <v>9.7764733601728437E-3</v>
      </c>
    </row>
    <row r="1033" spans="1:10" x14ac:dyDescent="0.2">
      <c r="A1033" s="2">
        <v>45699</v>
      </c>
      <c r="B1033" s="4">
        <f>(Raw_Stock_Data!B1033/Raw_Stock_Data!B1032)-1</f>
        <v>2.1831501185680224E-2</v>
      </c>
      <c r="C1033" s="4">
        <f>(Raw_Stock_Data!C1033/Raw_Stock_Data!C1032)-1</f>
        <v>-1.8921934889137848E-3</v>
      </c>
      <c r="D1033" s="4">
        <f>(Raw_Stock_Data!D1033/Raw_Stock_Data!D1032)-1</f>
        <v>-5.7647675376205632E-3</v>
      </c>
      <c r="E1033" s="4">
        <f>(Raw_Stock_Data!E1033/Raw_Stock_Data!E1032)-1</f>
        <v>5.6118754525704695E-3</v>
      </c>
      <c r="F1033" s="4">
        <f>(Raw_Stock_Data!F1033/Raw_Stock_Data!F1032)-1</f>
        <v>-1.6299219353178573E-3</v>
      </c>
      <c r="G1033" s="4">
        <f>(Raw_Stock_Data!G1033/Raw_Stock_Data!G1032)-1</f>
        <v>-6.3382088786245849E-2</v>
      </c>
      <c r="H1033" s="4">
        <f>(Raw_Stock_Data!H1033/Raw_Stock_Data!H1032)-1</f>
        <v>-6.1672118839491974E-3</v>
      </c>
      <c r="I1033" s="4">
        <f>(Raw_Stock_Data!I1033/Raw_Stock_Data!I1032)-1</f>
        <v>3.3454139949817829E-3</v>
      </c>
      <c r="J1033" s="4">
        <f>(Raw_Stock_Data!J1033/Raw_Stock_Data!J1032)-1</f>
        <v>-3.5715245859978539E-3</v>
      </c>
    </row>
    <row r="1034" spans="1:10" x14ac:dyDescent="0.2">
      <c r="A1034" s="2">
        <v>45700</v>
      </c>
      <c r="B1034" s="4">
        <f>(Raw_Stock_Data!B1034/Raw_Stock_Data!B1033)-1</f>
        <v>1.8272246114559465E-2</v>
      </c>
      <c r="C1034" s="4">
        <f>(Raw_Stock_Data!C1034/Raw_Stock_Data!C1033)-1</f>
        <v>-5.8331713007971908E-3</v>
      </c>
      <c r="D1034" s="4">
        <f>(Raw_Stock_Data!D1034/Raw_Stock_Data!D1033)-1</f>
        <v>-1.2500000000000178E-2</v>
      </c>
      <c r="E1034" s="4">
        <f>(Raw_Stock_Data!E1034/Raw_Stock_Data!E1033)-1</f>
        <v>5.5805580558057066E-3</v>
      </c>
      <c r="F1034" s="4">
        <f>(Raw_Stock_Data!F1034/Raw_Stock_Data!F1033)-1</f>
        <v>-1.6454717305378841E-2</v>
      </c>
      <c r="G1034" s="4">
        <f>(Raw_Stock_Data!G1034/Raw_Stock_Data!G1033)-1</f>
        <v>2.4383561643835483E-2</v>
      </c>
      <c r="H1034" s="4">
        <f>(Raw_Stock_Data!H1034/Raw_Stock_Data!H1033)-1</f>
        <v>-9.2272825383119539E-3</v>
      </c>
      <c r="I1034" s="4">
        <f>(Raw_Stock_Data!I1034/Raw_Stock_Data!I1033)-1</f>
        <v>7.7521533759377093E-3</v>
      </c>
      <c r="J1034" s="4">
        <f>(Raw_Stock_Data!J1034/Raw_Stock_Data!J1033)-1</f>
        <v>3.1002053567874555E-4</v>
      </c>
    </row>
    <row r="1035" spans="1:10" x14ac:dyDescent="0.2">
      <c r="A1035" s="2">
        <v>45701</v>
      </c>
      <c r="B1035" s="4">
        <f>(Raw_Stock_Data!B1035/Raw_Stock_Data!B1034)-1</f>
        <v>1.9676950644531344E-2</v>
      </c>
      <c r="C1035" s="4">
        <f>(Raw_Stock_Data!C1035/Raw_Stock_Data!C1034)-1</f>
        <v>3.667123019753582E-3</v>
      </c>
      <c r="D1035" s="4">
        <f>(Raw_Stock_Data!D1035/Raw_Stock_Data!D1034)-1</f>
        <v>3.1645569620253111E-2</v>
      </c>
      <c r="E1035" s="4">
        <f>(Raw_Stock_Data!E1035/Raw_Stock_Data!E1034)-1</f>
        <v>8.0558539205166646E-4</v>
      </c>
      <c r="F1035" s="4">
        <f>(Raw_Stock_Data!F1035/Raw_Stock_Data!F1034)-1</f>
        <v>6.2901323548683052E-3</v>
      </c>
      <c r="G1035" s="4">
        <f>(Raw_Stock_Data!G1035/Raw_Stock_Data!G1034)-1</f>
        <v>5.7739740275177587E-2</v>
      </c>
      <c r="H1035" s="4">
        <f>(Raw_Stock_Data!H1035/Raw_Stock_Data!H1034)-1</f>
        <v>1.3779205925603E-2</v>
      </c>
      <c r="I1035" s="4">
        <f>(Raw_Stock_Data!I1035/Raw_Stock_Data!I1034)-1</f>
        <v>4.3839091234938454E-3</v>
      </c>
      <c r="J1035" s="4">
        <f>(Raw_Stock_Data!J1035/Raw_Stock_Data!J1034)-1</f>
        <v>1.5047875439886615E-2</v>
      </c>
    </row>
    <row r="1036" spans="1:10" x14ac:dyDescent="0.2">
      <c r="A1036" s="2">
        <v>45702</v>
      </c>
      <c r="B1036" s="4">
        <f>(Raw_Stock_Data!B1036/Raw_Stock_Data!B1035)-1</f>
        <v>1.2708343719361137E-2</v>
      </c>
      <c r="C1036" s="4">
        <f>(Raw_Stock_Data!C1036/Raw_Stock_Data!C1035)-1</f>
        <v>-5.1395722706679692E-3</v>
      </c>
      <c r="D1036" s="4">
        <f>(Raw_Stock_Data!D1036/Raw_Stock_Data!D1035)-1</f>
        <v>2.6313844334392877E-2</v>
      </c>
      <c r="E1036" s="4">
        <f>(Raw_Stock_Data!E1036/Raw_Stock_Data!E1035)-1</f>
        <v>1.1537429568017066E-2</v>
      </c>
      <c r="F1036" s="4">
        <f>(Raw_Stock_Data!F1036/Raw_Stock_Data!F1035)-1</f>
        <v>-7.3360246559881492E-3</v>
      </c>
      <c r="G1036" s="4">
        <f>(Raw_Stock_Data!G1036/Raw_Stock_Data!G1035)-1</f>
        <v>-2.8094622689223137E-4</v>
      </c>
      <c r="H1036" s="4">
        <f>(Raw_Stock_Data!H1036/Raw_Stock_Data!H1035)-1</f>
        <v>-4.8887933813258622E-3</v>
      </c>
      <c r="I1036" s="4">
        <f>(Raw_Stock_Data!I1036/Raw_Stock_Data!I1035)-1</f>
        <v>1.1131547161524091E-2</v>
      </c>
      <c r="J1036" s="4">
        <f>(Raw_Stock_Data!J1036/Raw_Stock_Data!J1035)-1</f>
        <v>4.0675556161648974E-3</v>
      </c>
    </row>
    <row r="1037" spans="1:10" x14ac:dyDescent="0.2">
      <c r="A1037" s="2">
        <v>45706</v>
      </c>
      <c r="B1037" s="4">
        <f>(Raw_Stock_Data!B1037/Raw_Stock_Data!B1036)-1</f>
        <v>-5.3329613934616216E-4</v>
      </c>
      <c r="C1037" s="4">
        <f>(Raw_Stock_Data!C1037/Raw_Stock_Data!C1036)-1</f>
        <v>2.9625639644492718E-3</v>
      </c>
      <c r="D1037" s="4">
        <f>(Raw_Stock_Data!D1037/Raw_Stock_Data!D1036)-1</f>
        <v>3.961109110551142E-3</v>
      </c>
      <c r="E1037" s="4">
        <f>(Raw_Stock_Data!E1037/Raw_Stock_Data!E1036)-1</f>
        <v>1.0433244916003614E-2</v>
      </c>
      <c r="F1037" s="4">
        <f>(Raw_Stock_Data!F1037/Raw_Stock_Data!F1036)-1</f>
        <v>-8.8770334091307079E-3</v>
      </c>
      <c r="G1037" s="4">
        <f>(Raw_Stock_Data!G1037/Raw_Stock_Data!G1036)-1</f>
        <v>-4.8617356115107091E-3</v>
      </c>
      <c r="H1037" s="4">
        <f>(Raw_Stock_Data!H1037/Raw_Stock_Data!H1036)-1</f>
        <v>-7.8820925336067216E-3</v>
      </c>
      <c r="I1037" s="4">
        <f>(Raw_Stock_Data!I1037/Raw_Stock_Data!I1036)-1</f>
        <v>-2.75564363962153E-2</v>
      </c>
      <c r="J1037" s="4">
        <f>(Raw_Stock_Data!J1037/Raw_Stock_Data!J1036)-1</f>
        <v>7.2353155301607686E-4</v>
      </c>
    </row>
    <row r="1038" spans="1:10" x14ac:dyDescent="0.2">
      <c r="A1038" s="2">
        <v>45707</v>
      </c>
      <c r="B1038" s="4">
        <f>(Raw_Stock_Data!B1038/Raw_Stock_Data!B1037)-1</f>
        <v>1.6335778227445363E-3</v>
      </c>
      <c r="C1038" s="4">
        <f>(Raw_Stock_Data!C1038/Raw_Stock_Data!C1037)-1</f>
        <v>1.2523191094619746E-2</v>
      </c>
      <c r="D1038" s="4">
        <f>(Raw_Stock_Data!D1038/Raw_Stock_Data!D1037)-1</f>
        <v>-1.2195121951220633E-3</v>
      </c>
      <c r="E1038" s="4">
        <f>(Raw_Stock_Data!E1038/Raw_Stock_Data!E1037)-1</f>
        <v>3.587679383969089E-3</v>
      </c>
      <c r="F1038" s="4">
        <f>(Raw_Stock_Data!F1038/Raw_Stock_Data!F1037)-1</f>
        <v>-8.8241782484010933E-5</v>
      </c>
      <c r="G1038" s="4">
        <f>(Raw_Stock_Data!G1038/Raw_Stock_Data!G1037)-1</f>
        <v>1.8214679054531002E-2</v>
      </c>
      <c r="H1038" s="4">
        <f>(Raw_Stock_Data!H1038/Raw_Stock_Data!H1037)-1</f>
        <v>8.1623768841485589E-3</v>
      </c>
      <c r="I1038" s="4">
        <f>(Raw_Stock_Data!I1038/Raw_Stock_Data!I1037)-1</f>
        <v>-1.7588676242723755E-2</v>
      </c>
      <c r="J1038" s="4">
        <f>(Raw_Stock_Data!J1038/Raw_Stock_Data!J1037)-1</f>
        <v>7.4795696478169305E-4</v>
      </c>
    </row>
    <row r="1039" spans="1:10" x14ac:dyDescent="0.2">
      <c r="A1039" s="2">
        <v>45708</v>
      </c>
      <c r="B1039" s="4">
        <f>(Raw_Stock_Data!B1039/Raw_Stock_Data!B1038)-1</f>
        <v>3.925666400311334E-3</v>
      </c>
      <c r="C1039" s="4">
        <f>(Raw_Stock_Data!C1039/Raw_Stock_Data!C1038)-1</f>
        <v>3.2789256696483804E-3</v>
      </c>
      <c r="D1039" s="4">
        <f>(Raw_Stock_Data!D1039/Raw_Stock_Data!D1038)-1</f>
        <v>6.3204769087124024E-3</v>
      </c>
      <c r="E1039" s="4">
        <f>(Raw_Stock_Data!E1039/Raw_Stock_Data!E1038)-1</f>
        <v>-4.533961112564322E-3</v>
      </c>
      <c r="F1039" s="4">
        <f>(Raw_Stock_Data!F1039/Raw_Stock_Data!F1038)-1</f>
        <v>-1.6546794334377668E-2</v>
      </c>
      <c r="G1039" s="4">
        <f>(Raw_Stock_Data!G1039/Raw_Stock_Data!G1038)-1</f>
        <v>-1.708453516751729E-2</v>
      </c>
      <c r="H1039" s="4">
        <f>(Raw_Stock_Data!H1039/Raw_Stock_Data!H1038)-1</f>
        <v>-3.8322448318670599E-3</v>
      </c>
      <c r="I1039" s="4">
        <f>(Raw_Stock_Data!I1039/Raw_Stock_Data!I1038)-1</f>
        <v>-1.2688804581042046E-2</v>
      </c>
      <c r="J1039" s="4">
        <f>(Raw_Stock_Data!J1039/Raw_Stock_Data!J1038)-1</f>
        <v>-4.6813337488313955E-3</v>
      </c>
    </row>
    <row r="1040" spans="1:10" x14ac:dyDescent="0.2">
      <c r="A1040" s="2">
        <v>45709</v>
      </c>
      <c r="B1040" s="4">
        <f>(Raw_Stock_Data!B1040/Raw_Stock_Data!B1039)-1</f>
        <v>-1.1428897968513985E-3</v>
      </c>
      <c r="C1040" s="4">
        <f>(Raw_Stock_Data!C1040/Raw_Stock_Data!C1039)-1</f>
        <v>-1.9032513877874746E-2</v>
      </c>
      <c r="D1040" s="4">
        <f>(Raw_Stock_Data!D1040/Raw_Stock_Data!D1039)-1</f>
        <v>-4.0539576047391335E-2</v>
      </c>
      <c r="E1040" s="4">
        <f>(Raw_Stock_Data!E1040/Raw_Stock_Data!E1039)-1</f>
        <v>-2.9167031619514727E-2</v>
      </c>
      <c r="F1040" s="4">
        <f>(Raw_Stock_Data!F1040/Raw_Stock_Data!F1039)-1</f>
        <v>-2.8266331658291399E-2</v>
      </c>
      <c r="G1040" s="4">
        <f>(Raw_Stock_Data!G1040/Raw_Stock_Data!G1039)-1</f>
        <v>-4.683972911963874E-2</v>
      </c>
      <c r="H1040" s="4">
        <f>(Raw_Stock_Data!H1040/Raw_Stock_Data!H1039)-1</f>
        <v>-2.6549631556133546E-2</v>
      </c>
      <c r="I1040" s="4">
        <f>(Raw_Stock_Data!I1040/Raw_Stock_Data!I1039)-1</f>
        <v>-1.624834494272076E-2</v>
      </c>
      <c r="J1040" s="4">
        <f>(Raw_Stock_Data!J1040/Raw_Stock_Data!J1039)-1</f>
        <v>-2.1958826511494722E-2</v>
      </c>
    </row>
    <row r="1041" spans="1:10" x14ac:dyDescent="0.2">
      <c r="A1041" s="2">
        <v>45712</v>
      </c>
      <c r="B1041" s="4">
        <f>(Raw_Stock_Data!B1041/Raw_Stock_Data!B1040)-1</f>
        <v>6.6036540764078389E-3</v>
      </c>
      <c r="C1041" s="4">
        <f>(Raw_Stock_Data!C1041/Raw_Stock_Data!C1040)-1</f>
        <v>-1.0313319124960141E-2</v>
      </c>
      <c r="D1041" s="4">
        <f>(Raw_Stock_Data!D1041/Raw_Stock_Data!D1040)-1</f>
        <v>-3.0871085323216585E-2</v>
      </c>
      <c r="E1041" s="4">
        <f>(Raw_Stock_Data!E1041/Raw_Stock_Data!E1040)-1</f>
        <v>-2.4539877300613466E-2</v>
      </c>
      <c r="F1041" s="4">
        <f>(Raw_Stock_Data!F1041/Raw_Stock_Data!F1040)-1</f>
        <v>-1.7868685935912842E-2</v>
      </c>
      <c r="G1041" s="4">
        <f>(Raw_Stock_Data!G1041/Raw_Stock_Data!G1040)-1</f>
        <v>-2.1906453522794633E-2</v>
      </c>
      <c r="H1041" s="4">
        <f>(Raw_Stock_Data!H1041/Raw_Stock_Data!H1040)-1</f>
        <v>-1.8924635422464808E-3</v>
      </c>
      <c r="I1041" s="4">
        <f>(Raw_Stock_Data!I1041/Raw_Stock_Data!I1040)-1</f>
        <v>-2.2562358276643879E-2</v>
      </c>
      <c r="J1041" s="4">
        <f>(Raw_Stock_Data!J1041/Raw_Stock_Data!J1040)-1</f>
        <v>-1.2142997263369426E-2</v>
      </c>
    </row>
    <row r="1042" spans="1:10" x14ac:dyDescent="0.2">
      <c r="A1042" s="2">
        <v>45713</v>
      </c>
      <c r="B1042" s="4">
        <f>(Raw_Stock_Data!B1042/Raw_Stock_Data!B1041)-1</f>
        <v>-5.3586869593102993E-4</v>
      </c>
      <c r="C1042" s="4">
        <f>(Raw_Stock_Data!C1042/Raw_Stock_Data!C1041)-1</f>
        <v>-1.5099009900990112E-2</v>
      </c>
      <c r="D1042" s="4">
        <f>(Raw_Stock_Data!D1042/Raw_Stock_Data!D1041)-1</f>
        <v>-2.8016579674547182E-2</v>
      </c>
      <c r="E1042" s="4">
        <f>(Raw_Stock_Data!E1042/Raw_Stock_Data!E1041)-1</f>
        <v>-3.8475767665556937E-2</v>
      </c>
      <c r="F1042" s="4">
        <f>(Raw_Stock_Data!F1042/Raw_Stock_Data!F1041)-1</f>
        <v>4.2311127826621941E-4</v>
      </c>
      <c r="G1042" s="4">
        <f>(Raw_Stock_Data!G1042/Raw_Stock_Data!G1041)-1</f>
        <v>-8.3535108958837645E-2</v>
      </c>
      <c r="H1042" s="4">
        <f>(Raw_Stock_Data!H1042/Raw_Stock_Data!H1041)-1</f>
        <v>-2.1748828909212592E-2</v>
      </c>
      <c r="I1042" s="4">
        <f>(Raw_Stock_Data!I1042/Raw_Stock_Data!I1041)-1</f>
        <v>-1.5906395111711547E-2</v>
      </c>
      <c r="J1042" s="4">
        <f>(Raw_Stock_Data!J1042/Raw_Stock_Data!J1041)-1</f>
        <v>-1.3508629937475813E-2</v>
      </c>
    </row>
    <row r="1043" spans="1:10" x14ac:dyDescent="0.2">
      <c r="A1043" s="2">
        <v>45714</v>
      </c>
      <c r="B1043" s="4">
        <f>(Raw_Stock_Data!B1043/Raw_Stock_Data!B1042)-1</f>
        <v>-2.7035260380914528E-2</v>
      </c>
      <c r="C1043" s="4">
        <f>(Raw_Stock_Data!C1043/Raw_Stock_Data!C1042)-1</f>
        <v>4.599145513948244E-3</v>
      </c>
      <c r="D1043" s="4">
        <f>(Raw_Stock_Data!D1043/Raw_Stock_Data!D1042)-1</f>
        <v>3.6721156124141174E-2</v>
      </c>
      <c r="E1043" s="4">
        <f>(Raw_Stock_Data!E1043/Raw_Stock_Data!E1042)-1</f>
        <v>7.5028857252790182E-3</v>
      </c>
      <c r="F1043" s="4">
        <f>(Raw_Stock_Data!F1043/Raw_Stock_Data!F1042)-1</f>
        <v>7.2838345864660869E-3</v>
      </c>
      <c r="G1043" s="4">
        <f>(Raw_Stock_Data!G1043/Raw_Stock_Data!G1042)-1</f>
        <v>-3.9630118890356725E-2</v>
      </c>
      <c r="H1043" s="4">
        <f>(Raw_Stock_Data!H1043/Raw_Stock_Data!H1042)-1</f>
        <v>-1.5334625470299845E-2</v>
      </c>
      <c r="I1043" s="4">
        <f>(Raw_Stock_Data!I1043/Raw_Stock_Data!I1042)-1</f>
        <v>2.4638783269961939E-2</v>
      </c>
      <c r="J1043" s="4">
        <f>(Raw_Stock_Data!J1043/Raw_Stock_Data!J1042)-1</f>
        <v>2.5685376994795117E-3</v>
      </c>
    </row>
    <row r="1044" spans="1:10" x14ac:dyDescent="0.2">
      <c r="A1044" s="2">
        <v>45715</v>
      </c>
      <c r="B1044" s="4">
        <f>(Raw_Stock_Data!B1044/Raw_Stock_Data!B1043)-1</f>
        <v>-1.2732684592616672E-2</v>
      </c>
      <c r="C1044" s="4">
        <f>(Raw_Stock_Data!C1044/Raw_Stock_Data!C1043)-1</f>
        <v>-1.8012158206789697E-2</v>
      </c>
      <c r="D1044" s="4">
        <f>(Raw_Stock_Data!D1044/Raw_Stock_Data!D1043)-1</f>
        <v>-8.4780621572212E-2</v>
      </c>
      <c r="E1044" s="4">
        <f>(Raw_Stock_Data!E1044/Raw_Stock_Data!E1043)-1</f>
        <v>-4.9933167844185555E-2</v>
      </c>
      <c r="F1044" s="4">
        <f>(Raw_Stock_Data!F1044/Raw_Stock_Data!F1043)-1</f>
        <v>-2.6172148355493308E-2</v>
      </c>
      <c r="G1044" s="4">
        <f>(Raw_Stock_Data!G1044/Raw_Stock_Data!G1043)-1</f>
        <v>-3.0433287482806159E-2</v>
      </c>
      <c r="H1044" s="4">
        <f>(Raw_Stock_Data!H1044/Raw_Stock_Data!H1043)-1</f>
        <v>-2.4489087014415545E-2</v>
      </c>
      <c r="I1044" s="4">
        <f>(Raw_Stock_Data!I1044/Raw_Stock_Data!I1043)-1</f>
        <v>-2.2947899658601778E-2</v>
      </c>
      <c r="J1044" s="4">
        <f>(Raw_Stock_Data!J1044/Raw_Stock_Data!J1043)-1</f>
        <v>-2.7828716358256678E-2</v>
      </c>
    </row>
    <row r="1045" spans="1:10" x14ac:dyDescent="0.2">
      <c r="A1045" s="2">
        <v>45716</v>
      </c>
      <c r="B1045" s="4">
        <f>(Raw_Stock_Data!B1045/Raw_Stock_Data!B1044)-1</f>
        <v>1.9129692039020485E-2</v>
      </c>
      <c r="C1045" s="4">
        <f>(Raw_Stock_Data!C1045/Raw_Stock_Data!C1044)-1</f>
        <v>1.1362188877283463E-2</v>
      </c>
      <c r="D1045" s="4">
        <f>(Raw_Stock_Data!D1045/Raw_Stock_Data!D1044)-1</f>
        <v>3.970037453183517E-2</v>
      </c>
      <c r="E1045" s="4">
        <f>(Raw_Stock_Data!E1045/Raw_Stock_Data!E1044)-1</f>
        <v>3.5172344487990337E-3</v>
      </c>
      <c r="F1045" s="4">
        <f>(Raw_Stock_Data!F1045/Raw_Stock_Data!F1044)-1</f>
        <v>1.6958896234550158E-2</v>
      </c>
      <c r="G1045" s="4">
        <f>(Raw_Stock_Data!G1045/Raw_Stock_Data!G1044)-1</f>
        <v>3.9120411420464629E-2</v>
      </c>
      <c r="H1045" s="4">
        <f>(Raw_Stock_Data!H1045/Raw_Stock_Data!H1044)-1</f>
        <v>1.056379821958453E-2</v>
      </c>
      <c r="I1045" s="4">
        <f>(Raw_Stock_Data!I1045/Raw_Stock_Data!I1044)-1</f>
        <v>1.51312591152164E-2</v>
      </c>
      <c r="J1045" s="4">
        <f>(Raw_Stock_Data!J1045/Raw_Stock_Data!J1044)-1</f>
        <v>1.6331597321458391E-2</v>
      </c>
    </row>
    <row r="1046" spans="1:10" x14ac:dyDescent="0.2">
      <c r="A1046" s="2">
        <v>45719</v>
      </c>
      <c r="B1046" s="4">
        <f>(Raw_Stock_Data!B1046/Raw_Stock_Data!B1045)-1</f>
        <v>-1.5750057050391009E-2</v>
      </c>
      <c r="C1046" s="4">
        <f>(Raw_Stock_Data!C1046/Raw_Stock_Data!C1045)-1</f>
        <v>-2.1411118667976514E-2</v>
      </c>
      <c r="D1046" s="4">
        <f>(Raw_Stock_Data!D1046/Raw_Stock_Data!D1045)-1</f>
        <v>-8.6935638808837701E-2</v>
      </c>
      <c r="E1046" s="4">
        <f>(Raw_Stock_Data!E1046/Raw_Stock_Data!E1045)-1</f>
        <v>-1.6322851992789822E-2</v>
      </c>
      <c r="F1046" s="4">
        <f>(Raw_Stock_Data!F1046/Raw_Stock_Data!F1045)-1</f>
        <v>-3.4200113058224901E-2</v>
      </c>
      <c r="G1046" s="4">
        <f>(Raw_Stock_Data!G1046/Raw_Stock_Data!G1045)-1</f>
        <v>-2.8431974878831423E-2</v>
      </c>
      <c r="H1046" s="4">
        <f>(Raw_Stock_Data!H1046/Raw_Stock_Data!H1045)-1</f>
        <v>-1.9203664552501776E-2</v>
      </c>
      <c r="I1046" s="4">
        <f>(Raw_Stock_Data!I1046/Raw_Stock_Data!I1045)-1</f>
        <v>-1.9679736605806797E-2</v>
      </c>
      <c r="J1046" s="4">
        <f>(Raw_Stock_Data!J1046/Raw_Stock_Data!J1045)-1</f>
        <v>-2.6374628063041472E-2</v>
      </c>
    </row>
    <row r="1047" spans="1:10" x14ac:dyDescent="0.2">
      <c r="A1047" s="2">
        <v>45720</v>
      </c>
      <c r="B1047" s="4">
        <f>(Raw_Stock_Data!B1047/Raw_Stock_Data!B1046)-1</f>
        <v>-8.8230706646600376E-3</v>
      </c>
      <c r="C1047" s="4">
        <f>(Raw_Stock_Data!C1047/Raw_Stock_Data!C1046)-1</f>
        <v>3.0888825967201328E-4</v>
      </c>
      <c r="D1047" s="4">
        <f>(Raw_Stock_Data!D1047/Raw_Stock_Data!D1046)-1</f>
        <v>1.6920918814658847E-2</v>
      </c>
      <c r="E1047" s="4">
        <f>(Raw_Stock_Data!E1047/Raw_Stock_Data!E1046)-1</f>
        <v>2.5654077165835343E-2</v>
      </c>
      <c r="F1047" s="4">
        <f>(Raw_Stock_Data!F1047/Raw_Stock_Data!F1046)-1</f>
        <v>-5.9506389620525013E-3</v>
      </c>
      <c r="G1047" s="4">
        <f>(Raw_Stock_Data!G1047/Raw_Stock_Data!G1046)-1</f>
        <v>-4.4300017565431116E-2</v>
      </c>
      <c r="H1047" s="4">
        <f>(Raw_Stock_Data!H1047/Raw_Stock_Data!H1046)-1</f>
        <v>2.3411771750194488E-2</v>
      </c>
      <c r="I1047" s="4">
        <f>(Raw_Stock_Data!I1047/Raw_Stock_Data!I1046)-1</f>
        <v>-2.2975345393481339E-2</v>
      </c>
      <c r="J1047" s="4">
        <f>(Raw_Stock_Data!J1047/Raw_Stock_Data!J1046)-1</f>
        <v>-3.5438325161755158E-3</v>
      </c>
    </row>
    <row r="1048" spans="1:10" x14ac:dyDescent="0.2">
      <c r="A1048" s="2">
        <v>45721</v>
      </c>
      <c r="B1048" s="4">
        <f>(Raw_Stock_Data!B1048/Raw_Stock_Data!B1047)-1</f>
        <v>-8.0807737128174573E-4</v>
      </c>
      <c r="C1048" s="4">
        <f>(Raw_Stock_Data!C1048/Raw_Stock_Data!C1047)-1</f>
        <v>3.1934330048120074E-2</v>
      </c>
      <c r="D1048" s="4">
        <f>(Raw_Stock_Data!D1048/Raw_Stock_Data!D1047)-1</f>
        <v>1.1294077075610032E-2</v>
      </c>
      <c r="E1048" s="4">
        <f>(Raw_Stock_Data!E1048/Raw_Stock_Data!E1047)-1</f>
        <v>9.1315136476426417E-3</v>
      </c>
      <c r="F1048" s="4">
        <f>(Raw_Stock_Data!F1048/Raw_Stock_Data!F1047)-1</f>
        <v>2.2374877330716414E-2</v>
      </c>
      <c r="G1048" s="4">
        <f>(Raw_Stock_Data!G1048/Raw_Stock_Data!G1047)-1</f>
        <v>2.5952065872665742E-2</v>
      </c>
      <c r="H1048" s="4">
        <f>(Raw_Stock_Data!H1048/Raw_Stock_Data!H1047)-1</f>
        <v>1.2286449801076627E-2</v>
      </c>
      <c r="I1048" s="4">
        <f>(Raw_Stock_Data!I1048/Raw_Stock_Data!I1047)-1</f>
        <v>2.5734375000000087E-2</v>
      </c>
      <c r="J1048" s="4">
        <f>(Raw_Stock_Data!J1048/Raw_Stock_Data!J1047)-1</f>
        <v>1.4633177943206288E-2</v>
      </c>
    </row>
    <row r="1049" spans="1:10" x14ac:dyDescent="0.2">
      <c r="A1049" s="2">
        <v>45722</v>
      </c>
      <c r="B1049" s="4">
        <f>(Raw_Stock_Data!B1049/Raw_Stock_Data!B1048)-1</f>
        <v>-1.7323866925460507E-3</v>
      </c>
      <c r="C1049" s="4">
        <f>(Raw_Stock_Data!C1049/Raw_Stock_Data!C1048)-1</f>
        <v>-1.0298738217545234E-2</v>
      </c>
      <c r="D1049" s="4">
        <f>(Raw_Stock_Data!D1049/Raw_Stock_Data!D1048)-1</f>
        <v>-5.737425404944585E-2</v>
      </c>
      <c r="E1049" s="4">
        <f>(Raw_Stock_Data!E1049/Raw_Stock_Data!E1048)-1</f>
        <v>-2.7736795514901269E-2</v>
      </c>
      <c r="F1049" s="4">
        <f>(Raw_Stock_Data!F1049/Raw_Stock_Data!F1048)-1</f>
        <v>-3.6763294298329918E-2</v>
      </c>
      <c r="G1049" s="4">
        <f>(Raw_Stock_Data!G1049/Raw_Stock_Data!G1048)-1</f>
        <v>-5.6073092081691311E-2</v>
      </c>
      <c r="H1049" s="4">
        <f>(Raw_Stock_Data!H1049/Raw_Stock_Data!H1048)-1</f>
        <v>-3.8723846954110686E-3</v>
      </c>
      <c r="I1049" s="4">
        <f>(Raw_Stock_Data!I1049/Raw_Stock_Data!I1048)-1</f>
        <v>-4.3474949350313152E-2</v>
      </c>
      <c r="J1049" s="4">
        <f>(Raw_Stock_Data!J1049/Raw_Stock_Data!J1048)-1</f>
        <v>-2.6059237643193289E-2</v>
      </c>
    </row>
    <row r="1050" spans="1:10" x14ac:dyDescent="0.2">
      <c r="A1050" s="2">
        <v>45723</v>
      </c>
      <c r="B1050" s="4">
        <f>(Raw_Stock_Data!B1050/Raw_Stock_Data!B1049)-1</f>
        <v>1.5887161076028944E-2</v>
      </c>
      <c r="C1050" s="4">
        <f>(Raw_Stock_Data!C1050/Raw_Stock_Data!C1049)-1</f>
        <v>-9.0201315225880707E-3</v>
      </c>
      <c r="D1050" s="4">
        <f>(Raw_Stock_Data!D1050/Raw_Stock_Data!D1049)-1</f>
        <v>1.9173374333001814E-2</v>
      </c>
      <c r="E1050" s="4">
        <f>(Raw_Stock_Data!E1050/Raw_Stock_Data!E1049)-1</f>
        <v>1.4769853313100656E-2</v>
      </c>
      <c r="F1050" s="4">
        <f>(Raw_Stock_Data!F1050/Raw_Stock_Data!F1049)-1</f>
        <v>-7.2247135027403431E-3</v>
      </c>
      <c r="G1050" s="4">
        <f>(Raw_Stock_Data!G1050/Raw_Stock_Data!G1049)-1</f>
        <v>-2.9607136078951823E-3</v>
      </c>
      <c r="H1050" s="4">
        <f>(Raw_Stock_Data!H1050/Raw_Stock_Data!H1049)-1</f>
        <v>8.7612416594140541E-3</v>
      </c>
      <c r="I1050" s="4">
        <f>(Raw_Stock_Data!I1050/Raw_Stock_Data!I1049)-1</f>
        <v>-3.6150526332552335E-3</v>
      </c>
      <c r="J1050" s="4">
        <f>(Raw_Stock_Data!J1050/Raw_Stock_Data!J1049)-1</f>
        <v>7.0262977011787964E-3</v>
      </c>
    </row>
    <row r="1051" spans="1:10" x14ac:dyDescent="0.2">
      <c r="A1051" s="2">
        <v>45726</v>
      </c>
      <c r="B1051" s="4">
        <f>(Raw_Stock_Data!B1051/Raw_Stock_Data!B1050)-1</f>
        <v>-4.8481668800234967E-2</v>
      </c>
      <c r="C1051" s="4">
        <f>(Raw_Stock_Data!C1051/Raw_Stock_Data!C1050)-1</f>
        <v>-3.3434186773791619E-2</v>
      </c>
      <c r="D1051" s="4">
        <f>(Raw_Stock_Data!D1051/Raw_Stock_Data!D1050)-1</f>
        <v>-5.0669979590025727E-2</v>
      </c>
      <c r="E1051" s="4">
        <f>(Raw_Stock_Data!E1051/Raw_Stock_Data!E1050)-1</f>
        <v>-3.668627255507928E-2</v>
      </c>
      <c r="F1051" s="4">
        <f>(Raw_Stock_Data!F1051/Raw_Stock_Data!F1050)-1</f>
        <v>-2.3638644918444252E-2</v>
      </c>
      <c r="G1051" s="4">
        <f>(Raw_Stock_Data!G1051/Raw_Stock_Data!G1050)-1</f>
        <v>-0.15426200175124682</v>
      </c>
      <c r="H1051" s="4">
        <f>(Raw_Stock_Data!H1051/Raw_Stock_Data!H1050)-1</f>
        <v>-4.5956516737605035E-2</v>
      </c>
      <c r="I1051" s="4">
        <f>(Raw_Stock_Data!I1051/Raw_Stock_Data!I1050)-1</f>
        <v>-4.4225298085221909E-2</v>
      </c>
      <c r="J1051" s="4">
        <f>(Raw_Stock_Data!J1051/Raw_Stock_Data!J1050)-1</f>
        <v>-4.0002813771211954E-2</v>
      </c>
    </row>
    <row r="1052" spans="1:10" x14ac:dyDescent="0.2">
      <c r="A1052" s="2">
        <v>45727</v>
      </c>
      <c r="B1052" s="4">
        <f>(Raw_Stock_Data!B1052/Raw_Stock_Data!B1051)-1</f>
        <v>-2.9183428611758155E-2</v>
      </c>
      <c r="C1052" s="4">
        <f>(Raw_Stock_Data!C1052/Raw_Stock_Data!C1051)-1</f>
        <v>7.6283670033649997E-4</v>
      </c>
      <c r="D1052" s="4">
        <f>(Raw_Stock_Data!D1052/Raw_Stock_Data!D1051)-1</f>
        <v>1.6638624041876993E-2</v>
      </c>
      <c r="E1052" s="4">
        <f>(Raw_Stock_Data!E1052/Raw_Stock_Data!E1051)-1</f>
        <v>1.3453378867847032E-3</v>
      </c>
      <c r="F1052" s="4">
        <f>(Raw_Stock_Data!F1052/Raw_Stock_Data!F1051)-1</f>
        <v>1.0537678626503677E-2</v>
      </c>
      <c r="G1052" s="4">
        <f>(Raw_Stock_Data!G1052/Raw_Stock_Data!G1051)-1</f>
        <v>3.7947332883186968E-2</v>
      </c>
      <c r="H1052" s="4">
        <f>(Raw_Stock_Data!H1052/Raw_Stock_Data!H1051)-1</f>
        <v>-1.1032736480376282E-2</v>
      </c>
      <c r="I1052" s="4">
        <f>(Raw_Stock_Data!I1052/Raw_Stock_Data!I1051)-1</f>
        <v>1.2909914881519713E-2</v>
      </c>
      <c r="J1052" s="4">
        <f>(Raw_Stock_Data!J1052/Raw_Stock_Data!J1051)-1</f>
        <v>-1.8444818963702092E-3</v>
      </c>
    </row>
    <row r="1053" spans="1:10" x14ac:dyDescent="0.2">
      <c r="A1053" s="2">
        <v>45728</v>
      </c>
      <c r="B1053" s="4">
        <f>(Raw_Stock_Data!B1053/Raw_Stock_Data!B1052)-1</f>
        <v>-1.748391552469919E-2</v>
      </c>
      <c r="C1053" s="4">
        <f>(Raw_Stock_Data!C1053/Raw_Stock_Data!C1052)-1</f>
        <v>7.4122749375740149E-3</v>
      </c>
      <c r="D1053" s="4">
        <f>(Raw_Stock_Data!D1053/Raw_Stock_Data!D1052)-1</f>
        <v>6.4178006620080774E-2</v>
      </c>
      <c r="E1053" s="4">
        <f>(Raw_Stock_Data!E1053/Raw_Stock_Data!E1052)-1</f>
        <v>4.16494419181479E-2</v>
      </c>
      <c r="F1053" s="4">
        <f>(Raw_Stock_Data!F1053/Raw_Stock_Data!F1052)-1</f>
        <v>1.1699476066941328E-2</v>
      </c>
      <c r="G1053" s="4">
        <f>(Raw_Stock_Data!G1053/Raw_Stock_Data!G1052)-1</f>
        <v>7.5938936594674322E-2</v>
      </c>
      <c r="H1053" s="4">
        <f>(Raw_Stock_Data!H1053/Raw_Stock_Data!H1052)-1</f>
        <v>1.8714947573762686E-2</v>
      </c>
      <c r="I1053" s="4">
        <f>(Raw_Stock_Data!I1053/Raw_Stock_Data!I1052)-1</f>
        <v>2.2865727823545789E-2</v>
      </c>
      <c r="J1053" s="4">
        <f>(Raw_Stock_Data!J1053/Raw_Stock_Data!J1052)-1</f>
        <v>1.2178755570339872E-2</v>
      </c>
    </row>
    <row r="1054" spans="1:10" x14ac:dyDescent="0.2">
      <c r="A1054" s="2">
        <v>45729</v>
      </c>
      <c r="B1054" s="4">
        <f>(Raw_Stock_Data!B1054/Raw_Stock_Data!B1053)-1</f>
        <v>-3.3643174250832408E-2</v>
      </c>
      <c r="C1054" s="4">
        <f>(Raw_Stock_Data!C1054/Raw_Stock_Data!C1053)-1</f>
        <v>-1.1741070263782682E-2</v>
      </c>
      <c r="D1054" s="4">
        <f>(Raw_Stock_Data!D1054/Raw_Stock_Data!D1053)-1</f>
        <v>-1.382408847416583E-3</v>
      </c>
      <c r="E1054" s="4">
        <f>(Raw_Stock_Data!E1054/Raw_Stock_Data!E1053)-1</f>
        <v>-2.6589939478122937E-2</v>
      </c>
      <c r="F1054" s="4">
        <f>(Raw_Stock_Data!F1054/Raw_Stock_Data!F1053)-1</f>
        <v>-2.5139524360199061E-2</v>
      </c>
      <c r="G1054" s="4">
        <f>(Raw_Stock_Data!G1054/Raw_Stock_Data!G1053)-1</f>
        <v>-2.9868192994477849E-2</v>
      </c>
      <c r="H1054" s="4">
        <f>(Raw_Stock_Data!H1054/Raw_Stock_Data!H1053)-1</f>
        <v>-2.6030758183232749E-2</v>
      </c>
      <c r="I1054" s="4">
        <f>(Raw_Stock_Data!I1054/Raw_Stock_Data!I1053)-1</f>
        <v>-4.6678287817160546E-2</v>
      </c>
      <c r="J1054" s="4">
        <f>(Raw_Stock_Data!J1054/Raw_Stock_Data!J1053)-1</f>
        <v>-1.9573390297731641E-2</v>
      </c>
    </row>
    <row r="1055" spans="1:10" x14ac:dyDescent="0.2">
      <c r="A1055" s="2">
        <v>45730</v>
      </c>
      <c r="B1055" s="4">
        <f>(Raw_Stock_Data!B1055/Raw_Stock_Data!B1054)-1</f>
        <v>1.8170507022707172E-2</v>
      </c>
      <c r="C1055" s="4">
        <f>(Raw_Stock_Data!C1055/Raw_Stock_Data!C1054)-1</f>
        <v>2.5846819969902679E-2</v>
      </c>
      <c r="D1055" s="4">
        <f>(Raw_Stock_Data!D1055/Raw_Stock_Data!D1054)-1</f>
        <v>5.2690776951029639E-2</v>
      </c>
      <c r="E1055" s="4">
        <f>(Raw_Stock_Data!E1055/Raw_Stock_Data!E1054)-1</f>
        <v>2.9150953011925385E-2</v>
      </c>
      <c r="F1055" s="4">
        <f>(Raw_Stock_Data!F1055/Raw_Stock_Data!F1054)-1</f>
        <v>2.0939708081902042E-2</v>
      </c>
      <c r="G1055" s="4">
        <f>(Raw_Stock_Data!G1055/Raw_Stock_Data!G1054)-1</f>
        <v>3.8640518530829171E-2</v>
      </c>
      <c r="H1055" s="4">
        <f>(Raw_Stock_Data!H1055/Raw_Stock_Data!H1054)-1</f>
        <v>1.6773162939297315E-2</v>
      </c>
      <c r="I1055" s="4">
        <f>(Raw_Stock_Data!I1055/Raw_Stock_Data!I1054)-1</f>
        <v>2.8714614655289239E-2</v>
      </c>
      <c r="J1055" s="4">
        <f>(Raw_Stock_Data!J1055/Raw_Stock_Data!J1054)-1</f>
        <v>2.6069452655925307E-2</v>
      </c>
    </row>
    <row r="1056" spans="1:10" x14ac:dyDescent="0.2">
      <c r="A1056" s="2">
        <v>45733</v>
      </c>
      <c r="B1056" s="4">
        <f>(Raw_Stock_Data!B1056/Raw_Stock_Data!B1055)-1</f>
        <v>2.3923444976075015E-3</v>
      </c>
      <c r="C1056" s="4">
        <f>(Raw_Stock_Data!C1056/Raw_Stock_Data!C1055)-1</f>
        <v>3.6030471484460591E-4</v>
      </c>
      <c r="D1056" s="4">
        <f>(Raw_Stock_Data!D1056/Raw_Stock_Data!D1055)-1</f>
        <v>-1.7588559217555644E-2</v>
      </c>
      <c r="E1056" s="4">
        <f>(Raw_Stock_Data!E1056/Raw_Stock_Data!E1055)-1</f>
        <v>3.5852233336634676E-2</v>
      </c>
      <c r="F1056" s="4">
        <f>(Raw_Stock_Data!F1056/Raw_Stock_Data!F1055)-1</f>
        <v>-1.1164435463500766E-2</v>
      </c>
      <c r="G1056" s="4">
        <f>(Raw_Stock_Data!G1056/Raw_Stock_Data!G1055)-1</f>
        <v>-4.7883830706456521E-2</v>
      </c>
      <c r="H1056" s="4">
        <f>(Raw_Stock_Data!H1056/Raw_Stock_Data!H1055)-1</f>
        <v>-7.2511934255847788E-3</v>
      </c>
      <c r="I1056" s="4">
        <f>(Raw_Stock_Data!I1056/Raw_Stock_Data!I1055)-1</f>
        <v>-4.4437129690586552E-3</v>
      </c>
      <c r="J1056" s="4">
        <f>(Raw_Stock_Data!J1056/Raw_Stock_Data!J1055)-1</f>
        <v>3.0736579571242206E-3</v>
      </c>
    </row>
    <row r="1057" spans="1:10" x14ac:dyDescent="0.2">
      <c r="A1057" s="2">
        <v>45734</v>
      </c>
      <c r="B1057" s="4">
        <f>(Raw_Stock_Data!B1057/Raw_Stock_Data!B1056)-1</f>
        <v>-6.1236642581503631E-3</v>
      </c>
      <c r="C1057" s="4">
        <f>(Raw_Stock_Data!C1057/Raw_Stock_Data!C1056)-1</f>
        <v>-1.3326472858245397E-2</v>
      </c>
      <c r="D1057" s="4">
        <f>(Raw_Stock_Data!D1057/Raw_Stock_Data!D1056)-1</f>
        <v>-3.4301012298167732E-2</v>
      </c>
      <c r="E1057" s="4">
        <f>(Raw_Stock_Data!E1057/Raw_Stock_Data!E1056)-1</f>
        <v>-1.032603499378526E-2</v>
      </c>
      <c r="F1057" s="4">
        <f>(Raw_Stock_Data!F1057/Raw_Stock_Data!F1056)-1</f>
        <v>-1.4917748033105194E-2</v>
      </c>
      <c r="G1057" s="4">
        <f>(Raw_Stock_Data!G1057/Raw_Stock_Data!G1056)-1</f>
        <v>-5.3359102558716009E-2</v>
      </c>
      <c r="H1057" s="4">
        <f>(Raw_Stock_Data!H1057/Raw_Stock_Data!H1056)-1</f>
        <v>-2.2034207803274697E-2</v>
      </c>
      <c r="I1057" s="4">
        <f>(Raw_Stock_Data!I1057/Raw_Stock_Data!I1056)-1</f>
        <v>-3.726235741444861E-2</v>
      </c>
      <c r="J1057" s="4">
        <f>(Raw_Stock_Data!J1057/Raw_Stock_Data!J1056)-1</f>
        <v>-1.7100669000362778E-2</v>
      </c>
    </row>
    <row r="1058" spans="1:10" x14ac:dyDescent="0.2">
      <c r="A1058" s="2">
        <v>45735</v>
      </c>
      <c r="B1058" s="4">
        <f>(Raw_Stock_Data!B1058/Raw_Stock_Data!B1057)-1</f>
        <v>1.1987828179180537E-2</v>
      </c>
      <c r="C1058" s="4">
        <f>(Raw_Stock_Data!C1058/Raw_Stock_Data!C1057)-1</f>
        <v>1.1211931581143197E-2</v>
      </c>
      <c r="D1058" s="4">
        <f>(Raw_Stock_Data!D1058/Raw_Stock_Data!D1057)-1</f>
        <v>1.8106211556787599E-2</v>
      </c>
      <c r="E1058" s="4">
        <f>(Raw_Stock_Data!E1058/Raw_Stock_Data!E1057)-1</f>
        <v>2.6277654332914624E-2</v>
      </c>
      <c r="F1058" s="4">
        <f>(Raw_Stock_Data!F1058/Raw_Stock_Data!F1057)-1</f>
        <v>1.4106420495799243E-2</v>
      </c>
      <c r="G1058" s="4">
        <f>(Raw_Stock_Data!G1058/Raw_Stock_Data!G1057)-1</f>
        <v>4.6824375305135169E-2</v>
      </c>
      <c r="H1058" s="4">
        <f>(Raw_Stock_Data!H1058/Raw_Stock_Data!H1057)-1</f>
        <v>2.0041077985933908E-2</v>
      </c>
      <c r="I1058" s="4">
        <f>(Raw_Stock_Data!I1058/Raw_Stock_Data!I1057)-1</f>
        <v>2.9191565354762528E-3</v>
      </c>
      <c r="J1058" s="4">
        <f>(Raw_Stock_Data!J1058/Raw_Stock_Data!J1057)-1</f>
        <v>1.409211088589446E-2</v>
      </c>
    </row>
    <row r="1059" spans="1:10" x14ac:dyDescent="0.2">
      <c r="A1059" s="2">
        <v>45736</v>
      </c>
      <c r="B1059" s="4">
        <f>(Raw_Stock_Data!B1059/Raw_Stock_Data!B1058)-1</f>
        <v>-5.2912272850176301E-3</v>
      </c>
      <c r="C1059" s="4">
        <f>(Raw_Stock_Data!C1059/Raw_Stock_Data!C1058)-1</f>
        <v>-2.526945490175847E-3</v>
      </c>
      <c r="D1059" s="4">
        <f>(Raw_Stock_Data!D1059/Raw_Stock_Data!D1058)-1</f>
        <v>8.5942818243702757E-3</v>
      </c>
      <c r="E1059" s="4">
        <f>(Raw_Stock_Data!E1059/Raw_Stock_Data!E1058)-1</f>
        <v>8.5663183658100106E-3</v>
      </c>
      <c r="F1059" s="4">
        <f>(Raw_Stock_Data!F1059/Raw_Stock_Data!F1058)-1</f>
        <v>-3.0172854658893078E-3</v>
      </c>
      <c r="G1059" s="4">
        <f>(Raw_Stock_Data!G1059/Raw_Stock_Data!G1058)-1</f>
        <v>1.6959213092511138E-3</v>
      </c>
      <c r="H1059" s="4">
        <f>(Raw_Stock_Data!H1059/Raw_Stock_Data!H1058)-1</f>
        <v>-6.6508023674414218E-3</v>
      </c>
      <c r="I1059" s="4">
        <f>(Raw_Stock_Data!I1059/Raw_Stock_Data!I1058)-1</f>
        <v>3.321576550354477E-3</v>
      </c>
      <c r="J1059" s="4">
        <f>(Raw_Stock_Data!J1059/Raw_Stock_Data!J1058)-1</f>
        <v>-3.3328094129895236E-3</v>
      </c>
    </row>
    <row r="1060" spans="1:10" x14ac:dyDescent="0.2">
      <c r="A1060" s="2">
        <v>45737</v>
      </c>
      <c r="B1060" s="4">
        <f>(Raw_Stock_Data!B1060/Raw_Stock_Data!B1059)-1</f>
        <v>1.9473124276494946E-2</v>
      </c>
      <c r="C1060" s="4">
        <f>(Raw_Stock_Data!C1060/Raw_Stock_Data!C1059)-1</f>
        <v>1.1425912521972892E-2</v>
      </c>
      <c r="D1060" s="4">
        <f>(Raw_Stock_Data!D1060/Raw_Stock_Data!D1059)-1</f>
        <v>-7.002446637981885E-3</v>
      </c>
      <c r="E1060" s="4">
        <f>(Raw_Stock_Data!E1060/Raw_Stock_Data!E1059)-1</f>
        <v>-6.5335075602016568E-3</v>
      </c>
      <c r="F1060" s="4">
        <f>(Raw_Stock_Data!F1060/Raw_Stock_Data!F1059)-1</f>
        <v>6.4631956912029054E-3</v>
      </c>
      <c r="G1060" s="4">
        <f>(Raw_Stock_Data!G1060/Raw_Stock_Data!G1059)-1</f>
        <v>5.2696182172183192E-2</v>
      </c>
      <c r="H1060" s="4">
        <f>(Raw_Stock_Data!H1060/Raw_Stock_Data!H1059)-1</f>
        <v>7.3095823095823409E-3</v>
      </c>
      <c r="I1060" s="4">
        <f>(Raw_Stock_Data!I1060/Raw_Stock_Data!I1059)-1</f>
        <v>1.7491467576791875E-2</v>
      </c>
      <c r="J1060" s="4">
        <f>(Raw_Stock_Data!J1060/Raw_Stock_Data!J1059)-1</f>
        <v>5.2239392300199583E-3</v>
      </c>
    </row>
    <row r="1061" spans="1:10" x14ac:dyDescent="0.2">
      <c r="A1061" s="2">
        <v>45740</v>
      </c>
      <c r="B1061" s="4">
        <f>(Raw_Stock_Data!B1061/Raw_Stock_Data!B1060)-1</f>
        <v>1.1272215735130597E-2</v>
      </c>
      <c r="C1061" s="4">
        <f>(Raw_Stock_Data!C1061/Raw_Stock_Data!C1060)-1</f>
        <v>4.6516382967847214E-3</v>
      </c>
      <c r="D1061" s="4">
        <f>(Raw_Stock_Data!D1061/Raw_Stock_Data!D1060)-1</f>
        <v>3.152081563296516E-2</v>
      </c>
      <c r="E1061" s="4">
        <f>(Raw_Stock_Data!E1061/Raw_Stock_Data!E1060)-1</f>
        <v>6.9616685456595162E-2</v>
      </c>
      <c r="F1061" s="4">
        <f>(Raw_Stock_Data!F1061/Raw_Stock_Data!F1060)-1</f>
        <v>3.593089037255992E-2</v>
      </c>
      <c r="G1061" s="4">
        <f>(Raw_Stock_Data!G1061/Raw_Stock_Data!G1060)-1</f>
        <v>0.11933577258654648</v>
      </c>
      <c r="H1061" s="4">
        <f>(Raw_Stock_Data!H1061/Raw_Stock_Data!H1060)-1</f>
        <v>2.2501372034880118E-2</v>
      </c>
      <c r="I1061" s="4">
        <f>(Raw_Stock_Data!I1061/Raw_Stock_Data!I1060)-1</f>
        <v>3.79035639412999E-2</v>
      </c>
      <c r="J1061" s="4">
        <f>(Raw_Stock_Data!J1061/Raw_Stock_Data!J1060)-1</f>
        <v>2.2747349450771948E-2</v>
      </c>
    </row>
    <row r="1062" spans="1:10" x14ac:dyDescent="0.2">
      <c r="A1062" s="2">
        <v>45741</v>
      </c>
      <c r="B1062" s="4">
        <f>(Raw_Stock_Data!B1062/Raw_Stock_Data!B1061)-1</f>
        <v>1.3683186500468292E-2</v>
      </c>
      <c r="C1062" s="4">
        <f>(Raw_Stock_Data!C1062/Raw_Stock_Data!C1061)-1</f>
        <v>5.2915437061158421E-3</v>
      </c>
      <c r="D1062" s="4">
        <f>(Raw_Stock_Data!D1062/Raw_Stock_Data!D1061)-1</f>
        <v>-5.9303187546330127E-3</v>
      </c>
      <c r="E1062" s="4">
        <f>(Raw_Stock_Data!E1062/Raw_Stock_Data!E1061)-1</f>
        <v>8.4321475625823705E-3</v>
      </c>
      <c r="F1062" s="4">
        <f>(Raw_Stock_Data!F1062/Raw_Stock_Data!F1061)-1</f>
        <v>1.205352750172195E-2</v>
      </c>
      <c r="G1062" s="4">
        <f>(Raw_Stock_Data!G1062/Raw_Stock_Data!G1061)-1</f>
        <v>3.5022809727360826E-2</v>
      </c>
      <c r="H1062" s="4">
        <f>(Raw_Stock_Data!H1062/Raw_Stock_Data!H1061)-1</f>
        <v>1.7175572519083859E-2</v>
      </c>
      <c r="I1062" s="4">
        <f>(Raw_Stock_Data!I1062/Raw_Stock_Data!I1061)-1</f>
        <v>1.2054617435565795E-2</v>
      </c>
      <c r="J1062" s="4">
        <f>(Raw_Stock_Data!J1062/Raw_Stock_Data!J1061)-1</f>
        <v>4.5781448699431238E-3</v>
      </c>
    </row>
    <row r="1063" spans="1:10" x14ac:dyDescent="0.2">
      <c r="A1063" s="2">
        <v>45742</v>
      </c>
      <c r="B1063" s="4">
        <f>(Raw_Stock_Data!B1063/Raw_Stock_Data!B1062)-1</f>
        <v>-9.9243008592390103E-3</v>
      </c>
      <c r="C1063" s="4">
        <f>(Raw_Stock_Data!C1063/Raw_Stock_Data!C1062)-1</f>
        <v>-1.3133920437291224E-2</v>
      </c>
      <c r="D1063" s="4">
        <f>(Raw_Stock_Data!D1063/Raw_Stock_Data!D1062)-1</f>
        <v>-5.7419835943325781E-2</v>
      </c>
      <c r="E1063" s="4">
        <f>(Raw_Stock_Data!E1063/Raw_Stock_Data!E1062)-1</f>
        <v>-4.0240397177946252E-2</v>
      </c>
      <c r="F1063" s="4">
        <f>(Raw_Stock_Data!F1063/Raw_Stock_Data!F1062)-1</f>
        <v>-2.2264352729570835E-2</v>
      </c>
      <c r="G1063" s="4">
        <f>(Raw_Stock_Data!G1063/Raw_Stock_Data!G1062)-1</f>
        <v>-5.5806205316859758E-2</v>
      </c>
      <c r="H1063" s="4">
        <f>(Raw_Stock_Data!H1063/Raw_Stock_Data!H1062)-1</f>
        <v>-3.2246716697936217E-2</v>
      </c>
      <c r="I1063" s="4">
        <f>(Raw_Stock_Data!I1063/Raw_Stock_Data!I1062)-1</f>
        <v>-2.4476696843416135E-2</v>
      </c>
      <c r="J1063" s="4">
        <f>(Raw_Stock_Data!J1063/Raw_Stock_Data!J1062)-1</f>
        <v>-2.0405147587601924E-2</v>
      </c>
    </row>
    <row r="1064" spans="1:10" x14ac:dyDescent="0.2">
      <c r="A1064" s="2">
        <v>45743</v>
      </c>
      <c r="B1064" s="4">
        <f>(Raw_Stock_Data!B1064/Raw_Stock_Data!B1063)-1</f>
        <v>1.0476729702185494E-2</v>
      </c>
      <c r="C1064" s="4">
        <f>(Raw_Stock_Data!C1064/Raw_Stock_Data!C1063)-1</f>
        <v>1.5642228889400922E-3</v>
      </c>
      <c r="D1064" s="4">
        <f>(Raw_Stock_Data!D1064/Raw_Stock_Data!D1063)-1</f>
        <v>-2.0481715893108321E-2</v>
      </c>
      <c r="E1064" s="4">
        <f>(Raw_Stock_Data!E1064/Raw_Stock_Data!E1063)-1</f>
        <v>-3.2126327252926745E-2</v>
      </c>
      <c r="F1064" s="4">
        <f>(Raw_Stock_Data!F1064/Raw_Stock_Data!F1063)-1</f>
        <v>1.1435390046239391E-3</v>
      </c>
      <c r="G1064" s="4">
        <f>(Raw_Stock_Data!G1064/Raw_Stock_Data!G1063)-1</f>
        <v>3.9329559655958413E-3</v>
      </c>
      <c r="H1064" s="4">
        <f>(Raw_Stock_Data!H1064/Raw_Stock_Data!H1063)-1</f>
        <v>-1.7084696474009453E-2</v>
      </c>
      <c r="I1064" s="4">
        <f>(Raw_Stock_Data!I1064/Raw_Stock_Data!I1063)-1</f>
        <v>-1.3748404203083542E-2</v>
      </c>
      <c r="J1064" s="4">
        <f>(Raw_Stock_Data!J1064/Raw_Stock_Data!J1063)-1</f>
        <v>-5.3069944611493503E-3</v>
      </c>
    </row>
    <row r="1065" spans="1:10" x14ac:dyDescent="0.2">
      <c r="A1065" s="2">
        <v>45744</v>
      </c>
      <c r="B1065" s="4">
        <f>(Raw_Stock_Data!B1065/Raw_Stock_Data!B1064)-1</f>
        <v>-2.6585921250806832E-2</v>
      </c>
      <c r="C1065" s="4">
        <f>(Raw_Stock_Data!C1065/Raw_Stock_Data!C1064)-1</f>
        <v>-3.0160274463618131E-2</v>
      </c>
      <c r="D1065" s="4">
        <f>(Raw_Stock_Data!D1065/Raw_Stock_Data!D1064)-1</f>
        <v>-1.5794669299111552E-2</v>
      </c>
      <c r="E1065" s="4">
        <f>(Raw_Stock_Data!E1065/Raw_Stock_Data!E1064)-1</f>
        <v>-3.2161275199249939E-2</v>
      </c>
      <c r="F1065" s="4">
        <f>(Raw_Stock_Data!F1065/Raw_Stock_Data!F1064)-1</f>
        <v>-4.2908224076281365E-2</v>
      </c>
      <c r="G1065" s="4">
        <f>(Raw_Stock_Data!G1065/Raw_Stock_Data!G1064)-1</f>
        <v>-3.5074872771207799E-2</v>
      </c>
      <c r="H1065" s="4">
        <f>(Raw_Stock_Data!H1065/Raw_Stock_Data!H1064)-1</f>
        <v>-4.8754930966469434E-2</v>
      </c>
      <c r="I1065" s="4">
        <f>(Raw_Stock_Data!I1065/Raw_Stock_Data!I1064)-1</f>
        <v>-4.2882272893225881E-2</v>
      </c>
      <c r="J1065" s="4">
        <f>(Raw_Stock_Data!J1065/Raw_Stock_Data!J1064)-1</f>
        <v>-2.7018601968205935E-2</v>
      </c>
    </row>
    <row r="1066" spans="1:10" x14ac:dyDescent="0.2">
      <c r="A1066" s="2">
        <v>45747</v>
      </c>
      <c r="B1066" s="4">
        <f>(Raw_Stock_Data!B1066/Raw_Stock_Data!B1065)-1</f>
        <v>1.9414524975017944E-2</v>
      </c>
      <c r="C1066" s="4">
        <f>(Raw_Stock_Data!C1066/Raw_Stock_Data!C1065)-1</f>
        <v>-9.0021119324181775E-3</v>
      </c>
      <c r="D1066" s="4">
        <f>(Raw_Stock_Data!D1066/Raw_Stock_Data!D1065)-1</f>
        <v>-1.1762560408498324E-2</v>
      </c>
      <c r="E1066" s="4">
        <f>(Raw_Stock_Data!E1066/Raw_Stock_Data!E1065)-1</f>
        <v>-4.6502615772137101E-3</v>
      </c>
      <c r="F1066" s="4">
        <f>(Raw_Stock_Data!F1066/Raw_Stock_Data!F1065)-1</f>
        <v>-1.2764632627646377E-2</v>
      </c>
      <c r="G1066" s="4">
        <f>(Raw_Stock_Data!G1066/Raw_Stock_Data!G1065)-1</f>
        <v>-1.6657180800607074E-2</v>
      </c>
      <c r="H1066" s="4">
        <f>(Raw_Stock_Data!H1066/Raw_Stock_Data!H1065)-1</f>
        <v>2.0086826929306412E-3</v>
      </c>
      <c r="I1066" s="4">
        <f>(Raw_Stock_Data!I1066/Raw_Stock_Data!I1065)-1</f>
        <v>-6.5887574990464159E-4</v>
      </c>
      <c r="J1066" s="4">
        <f>(Raw_Stock_Data!J1066/Raw_Stock_Data!J1065)-1</f>
        <v>-1.3681240940507378E-3</v>
      </c>
    </row>
    <row r="1067" spans="1:10" x14ac:dyDescent="0.2">
      <c r="A1067" s="2">
        <v>45748</v>
      </c>
      <c r="B1067" s="4">
        <f>(Raw_Stock_Data!B1067/Raw_Stock_Data!B1066)-1</f>
        <v>4.7702294317735205E-3</v>
      </c>
      <c r="C1067" s="4">
        <f>(Raw_Stock_Data!C1067/Raw_Stock_Data!C1066)-1</f>
        <v>1.8114494259303671E-2</v>
      </c>
      <c r="D1067" s="4">
        <f>(Raw_Stock_Data!D1067/Raw_Stock_Data!D1066)-1</f>
        <v>1.6331426462447007E-2</v>
      </c>
      <c r="E1067" s="4">
        <f>(Raw_Stock_Data!E1067/Raw_Stock_Data!E1066)-1</f>
        <v>3.8933229511384226E-4</v>
      </c>
      <c r="F1067" s="4">
        <f>(Raw_Stock_Data!F1067/Raw_Stock_Data!F1066)-1</f>
        <v>1.0038894144854371E-2</v>
      </c>
      <c r="G1067" s="4">
        <f>(Raw_Stock_Data!G1067/Raw_Stock_Data!G1066)-1</f>
        <v>3.5885167464114742E-2</v>
      </c>
      <c r="H1067" s="4">
        <f>(Raw_Stock_Data!H1067/Raw_Stock_Data!H1066)-1</f>
        <v>1.5713916192447108E-2</v>
      </c>
      <c r="I1067" s="4">
        <f>(Raw_Stock_Data!I1067/Raw_Stock_Data!I1066)-1</f>
        <v>1.6725657575126673E-2</v>
      </c>
      <c r="J1067" s="4">
        <f>(Raw_Stock_Data!J1067/Raw_Stock_Data!J1066)-1</f>
        <v>8.7055595923299922E-3</v>
      </c>
    </row>
    <row r="1068" spans="1:10" x14ac:dyDescent="0.2">
      <c r="A1068" s="2">
        <v>45749</v>
      </c>
      <c r="B1068" s="4">
        <f>(Raw_Stock_Data!B1068/Raw_Stock_Data!B1067)-1</f>
        <v>3.1425758331871112E-3</v>
      </c>
      <c r="C1068" s="4">
        <f>(Raw_Stock_Data!C1068/Raw_Stock_Data!C1067)-1</f>
        <v>-1.3082498233862871E-4</v>
      </c>
      <c r="D1068" s="4">
        <f>(Raw_Stock_Data!D1068/Raw_Stock_Data!D1067)-1</f>
        <v>2.451202905129346E-3</v>
      </c>
      <c r="E1068" s="4">
        <f>(Raw_Stock_Data!E1068/Raw_Stock_Data!E1067)-1</f>
        <v>1.7513134851137035E-3</v>
      </c>
      <c r="F1068" s="4">
        <f>(Raw_Stock_Data!F1068/Raw_Stock_Data!F1067)-1</f>
        <v>1.9982307332049754E-2</v>
      </c>
      <c r="G1068" s="4">
        <f>(Raw_Stock_Data!G1068/Raw_Stock_Data!G1067)-1</f>
        <v>5.3266780898457933E-2</v>
      </c>
      <c r="H1068" s="4">
        <f>(Raw_Stock_Data!H1068/Raw_Stock_Data!H1067)-1</f>
        <v>-1.9099764436236732E-4</v>
      </c>
      <c r="I1068" s="4">
        <f>(Raw_Stock_Data!I1068/Raw_Stock_Data!I1067)-1</f>
        <v>-3.5324232081912488E-3</v>
      </c>
      <c r="J1068" s="4">
        <f>(Raw_Stock_Data!J1068/Raw_Stock_Data!J1067)-1</f>
        <v>8.6625187895166267E-3</v>
      </c>
    </row>
    <row r="1069" spans="1:10" x14ac:dyDescent="0.2">
      <c r="A1069" s="2">
        <v>45750</v>
      </c>
      <c r="B1069" s="4">
        <f>(Raw_Stock_Data!B1069/Raw_Stock_Data!B1068)-1</f>
        <v>-9.2458140618837614E-2</v>
      </c>
      <c r="C1069" s="4">
        <f>(Raw_Stock_Data!C1069/Raw_Stock_Data!C1068)-1</f>
        <v>-2.3630083215575359E-2</v>
      </c>
      <c r="D1069" s="4">
        <f>(Raw_Stock_Data!D1069/Raw_Stock_Data!D1068)-1</f>
        <v>-7.806556783191454E-2</v>
      </c>
      <c r="E1069" s="4">
        <f>(Raw_Stock_Data!E1069/Raw_Stock_Data!E1068)-1</f>
        <v>-8.8966588966588933E-2</v>
      </c>
      <c r="F1069" s="4">
        <f>(Raw_Stock_Data!F1069/Raw_Stock_Data!F1068)-1</f>
        <v>-8.9791337176674646E-2</v>
      </c>
      <c r="G1069" s="4">
        <f>(Raw_Stock_Data!G1069/Raw_Stock_Data!G1068)-1</f>
        <v>-5.4746074409393164E-2</v>
      </c>
      <c r="H1069" s="4">
        <f>(Raw_Stock_Data!H1069/Raw_Stock_Data!H1068)-1</f>
        <v>-4.0244523688232281E-2</v>
      </c>
      <c r="I1069" s="4">
        <f>(Raw_Stock_Data!I1069/Raw_Stock_Data!I1068)-1</f>
        <v>-8.9582655455277105E-2</v>
      </c>
      <c r="J1069" s="4">
        <f>(Raw_Stock_Data!J1069/Raw_Stock_Data!J1068)-1</f>
        <v>-5.9680530422900779E-2</v>
      </c>
    </row>
    <row r="1070" spans="1:10" x14ac:dyDescent="0.2">
      <c r="A1070" s="2">
        <v>45751</v>
      </c>
      <c r="B1070" s="4">
        <f>(Raw_Stock_Data!B1070/Raw_Stock_Data!B1069)-1</f>
        <v>-7.2889608786259608E-2</v>
      </c>
      <c r="C1070" s="4">
        <f>(Raw_Stock_Data!C1070/Raw_Stock_Data!C1069)-1</f>
        <v>-3.5565918897912274E-2</v>
      </c>
      <c r="D1070" s="4">
        <f>(Raw_Stock_Data!D1070/Raw_Stock_Data!D1069)-1</f>
        <v>-7.3575638506876206E-2</v>
      </c>
      <c r="E1070" s="4">
        <f>(Raw_Stock_Data!E1070/Raw_Stock_Data!E1069)-1</f>
        <v>-8.5714285714285632E-2</v>
      </c>
      <c r="F1070" s="4">
        <f>(Raw_Stock_Data!F1070/Raw_Stock_Data!F1069)-1</f>
        <v>-4.1533546325878579E-2</v>
      </c>
      <c r="G1070" s="4">
        <f>(Raw_Stock_Data!G1070/Raw_Stock_Data!G1069)-1</f>
        <v>-0.10419784495659967</v>
      </c>
      <c r="H1070" s="4">
        <f>(Raw_Stock_Data!H1070/Raw_Stock_Data!H1069)-1</f>
        <v>-3.3970276008492561E-2</v>
      </c>
      <c r="I1070" s="4">
        <f>(Raw_Stock_Data!I1070/Raw_Stock_Data!I1069)-1</f>
        <v>-5.0581242240698265E-2</v>
      </c>
      <c r="J1070" s="4">
        <f>(Raw_Stock_Data!J1070/Raw_Stock_Data!J1069)-1</f>
        <v>-5.8174290856953248E-2</v>
      </c>
    </row>
    <row r="1071" spans="1:10" x14ac:dyDescent="0.2">
      <c r="A1071" s="2">
        <v>45754</v>
      </c>
      <c r="B1071" s="4">
        <f>(Raw_Stock_Data!B1071/Raw_Stock_Data!B1070)-1</f>
        <v>-3.6732041462037457E-2</v>
      </c>
      <c r="C1071" s="4">
        <f>(Raw_Stock_Data!C1071/Raw_Stock_Data!C1070)-1</f>
        <v>-5.5024455313471554E-3</v>
      </c>
      <c r="D1071" s="4">
        <f>(Raw_Stock_Data!D1071/Raw_Stock_Data!D1070)-1</f>
        <v>3.5309087053334798E-2</v>
      </c>
      <c r="E1071" s="4">
        <f>(Raw_Stock_Data!E1071/Raw_Stock_Data!E1070)-1</f>
        <v>-2.4720149253731449E-2</v>
      </c>
      <c r="F1071" s="4">
        <f>(Raw_Stock_Data!F1071/Raw_Stock_Data!F1070)-1</f>
        <v>2.491228070175433E-2</v>
      </c>
      <c r="G1071" s="4">
        <f>(Raw_Stock_Data!G1071/Raw_Stock_Data!G1070)-1</f>
        <v>-2.5644238399532338E-2</v>
      </c>
      <c r="H1071" s="4">
        <f>(Raw_Stock_Data!H1071/Raw_Stock_Data!H1070)-1</f>
        <v>7.8983516483517313E-3</v>
      </c>
      <c r="I1071" s="4">
        <f>(Raw_Stock_Data!I1071/Raw_Stock_Data!I1070)-1</f>
        <v>2.2824084163810321E-2</v>
      </c>
      <c r="J1071" s="4">
        <f>(Raw_Stock_Data!J1071/Raw_Stock_Data!J1070)-1</f>
        <v>9.924434445165442E-4</v>
      </c>
    </row>
    <row r="1072" spans="1:10" x14ac:dyDescent="0.2">
      <c r="A1072" s="2">
        <v>45755</v>
      </c>
      <c r="B1072" s="4">
        <f>(Raw_Stock_Data!B1072/Raw_Stock_Data!B1071)-1</f>
        <v>-4.9822496986319686E-2</v>
      </c>
      <c r="C1072" s="4">
        <f>(Raw_Stock_Data!C1072/Raw_Stock_Data!C1071)-1</f>
        <v>-9.2214832616107634E-3</v>
      </c>
      <c r="D1072" s="4">
        <f>(Raw_Stock_Data!D1072/Raw_Stock_Data!D1071)-1</f>
        <v>-1.3723883654240154E-2</v>
      </c>
      <c r="E1072" s="4">
        <f>(Raw_Stock_Data!E1072/Raw_Stock_Data!E1071)-1</f>
        <v>-6.4921090387374591E-2</v>
      </c>
      <c r="F1072" s="4">
        <f>(Raw_Stock_Data!F1072/Raw_Stock_Data!F1071)-1</f>
        <v>-2.6246719160104903E-2</v>
      </c>
      <c r="G1072" s="4">
        <f>(Raw_Stock_Data!G1072/Raw_Stock_Data!G1071)-1</f>
        <v>-4.8994813322474129E-2</v>
      </c>
      <c r="H1072" s="4">
        <f>(Raw_Stock_Data!H1072/Raw_Stock_Data!H1071)-1</f>
        <v>-1.3969335604770095E-2</v>
      </c>
      <c r="I1072" s="4">
        <f>(Raw_Stock_Data!I1072/Raw_Stock_Data!I1071)-1</f>
        <v>-1.1234866828087164E-2</v>
      </c>
      <c r="J1072" s="4">
        <f>(Raw_Stock_Data!J1072/Raw_Stock_Data!J1071)-1</f>
        <v>-2.1492303531441492E-2</v>
      </c>
    </row>
    <row r="1073" spans="1:10" x14ac:dyDescent="0.2">
      <c r="A1073" s="2">
        <v>45756</v>
      </c>
      <c r="B1073" s="4">
        <f>(Raw_Stock_Data!B1073/Raw_Stock_Data!B1072)-1</f>
        <v>0.1532950789142884</v>
      </c>
      <c r="C1073" s="4">
        <f>(Raw_Stock_Data!C1073/Raw_Stock_Data!C1072)-1</f>
        <v>0.10133686823104693</v>
      </c>
      <c r="D1073" s="4">
        <f>(Raw_Stock_Data!D1073/Raw_Stock_Data!D1072)-1</f>
        <v>0.18722741433021817</v>
      </c>
      <c r="E1073" s="4">
        <f>(Raw_Stock_Data!E1073/Raw_Stock_Data!E1072)-1</f>
        <v>0.23820483314154206</v>
      </c>
      <c r="F1073" s="4">
        <f>(Raw_Stock_Data!F1073/Raw_Stock_Data!F1072)-1</f>
        <v>0.11977030352748153</v>
      </c>
      <c r="G1073" s="4">
        <f>(Raw_Stock_Data!G1073/Raw_Stock_Data!G1072)-1</f>
        <v>0.2268998467502028</v>
      </c>
      <c r="H1073" s="4">
        <f>(Raw_Stock_Data!H1073/Raw_Stock_Data!H1072)-1</f>
        <v>9.6821008984105283E-2</v>
      </c>
      <c r="I1073" s="4">
        <f>(Raw_Stock_Data!I1073/Raw_Stock_Data!I1072)-1</f>
        <v>0.14755607797041814</v>
      </c>
      <c r="J1073" s="4">
        <f>(Raw_Stock_Data!J1073/Raw_Stock_Data!J1072)-1</f>
        <v>0.12163157891289655</v>
      </c>
    </row>
    <row r="1074" spans="1:10" x14ac:dyDescent="0.2">
      <c r="A1074" s="2">
        <v>45757</v>
      </c>
      <c r="B1074" s="4">
        <f>(Raw_Stock_Data!B1074/Raw_Stock_Data!B1073)-1</f>
        <v>-4.2397299329373861E-2</v>
      </c>
      <c r="C1074" s="4">
        <f>(Raw_Stock_Data!C1074/Raw_Stock_Data!C1073)-1</f>
        <v>-2.3406489282696064E-2</v>
      </c>
      <c r="D1074" s="4">
        <f>(Raw_Stock_Data!D1074/Raw_Stock_Data!D1073)-1</f>
        <v>-5.9127088253301929E-2</v>
      </c>
      <c r="E1074" s="4">
        <f>(Raw_Stock_Data!E1074/Raw_Stock_Data!E1073)-1</f>
        <v>-8.4056175134242017E-2</v>
      </c>
      <c r="F1074" s="4">
        <f>(Raw_Stock_Data!F1074/Raw_Stock_Data!F1073)-1</f>
        <v>-5.1700680272108834E-2</v>
      </c>
      <c r="G1074" s="4">
        <f>(Raw_Stock_Data!G1074/Raw_Stock_Data!G1073)-1</f>
        <v>-7.2740631888317364E-2</v>
      </c>
      <c r="H1074" s="4">
        <f>(Raw_Stock_Data!H1074/Raw_Stock_Data!H1073)-1</f>
        <v>-3.7111713187574891E-2</v>
      </c>
      <c r="I1074" s="4">
        <f>(Raw_Stock_Data!I1074/Raw_Stock_Data!I1073)-1</f>
        <v>-6.7398466975092663E-2</v>
      </c>
      <c r="J1074" s="4">
        <f>(Raw_Stock_Data!J1074/Raw_Stock_Data!J1073)-1</f>
        <v>-4.3075111956400458E-2</v>
      </c>
    </row>
    <row r="1075" spans="1:10" x14ac:dyDescent="0.2">
      <c r="A1075" s="2">
        <v>45758</v>
      </c>
      <c r="B1075" s="4">
        <f>(Raw_Stock_Data!B1075/Raw_Stock_Data!B1074)-1</f>
        <v>4.0596297642948587E-2</v>
      </c>
      <c r="C1075" s="4">
        <f>(Raw_Stock_Data!C1075/Raw_Stock_Data!C1074)-1</f>
        <v>1.8618067392159432E-2</v>
      </c>
      <c r="D1075" s="4">
        <f>(Raw_Stock_Data!D1075/Raw_Stock_Data!D1074)-1</f>
        <v>3.1235474574695665E-2</v>
      </c>
      <c r="E1075" s="4">
        <f>(Raw_Stock_Data!E1075/Raw_Stock_Data!E1074)-1</f>
        <v>5.29875986471251E-2</v>
      </c>
      <c r="F1075" s="4">
        <f>(Raw_Stock_Data!F1075/Raw_Stock_Data!F1074)-1</f>
        <v>2.0141264761063926E-2</v>
      </c>
      <c r="G1075" s="4">
        <f>(Raw_Stock_Data!G1075/Raw_Stock_Data!G1074)-1</f>
        <v>-3.5657686212364759E-4</v>
      </c>
      <c r="H1075" s="4">
        <f>(Raw_Stock_Data!H1075/Raw_Stock_Data!H1074)-1</f>
        <v>2.8268551236749095E-2</v>
      </c>
      <c r="I1075" s="4">
        <f>(Raw_Stock_Data!I1075/Raw_Stock_Data!I1074)-1</f>
        <v>-4.9790404363980745E-3</v>
      </c>
      <c r="J1075" s="4">
        <f>(Raw_Stock_Data!J1075/Raw_Stock_Data!J1074)-1</f>
        <v>2.0573846470225865E-2</v>
      </c>
    </row>
    <row r="1076" spans="1:10" x14ac:dyDescent="0.2">
      <c r="A1076" s="2">
        <v>45761</v>
      </c>
      <c r="B1076" s="4">
        <f>(Raw_Stock_Data!B1076/Raw_Stock_Data!B1075)-1</f>
        <v>2.2053424484111961E-2</v>
      </c>
      <c r="C1076" s="4">
        <f>(Raw_Stock_Data!C1076/Raw_Stock_Data!C1075)-1</f>
        <v>-1.6475736903075466E-3</v>
      </c>
      <c r="D1076" s="4">
        <f>(Raw_Stock_Data!D1076/Raw_Stock_Data!D1075)-1</f>
        <v>-1.9832326692510449E-3</v>
      </c>
      <c r="E1076" s="4">
        <f>(Raw_Stock_Data!E1076/Raw_Stock_Data!E1075)-1</f>
        <v>1.1777301927194728E-2</v>
      </c>
      <c r="F1076" s="4">
        <f>(Raw_Stock_Data!F1076/Raw_Stock_Data!F1075)-1</f>
        <v>-1.4875317790880027E-2</v>
      </c>
      <c r="G1076" s="4">
        <f>(Raw_Stock_Data!G1076/Raw_Stock_Data!G1075)-1</f>
        <v>1.5853513534924701E-4</v>
      </c>
      <c r="H1076" s="4">
        <f>(Raw_Stock_Data!H1076/Raw_Stock_Data!H1075)-1</f>
        <v>1.2282041491663565E-2</v>
      </c>
      <c r="I1076" s="4">
        <f>(Raw_Stock_Data!I1076/Raw_Stock_Data!I1075)-1</f>
        <v>-2.2241845576466801E-2</v>
      </c>
      <c r="J1076" s="4">
        <f>(Raw_Stock_Data!J1076/Raw_Stock_Data!J1075)-1</f>
        <v>6.3990107901839011E-3</v>
      </c>
    </row>
    <row r="1077" spans="1:10" x14ac:dyDescent="0.2">
      <c r="A1077" s="2">
        <v>45762</v>
      </c>
      <c r="B1077" s="4">
        <f>(Raw_Stock_Data!B1077/Raw_Stock_Data!B1076)-1</f>
        <v>-1.8778179656147032E-3</v>
      </c>
      <c r="C1077" s="4">
        <f>(Raw_Stock_Data!C1077/Raw_Stock_Data!C1076)-1</f>
        <v>-5.363451174544176E-3</v>
      </c>
      <c r="D1077" s="4">
        <f>(Raw_Stock_Data!D1077/Raw_Stock_Data!D1076)-1</f>
        <v>1.3458585493631992E-2</v>
      </c>
      <c r="E1077" s="4">
        <f>(Raw_Stock_Data!E1077/Raw_Stock_Data!E1076)-1</f>
        <v>8.3597883597883449E-3</v>
      </c>
      <c r="F1077" s="4">
        <f>(Raw_Stock_Data!F1077/Raw_Stock_Data!F1076)-1</f>
        <v>-1.389193938062816E-2</v>
      </c>
      <c r="G1077" s="4">
        <f>(Raw_Stock_Data!G1077/Raw_Stock_Data!G1076)-1</f>
        <v>6.9744402615414813E-3</v>
      </c>
      <c r="H1077" s="4">
        <f>(Raw_Stock_Data!H1077/Raw_Stock_Data!H1076)-1</f>
        <v>-1.7350851826239966E-2</v>
      </c>
      <c r="I1077" s="4">
        <f>(Raw_Stock_Data!I1077/Raw_Stock_Data!I1076)-1</f>
        <v>-1.8740121923684905E-2</v>
      </c>
      <c r="J1077" s="4">
        <f>(Raw_Stock_Data!J1077/Raw_Stock_Data!J1076)-1</f>
        <v>-4.9371772416928472E-4</v>
      </c>
    </row>
    <row r="1078" spans="1:10" x14ac:dyDescent="0.2">
      <c r="A1078" s="2">
        <v>45763</v>
      </c>
      <c r="B1078" s="4">
        <f>(Raw_Stock_Data!B1078/Raw_Stock_Data!B1077)-1</f>
        <v>-3.8932544390447243E-2</v>
      </c>
      <c r="C1078" s="4">
        <f>(Raw_Stock_Data!C1078/Raw_Stock_Data!C1077)-1</f>
        <v>-3.6605916055271859E-2</v>
      </c>
      <c r="D1078" s="4">
        <f>(Raw_Stock_Data!D1078/Raw_Stock_Data!D1077)-1</f>
        <v>-6.8716577540107071E-2</v>
      </c>
      <c r="E1078" s="4">
        <f>(Raw_Stock_Data!E1078/Raw_Stock_Data!E1077)-1</f>
        <v>-7.3459964319445903E-2</v>
      </c>
      <c r="F1078" s="4">
        <f>(Raw_Stock_Data!F1078/Raw_Stock_Data!F1077)-1</f>
        <v>-2.9288935909571712E-2</v>
      </c>
      <c r="G1078" s="4">
        <f>(Raw_Stock_Data!G1078/Raw_Stock_Data!G1077)-1</f>
        <v>-4.9427413324938052E-2</v>
      </c>
      <c r="H1078" s="4">
        <f>(Raw_Stock_Data!H1078/Raw_Stock_Data!H1077)-1</f>
        <v>-1.9064679163201315E-2</v>
      </c>
      <c r="I1078" s="4">
        <f>(Raw_Stock_Data!I1078/Raw_Stock_Data!I1077)-1</f>
        <v>-3.6834637214296584E-2</v>
      </c>
      <c r="J1078" s="4">
        <f>(Raw_Stock_Data!J1078/Raw_Stock_Data!J1077)-1</f>
        <v>-3.0672578354733249E-2</v>
      </c>
    </row>
    <row r="1079" spans="1:10" x14ac:dyDescent="0.2">
      <c r="A1079" s="2">
        <v>45764</v>
      </c>
      <c r="B1079" s="4">
        <f>(Raw_Stock_Data!B1079/Raw_Stock_Data!B1078)-1</f>
        <v>1.3950869798768695E-2</v>
      </c>
      <c r="C1079" s="4">
        <f>(Raw_Stock_Data!C1079/Raw_Stock_Data!C1078)-1</f>
        <v>-1.0306504130674687E-2</v>
      </c>
      <c r="D1079" s="4">
        <f>(Raw_Stock_Data!D1079/Raw_Stock_Data!D1078)-1</f>
        <v>-2.8710881424059753E-2</v>
      </c>
      <c r="E1079" s="4">
        <f>(Raw_Stock_Data!E1079/Raw_Stock_Data!E1078)-1</f>
        <v>-8.9477857061955879E-3</v>
      </c>
      <c r="F1079" s="4">
        <f>(Raw_Stock_Data!F1079/Raw_Stock_Data!F1078)-1</f>
        <v>-9.8663454368151937E-3</v>
      </c>
      <c r="G1079" s="4">
        <f>(Raw_Stock_Data!G1079/Raw_Stock_Data!G1078)-1</f>
        <v>-7.4518733181538899E-4</v>
      </c>
      <c r="H1079" s="4">
        <f>(Raw_Stock_Data!H1079/Raw_Stock_Data!H1078)-1</f>
        <v>-1.4152481575686493E-2</v>
      </c>
      <c r="I1079" s="4">
        <f>(Raw_Stock_Data!I1079/Raw_Stock_Data!I1078)-1</f>
        <v>-1.6523660687622899E-3</v>
      </c>
      <c r="J1079" s="4">
        <f>(Raw_Stock_Data!J1079/Raw_Stock_Data!J1078)-1</f>
        <v>-1.2699942847190782E-3</v>
      </c>
    </row>
    <row r="1080" spans="1:10" x14ac:dyDescent="0.2">
      <c r="A1080" s="2">
        <v>45768</v>
      </c>
      <c r="B1080" s="4">
        <f>(Raw_Stock_Data!B1080/Raw_Stock_Data!B1079)-1</f>
        <v>-1.9397989903672253E-2</v>
      </c>
      <c r="C1080" s="4">
        <f>(Raw_Stock_Data!C1080/Raw_Stock_Data!C1079)-1</f>
        <v>-2.3546685518516464E-2</v>
      </c>
      <c r="D1080" s="4">
        <f>(Raw_Stock_Data!D1080/Raw_Stock_Data!D1079)-1</f>
        <v>-4.5127598778204714E-2</v>
      </c>
      <c r="E1080" s="4">
        <f>(Raw_Stock_Data!E1080/Raw_Stock_Data!E1079)-1</f>
        <v>-2.2171428571428509E-2</v>
      </c>
      <c r="F1080" s="4">
        <f>(Raw_Stock_Data!F1080/Raw_Stock_Data!F1079)-1</f>
        <v>-3.0647123573373625E-2</v>
      </c>
      <c r="G1080" s="4">
        <f>(Raw_Stock_Data!G1080/Raw_Stock_Data!G1079)-1</f>
        <v>-5.7463645026308185E-2</v>
      </c>
      <c r="H1080" s="4">
        <f>(Raw_Stock_Data!H1080/Raw_Stock_Data!H1079)-1</f>
        <v>-2.308811854988102E-2</v>
      </c>
      <c r="I1080" s="4">
        <f>(Raw_Stock_Data!I1080/Raw_Stock_Data!I1079)-1</f>
        <v>-3.3540719470367741E-2</v>
      </c>
      <c r="J1080" s="4">
        <f>(Raw_Stock_Data!J1080/Raw_Stock_Data!J1079)-1</f>
        <v>-2.5515075415452837E-2</v>
      </c>
    </row>
    <row r="1081" spans="1:10" x14ac:dyDescent="0.2">
      <c r="A1081" s="2">
        <v>45769</v>
      </c>
      <c r="B1081" s="4">
        <f>(Raw_Stock_Data!B1081/Raw_Stock_Data!B1080)-1</f>
        <v>3.4067355494257212E-2</v>
      </c>
      <c r="C1081" s="4">
        <f>(Raw_Stock_Data!C1081/Raw_Stock_Data!C1080)-1</f>
        <v>2.1441300957897091E-2</v>
      </c>
      <c r="D1081" s="4">
        <f>(Raw_Stock_Data!D1081/Raw_Stock_Data!D1080)-1</f>
        <v>2.0431328036322416E-2</v>
      </c>
      <c r="E1081" s="4">
        <f>(Raw_Stock_Data!E1081/Raw_Stock_Data!E1080)-1</f>
        <v>8.1813931743806023E-3</v>
      </c>
      <c r="F1081" s="4">
        <f>(Raw_Stock_Data!F1081/Raw_Stock_Data!F1080)-1</f>
        <v>3.5022710972985927E-2</v>
      </c>
      <c r="G1081" s="4">
        <f>(Raw_Stock_Data!G1081/Raw_Stock_Data!G1080)-1</f>
        <v>4.6021978021977938E-2</v>
      </c>
      <c r="H1081" s="4">
        <f>(Raw_Stock_Data!H1081/Raw_Stock_Data!H1080)-1</f>
        <v>2.5733053429945141E-2</v>
      </c>
      <c r="I1081" s="4">
        <f>(Raw_Stock_Data!I1081/Raw_Stock_Data!I1080)-1</f>
        <v>3.2228778937811953E-2</v>
      </c>
      <c r="J1081" s="4">
        <f>(Raw_Stock_Data!J1081/Raw_Stock_Data!J1080)-1</f>
        <v>2.706336754689409E-2</v>
      </c>
    </row>
    <row r="1082" spans="1:10" x14ac:dyDescent="0.2">
      <c r="A1082" s="2">
        <v>45770</v>
      </c>
      <c r="B1082" s="4">
        <f>(Raw_Stock_Data!B1082/Raw_Stock_Data!B1081)-1</f>
        <v>2.4329470157089084E-2</v>
      </c>
      <c r="C1082" s="4">
        <f>(Raw_Stock_Data!C1082/Raw_Stock_Data!C1081)-1</f>
        <v>2.063682460062144E-2</v>
      </c>
      <c r="D1082" s="4">
        <f>(Raw_Stock_Data!D1082/Raw_Stock_Data!D1081)-1</f>
        <v>3.8628779451916229E-2</v>
      </c>
      <c r="E1082" s="4">
        <f>(Raw_Stock_Data!E1082/Raw_Stock_Data!E1081)-1</f>
        <v>4.7878506839786672E-2</v>
      </c>
      <c r="F1082" s="4">
        <f>(Raw_Stock_Data!F1082/Raw_Stock_Data!F1081)-1</f>
        <v>4.2845594179466318E-2</v>
      </c>
      <c r="G1082" s="4">
        <f>(Raw_Stock_Data!G1082/Raw_Stock_Data!G1081)-1</f>
        <v>5.3662226331050222E-2</v>
      </c>
      <c r="H1082" s="4">
        <f>(Raw_Stock_Data!H1082/Raw_Stock_Data!H1081)-1</f>
        <v>2.5615633458770715E-2</v>
      </c>
      <c r="I1082" s="4">
        <f>(Raw_Stock_Data!I1082/Raw_Stock_Data!I1081)-1</f>
        <v>3.9957623730710878E-2</v>
      </c>
      <c r="J1082" s="4">
        <f>(Raw_Stock_Data!J1082/Raw_Stock_Data!J1081)-1</f>
        <v>2.5007331099444086E-2</v>
      </c>
    </row>
    <row r="1083" spans="1:10" x14ac:dyDescent="0.2">
      <c r="A1083" s="2">
        <v>45771</v>
      </c>
      <c r="B1083" s="4">
        <f>(Raw_Stock_Data!B1083/Raw_Stock_Data!B1082)-1</f>
        <v>1.843042245784754E-2</v>
      </c>
      <c r="C1083" s="4">
        <f>(Raw_Stock_Data!C1083/Raw_Stock_Data!C1082)-1</f>
        <v>3.4482758620689724E-2</v>
      </c>
      <c r="D1083" s="4">
        <f>(Raw_Stock_Data!D1083/Raw_Stock_Data!D1082)-1</f>
        <v>3.621847921331911E-2</v>
      </c>
      <c r="E1083" s="4">
        <f>(Raw_Stock_Data!E1083/Raw_Stock_Data!E1082)-1</f>
        <v>4.513773647527386E-2</v>
      </c>
      <c r="F1083" s="4">
        <f>(Raw_Stock_Data!F1083/Raw_Stock_Data!F1082)-1</f>
        <v>3.2890365448504877E-2</v>
      </c>
      <c r="G1083" s="4">
        <f>(Raw_Stock_Data!G1083/Raw_Stock_Data!G1082)-1</f>
        <v>3.4976469649836472E-2</v>
      </c>
      <c r="H1083" s="4">
        <f>(Raw_Stock_Data!H1083/Raw_Stock_Data!H1082)-1</f>
        <v>2.5297714837463792E-2</v>
      </c>
      <c r="I1083" s="4">
        <f>(Raw_Stock_Data!I1083/Raw_Stock_Data!I1082)-1</f>
        <v>2.4756376496819055E-2</v>
      </c>
      <c r="J1083" s="4">
        <f>(Raw_Stock_Data!J1083/Raw_Stock_Data!J1082)-1</f>
        <v>2.7411337648618472E-2</v>
      </c>
    </row>
    <row r="1084" spans="1:10" x14ac:dyDescent="0.2">
      <c r="A1084" s="2">
        <v>45772</v>
      </c>
      <c r="B1084" s="4">
        <f>(Raw_Stock_Data!B1084/Raw_Stock_Data!B1083)-1</f>
        <v>4.3677164595974372E-3</v>
      </c>
      <c r="C1084" s="4">
        <f>(Raw_Stock_Data!C1084/Raw_Stock_Data!C1083)-1</f>
        <v>1.1747998967208906E-2</v>
      </c>
      <c r="D1084" s="4">
        <f>(Raw_Stock_Data!D1084/Raw_Stock_Data!D1083)-1</f>
        <v>4.303297942309503E-2</v>
      </c>
      <c r="E1084" s="4">
        <f>(Raw_Stock_Data!E1084/Raw_Stock_Data!E1083)-1</f>
        <v>2.3023181962527728E-2</v>
      </c>
      <c r="F1084" s="4">
        <f>(Raw_Stock_Data!F1084/Raw_Stock_Data!F1083)-1</f>
        <v>1.3133912297630612E-2</v>
      </c>
      <c r="G1084" s="4">
        <f>(Raw_Stock_Data!G1084/Raw_Stock_Data!G1083)-1</f>
        <v>9.8030904396747776E-2</v>
      </c>
      <c r="H1084" s="4">
        <f>(Raw_Stock_Data!H1084/Raw_Stock_Data!H1083)-1</f>
        <v>1.6825715720743428E-2</v>
      </c>
      <c r="I1084" s="4">
        <f>(Raw_Stock_Data!I1084/Raw_Stock_Data!I1083)-1</f>
        <v>2.6484103910719314E-2</v>
      </c>
      <c r="J1084" s="4">
        <f>(Raw_Stock_Data!J1084/Raw_Stock_Data!J1083)-1</f>
        <v>1.2635412710211513E-2</v>
      </c>
    </row>
    <row r="1085" spans="1:10" x14ac:dyDescent="0.2">
      <c r="A1085" s="2">
        <v>45775</v>
      </c>
      <c r="B1085" s="4">
        <f>(Raw_Stock_Data!B1085/Raw_Stock_Data!B1084)-1</f>
        <v>4.1089913552958546E-3</v>
      </c>
      <c r="C1085" s="4">
        <f>(Raw_Stock_Data!C1085/Raw_Stock_Data!C1084)-1</f>
        <v>-1.7608778869465658E-3</v>
      </c>
      <c r="D1085" s="4">
        <f>(Raw_Stock_Data!D1085/Raw_Stock_Data!D1084)-1</f>
        <v>-2.0538690208089405E-2</v>
      </c>
      <c r="E1085" s="4">
        <f>(Raw_Stock_Data!E1085/Raw_Stock_Data!E1084)-1</f>
        <v>-2.6385224274405594E-3</v>
      </c>
      <c r="F1085" s="4">
        <f>(Raw_Stock_Data!F1085/Raw_Stock_Data!F1084)-1</f>
        <v>-6.8257579766126675E-3</v>
      </c>
      <c r="G1085" s="4">
        <f>(Raw_Stock_Data!G1085/Raw_Stock_Data!G1084)-1</f>
        <v>3.2637304790315014E-3</v>
      </c>
      <c r="H1085" s="4">
        <f>(Raw_Stock_Data!H1085/Raw_Stock_Data!H1084)-1</f>
        <v>-8.3353914546800967E-3</v>
      </c>
      <c r="I1085" s="4">
        <f>(Raw_Stock_Data!I1085/Raw_Stock_Data!I1084)-1</f>
        <v>4.5133115281306146E-3</v>
      </c>
      <c r="J1085" s="4">
        <f>(Raw_Stock_Data!J1085/Raw_Stock_Data!J1084)-1</f>
        <v>-9.6704009793491252E-4</v>
      </c>
    </row>
    <row r="1086" spans="1:10" x14ac:dyDescent="0.2">
      <c r="A1086" s="2">
        <v>45776</v>
      </c>
      <c r="B1086" s="4">
        <f>(Raw_Stock_Data!B1086/Raw_Stock_Data!B1085)-1</f>
        <v>5.0901520360608909E-3</v>
      </c>
      <c r="C1086" s="4">
        <f>(Raw_Stock_Data!C1086/Raw_Stock_Data!C1085)-1</f>
        <v>7.3627160241334089E-3</v>
      </c>
      <c r="D1086" s="4">
        <f>(Raw_Stock_Data!D1086/Raw_Stock_Data!D1085)-1</f>
        <v>2.6671571783316583E-3</v>
      </c>
      <c r="E1086" s="4">
        <f>(Raw_Stock_Data!E1086/Raw_Stock_Data!E1085)-1</f>
        <v>-3.4235916588857274E-3</v>
      </c>
      <c r="F1086" s="4">
        <f>(Raw_Stock_Data!F1086/Raw_Stock_Data!F1085)-1</f>
        <v>-1.6515716568993311E-3</v>
      </c>
      <c r="G1086" s="4">
        <f>(Raw_Stock_Data!G1086/Raw_Stock_Data!G1085)-1</f>
        <v>2.1512522736812478E-2</v>
      </c>
      <c r="H1086" s="4">
        <f>(Raw_Stock_Data!H1086/Raw_Stock_Data!H1085)-1</f>
        <v>-2.8018180686135707E-3</v>
      </c>
      <c r="I1086" s="4">
        <f>(Raw_Stock_Data!I1086/Raw_Stock_Data!I1085)-1</f>
        <v>8.5494961254410917E-3</v>
      </c>
      <c r="J1086" s="4">
        <f>(Raw_Stock_Data!J1086/Raw_Stock_Data!J1085)-1</f>
        <v>5.4813594047722347E-3</v>
      </c>
    </row>
    <row r="1087" spans="1:10" x14ac:dyDescent="0.2">
      <c r="A1087" s="2">
        <v>45777</v>
      </c>
      <c r="B1087" s="4">
        <f>(Raw_Stock_Data!B1087/Raw_Stock_Data!B1086)-1</f>
        <v>6.1095538980473485E-3</v>
      </c>
      <c r="C1087" s="4">
        <f>(Raw_Stock_Data!C1087/Raw_Stock_Data!C1086)-1</f>
        <v>3.0961323723479595E-3</v>
      </c>
      <c r="D1087" s="4">
        <f>(Raw_Stock_Data!D1087/Raw_Stock_Data!D1086)-1</f>
        <v>-9.1726288754356844E-4</v>
      </c>
      <c r="E1087" s="4">
        <f>(Raw_Stock_Data!E1087/Raw_Stock_Data!E1086)-1</f>
        <v>1.3429106808244828E-2</v>
      </c>
      <c r="F1087" s="4">
        <f>(Raw_Stock_Data!F1087/Raw_Stock_Data!F1086)-1</f>
        <v>-1.5849298254976274E-2</v>
      </c>
      <c r="G1087" s="4">
        <f>(Raw_Stock_Data!G1087/Raw_Stock_Data!G1086)-1</f>
        <v>-3.3797897476286476E-2</v>
      </c>
      <c r="H1087" s="4">
        <f>(Raw_Stock_Data!H1087/Raw_Stock_Data!H1086)-1</f>
        <v>-8.4915084915083705E-3</v>
      </c>
      <c r="I1087" s="4">
        <f>(Raw_Stock_Data!I1087/Raw_Stock_Data!I1086)-1</f>
        <v>-9.8117018974100967E-3</v>
      </c>
      <c r="J1087" s="4">
        <f>(Raw_Stock_Data!J1087/Raw_Stock_Data!J1086)-1</f>
        <v>-8.5789619570564302E-4</v>
      </c>
    </row>
    <row r="1088" spans="1:10" x14ac:dyDescent="0.2">
      <c r="A1088" s="2">
        <v>45778</v>
      </c>
      <c r="B1088" s="4">
        <f>(Raw_Stock_Data!B1088/Raw_Stock_Data!B1087)-1</f>
        <v>3.8578498035659603E-3</v>
      </c>
      <c r="C1088" s="4">
        <f>(Raw_Stock_Data!C1088/Raw_Stock_Data!C1087)-1</f>
        <v>7.6253605221879184E-2</v>
      </c>
      <c r="D1088" s="4">
        <f>(Raw_Stock_Data!D1088/Raw_Stock_Data!D1087)-1</f>
        <v>2.4697025339698753E-2</v>
      </c>
      <c r="E1088" s="4">
        <f>(Raw_Stock_Data!E1088/Raw_Stock_Data!E1087)-1</f>
        <v>-7.1905495634307925E-3</v>
      </c>
      <c r="F1088" s="4">
        <f>(Raw_Stock_Data!F1088/Raw_Stock_Data!F1087)-1</f>
        <v>3.1341503090771106E-2</v>
      </c>
      <c r="G1088" s="4">
        <f>(Raw_Stock_Data!G1088/Raw_Stock_Data!G1087)-1</f>
        <v>-5.8123050751348604E-3</v>
      </c>
      <c r="H1088" s="4">
        <f>(Raw_Stock_Data!H1088/Raw_Stock_Data!H1087)-1</f>
        <v>1.5743073047858935E-2</v>
      </c>
      <c r="I1088" s="4">
        <f>(Raw_Stock_Data!I1088/Raw_Stock_Data!I1087)-1</f>
        <v>4.2276867030965448E-2</v>
      </c>
      <c r="J1088" s="4">
        <f>(Raw_Stock_Data!J1088/Raw_Stock_Data!J1087)-1</f>
        <v>1.5155041114640833E-2</v>
      </c>
    </row>
    <row r="1089" spans="1:10" x14ac:dyDescent="0.2">
      <c r="A1089" s="2">
        <v>45779</v>
      </c>
      <c r="B1089" s="4">
        <f>(Raw_Stock_Data!B1089/Raw_Stock_Data!B1088)-1</f>
        <v>-3.7357768129712587E-2</v>
      </c>
      <c r="C1089" s="4">
        <f>(Raw_Stock_Data!C1089/Raw_Stock_Data!C1088)-1</f>
        <v>2.322519981194171E-2</v>
      </c>
      <c r="D1089" s="4">
        <f>(Raw_Stock_Data!D1089/Raw_Stock_Data!D1088)-1</f>
        <v>2.5893737120329829E-2</v>
      </c>
      <c r="E1089" s="4">
        <f>(Raw_Stock_Data!E1089/Raw_Stock_Data!E1088)-1</f>
        <v>2.224521469218832E-2</v>
      </c>
      <c r="F1089" s="4">
        <f>(Raw_Stock_Data!F1089/Raw_Stock_Data!F1088)-1</f>
        <v>-1.1566771819138122E-3</v>
      </c>
      <c r="G1089" s="4">
        <f>(Raw_Stock_Data!G1089/Raw_Stock_Data!G1088)-1</f>
        <v>2.3848566947098249E-2</v>
      </c>
      <c r="H1089" s="4">
        <f>(Raw_Stock_Data!H1089/Raw_Stock_Data!H1088)-1</f>
        <v>1.6924984500929829E-2</v>
      </c>
      <c r="I1089" s="4">
        <f>(Raw_Stock_Data!I1089/Raw_Stock_Data!I1088)-1</f>
        <v>4.335820765103704E-2</v>
      </c>
      <c r="J1089" s="4">
        <f>(Raw_Stock_Data!J1089/Raw_Stock_Data!J1088)-1</f>
        <v>1.5075033567202523E-2</v>
      </c>
    </row>
    <row r="1090" spans="1:10" x14ac:dyDescent="0.2">
      <c r="A1090" s="2">
        <v>45782</v>
      </c>
      <c r="B1090" s="4">
        <f>(Raw_Stock_Data!B1090/Raw_Stock_Data!B1089)-1</f>
        <v>-3.1458434114663536E-2</v>
      </c>
      <c r="C1090" s="4">
        <f>(Raw_Stock_Data!C1090/Raw_Stock_Data!C1089)-1</f>
        <v>2.0446609079214362E-3</v>
      </c>
      <c r="D1090" s="4">
        <f>(Raw_Stock_Data!D1090/Raw_Stock_Data!D1089)-1</f>
        <v>-5.9388646288209834E-3</v>
      </c>
      <c r="E1090" s="4">
        <f>(Raw_Stock_Data!E1090/Raw_Stock_Data!E1089)-1</f>
        <v>1.8117408906882737E-2</v>
      </c>
      <c r="F1090" s="4">
        <f>(Raw_Stock_Data!F1090/Raw_Stock_Data!F1089)-1</f>
        <v>-1.9107274449942091E-2</v>
      </c>
      <c r="G1090" s="4">
        <f>(Raw_Stock_Data!G1090/Raw_Stock_Data!G1089)-1</f>
        <v>-2.4198321785453114E-2</v>
      </c>
      <c r="H1090" s="4">
        <f>(Raw_Stock_Data!H1090/Raw_Stock_Data!H1089)-1</f>
        <v>1.0973602389807713E-3</v>
      </c>
      <c r="I1090" s="4">
        <f>(Raw_Stock_Data!I1090/Raw_Stock_Data!I1089)-1</f>
        <v>3.7687179658973946E-3</v>
      </c>
      <c r="J1090" s="4">
        <f>(Raw_Stock_Data!J1090/Raw_Stock_Data!J1089)-1</f>
        <v>-7.4252978546233139E-3</v>
      </c>
    </row>
    <row r="1091" spans="1:10" x14ac:dyDescent="0.2">
      <c r="A1091" s="2">
        <v>45783</v>
      </c>
      <c r="B1091" s="4">
        <f>(Raw_Stock_Data!B1091/Raw_Stock_Data!B1090)-1</f>
        <v>-1.9171295525520771E-3</v>
      </c>
      <c r="C1091" s="4">
        <f>(Raw_Stock_Data!C1091/Raw_Stock_Data!C1090)-1</f>
        <v>-6.5570763693055811E-3</v>
      </c>
      <c r="D1091" s="4">
        <f>(Raw_Stock_Data!D1091/Raw_Stock_Data!D1090)-1</f>
        <v>-2.4600246002458581E-3</v>
      </c>
      <c r="E1091" s="4">
        <f>(Raw_Stock_Data!E1091/Raw_Stock_Data!E1090)-1</f>
        <v>-1.9584451734764863E-2</v>
      </c>
      <c r="F1091" s="4">
        <f>(Raw_Stock_Data!F1091/Raw_Stock_Data!F1090)-1</f>
        <v>-7.1907700563456078E-3</v>
      </c>
      <c r="G1091" s="4">
        <f>(Raw_Stock_Data!G1091/Raw_Stock_Data!G1090)-1</f>
        <v>-1.7519446228501989E-2</v>
      </c>
      <c r="H1091" s="4">
        <f>(Raw_Stock_Data!H1091/Raw_Stock_Data!H1090)-1</f>
        <v>-5.9679678460509145E-3</v>
      </c>
      <c r="I1091" s="4">
        <f>(Raw_Stock_Data!I1091/Raw_Stock_Data!I1090)-1</f>
        <v>-1.9957615098369796E-2</v>
      </c>
      <c r="J1091" s="4">
        <f>(Raw_Stock_Data!J1091/Raw_Stock_Data!J1090)-1</f>
        <v>-8.6627393489440152E-3</v>
      </c>
    </row>
    <row r="1092" spans="1:10" x14ac:dyDescent="0.2">
      <c r="A1092" s="2">
        <v>45784</v>
      </c>
      <c r="B1092" s="4">
        <f>(Raw_Stock_Data!B1092/Raw_Stock_Data!B1091)-1</f>
        <v>-1.1383338472347959E-2</v>
      </c>
      <c r="C1092" s="4">
        <f>(Raw_Stock_Data!C1092/Raw_Stock_Data!C1091)-1</f>
        <v>9.2312662989701977E-5</v>
      </c>
      <c r="D1092" s="4">
        <f>(Raw_Stock_Data!D1092/Raw_Stock_Data!D1091)-1</f>
        <v>3.1002289941870709E-2</v>
      </c>
      <c r="E1092" s="4">
        <f>(Raw_Stock_Data!E1092/Raw_Stock_Data!E1091)-1</f>
        <v>1.7643480024335689E-2</v>
      </c>
      <c r="F1092" s="4">
        <f>(Raw_Stock_Data!F1092/Raw_Stock_Data!F1091)-1</f>
        <v>1.999891897735262E-2</v>
      </c>
      <c r="G1092" s="4">
        <f>(Raw_Stock_Data!G1092/Raw_Stock_Data!G1091)-1</f>
        <v>3.1596150354094021E-3</v>
      </c>
      <c r="H1092" s="4">
        <f>(Raw_Stock_Data!H1092/Raw_Stock_Data!H1091)-1</f>
        <v>-7.2596949090240726E-2</v>
      </c>
      <c r="I1092" s="4">
        <f>(Raw_Stock_Data!I1092/Raw_Stock_Data!I1091)-1</f>
        <v>1.6175443973370118E-2</v>
      </c>
      <c r="J1092" s="4">
        <f>(Raw_Stock_Data!J1092/Raw_Stock_Data!J1091)-1</f>
        <v>2.741714651383953E-3</v>
      </c>
    </row>
    <row r="1093" spans="1:10" x14ac:dyDescent="0.2">
      <c r="A1093" s="2">
        <v>45785</v>
      </c>
      <c r="B1093" s="4">
        <f>(Raw_Stock_Data!B1093/Raw_Stock_Data!B1092)-1</f>
        <v>6.3145193040223813E-3</v>
      </c>
      <c r="C1093" s="4">
        <f>(Raw_Stock_Data!C1093/Raw_Stock_Data!C1092)-1</f>
        <v>1.1122649128879614E-2</v>
      </c>
      <c r="D1093" s="4">
        <f>(Raw_Stock_Data!D1093/Raw_Stock_Data!D1092)-1</f>
        <v>2.6482145908082177E-3</v>
      </c>
      <c r="E1093" s="4">
        <f>(Raw_Stock_Data!E1093/Raw_Stock_Data!E1092)-1</f>
        <v>1.3351933041052311E-2</v>
      </c>
      <c r="F1093" s="4">
        <f>(Raw_Stock_Data!F1093/Raw_Stock_Data!F1092)-1</f>
        <v>1.7858089131471688E-2</v>
      </c>
      <c r="G1093" s="4">
        <f>(Raw_Stock_Data!G1093/Raw_Stock_Data!G1092)-1</f>
        <v>3.1134602852798343E-2</v>
      </c>
      <c r="H1093" s="4">
        <f>(Raw_Stock_Data!H1093/Raw_Stock_Data!H1092)-1</f>
        <v>1.9157088122605304E-2</v>
      </c>
      <c r="I1093" s="4">
        <f>(Raw_Stock_Data!I1093/Raw_Stock_Data!I1092)-1</f>
        <v>2.0106901694008084E-3</v>
      </c>
      <c r="J1093" s="4">
        <f>(Raw_Stock_Data!J1093/Raw_Stock_Data!J1092)-1</f>
        <v>1.0710242776026391E-2</v>
      </c>
    </row>
    <row r="1094" spans="1:10" x14ac:dyDescent="0.2">
      <c r="A1094" s="2">
        <v>45786</v>
      </c>
      <c r="B1094" s="4">
        <f>(Raw_Stock_Data!B1094/Raw_Stock_Data!B1093)-1</f>
        <v>5.2688805788148052E-3</v>
      </c>
      <c r="C1094" s="4">
        <f>(Raw_Stock_Data!C1094/Raw_Stock_Data!C1093)-1</f>
        <v>1.2780427687884011E-3</v>
      </c>
      <c r="D1094" s="4">
        <f>(Raw_Stock_Data!D1094/Raw_Stock_Data!D1093)-1</f>
        <v>-6.1344466217942983E-3</v>
      </c>
      <c r="E1094" s="4">
        <f>(Raw_Stock_Data!E1094/Raw_Stock_Data!E1093)-1</f>
        <v>1.1209439528023557E-2</v>
      </c>
      <c r="F1094" s="4">
        <f>(Raw_Stock_Data!F1094/Raw_Stock_Data!F1093)-1</f>
        <v>5.1020408163264808E-3</v>
      </c>
      <c r="G1094" s="4">
        <f>(Raw_Stock_Data!G1094/Raw_Stock_Data!G1093)-1</f>
        <v>4.7187697493153546E-2</v>
      </c>
      <c r="H1094" s="4">
        <f>(Raw_Stock_Data!H1094/Raw_Stock_Data!H1093)-1</f>
        <v>-9.9170339642209449E-3</v>
      </c>
      <c r="I1094" s="4">
        <f>(Raw_Stock_Data!I1094/Raw_Stock_Data!I1093)-1</f>
        <v>-9.2306148726609694E-3</v>
      </c>
      <c r="J1094" s="4">
        <f>(Raw_Stock_Data!J1094/Raw_Stock_Data!J1093)-1</f>
        <v>4.3507023037570036E-5</v>
      </c>
    </row>
    <row r="1095" spans="1:10" x14ac:dyDescent="0.2">
      <c r="A1095" s="2">
        <v>45789</v>
      </c>
      <c r="B1095" s="4">
        <f>(Raw_Stock_Data!B1095/Raw_Stock_Data!B1094)-1</f>
        <v>6.314789262735454E-2</v>
      </c>
      <c r="C1095" s="4">
        <f>(Raw_Stock_Data!C1095/Raw_Stock_Data!C1094)-1</f>
        <v>2.4001094066965933E-2</v>
      </c>
      <c r="D1095" s="4">
        <f>(Raw_Stock_Data!D1095/Raw_Stock_Data!D1094)-1</f>
        <v>5.4436348049721417E-2</v>
      </c>
      <c r="E1095" s="4">
        <f>(Raw_Stock_Data!E1095/Raw_Stock_Data!E1094)-1</f>
        <v>5.134189031505243E-2</v>
      </c>
      <c r="F1095" s="4">
        <f>(Raw_Stock_Data!F1095/Raw_Stock_Data!F1094)-1</f>
        <v>8.0700300424738414E-2</v>
      </c>
      <c r="G1095" s="4">
        <f>(Raw_Stock_Data!G1095/Raw_Stock_Data!G1094)-1</f>
        <v>6.7457922617850219E-2</v>
      </c>
      <c r="H1095" s="4">
        <f>(Raw_Stock_Data!H1095/Raw_Stock_Data!H1094)-1</f>
        <v>3.7381342062193124E-2</v>
      </c>
      <c r="I1095" s="4">
        <f>(Raw_Stock_Data!I1095/Raw_Stock_Data!I1094)-1</f>
        <v>7.9224965822207949E-2</v>
      </c>
      <c r="J1095" s="4">
        <f>(Raw_Stock_Data!J1095/Raw_Stock_Data!J1094)-1</f>
        <v>4.3472780290168211E-2</v>
      </c>
    </row>
    <row r="1096" spans="1:10" x14ac:dyDescent="0.2">
      <c r="A1096" s="2">
        <v>45790</v>
      </c>
      <c r="B1096" s="4">
        <f>(Raw_Stock_Data!B1096/Raw_Stock_Data!B1095)-1</f>
        <v>1.0154649222475332E-2</v>
      </c>
      <c r="C1096" s="4">
        <f>(Raw_Stock_Data!C1096/Raw_Stock_Data!C1095)-1</f>
        <v>-2.6710590749234875E-4</v>
      </c>
      <c r="D1096" s="4">
        <f>(Raw_Stock_Data!D1096/Raw_Stock_Data!D1095)-1</f>
        <v>5.6341463414634196E-2</v>
      </c>
      <c r="E1096" s="4">
        <f>(Raw_Stock_Data!E1096/Raw_Stock_Data!E1095)-1</f>
        <v>4.0140584535701018E-2</v>
      </c>
      <c r="F1096" s="4">
        <f>(Raw_Stock_Data!F1096/Raw_Stock_Data!F1095)-1</f>
        <v>1.3084739263803824E-2</v>
      </c>
      <c r="G1096" s="4">
        <f>(Raw_Stock_Data!G1096/Raw_Stock_Data!G1095)-1</f>
        <v>4.9280733714429203E-2</v>
      </c>
      <c r="H1096" s="4">
        <f>(Raw_Stock_Data!H1096/Raw_Stock_Data!H1095)-1</f>
        <v>6.7524927426478865E-3</v>
      </c>
      <c r="I1096" s="4">
        <f>(Raw_Stock_Data!I1096/Raw_Stock_Data!I1095)-1</f>
        <v>2.5960621178236831E-2</v>
      </c>
      <c r="J1096" s="4">
        <f>(Raw_Stock_Data!J1096/Raw_Stock_Data!J1095)-1</f>
        <v>1.6128635677991721E-2</v>
      </c>
    </row>
    <row r="1097" spans="1:10" x14ac:dyDescent="0.2">
      <c r="A1097" s="2">
        <v>45791</v>
      </c>
      <c r="B1097" s="4">
        <f>(Raw_Stock_Data!B1097/Raw_Stock_Data!B1096)-1</f>
        <v>-2.8190490533360757E-3</v>
      </c>
      <c r="C1097" s="4">
        <f>(Raw_Stock_Data!C1097/Raw_Stock_Data!C1096)-1</f>
        <v>8.4606136171350155E-3</v>
      </c>
      <c r="D1097" s="4">
        <f>(Raw_Stock_Data!D1097/Raw_Stock_Data!D1096)-1</f>
        <v>4.1637804971907943E-2</v>
      </c>
      <c r="E1097" s="4">
        <f>(Raw_Stock_Data!E1097/Raw_Stock_Data!E1096)-1</f>
        <v>4.6772185666014598E-2</v>
      </c>
      <c r="F1097" s="4">
        <f>(Raw_Stock_Data!F1097/Raw_Stock_Data!F1096)-1</f>
        <v>-5.2987651984671702E-3</v>
      </c>
      <c r="G1097" s="4">
        <f>(Raw_Stock_Data!G1097/Raw_Stock_Data!G1096)-1</f>
        <v>4.0739964678061513E-2</v>
      </c>
      <c r="H1097" s="4">
        <f>(Raw_Stock_Data!H1097/Raw_Stock_Data!H1096)-1</f>
        <v>3.6607534632984384E-2</v>
      </c>
      <c r="I1097" s="4">
        <f>(Raw_Stock_Data!I1097/Raw_Stock_Data!I1096)-1</f>
        <v>5.0759873786261345E-3</v>
      </c>
      <c r="J1097" s="4">
        <f>(Raw_Stock_Data!J1097/Raw_Stock_Data!J1096)-1</f>
        <v>7.1924999789585442E-3</v>
      </c>
    </row>
    <row r="1098" spans="1:10" x14ac:dyDescent="0.2">
      <c r="A1098" s="2">
        <v>45792</v>
      </c>
      <c r="B1098" s="4">
        <f>(Raw_Stock_Data!B1098/Raw_Stock_Data!B1097)-1</f>
        <v>-4.1484963470578284E-3</v>
      </c>
      <c r="C1098" s="4">
        <f>(Raw_Stock_Data!C1098/Raw_Stock_Data!C1097)-1</f>
        <v>4.1948160904303755E-4</v>
      </c>
      <c r="D1098" s="4">
        <f>(Raw_Stock_Data!D1098/Raw_Stock_Data!D1097)-1</f>
        <v>-3.7682872764888131E-3</v>
      </c>
      <c r="E1098" s="4">
        <f>(Raw_Stock_Data!E1098/Raw_Stock_Data!E1097)-1</f>
        <v>-2.3190621814475065E-2</v>
      </c>
      <c r="F1098" s="4">
        <f>(Raw_Stock_Data!F1098/Raw_Stock_Data!F1097)-1</f>
        <v>-2.4161712247324663E-2</v>
      </c>
      <c r="G1098" s="4">
        <f>(Raw_Stock_Data!G1098/Raw_Stock_Data!G1097)-1</f>
        <v>-1.3978370915784688E-2</v>
      </c>
      <c r="H1098" s="4">
        <f>(Raw_Stock_Data!H1098/Raw_Stock_Data!H1097)-1</f>
        <v>-8.5263348854084375E-3</v>
      </c>
      <c r="I1098" s="4">
        <f>(Raw_Stock_Data!I1098/Raw_Stock_Data!I1097)-1</f>
        <v>-2.347731133220099E-2</v>
      </c>
      <c r="J1098" s="4">
        <f>(Raw_Stock_Data!J1098/Raw_Stock_Data!J1097)-1</f>
        <v>-1.8013444537237078E-3</v>
      </c>
    </row>
    <row r="1099" spans="1:10" x14ac:dyDescent="0.2">
      <c r="A1099" s="2">
        <v>45793</v>
      </c>
      <c r="B1099" s="4">
        <f>(Raw_Stock_Data!B1099/Raw_Stock_Data!B1098)-1</f>
        <v>-8.9097414753203097E-4</v>
      </c>
      <c r="C1099" s="4">
        <f>(Raw_Stock_Data!C1099/Raw_Stock_Data!C1098)-1</f>
        <v>2.5158343080351475E-3</v>
      </c>
      <c r="D1099" s="4">
        <f>(Raw_Stock_Data!D1099/Raw_Stock_Data!D1098)-1</f>
        <v>4.2275457984126685E-3</v>
      </c>
      <c r="E1099" s="4">
        <f>(Raw_Stock_Data!E1099/Raw_Stock_Data!E1098)-1</f>
        <v>1.8958170275676256E-2</v>
      </c>
      <c r="F1099" s="4">
        <f>(Raw_Stock_Data!F1099/Raw_Stock_Data!F1098)-1</f>
        <v>2.0470829068577334E-3</v>
      </c>
      <c r="G1099" s="4">
        <f>(Raw_Stock_Data!G1099/Raw_Stock_Data!G1098)-1</f>
        <v>2.0885595939560186E-2</v>
      </c>
      <c r="H1099" s="4">
        <f>(Raw_Stock_Data!H1099/Raw_Stock_Data!H1098)-1</f>
        <v>1.3600878262990834E-2</v>
      </c>
      <c r="I1099" s="4">
        <f>(Raw_Stock_Data!I1099/Raw_Stock_Data!I1098)-1</f>
        <v>-5.4979188668695667E-3</v>
      </c>
      <c r="J1099" s="4">
        <f>(Raw_Stock_Data!J1099/Raw_Stock_Data!J1098)-1</f>
        <v>5.1683939992632766E-3</v>
      </c>
    </row>
    <row r="1100" spans="1:10" x14ac:dyDescent="0.2">
      <c r="A1100" s="2">
        <v>45796</v>
      </c>
      <c r="B1100" s="4">
        <f>(Raw_Stock_Data!B1100/Raw_Stock_Data!B1099)-1</f>
        <v>-1.1744783390333802E-2</v>
      </c>
      <c r="C1100" s="4">
        <f>(Raw_Stock_Data!C1100/Raw_Stock_Data!C1099)-1</f>
        <v>1.0126136438681987E-2</v>
      </c>
      <c r="D1100" s="4">
        <f>(Raw_Stock_Data!D1100/Raw_Stock_Data!D1099)-1</f>
        <v>1.2555391432791385E-3</v>
      </c>
      <c r="E1100" s="4">
        <f>(Raw_Stock_Data!E1100/Raw_Stock_Data!E1099)-1</f>
        <v>-2.0739097038491194E-2</v>
      </c>
      <c r="F1100" s="4">
        <f>(Raw_Stock_Data!F1100/Raw_Stock_Data!F1099)-1</f>
        <v>2.7725083904859282E-3</v>
      </c>
      <c r="G1100" s="4">
        <f>(Raw_Stock_Data!G1100/Raw_Stock_Data!G1099)-1</f>
        <v>-2.2544145379736147E-2</v>
      </c>
      <c r="H1100" s="4">
        <f>(Raw_Stock_Data!H1100/Raw_Stock_Data!H1099)-1</f>
        <v>2.1060232264276113E-3</v>
      </c>
      <c r="I1100" s="4">
        <f>(Raw_Stock_Data!I1100/Raw_Stock_Data!I1099)-1</f>
        <v>1.4055033263571381E-4</v>
      </c>
      <c r="J1100" s="4">
        <f>(Raw_Stock_Data!J1100/Raw_Stock_Data!J1099)-1</f>
        <v>2.269521266351493E-4</v>
      </c>
    </row>
    <row r="1101" spans="1:10" x14ac:dyDescent="0.2">
      <c r="A1101" s="2">
        <v>45797</v>
      </c>
      <c r="B1101" s="4">
        <f>(Raw_Stock_Data!B1101/Raw_Stock_Data!B1100)-1</f>
        <v>-9.1964615702142538E-3</v>
      </c>
      <c r="C1101" s="4">
        <f>(Raw_Stock_Data!C1101/Raw_Stock_Data!C1100)-1</f>
        <v>-1.5254865212369628E-3</v>
      </c>
      <c r="D1101" s="4">
        <f>(Raw_Stock_Data!D1101/Raw_Stock_Data!D1100)-1</f>
        <v>-8.7777531902337724E-3</v>
      </c>
      <c r="E1101" s="4">
        <f>(Raw_Stock_Data!E1101/Raw_Stock_Data!E1100)-1</f>
        <v>-1.0719888443437298E-2</v>
      </c>
      <c r="F1101" s="4">
        <f>(Raw_Stock_Data!F1101/Raw_Stock_Data!F1100)-1</f>
        <v>-1.013775708187814E-2</v>
      </c>
      <c r="G1101" s="4">
        <f>(Raw_Stock_Data!G1101/Raw_Stock_Data!G1100)-1</f>
        <v>5.0571487035575569E-3</v>
      </c>
      <c r="H1101" s="4">
        <f>(Raw_Stock_Data!H1101/Raw_Stock_Data!H1100)-1</f>
        <v>-1.5371682478683812E-2</v>
      </c>
      <c r="I1101" s="4">
        <f>(Raw_Stock_Data!I1101/Raw_Stock_Data!I1100)-1</f>
        <v>-5.1996314975873981E-3</v>
      </c>
      <c r="J1101" s="4">
        <f>(Raw_Stock_Data!J1101/Raw_Stock_Data!J1100)-1</f>
        <v>-3.786013970001223E-3</v>
      </c>
    </row>
    <row r="1102" spans="1:10" x14ac:dyDescent="0.2">
      <c r="A1102" s="2">
        <v>45798</v>
      </c>
      <c r="B1102" s="4">
        <f>(Raw_Stock_Data!B1102/Raw_Stock_Data!B1101)-1</f>
        <v>-2.3054378103427475E-2</v>
      </c>
      <c r="C1102" s="4">
        <f>(Raw_Stock_Data!C1102/Raw_Stock_Data!C1101)-1</f>
        <v>-1.2222537486086038E-2</v>
      </c>
      <c r="D1102" s="4">
        <f>(Raw_Stock_Data!D1102/Raw_Stock_Data!D1101)-1</f>
        <v>-1.9199285607977234E-2</v>
      </c>
      <c r="E1102" s="4">
        <f>(Raw_Stock_Data!E1102/Raw_Stock_Data!E1101)-1</f>
        <v>-1.2774204915866449E-2</v>
      </c>
      <c r="F1102" s="4">
        <f>(Raw_Stock_Data!F1102/Raw_Stock_Data!F1101)-1</f>
        <v>-1.4455823981966875E-2</v>
      </c>
      <c r="G1102" s="4">
        <f>(Raw_Stock_Data!G1102/Raw_Stock_Data!G1101)-1</f>
        <v>-2.675818742365188E-2</v>
      </c>
      <c r="H1102" s="4">
        <f>(Raw_Stock_Data!H1102/Raw_Stock_Data!H1101)-1</f>
        <v>2.7930235394560299E-2</v>
      </c>
      <c r="I1102" s="4">
        <f>(Raw_Stock_Data!I1102/Raw_Stock_Data!I1101)-1</f>
        <v>-2.511379689216775E-3</v>
      </c>
      <c r="J1102" s="4">
        <f>(Raw_Stock_Data!J1102/Raw_Stock_Data!J1101)-1</f>
        <v>-1.4108242772313817E-2</v>
      </c>
    </row>
    <row r="1103" spans="1:10" x14ac:dyDescent="0.2">
      <c r="A1103" s="2">
        <v>45799</v>
      </c>
      <c r="B1103" s="4">
        <f>(Raw_Stock_Data!B1103/Raw_Stock_Data!B1102)-1</f>
        <v>-3.614887983100723E-3</v>
      </c>
      <c r="C1103" s="4">
        <f>(Raw_Stock_Data!C1103/Raw_Stock_Data!C1102)-1</f>
        <v>5.059990719667784E-3</v>
      </c>
      <c r="D1103" s="4">
        <f>(Raw_Stock_Data!D1103/Raw_Stock_Data!D1102)-1</f>
        <v>7.8148710166918711E-3</v>
      </c>
      <c r="E1103" s="4">
        <f>(Raw_Stock_Data!E1103/Raw_Stock_Data!E1102)-1</f>
        <v>-1.2047117615563208E-2</v>
      </c>
      <c r="F1103" s="4">
        <f>(Raw_Stock_Data!F1103/Raw_Stock_Data!F1102)-1</f>
        <v>9.8448687350833897E-3</v>
      </c>
      <c r="G1103" s="4">
        <f>(Raw_Stock_Data!G1103/Raw_Stock_Data!G1102)-1</f>
        <v>1.9185942262865296E-2</v>
      </c>
      <c r="H1103" s="4">
        <f>(Raw_Stock_Data!H1103/Raw_Stock_Data!H1102)-1</f>
        <v>1.3704318936877069E-2</v>
      </c>
      <c r="I1103" s="4">
        <f>(Raw_Stock_Data!I1103/Raw_Stock_Data!I1102)-1</f>
        <v>1.6837136113296847E-3</v>
      </c>
      <c r="J1103" s="4">
        <f>(Raw_Stock_Data!J1103/Raw_Stock_Data!J1102)-1</f>
        <v>2.8130669583057433E-3</v>
      </c>
    </row>
    <row r="1104" spans="1:10" x14ac:dyDescent="0.2">
      <c r="A1104" s="2">
        <v>45800</v>
      </c>
      <c r="B1104" s="4">
        <f>(Raw_Stock_Data!B1104/Raw_Stock_Data!B1103)-1</f>
        <v>-3.0243310092217923E-2</v>
      </c>
      <c r="C1104" s="4">
        <f>(Raw_Stock_Data!C1104/Raw_Stock_Data!C1103)-1</f>
        <v>-1.0288880094974306E-2</v>
      </c>
      <c r="D1104" s="4">
        <f>(Raw_Stock_Data!D1104/Raw_Stock_Data!D1103)-1</f>
        <v>-1.1593766468418476E-2</v>
      </c>
      <c r="E1104" s="4">
        <f>(Raw_Stock_Data!E1104/Raw_Stock_Data!E1103)-1</f>
        <v>-3.6130430855386697E-3</v>
      </c>
      <c r="F1104" s="4">
        <f>(Raw_Stock_Data!F1104/Raw_Stock_Data!F1103)-1</f>
        <v>-1.0388970950270693E-2</v>
      </c>
      <c r="G1104" s="4">
        <f>(Raw_Stock_Data!G1104/Raw_Stock_Data!G1103)-1</f>
        <v>-4.9847525216984989E-3</v>
      </c>
      <c r="H1104" s="4">
        <f>(Raw_Stock_Data!H1104/Raw_Stock_Data!H1103)-1</f>
        <v>-1.4045765786855569E-2</v>
      </c>
      <c r="I1104" s="4">
        <f>(Raw_Stock_Data!I1104/Raw_Stock_Data!I1103)-1</f>
        <v>-1.4939441066968429E-2</v>
      </c>
      <c r="J1104" s="4">
        <f>(Raw_Stock_Data!J1104/Raw_Stock_Data!J1103)-1</f>
        <v>-9.9610424538446596E-3</v>
      </c>
    </row>
    <row r="1105" spans="1:10" x14ac:dyDescent="0.2">
      <c r="A1105" s="2">
        <v>45804</v>
      </c>
      <c r="B1105" s="4">
        <f>(Raw_Stock_Data!B1105/Raw_Stock_Data!B1104)-1</f>
        <v>2.5295083649799821E-2</v>
      </c>
      <c r="C1105" s="4">
        <f>(Raw_Stock_Data!C1105/Raw_Stock_Data!C1104)-1</f>
        <v>2.334621706872797E-2</v>
      </c>
      <c r="D1105" s="4">
        <f>(Raw_Stock_Data!D1105/Raw_Stock_Data!D1104)-1</f>
        <v>3.2066417853606533E-2</v>
      </c>
      <c r="E1105" s="4">
        <f>(Raw_Stock_Data!E1105/Raw_Stock_Data!E1104)-1</f>
        <v>3.8527785332245434E-2</v>
      </c>
      <c r="F1105" s="4">
        <f>(Raw_Stock_Data!F1105/Raw_Stock_Data!F1104)-1</f>
        <v>2.5026120702522414E-2</v>
      </c>
      <c r="G1105" s="4">
        <f>(Raw_Stock_Data!G1105/Raw_Stock_Data!G1104)-1</f>
        <v>6.9399422408204181E-2</v>
      </c>
      <c r="H1105" s="4">
        <f>(Raw_Stock_Data!H1105/Raw_Stock_Data!H1104)-1</f>
        <v>2.6295482875289489E-2</v>
      </c>
      <c r="I1105" s="4">
        <f>(Raw_Stock_Data!I1105/Raw_Stock_Data!I1104)-1</f>
        <v>2.4335789238669525E-2</v>
      </c>
      <c r="J1105" s="4">
        <f>(Raw_Stock_Data!J1105/Raw_Stock_Data!J1104)-1</f>
        <v>2.4654150751366011E-2</v>
      </c>
    </row>
    <row r="1106" spans="1:10" x14ac:dyDescent="0.2">
      <c r="A1106" s="2">
        <v>45805</v>
      </c>
      <c r="B1106" s="4">
        <f>(Raw_Stock_Data!B1106/Raw_Stock_Data!B1105)-1</f>
        <v>1.0511089199105594E-3</v>
      </c>
      <c r="C1106" s="4">
        <f>(Raw_Stock_Data!C1106/Raw_Stock_Data!C1105)-1</f>
        <v>-7.2282880027784158E-3</v>
      </c>
      <c r="D1106" s="4">
        <f>(Raw_Stock_Data!D1106/Raw_Stock_Data!D1105)-1</f>
        <v>-5.0922509225092005E-3</v>
      </c>
      <c r="E1106" s="4">
        <f>(Raw_Stock_Data!E1106/Raw_Stock_Data!E1105)-1</f>
        <v>-1.4839385474860411E-2</v>
      </c>
      <c r="F1106" s="4">
        <f>(Raw_Stock_Data!F1106/Raw_Stock_Data!F1105)-1</f>
        <v>-6.3100669837879986E-3</v>
      </c>
      <c r="G1106" s="4">
        <f>(Raw_Stock_Data!G1106/Raw_Stock_Data!G1105)-1</f>
        <v>-1.6506379343602773E-2</v>
      </c>
      <c r="H1106" s="4">
        <f>(Raw_Stock_Data!H1106/Raw_Stock_Data!H1105)-1</f>
        <v>-3.1231925968767671E-3</v>
      </c>
      <c r="I1106" s="4">
        <f>(Raw_Stock_Data!I1106/Raw_Stock_Data!I1105)-1</f>
        <v>1.9616390584131782E-3</v>
      </c>
      <c r="J1106" s="4">
        <f>(Raw_Stock_Data!J1106/Raw_Stock_Data!J1105)-1</f>
        <v>-5.115848818385893E-3</v>
      </c>
    </row>
    <row r="1107" spans="1:10" x14ac:dyDescent="0.2">
      <c r="A1107" s="2">
        <v>45806</v>
      </c>
      <c r="B1107" s="4">
        <f>(Raw_Stock_Data!B1107/Raw_Stock_Data!B1106)-1</f>
        <v>-2.3450117250586322E-3</v>
      </c>
      <c r="C1107" s="4">
        <f>(Raw_Stock_Data!C1107/Raw_Stock_Data!C1106)-1</f>
        <v>2.8861290886827984E-3</v>
      </c>
      <c r="D1107" s="4">
        <f>(Raw_Stock_Data!D1107/Raw_Stock_Data!D1106)-1</f>
        <v>3.2490171352273611E-2</v>
      </c>
      <c r="E1107" s="4">
        <f>(Raw_Stock_Data!E1107/Raw_Stock_Data!E1106)-1</f>
        <v>1.5062909799752333E-3</v>
      </c>
      <c r="F1107" s="4">
        <f>(Raw_Stock_Data!F1107/Raw_Stock_Data!F1106)-1</f>
        <v>4.7870261821023607E-3</v>
      </c>
      <c r="G1107" s="4">
        <f>(Raw_Stock_Data!G1107/Raw_Stock_Data!G1106)-1</f>
        <v>4.2869151022695284E-3</v>
      </c>
      <c r="H1107" s="4">
        <f>(Raw_Stock_Data!H1107/Raw_Stock_Data!H1106)-1</f>
        <v>-2.9009050823857185E-3</v>
      </c>
      <c r="I1107" s="4">
        <f>(Raw_Stock_Data!I1107/Raw_Stock_Data!I1106)-1</f>
        <v>2.2840983249943214E-3</v>
      </c>
      <c r="J1107" s="4">
        <f>(Raw_Stock_Data!J1107/Raw_Stock_Data!J1106)-1</f>
        <v>3.9228435878024825E-3</v>
      </c>
    </row>
    <row r="1108" spans="1:10" x14ac:dyDescent="0.2">
      <c r="A1108" s="2">
        <v>45807</v>
      </c>
      <c r="B1108" s="4">
        <f>(Raw_Stock_Data!B1108/Raw_Stock_Data!B1107)-1</f>
        <v>4.5005763544327948E-3</v>
      </c>
      <c r="C1108" s="4">
        <f>(Raw_Stock_Data!C1108/Raw_Stock_Data!C1107)-1</f>
        <v>3.6626842242957203E-3</v>
      </c>
      <c r="D1108" s="4">
        <f>(Raw_Stock_Data!D1108/Raw_Stock_Data!D1107)-1</f>
        <v>-2.9168762123715775E-2</v>
      </c>
      <c r="E1108" s="4">
        <f>(Raw_Stock_Data!E1108/Raw_Stock_Data!E1107)-1</f>
        <v>-2.0348580023002771E-2</v>
      </c>
      <c r="F1108" s="4">
        <f>(Raw_Stock_Data!F1108/Raw_Stock_Data!F1107)-1</f>
        <v>-3.3543996110840801E-3</v>
      </c>
      <c r="G1108" s="4">
        <f>(Raw_Stock_Data!G1108/Raw_Stock_Data!G1107)-1</f>
        <v>-3.3395642105850554E-2</v>
      </c>
      <c r="H1108" s="4">
        <f>(Raw_Stock_Data!H1108/Raw_Stock_Data!H1107)-1</f>
        <v>-6.9824275573138195E-4</v>
      </c>
      <c r="I1108" s="4">
        <f>(Raw_Stock_Data!I1108/Raw_Stock_Data!I1107)-1</f>
        <v>3.7826525075577155E-3</v>
      </c>
      <c r="J1108" s="4">
        <f>(Raw_Stock_Data!J1108/Raw_Stock_Data!J1107)-1</f>
        <v>-3.2384449832001394E-3</v>
      </c>
    </row>
    <row r="1109" spans="1:10" x14ac:dyDescent="0.2">
      <c r="A1109" s="2">
        <v>45810</v>
      </c>
      <c r="B1109" s="4">
        <f>(Raw_Stock_Data!B1109/Raw_Stock_Data!B1108)-1</f>
        <v>4.2309457760394409E-3</v>
      </c>
      <c r="C1109" s="4">
        <f>(Raw_Stock_Data!C1109/Raw_Stock_Data!C1108)-1</f>
        <v>3.4972630115561731E-3</v>
      </c>
      <c r="D1109" s="4">
        <f>(Raw_Stock_Data!D1109/Raw_Stock_Data!D1108)-1</f>
        <v>1.6650632724043435E-2</v>
      </c>
      <c r="E1109" s="4">
        <f>(Raw_Stock_Data!E1109/Raw_Stock_Data!E1108)-1</f>
        <v>3.5220807369276574E-2</v>
      </c>
      <c r="F1109" s="4">
        <f>(Raw_Stock_Data!F1109/Raw_Stock_Data!F1108)-1</f>
        <v>7.9996097751329209E-3</v>
      </c>
      <c r="G1109" s="4">
        <f>(Raw_Stock_Data!G1109/Raw_Stock_Data!G1108)-1</f>
        <v>-1.0881487040350968E-2</v>
      </c>
      <c r="H1109" s="4">
        <f>(Raw_Stock_Data!H1109/Raw_Stock_Data!H1108)-1</f>
        <v>-1.5779666938395276E-2</v>
      </c>
      <c r="I1109" s="4">
        <f>(Raw_Stock_Data!I1109/Raw_Stock_Data!I1108)-1</f>
        <v>3.6154998532795801E-2</v>
      </c>
      <c r="J1109" s="4">
        <f>(Raw_Stock_Data!J1109/Raw_Stock_Data!J1108)-1</f>
        <v>6.7406900888731247E-3</v>
      </c>
    </row>
    <row r="1110" spans="1:10" x14ac:dyDescent="0.2">
      <c r="A1110" s="2">
        <v>45811</v>
      </c>
      <c r="B1110" s="4">
        <f>(Raw_Stock_Data!B1110/Raw_Stock_Data!B1109)-1</f>
        <v>7.7853295971699321E-3</v>
      </c>
      <c r="C1110" s="4">
        <f>(Raw_Stock_Data!C1110/Raw_Stock_Data!C1109)-1</f>
        <v>2.1646427257180356E-3</v>
      </c>
      <c r="D1110" s="4">
        <f>(Raw_Stock_Data!D1110/Raw_Stock_Data!D1109)-1</f>
        <v>2.795166690930273E-2</v>
      </c>
      <c r="E1110" s="4">
        <f>(Raw_Stock_Data!E1110/Raw_Stock_Data!E1109)-1</f>
        <v>2.3379569048242121E-2</v>
      </c>
      <c r="F1110" s="4">
        <f>(Raw_Stock_Data!F1110/Raw_Stock_Data!F1109)-1</f>
        <v>-4.5487539317686787E-3</v>
      </c>
      <c r="G1110" s="4">
        <f>(Raw_Stock_Data!G1110/Raw_Stock_Data!G1109)-1</f>
        <v>4.6105809915666374E-3</v>
      </c>
      <c r="H1110" s="4">
        <f>(Raw_Stock_Data!H1110/Raw_Stock_Data!H1109)-1</f>
        <v>-1.686091226409514E-2</v>
      </c>
      <c r="I1110" s="4">
        <f>(Raw_Stock_Data!I1110/Raw_Stock_Data!I1109)-1</f>
        <v>-6.0366671635115887E-3</v>
      </c>
      <c r="J1110" s="4">
        <f>(Raw_Stock_Data!J1110/Raw_Stock_Data!J1109)-1</f>
        <v>8.1251971536084877E-3</v>
      </c>
    </row>
    <row r="1111" spans="1:10" x14ac:dyDescent="0.2">
      <c r="A1111" s="2">
        <v>45812</v>
      </c>
      <c r="B1111" s="4">
        <f>(Raw_Stock_Data!B1111/Raw_Stock_Data!B1110)-1</f>
        <v>-2.2135346055816019E-3</v>
      </c>
      <c r="C1111" s="4">
        <f>(Raw_Stock_Data!C1111/Raw_Stock_Data!C1110)-1</f>
        <v>1.9439704516490686E-3</v>
      </c>
      <c r="D1111" s="4">
        <f>(Raw_Stock_Data!D1111/Raw_Stock_Data!D1110)-1</f>
        <v>4.9568049851294038E-3</v>
      </c>
      <c r="E1111" s="4">
        <f>(Raw_Stock_Data!E1111/Raw_Stock_Data!E1110)-1</f>
        <v>1.0826016537379468E-2</v>
      </c>
      <c r="F1111" s="4">
        <f>(Raw_Stock_Data!F1111/Raw_Stock_Data!F1110)-1</f>
        <v>7.3890428272811448E-3</v>
      </c>
      <c r="G1111" s="4">
        <f>(Raw_Stock_Data!G1111/Raw_Stock_Data!G1110)-1</f>
        <v>-3.5495396055421513E-2</v>
      </c>
      <c r="H1111" s="4">
        <f>(Raw_Stock_Data!H1111/Raw_Stock_Data!H1110)-1</f>
        <v>1.1252858346371353E-2</v>
      </c>
      <c r="I1111" s="4">
        <f>(Raw_Stock_Data!I1111/Raw_Stock_Data!I1110)-1</f>
        <v>3.164129864287335E-2</v>
      </c>
      <c r="J1111" s="4">
        <f>(Raw_Stock_Data!J1111/Raw_Stock_Data!J1110)-1</f>
        <v>3.1718195202219412E-3</v>
      </c>
    </row>
    <row r="1112" spans="1:10" x14ac:dyDescent="0.2">
      <c r="A1112" s="2">
        <v>45813</v>
      </c>
      <c r="B1112" s="4">
        <f>(Raw_Stock_Data!B1112/Raw_Stock_Data!B1111)-1</f>
        <v>-1.0795774578297834E-2</v>
      </c>
      <c r="C1112" s="4">
        <f>(Raw_Stock_Data!C1112/Raw_Stock_Data!C1111)-1</f>
        <v>8.2135080949403694E-3</v>
      </c>
      <c r="D1112" s="4">
        <f>(Raw_Stock_Data!D1112/Raw_Stock_Data!D1111)-1</f>
        <v>-1.3599210822998753E-2</v>
      </c>
      <c r="E1112" s="4">
        <f>(Raw_Stock_Data!E1112/Raw_Stock_Data!E1111)-1</f>
        <v>-2.4371732163939952E-2</v>
      </c>
      <c r="F1112" s="4">
        <f>(Raw_Stock_Data!F1112/Raw_Stock_Data!F1111)-1</f>
        <v>3.2813781788352259E-3</v>
      </c>
      <c r="G1112" s="4">
        <f>(Raw_Stock_Data!G1112/Raw_Stock_Data!G1111)-1</f>
        <v>-0.14259900617376908</v>
      </c>
      <c r="H1112" s="4">
        <f>(Raw_Stock_Data!H1112/Raw_Stock_Data!H1111)-1</f>
        <v>9.5209759000303151E-4</v>
      </c>
      <c r="I1112" s="4">
        <f>(Raw_Stock_Data!I1112/Raw_Stock_Data!I1111)-1</f>
        <v>-4.8404680572716741E-3</v>
      </c>
      <c r="J1112" s="4">
        <f>(Raw_Stock_Data!J1112/Raw_Stock_Data!J1111)-1</f>
        <v>-8.3266145919245194E-3</v>
      </c>
    </row>
    <row r="1113" spans="1:10" x14ac:dyDescent="0.2">
      <c r="A1113" s="2">
        <v>45814</v>
      </c>
      <c r="B1113" s="4">
        <f>(Raw_Stock_Data!B1113/Raw_Stock_Data!B1112)-1</f>
        <v>1.6397864231877612E-2</v>
      </c>
      <c r="C1113" s="4">
        <f>(Raw_Stock_Data!C1113/Raw_Stock_Data!C1112)-1</f>
        <v>5.7731782415326727E-3</v>
      </c>
      <c r="D1113" s="4">
        <f>(Raw_Stock_Data!D1113/Raw_Stock_Data!D1112)-1</f>
        <v>1.235802557325516E-2</v>
      </c>
      <c r="E1113" s="4">
        <f>(Raw_Stock_Data!E1113/Raw_Stock_Data!E1112)-1</f>
        <v>4.3218947186447476E-3</v>
      </c>
      <c r="F1113" s="4">
        <f>(Raw_Stock_Data!F1113/Raw_Stock_Data!F1112)-1</f>
        <v>2.7223317781732481E-2</v>
      </c>
      <c r="G1113" s="4">
        <f>(Raw_Stock_Data!G1113/Raw_Stock_Data!G1112)-1</f>
        <v>3.6670179135932512E-2</v>
      </c>
      <c r="H1113" s="4">
        <f>(Raw_Stock_Data!H1113/Raw_Stock_Data!H1112)-1</f>
        <v>3.2518875215504339E-2</v>
      </c>
      <c r="I1113" s="4">
        <f>(Raw_Stock_Data!I1113/Raw_Stock_Data!I1112)-1</f>
        <v>1.9120095819578742E-2</v>
      </c>
      <c r="J1113" s="4">
        <f>(Raw_Stock_Data!J1113/Raw_Stock_Data!J1112)-1</f>
        <v>1.1995782044671888E-2</v>
      </c>
    </row>
    <row r="1114" spans="1:10" x14ac:dyDescent="0.2">
      <c r="A1114" s="2">
        <v>45817</v>
      </c>
      <c r="B1114" s="4">
        <f>(Raw_Stock_Data!B1114/Raw_Stock_Data!B1113)-1</f>
        <v>-1.2113498319344274E-2</v>
      </c>
      <c r="C1114" s="4">
        <f>(Raw_Stock_Data!C1114/Raw_Stock_Data!C1113)-1</f>
        <v>5.0384795271907201E-3</v>
      </c>
      <c r="D1114" s="4">
        <f>(Raw_Stock_Data!D1114/Raw_Stock_Data!D1113)-1</f>
        <v>6.4211120519332976E-3</v>
      </c>
      <c r="E1114" s="4">
        <f>(Raw_Stock_Data!E1114/Raw_Stock_Data!E1113)-1</f>
        <v>4.7680523280833276E-2</v>
      </c>
      <c r="F1114" s="4">
        <f>(Raw_Stock_Data!F1114/Raw_Stock_Data!F1113)-1</f>
        <v>1.596666198436103E-2</v>
      </c>
      <c r="G1114" s="4">
        <f>(Raw_Stock_Data!G1114/Raw_Stock_Data!G1113)-1</f>
        <v>4.5537710916853102E-2</v>
      </c>
      <c r="H1114" s="4">
        <f>(Raw_Stock_Data!H1114/Raw_Stock_Data!H1113)-1</f>
        <v>1.3876093965914382E-2</v>
      </c>
      <c r="I1114" s="4">
        <f>(Raw_Stock_Data!I1114/Raw_Stock_Data!I1113)-1</f>
        <v>-5.231399865273656E-3</v>
      </c>
      <c r="J1114" s="4">
        <f>(Raw_Stock_Data!J1114/Raw_Stock_Data!J1113)-1</f>
        <v>3.1382568823781209E-3</v>
      </c>
    </row>
    <row r="1115" spans="1:10" x14ac:dyDescent="0.2">
      <c r="A1115" s="2">
        <v>45818</v>
      </c>
      <c r="B1115" s="4">
        <f>(Raw_Stock_Data!B1115/Raw_Stock_Data!B1114)-1</f>
        <v>6.0539131559442794E-3</v>
      </c>
      <c r="C1115" s="4">
        <f>(Raw_Stock_Data!C1115/Raw_Stock_Data!C1114)-1</f>
        <v>-3.8709677419354049E-3</v>
      </c>
      <c r="D1115" s="4">
        <f>(Raw_Stock_Data!D1115/Raw_Stock_Data!D1114)-1</f>
        <v>9.3248264740939391E-3</v>
      </c>
      <c r="E1115" s="4">
        <f>(Raw_Stock_Data!E1115/Raw_Stock_Data!E1114)-1</f>
        <v>1.2404501766203779E-2</v>
      </c>
      <c r="F1115" s="4">
        <f>(Raw_Stock_Data!F1115/Raw_Stock_Data!F1114)-1</f>
        <v>2.9034934095308884E-3</v>
      </c>
      <c r="G1115" s="4">
        <f>(Raw_Stock_Data!G1115/Raw_Stock_Data!G1114)-1</f>
        <v>5.674379415386599E-2</v>
      </c>
      <c r="H1115" s="4">
        <f>(Raw_Stock_Data!H1115/Raw_Stock_Data!H1114)-1</f>
        <v>1.4254074620932533E-2</v>
      </c>
      <c r="I1115" s="4">
        <f>(Raw_Stock_Data!I1115/Raw_Stock_Data!I1114)-1</f>
        <v>1.201625219721647E-2</v>
      </c>
      <c r="J1115" s="4">
        <f>(Raw_Stock_Data!J1115/Raw_Stock_Data!J1114)-1</f>
        <v>6.3165986430671062E-3</v>
      </c>
    </row>
    <row r="1116" spans="1:10" x14ac:dyDescent="0.2">
      <c r="A1116" s="2">
        <v>45819</v>
      </c>
      <c r="B1116" s="4">
        <f>(Raw_Stock_Data!B1116/Raw_Stock_Data!B1115)-1</f>
        <v>-1.9189691659579511E-2</v>
      </c>
      <c r="C1116" s="4">
        <f>(Raw_Stock_Data!C1116/Raw_Stock_Data!C1115)-1</f>
        <v>3.609954981737884E-3</v>
      </c>
      <c r="D1116" s="4">
        <f>(Raw_Stock_Data!D1116/Raw_Stock_Data!D1115)-1</f>
        <v>-7.8494026118366422E-3</v>
      </c>
      <c r="E1116" s="4">
        <f>(Raw_Stock_Data!E1116/Raw_Stock_Data!E1115)-1</f>
        <v>-1.7039922103213145E-2</v>
      </c>
      <c r="F1116" s="4">
        <f>(Raw_Stock_Data!F1116/Raw_Stock_Data!F1115)-1</f>
        <v>-2.0265612793529786E-2</v>
      </c>
      <c r="G1116" s="4">
        <f>(Raw_Stock_Data!G1116/Raw_Stock_Data!G1115)-1</f>
        <v>1.0426569352020021E-3</v>
      </c>
      <c r="H1116" s="4">
        <f>(Raw_Stock_Data!H1116/Raw_Stock_Data!H1115)-1</f>
        <v>-6.9988801791713851E-3</v>
      </c>
      <c r="I1116" s="4">
        <f>(Raw_Stock_Data!I1116/Raw_Stock_Data!I1115)-1</f>
        <v>-1.1759681093394092E-2</v>
      </c>
      <c r="J1116" s="4">
        <f>(Raw_Stock_Data!J1116/Raw_Stock_Data!J1115)-1</f>
        <v>-5.0271392478515864E-3</v>
      </c>
    </row>
    <row r="1117" spans="1:10" x14ac:dyDescent="0.2">
      <c r="A1117" s="2">
        <v>45820</v>
      </c>
      <c r="B1117" s="4">
        <f>(Raw_Stock_Data!B1117/Raw_Stock_Data!B1116)-1</f>
        <v>2.1072478234347436E-3</v>
      </c>
      <c r="C1117" s="4">
        <f>(Raw_Stock_Data!C1117/Raw_Stock_Data!C1116)-1</f>
        <v>1.3224154712030867E-2</v>
      </c>
      <c r="D1117" s="4">
        <f>(Raw_Stock_Data!D1117/Raw_Stock_Data!D1116)-1</f>
        <v>1.5192886648463189E-2</v>
      </c>
      <c r="E1117" s="4">
        <f>(Raw_Stock_Data!E1117/Raw_Stock_Data!E1116)-1</f>
        <v>-2.179296681525511E-2</v>
      </c>
      <c r="F1117" s="4">
        <f>(Raw_Stock_Data!F1117/Raw_Stock_Data!F1116)-1</f>
        <v>1.8761726078819763E-4</v>
      </c>
      <c r="G1117" s="4">
        <f>(Raw_Stock_Data!G1117/Raw_Stock_Data!G1116)-1</f>
        <v>-2.2424409521183741E-2</v>
      </c>
      <c r="H1117" s="4">
        <f>(Raw_Stock_Data!H1117/Raw_Stock_Data!H1116)-1</f>
        <v>-9.3036368762334787E-3</v>
      </c>
      <c r="I1117" s="4">
        <f>(Raw_Stock_Data!I1117/Raw_Stock_Data!I1116)-1</f>
        <v>-1.1236926268475278E-3</v>
      </c>
      <c r="J1117" s="4">
        <f>(Raw_Stock_Data!J1117/Raw_Stock_Data!J1116)-1</f>
        <v>2.3756262783010129E-3</v>
      </c>
    </row>
    <row r="1118" spans="1:10" x14ac:dyDescent="0.2">
      <c r="A1118" s="2">
        <v>45821</v>
      </c>
      <c r="B1118" s="4">
        <f>(Raw_Stock_Data!B1118/Raw_Stock_Data!B1117)-1</f>
        <v>-1.3804136210201157E-2</v>
      </c>
      <c r="C1118" s="4">
        <f>(Raw_Stock_Data!C1118/Raw_Stock_Data!C1117)-1</f>
        <v>-8.1650552341971938E-3</v>
      </c>
      <c r="D1118" s="4">
        <f>(Raw_Stock_Data!D1118/Raw_Stock_Data!D1117)-1</f>
        <v>-2.0896551724137957E-2</v>
      </c>
      <c r="E1118" s="4">
        <f>(Raw_Stock_Data!E1118/Raw_Stock_Data!E1117)-1</f>
        <v>-1.9746835443038013E-2</v>
      </c>
      <c r="F1118" s="4">
        <f>(Raw_Stock_Data!F1118/Raw_Stock_Data!F1117)-1</f>
        <v>-5.3460889138998713E-3</v>
      </c>
      <c r="G1118" s="4">
        <f>(Raw_Stock_Data!G1118/Raw_Stock_Data!G1117)-1</f>
        <v>1.942903700918186E-2</v>
      </c>
      <c r="H1118" s="4">
        <f>(Raw_Stock_Data!H1118/Raw_Stock_Data!H1117)-1</f>
        <v>-5.8622652248150331E-3</v>
      </c>
      <c r="I1118" s="4">
        <f>(Raw_Stock_Data!I1118/Raw_Stock_Data!I1117)-1</f>
        <v>-1.5129225799007773E-2</v>
      </c>
      <c r="J1118" s="4">
        <f>(Raw_Stock_Data!J1118/Raw_Stock_Data!J1117)-1</f>
        <v>-1.300192040881909E-2</v>
      </c>
    </row>
    <row r="1119" spans="1:10" x14ac:dyDescent="0.2">
      <c r="A1119" s="2">
        <v>45824</v>
      </c>
      <c r="B1119" s="4">
        <f>(Raw_Stock_Data!B1119/Raw_Stock_Data!B1118)-1</f>
        <v>1.002871906833902E-2</v>
      </c>
      <c r="C1119" s="4">
        <f>(Raw_Stock_Data!C1119/Raw_Stock_Data!C1118)-1</f>
        <v>8.8007411150412551E-3</v>
      </c>
      <c r="D1119" s="4">
        <f>(Raw_Stock_Data!D1119/Raw_Stock_Data!D1118)-1</f>
        <v>1.9158977248714404E-2</v>
      </c>
      <c r="E1119" s="4">
        <f>(Raw_Stock_Data!E1119/Raw_Stock_Data!E1118)-1</f>
        <v>8.8068181818181879E-2</v>
      </c>
      <c r="F1119" s="4">
        <f>(Raw_Stock_Data!F1119/Raw_Stock_Data!F1118)-1</f>
        <v>1.885902876001877E-2</v>
      </c>
      <c r="G1119" s="4">
        <f>(Raw_Stock_Data!G1119/Raw_Stock_Data!G1118)-1</f>
        <v>1.1742645476622293E-2</v>
      </c>
      <c r="H1119" s="4">
        <f>(Raw_Stock_Data!H1119/Raw_Stock_Data!H1118)-1</f>
        <v>1.2022671323066447E-2</v>
      </c>
      <c r="I1119" s="4">
        <f>(Raw_Stock_Data!I1119/Raw_Stock_Data!I1118)-1</f>
        <v>2.8189845797882418E-2</v>
      </c>
      <c r="J1119" s="4">
        <f>(Raw_Stock_Data!J1119/Raw_Stock_Data!J1118)-1</f>
        <v>1.5168886417822769E-2</v>
      </c>
    </row>
    <row r="1120" spans="1:10" x14ac:dyDescent="0.2">
      <c r="A1120" s="2">
        <v>45825</v>
      </c>
      <c r="B1120" s="4">
        <f>(Raw_Stock_Data!B1120/Raw_Stock_Data!B1119)-1</f>
        <v>-1.4009888739059395E-2</v>
      </c>
      <c r="C1120" s="4">
        <f>(Raw_Stock_Data!C1120/Raw_Stock_Data!C1119)-1</f>
        <v>-2.2957799390573852E-3</v>
      </c>
      <c r="D1120" s="4">
        <f>(Raw_Stock_Data!D1120/Raw_Stock_Data!D1119)-1</f>
        <v>-3.9394567696453553E-3</v>
      </c>
      <c r="E1120" s="4">
        <f>(Raw_Stock_Data!E1120/Raw_Stock_Data!E1119)-1</f>
        <v>5.6175330326766471E-3</v>
      </c>
      <c r="F1120" s="4">
        <f>(Raw_Stock_Data!F1120/Raw_Stock_Data!F1119)-1</f>
        <v>-5.9231837112447838E-3</v>
      </c>
      <c r="G1120" s="4">
        <f>(Raw_Stock_Data!G1120/Raw_Stock_Data!G1119)-1</f>
        <v>-3.8829641782882063E-2</v>
      </c>
      <c r="H1120" s="4">
        <f>(Raw_Stock_Data!H1120/Raw_Stock_Data!H1119)-1</f>
        <v>-4.6387961758218577E-3</v>
      </c>
      <c r="I1120" s="4">
        <f>(Raw_Stock_Data!I1120/Raw_Stock_Data!I1119)-1</f>
        <v>-6.964621432233753E-3</v>
      </c>
      <c r="J1120" s="4">
        <f>(Raw_Stock_Data!J1120/Raw_Stock_Data!J1119)-1</f>
        <v>-9.14258565844428E-3</v>
      </c>
    </row>
    <row r="1121" spans="1:10" x14ac:dyDescent="0.2">
      <c r="A1121" s="2">
        <v>45826</v>
      </c>
      <c r="B1121" s="4">
        <f>(Raw_Stock_Data!B1121/Raw_Stock_Data!B1120)-1</f>
        <v>4.8046140686066607E-3</v>
      </c>
      <c r="C1121" s="4">
        <f>(Raw_Stock_Data!C1121/Raw_Stock_Data!C1120)-1</f>
        <v>4.602125345159358E-3</v>
      </c>
      <c r="D1121" s="4">
        <f>(Raw_Stock_Data!D1121/Raw_Stock_Data!D1120)-1</f>
        <v>9.4365806272549424E-3</v>
      </c>
      <c r="E1121" s="4">
        <f>(Raw_Stock_Data!E1121/Raw_Stock_Data!E1120)-1</f>
        <v>-2.4390243902437936E-3</v>
      </c>
      <c r="F1121" s="4">
        <f>(Raw_Stock_Data!F1121/Raw_Stock_Data!F1120)-1</f>
        <v>-1.0706638115631661E-2</v>
      </c>
      <c r="G1121" s="4">
        <f>(Raw_Stock_Data!G1121/Raw_Stock_Data!G1120)-1</f>
        <v>1.8018018018018056E-2</v>
      </c>
      <c r="H1121" s="4">
        <f>(Raw_Stock_Data!H1121/Raw_Stock_Data!H1120)-1</f>
        <v>-1.4947428246660954E-2</v>
      </c>
      <c r="I1121" s="4">
        <f>(Raw_Stock_Data!I1121/Raw_Stock_Data!I1120)-1</f>
        <v>-2.0940005450138521E-3</v>
      </c>
      <c r="J1121" s="4">
        <f>(Raw_Stock_Data!J1121/Raw_Stock_Data!J1120)-1</f>
        <v>1.2898869888924303E-3</v>
      </c>
    </row>
    <row r="1122" spans="1:10" x14ac:dyDescent="0.2">
      <c r="A1122" s="2">
        <v>45828</v>
      </c>
      <c r="B1122" s="4">
        <f>(Raw_Stock_Data!B1122/Raw_Stock_Data!B1121)-1</f>
        <v>2.2485943099501915E-2</v>
      </c>
      <c r="C1122" s="4">
        <f>(Raw_Stock_Data!C1122/Raw_Stock_Data!C1121)-1</f>
        <v>-5.91370981176087E-3</v>
      </c>
      <c r="D1122" s="4">
        <f>(Raw_Stock_Data!D1122/Raw_Stock_Data!D1121)-1</f>
        <v>-1.1204289249381327E-2</v>
      </c>
      <c r="E1122" s="4">
        <f>(Raw_Stock_Data!E1122/Raw_Stock_Data!E1121)-1</f>
        <v>1.1436233141415064E-2</v>
      </c>
      <c r="F1122" s="4">
        <f>(Raw_Stock_Data!F1122/Raw_Stock_Data!F1121)-1</f>
        <v>-1.3316393751176436E-2</v>
      </c>
      <c r="G1122" s="4">
        <f>(Raw_Stock_Data!G1122/Raw_Stock_Data!G1121)-1</f>
        <v>3.4156186927503107E-4</v>
      </c>
      <c r="H1122" s="4">
        <f>(Raw_Stock_Data!H1122/Raw_Stock_Data!H1121)-1</f>
        <v>-3.8541426263558831E-2</v>
      </c>
      <c r="I1122" s="4">
        <f>(Raw_Stock_Data!I1122/Raw_Stock_Data!I1121)-1</f>
        <v>-1.9287983097862726E-2</v>
      </c>
      <c r="J1122" s="4">
        <f>(Raw_Stock_Data!J1122/Raw_Stock_Data!J1121)-1</f>
        <v>-5.0577424746511834E-3</v>
      </c>
    </row>
    <row r="1123" spans="1:10" x14ac:dyDescent="0.2">
      <c r="A1123" s="2">
        <v>45831</v>
      </c>
      <c r="B1123" s="4">
        <f>(Raw_Stock_Data!B1123/Raw_Stock_Data!B1122)-1</f>
        <v>2.4878102284398018E-3</v>
      </c>
      <c r="C1123" s="4">
        <f>(Raw_Stock_Data!C1123/Raw_Stock_Data!C1122)-1</f>
        <v>1.8014243820695386E-2</v>
      </c>
      <c r="D1123" s="4">
        <f>(Raw_Stock_Data!D1123/Raw_Stock_Data!D1122)-1</f>
        <v>2.2245394508166871E-3</v>
      </c>
      <c r="E1123" s="4">
        <f>(Raw_Stock_Data!E1123/Raw_Stock_Data!E1122)-1</f>
        <v>1.044915782907041E-2</v>
      </c>
      <c r="F1123" s="4">
        <f>(Raw_Stock_Data!F1123/Raw_Stock_Data!F1122)-1</f>
        <v>-5.8181124517144855E-3</v>
      </c>
      <c r="G1123" s="4">
        <f>(Raw_Stock_Data!G1123/Raw_Stock_Data!G1122)-1</f>
        <v>8.2319344425130225E-2</v>
      </c>
      <c r="H1123" s="4">
        <f>(Raw_Stock_Data!H1123/Raw_Stock_Data!H1122)-1</f>
        <v>-8.7013922227555662E-3</v>
      </c>
      <c r="I1123" s="4">
        <f>(Raw_Stock_Data!I1123/Raw_Stock_Data!I1122)-1</f>
        <v>2.3712171173151608E-2</v>
      </c>
      <c r="J1123" s="4">
        <f>(Raw_Stock_Data!J1123/Raw_Stock_Data!J1122)-1</f>
        <v>9.4387890212630499E-3</v>
      </c>
    </row>
    <row r="1124" spans="1:10" x14ac:dyDescent="0.2">
      <c r="A1124" s="2">
        <v>45832</v>
      </c>
      <c r="B1124" s="4">
        <f>(Raw_Stock_Data!B1124/Raw_Stock_Data!B1123)-1</f>
        <v>-5.9579166190066868E-3</v>
      </c>
      <c r="C1124" s="4">
        <f>(Raw_Stock_Data!C1124/Raw_Stock_Data!C1123)-1</f>
        <v>8.4567901234569032E-3</v>
      </c>
      <c r="D1124" s="4">
        <f>(Raw_Stock_Data!D1124/Raw_Stock_Data!D1123)-1</f>
        <v>2.5872234167996222E-2</v>
      </c>
      <c r="E1124" s="4">
        <f>(Raw_Stock_Data!E1124/Raw_Stock_Data!E1123)-1</f>
        <v>6.8297576786541025E-2</v>
      </c>
      <c r="F1124" s="4">
        <f>(Raw_Stock_Data!F1124/Raw_Stock_Data!F1123)-1</f>
        <v>2.0626469036312267E-2</v>
      </c>
      <c r="G1124" s="4">
        <f>(Raw_Stock_Data!G1124/Raw_Stock_Data!G1123)-1</f>
        <v>-2.3545944705747335E-2</v>
      </c>
      <c r="H1124" s="4">
        <f>(Raw_Stock_Data!H1124/Raw_Stock_Data!H1123)-1</f>
        <v>9.5647436285490883E-3</v>
      </c>
      <c r="I1124" s="4">
        <f>(Raw_Stock_Data!I1124/Raw_Stock_Data!I1123)-1</f>
        <v>1.9569667730806151E-2</v>
      </c>
      <c r="J1124" s="4">
        <f>(Raw_Stock_Data!J1124/Raw_Stock_Data!J1123)-1</f>
        <v>1.4342643282527545E-2</v>
      </c>
    </row>
    <row r="1125" spans="1:10" x14ac:dyDescent="0.2">
      <c r="A1125" s="2">
        <v>45833</v>
      </c>
      <c r="B1125" s="4">
        <f>(Raw_Stock_Data!B1125/Raw_Stock_Data!B1124)-1</f>
        <v>6.2938077536909276E-3</v>
      </c>
      <c r="C1125" s="4">
        <f>(Raw_Stock_Data!C1125/Raw_Stock_Data!C1124)-1</f>
        <v>4.4071738997366605E-3</v>
      </c>
      <c r="D1125" s="4">
        <f>(Raw_Stock_Data!D1125/Raw_Stock_Data!D1124)-1</f>
        <v>4.3340094658553152E-2</v>
      </c>
      <c r="E1125" s="4">
        <f>(Raw_Stock_Data!E1125/Raw_Stock_Data!E1124)-1</f>
        <v>3.5902622263960016E-2</v>
      </c>
      <c r="F1125" s="4">
        <f>(Raw_Stock_Data!F1125/Raw_Stock_Data!F1124)-1</f>
        <v>-3.6659303473234317E-3</v>
      </c>
      <c r="G1125" s="4">
        <f>(Raw_Stock_Data!G1125/Raw_Stock_Data!G1124)-1</f>
        <v>-3.7947543102182291E-2</v>
      </c>
      <c r="H1125" s="4">
        <f>(Raw_Stock_Data!H1125/Raw_Stock_Data!H1124)-1</f>
        <v>2.3445463812436174E-2</v>
      </c>
      <c r="I1125" s="4">
        <f>(Raw_Stock_Data!I1125/Raw_Stock_Data!I1124)-1</f>
        <v>-4.9424319011515117E-3</v>
      </c>
      <c r="J1125" s="4">
        <f>(Raw_Stock_Data!J1125/Raw_Stock_Data!J1124)-1</f>
        <v>3.0644021628591922E-3</v>
      </c>
    </row>
    <row r="1126" spans="1:10" x14ac:dyDescent="0.2">
      <c r="A1126" s="2">
        <v>45834</v>
      </c>
      <c r="B1126" s="4">
        <f>(Raw_Stock_Data!B1126/Raw_Stock_Data!B1125)-1</f>
        <v>-2.779200246598057E-3</v>
      </c>
      <c r="C1126" s="4">
        <f>(Raw_Stock_Data!C1126/Raw_Stock_Data!C1125)-1</f>
        <v>1.0522680642736759E-2</v>
      </c>
      <c r="D1126" s="4">
        <f>(Raw_Stock_Data!D1126/Raw_Stock_Data!D1125)-1</f>
        <v>4.6011276002850821E-3</v>
      </c>
      <c r="E1126" s="4">
        <f>(Raw_Stock_Data!E1126/Raw_Stock_Data!E1125)-1</f>
        <v>1.9525801952580135E-3</v>
      </c>
      <c r="F1126" s="4">
        <f>(Raw_Stock_Data!F1126/Raw_Stock_Data!F1125)-1</f>
        <v>2.41992546818246E-2</v>
      </c>
      <c r="G1126" s="4">
        <f>(Raw_Stock_Data!G1126/Raw_Stock_Data!G1125)-1</f>
        <v>-5.4037551518852922E-3</v>
      </c>
      <c r="H1126" s="4">
        <f>(Raw_Stock_Data!H1126/Raw_Stock_Data!H1125)-1</f>
        <v>1.6756503398172029E-2</v>
      </c>
      <c r="I1126" s="4">
        <f>(Raw_Stock_Data!I1126/Raw_Stock_Data!I1125)-1</f>
        <v>2.456680024834923E-2</v>
      </c>
      <c r="J1126" s="4">
        <f>(Raw_Stock_Data!J1126/Raw_Stock_Data!J1125)-1</f>
        <v>9.7308690743509452E-3</v>
      </c>
    </row>
    <row r="1127" spans="1:10" x14ac:dyDescent="0.2">
      <c r="A1127" s="2">
        <v>45835</v>
      </c>
      <c r="B1127" s="4">
        <f>(Raw_Stock_Data!B1127/Raw_Stock_Data!B1126)-1</f>
        <v>3.9386173957267623E-4</v>
      </c>
      <c r="C1127" s="4">
        <f>(Raw_Stock_Data!C1127/Raw_Stock_Data!C1126)-1</f>
        <v>-3.0354809528595483E-3</v>
      </c>
      <c r="D1127" s="4">
        <f>(Raw_Stock_Data!D1127/Raw_Stock_Data!D1126)-1</f>
        <v>1.7610630886337075E-2</v>
      </c>
      <c r="E1127" s="4">
        <f>(Raw_Stock_Data!E1127/Raw_Stock_Data!E1126)-1</f>
        <v>9.0478841870811344E-4</v>
      </c>
      <c r="F1127" s="4">
        <f>(Raw_Stock_Data!F1127/Raw_Stock_Data!F1126)-1</f>
        <v>2.8463522476050107E-2</v>
      </c>
      <c r="G1127" s="4">
        <f>(Raw_Stock_Data!G1127/Raw_Stock_Data!G1126)-1</f>
        <v>-6.5995457056908791E-3</v>
      </c>
      <c r="H1127" s="4">
        <f>(Raw_Stock_Data!H1127/Raw_Stock_Data!H1126)-1</f>
        <v>2.8754177711190598E-2</v>
      </c>
      <c r="I1127" s="4">
        <f>(Raw_Stock_Data!I1127/Raw_Stock_Data!I1126)-1</f>
        <v>1.038438761035132E-2</v>
      </c>
      <c r="J1127" s="4">
        <f>(Raw_Stock_Data!J1127/Raw_Stock_Data!J1126)-1</f>
        <v>5.2335616333074597E-3</v>
      </c>
    </row>
    <row r="1128" spans="1:10" x14ac:dyDescent="0.2">
      <c r="A1128" s="2">
        <v>45838</v>
      </c>
      <c r="B1128" s="4">
        <f>(Raw_Stock_Data!B1128/Raw_Stock_Data!B1127)-1</f>
        <v>2.0343172677753651E-2</v>
      </c>
      <c r="C1128" s="4">
        <f>(Raw_Stock_Data!C1128/Raw_Stock_Data!C1127)-1</f>
        <v>2.9640682340605906E-3</v>
      </c>
      <c r="D1128" s="4">
        <f>(Raw_Stock_Data!D1128/Raw_Stock_Data!D1127)-1</f>
        <v>1.5213946117274002E-3</v>
      </c>
      <c r="E1128" s="4">
        <f>(Raw_Stock_Data!E1128/Raw_Stock_Data!E1127)-1</f>
        <v>-1.328141297545371E-2</v>
      </c>
      <c r="F1128" s="4">
        <f>(Raw_Stock_Data!F1128/Raw_Stock_Data!F1127)-1</f>
        <v>-1.7510076130765939E-2</v>
      </c>
      <c r="G1128" s="4">
        <f>(Raw_Stock_Data!G1128/Raw_Stock_Data!G1127)-1</f>
        <v>-1.844699193523458E-2</v>
      </c>
      <c r="H1128" s="4">
        <f>(Raw_Stock_Data!H1128/Raw_Stock_Data!H1127)-1</f>
        <v>-1.2882988853414101E-2</v>
      </c>
      <c r="I1128" s="4">
        <f>(Raw_Stock_Data!I1128/Raw_Stock_Data!I1127)-1</f>
        <v>6.0793588048471126E-3</v>
      </c>
      <c r="J1128" s="4">
        <f>(Raw_Stock_Data!J1128/Raw_Stock_Data!J1127)-1</f>
        <v>4.7485727645897313E-3</v>
      </c>
    </row>
    <row r="1129" spans="1:10" x14ac:dyDescent="0.2">
      <c r="A1129" s="2">
        <v>45839</v>
      </c>
      <c r="B1129" s="4">
        <f>(Raw_Stock_Data!B1129/Raw_Stock_Data!B1128)-1</f>
        <v>1.2914002705884053E-2</v>
      </c>
      <c r="C1129" s="4">
        <f>(Raw_Stock_Data!C1129/Raw_Stock_Data!C1128)-1</f>
        <v>-1.0775818741078802E-2</v>
      </c>
      <c r="D1129" s="4">
        <f>(Raw_Stock_Data!D1129/Raw_Stock_Data!D1128)-1</f>
        <v>-2.9685423128046118E-2</v>
      </c>
      <c r="E1129" s="4">
        <f>(Raw_Stock_Data!E1129/Raw_Stock_Data!E1128)-1</f>
        <v>-4.0803382663847754E-2</v>
      </c>
      <c r="F1129" s="4">
        <f>(Raw_Stock_Data!F1129/Raw_Stock_Data!F1128)-1</f>
        <v>4.877159396508679E-3</v>
      </c>
      <c r="G1129" s="4">
        <f>(Raw_Stock_Data!G1129/Raw_Stock_Data!G1128)-1</f>
        <v>-5.3358937228483394E-2</v>
      </c>
      <c r="H1129" s="4">
        <f>(Raw_Stock_Data!H1129/Raw_Stock_Data!H1128)-1</f>
        <v>-2.2130170799522508E-3</v>
      </c>
      <c r="I1129" s="4">
        <f>(Raw_Stock_Data!I1129/Raw_Stock_Data!I1128)-1</f>
        <v>-2.5565987887655961E-2</v>
      </c>
      <c r="J1129" s="4">
        <f>(Raw_Stock_Data!J1129/Raw_Stock_Data!J1128)-1</f>
        <v>-8.1905847549280653E-3</v>
      </c>
    </row>
    <row r="1130" spans="1:10" x14ac:dyDescent="0.2">
      <c r="A1130" s="2">
        <v>45840</v>
      </c>
      <c r="B1130" s="4">
        <f>(Raw_Stock_Data!B1130/Raw_Stock_Data!B1129)-1</f>
        <v>2.2229401638514279E-2</v>
      </c>
      <c r="C1130" s="4">
        <f>(Raw_Stock_Data!C1130/Raw_Stock_Data!C1129)-1</f>
        <v>-1.9510212376792069E-3</v>
      </c>
      <c r="D1130" s="4">
        <f>(Raw_Stock_Data!D1130/Raw_Stock_Data!D1129)-1</f>
        <v>2.5766470971950284E-2</v>
      </c>
      <c r="E1130" s="4">
        <f>(Raw_Stock_Data!E1130/Raw_Stock_Data!E1129)-1</f>
        <v>1.7706266989934605E-2</v>
      </c>
      <c r="F1130" s="4">
        <f>(Raw_Stock_Data!F1130/Raw_Stock_Data!F1129)-1</f>
        <v>-2.4494239317790489E-3</v>
      </c>
      <c r="G1130" s="4">
        <f>(Raw_Stock_Data!G1130/Raw_Stock_Data!G1129)-1</f>
        <v>4.9682418276745022E-2</v>
      </c>
      <c r="H1130" s="4">
        <f>(Raw_Stock_Data!H1130/Raw_Stock_Data!H1129)-1</f>
        <v>1.5923566878980777E-2</v>
      </c>
      <c r="I1130" s="4">
        <f>(Raw_Stock_Data!I1130/Raw_Stock_Data!I1129)-1</f>
        <v>-7.85573259920469E-3</v>
      </c>
      <c r="J1130" s="4">
        <f>(Raw_Stock_Data!J1130/Raw_Stock_Data!J1129)-1</f>
        <v>9.4164745736873279E-3</v>
      </c>
    </row>
    <row r="1131" spans="1:10" x14ac:dyDescent="0.2">
      <c r="A1131" s="2">
        <v>45841</v>
      </c>
      <c r="B1131" s="4">
        <f>(Raw_Stock_Data!B1131/Raw_Stock_Data!B1130)-1</f>
        <v>5.226587670347671E-3</v>
      </c>
      <c r="C1131" s="4">
        <f>(Raw_Stock_Data!C1131/Raw_Stock_Data!C1130)-1</f>
        <v>1.5781221364719267E-2</v>
      </c>
      <c r="D1131" s="4">
        <f>(Raw_Stock_Data!D1131/Raw_Stock_Data!D1130)-1</f>
        <v>1.3290937996820462E-2</v>
      </c>
      <c r="E1131" s="4">
        <f>(Raw_Stock_Data!E1131/Raw_Stock_Data!E1130)-1</f>
        <v>-4.4036962171528637E-3</v>
      </c>
      <c r="F1131" s="4">
        <f>(Raw_Stock_Data!F1131/Raw_Stock_Data!F1130)-1</f>
        <v>1.5869407057111706E-2</v>
      </c>
      <c r="G1131" s="4">
        <f>(Raw_Stock_Data!G1131/Raw_Stock_Data!G1130)-1</f>
        <v>-9.5041976873100342E-4</v>
      </c>
      <c r="H1131" s="4">
        <f>(Raw_Stock_Data!H1131/Raw_Stock_Data!H1130)-1</f>
        <v>4.9820868786387695E-3</v>
      </c>
      <c r="I1131" s="4">
        <f>(Raw_Stock_Data!I1131/Raw_Stock_Data!I1130)-1</f>
        <v>7.6236388861639082E-3</v>
      </c>
      <c r="J1131" s="4">
        <f>(Raw_Stock_Data!J1131/Raw_Stock_Data!J1130)-1</f>
        <v>1.0198042183813705E-2</v>
      </c>
    </row>
    <row r="1132" spans="1:10" x14ac:dyDescent="0.2">
      <c r="A1132" s="2">
        <v>45845</v>
      </c>
      <c r="B1132" s="4">
        <f>(Raw_Stock_Data!B1132/Raw_Stock_Data!B1131)-1</f>
        <v>-1.6855857081853221E-2</v>
      </c>
      <c r="C1132" s="4">
        <f>(Raw_Stock_Data!C1132/Raw_Stock_Data!C1131)-1</f>
        <v>-2.2452088846122153E-3</v>
      </c>
      <c r="D1132" s="4">
        <f>(Raw_Stock_Data!D1132/Raw_Stock_Data!D1131)-1</f>
        <v>-6.9034768419731218E-3</v>
      </c>
      <c r="E1132" s="4">
        <f>(Raw_Stock_Data!E1132/Raw_Stock_Data!E1131)-1</f>
        <v>-2.2550939018200156E-2</v>
      </c>
      <c r="F1132" s="4">
        <f>(Raw_Stock_Data!F1132/Raw_Stock_Data!F1131)-1</f>
        <v>2.6856452262657982E-4</v>
      </c>
      <c r="G1132" s="4">
        <f>(Raw_Stock_Data!G1132/Raw_Stock_Data!G1131)-1</f>
        <v>-6.789281750436027E-2</v>
      </c>
      <c r="H1132" s="4">
        <f>(Raw_Stock_Data!H1132/Raw_Stock_Data!H1131)-1</f>
        <v>-1.526207319111017E-2</v>
      </c>
      <c r="I1132" s="4">
        <f>(Raw_Stock_Data!I1132/Raw_Stock_Data!I1131)-1</f>
        <v>-9.1792881879249055E-4</v>
      </c>
      <c r="J1132" s="4">
        <f>(Raw_Stock_Data!J1132/Raw_Stock_Data!J1131)-1</f>
        <v>-9.1538801326142005E-3</v>
      </c>
    </row>
    <row r="1133" spans="1:10" x14ac:dyDescent="0.2">
      <c r="A1133" s="2">
        <v>45846</v>
      </c>
      <c r="B1133" s="4">
        <f>(Raw_Stock_Data!B1133/Raw_Stock_Data!B1132)-1</f>
        <v>2.8638387849677649E-4</v>
      </c>
      <c r="C1133" s="4">
        <f>(Raw_Stock_Data!C1133/Raw_Stock_Data!C1132)-1</f>
        <v>-2.2100779554770078E-3</v>
      </c>
      <c r="D1133" s="4">
        <f>(Raw_Stock_Data!D1133/Raw_Stock_Data!D1132)-1</f>
        <v>1.1122345803842304E-2</v>
      </c>
      <c r="E1133" s="4">
        <f>(Raw_Stock_Data!E1133/Raw_Stock_Data!E1132)-1</f>
        <v>2.240356083086037E-2</v>
      </c>
      <c r="F1133" s="4">
        <f>(Raw_Stock_Data!F1133/Raw_Stock_Data!F1132)-1</f>
        <v>-1.8391730433615194E-2</v>
      </c>
      <c r="G1133" s="4">
        <f>(Raw_Stock_Data!G1133/Raw_Stock_Data!G1132)-1</f>
        <v>1.3165952235149936E-2</v>
      </c>
      <c r="H1133" s="4">
        <f>(Raw_Stock_Data!H1133/Raw_Stock_Data!H1132)-1</f>
        <v>-1.3745121330391852E-2</v>
      </c>
      <c r="I1133" s="4">
        <f>(Raw_Stock_Data!I1133/Raw_Stock_Data!I1132)-1</f>
        <v>3.2296234426114623E-3</v>
      </c>
      <c r="J1133" s="4">
        <f>(Raw_Stock_Data!J1133/Raw_Stock_Data!J1132)-1</f>
        <v>2.9099787777298047E-4</v>
      </c>
    </row>
    <row r="1134" spans="1:10" x14ac:dyDescent="0.2">
      <c r="A1134" s="2">
        <v>45847</v>
      </c>
      <c r="B1134" s="4">
        <f>(Raw_Stock_Data!B1134/Raw_Stock_Data!B1133)-1</f>
        <v>5.3824754615425796E-3</v>
      </c>
      <c r="C1134" s="4">
        <f>(Raw_Stock_Data!C1134/Raw_Stock_Data!C1133)-1</f>
        <v>1.3873786798759502E-2</v>
      </c>
      <c r="D1134" s="4">
        <f>(Raw_Stock_Data!D1134/Raw_Stock_Data!D1133)-1</f>
        <v>1.8000000000000016E-2</v>
      </c>
      <c r="E1134" s="4">
        <f>(Raw_Stock_Data!E1134/Raw_Stock_Data!E1133)-1</f>
        <v>4.2809461616601929E-3</v>
      </c>
      <c r="F1134" s="4">
        <f>(Raw_Stock_Data!F1134/Raw_Stock_Data!F1133)-1</f>
        <v>1.4496717724288732E-2</v>
      </c>
      <c r="G1134" s="4">
        <f>(Raw_Stock_Data!G1134/Raw_Stock_Data!G1133)-1</f>
        <v>-6.4806420200799186E-3</v>
      </c>
      <c r="H1134" s="4">
        <f>(Raw_Stock_Data!H1134/Raw_Stock_Data!H1133)-1</f>
        <v>1.296168846065604E-2</v>
      </c>
      <c r="I1134" s="4">
        <f>(Raw_Stock_Data!I1134/Raw_Stock_Data!I1133)-1</f>
        <v>1.6803807567957518E-2</v>
      </c>
      <c r="J1134" s="4">
        <f>(Raw_Stock_Data!J1134/Raw_Stock_Data!J1133)-1</f>
        <v>9.4463539365849947E-3</v>
      </c>
    </row>
    <row r="1135" spans="1:10" x14ac:dyDescent="0.2">
      <c r="A1135" s="2">
        <v>45848</v>
      </c>
      <c r="B1135" s="4">
        <f>(Raw_Stock_Data!B1135/Raw_Stock_Data!B1134)-1</f>
        <v>6.0133746564972057E-3</v>
      </c>
      <c r="C1135" s="4">
        <f>(Raw_Stock_Data!C1135/Raw_Stock_Data!C1134)-1</f>
        <v>-4.0316974836646091E-3</v>
      </c>
      <c r="D1135" s="4">
        <f>(Raw_Stock_Data!D1135/Raw_Stock_Data!D1134)-1</f>
        <v>7.4901768172888072E-3</v>
      </c>
      <c r="E1135" s="4">
        <f>(Raw_Stock_Data!E1135/Raw_Stock_Data!E1134)-1</f>
        <v>4.1543241095296501E-2</v>
      </c>
      <c r="F1135" s="4">
        <f>(Raw_Stock_Data!F1135/Raw_Stock_Data!F1134)-1</f>
        <v>-1.2582007728947353E-3</v>
      </c>
      <c r="G1135" s="4">
        <f>(Raw_Stock_Data!G1135/Raw_Stock_Data!G1134)-1</f>
        <v>4.7282682168446666E-2</v>
      </c>
      <c r="H1135" s="4">
        <f>(Raw_Stock_Data!H1135/Raw_Stock_Data!H1134)-1</f>
        <v>5.6618729475710339E-3</v>
      </c>
      <c r="I1135" s="4">
        <f>(Raw_Stock_Data!I1135/Raw_Stock_Data!I1134)-1</f>
        <v>-7.5602500068232548E-3</v>
      </c>
      <c r="J1135" s="4">
        <f>(Raw_Stock_Data!J1135/Raw_Stock_Data!J1134)-1</f>
        <v>9.3734808120182755E-4</v>
      </c>
    </row>
    <row r="1136" spans="1:10" x14ac:dyDescent="0.2">
      <c r="A1136" s="2">
        <v>45849</v>
      </c>
      <c r="B1136" s="4">
        <f>(Raw_Stock_Data!B1136/Raw_Stock_Data!B1135)-1</f>
        <v>-5.883074484346329E-3</v>
      </c>
      <c r="C1136" s="4">
        <f>(Raw_Stock_Data!C1136/Raw_Stock_Data!C1135)-1</f>
        <v>3.669139347531214E-3</v>
      </c>
      <c r="D1136" s="4">
        <f>(Raw_Stock_Data!D1136/Raw_Stock_Data!D1135)-1</f>
        <v>4.9969530773918969E-3</v>
      </c>
      <c r="E1136" s="4">
        <f>(Raw_Stock_Data!E1136/Raw_Stock_Data!E1135)-1</f>
        <v>1.5677025527191857E-2</v>
      </c>
      <c r="F1136" s="4">
        <f>(Raw_Stock_Data!F1136/Raw_Stock_Data!F1135)-1</f>
        <v>1.2417888958877077E-2</v>
      </c>
      <c r="G1136" s="4">
        <f>(Raw_Stock_Data!G1136/Raw_Stock_Data!G1135)-1</f>
        <v>1.1746861587117241E-2</v>
      </c>
      <c r="H1136" s="4">
        <f>(Raw_Stock_Data!H1136/Raw_Stock_Data!H1135)-1</f>
        <v>1.4469091318545235E-2</v>
      </c>
      <c r="I1136" s="4">
        <f>(Raw_Stock_Data!I1136/Raw_Stock_Data!I1135)-1</f>
        <v>-1.3379352070843176E-2</v>
      </c>
      <c r="J1136" s="4">
        <f>(Raw_Stock_Data!J1136/Raw_Stock_Data!J1135)-1</f>
        <v>-2.1875209033546117E-3</v>
      </c>
    </row>
    <row r="1137" spans="1:10" x14ac:dyDescent="0.2">
      <c r="A1137" s="2">
        <v>45852</v>
      </c>
      <c r="B1137" s="4">
        <f>(Raw_Stock_Data!B1137/Raw_Stock_Data!B1136)-1</f>
        <v>-1.2030353507310854E-2</v>
      </c>
      <c r="C1137" s="4">
        <f>(Raw_Stock_Data!C1137/Raw_Stock_Data!C1136)-1</f>
        <v>-5.9604227926568498E-4</v>
      </c>
      <c r="D1137" s="4">
        <f>(Raw_Stock_Data!D1137/Raw_Stock_Data!D1136)-1</f>
        <v>-5.1540140674265489E-3</v>
      </c>
      <c r="E1137" s="4">
        <f>(Raw_Stock_Data!E1137/Raw_Stock_Data!E1136)-1</f>
        <v>-1.2293402540635157E-3</v>
      </c>
      <c r="F1137" s="4">
        <f>(Raw_Stock_Data!F1137/Raw_Stock_Data!F1136)-1</f>
        <v>2.9775131099456509E-3</v>
      </c>
      <c r="G1137" s="4">
        <f>(Raw_Stock_Data!G1137/Raw_Stock_Data!G1136)-1</f>
        <v>1.0813052215240315E-2</v>
      </c>
      <c r="H1137" s="4">
        <f>(Raw_Stock_Data!H1137/Raw_Stock_Data!H1136)-1</f>
        <v>7.6030856318329842E-3</v>
      </c>
      <c r="I1137" s="4">
        <f>(Raw_Stock_Data!I1137/Raw_Stock_Data!I1136)-1</f>
        <v>4.7525470028291217E-3</v>
      </c>
      <c r="J1137" s="4">
        <f>(Raw_Stock_Data!J1137/Raw_Stock_Data!J1136)-1</f>
        <v>2.6620640809347229E-3</v>
      </c>
    </row>
    <row r="1138" spans="1:10" x14ac:dyDescent="0.2">
      <c r="A1138" s="2">
        <v>45853</v>
      </c>
      <c r="B1138" s="4">
        <f>(Raw_Stock_Data!B1138/Raw_Stock_Data!B1137)-1</f>
        <v>2.3489062454966625E-3</v>
      </c>
      <c r="C1138" s="4">
        <f>(Raw_Stock_Data!C1138/Raw_Stock_Data!C1137)-1</f>
        <v>5.5663790704147953E-3</v>
      </c>
      <c r="D1138" s="4">
        <f>(Raw_Stock_Data!D1138/Raw_Stock_Data!D1137)-1</f>
        <v>4.0409581276284579E-2</v>
      </c>
      <c r="E1138" s="4">
        <f>(Raw_Stock_Data!E1138/Raw_Stock_Data!E1137)-1</f>
        <v>6.4072757111597323E-2</v>
      </c>
      <c r="F1138" s="4">
        <f>(Raw_Stock_Data!F1138/Raw_Stock_Data!F1137)-1</f>
        <v>2.9243652798085495E-3</v>
      </c>
      <c r="G1138" s="4">
        <f>(Raw_Stock_Data!G1138/Raw_Stock_Data!G1137)-1</f>
        <v>-1.9312085831492576E-2</v>
      </c>
      <c r="H1138" s="4">
        <f>(Raw_Stock_Data!H1138/Raw_Stock_Data!H1137)-1</f>
        <v>2.4234412866270816E-3</v>
      </c>
      <c r="I1138" s="4">
        <f>(Raw_Stock_Data!I1138/Raw_Stock_Data!I1137)-1</f>
        <v>-1.4606336347999793E-2</v>
      </c>
      <c r="J1138" s="4">
        <f>(Raw_Stock_Data!J1138/Raw_Stock_Data!J1137)-1</f>
        <v>1.8153779518059743E-3</v>
      </c>
    </row>
    <row r="1139" spans="1:10" x14ac:dyDescent="0.2">
      <c r="A1139" s="2">
        <v>45854</v>
      </c>
      <c r="B1139" s="4">
        <f>(Raw_Stock_Data!B1139/Raw_Stock_Data!B1138)-1</f>
        <v>5.0222599211198204E-3</v>
      </c>
      <c r="C1139" s="4">
        <f>(Raw_Stock_Data!C1139/Raw_Stock_Data!C1138)-1</f>
        <v>-3.9539757225892647E-4</v>
      </c>
      <c r="D1139" s="4">
        <f>(Raw_Stock_Data!D1139/Raw_Stock_Data!D1138)-1</f>
        <v>3.9250146455771517E-3</v>
      </c>
      <c r="E1139" s="4">
        <f>(Raw_Stock_Data!E1139/Raw_Stock_Data!E1138)-1</f>
        <v>2.872566030460777E-2</v>
      </c>
      <c r="F1139" s="4">
        <f>(Raw_Stock_Data!F1139/Raw_Stock_Data!F1138)-1</f>
        <v>-1.3960680362270828E-2</v>
      </c>
      <c r="G1139" s="4">
        <f>(Raw_Stock_Data!G1139/Raw_Stock_Data!G1138)-1</f>
        <v>3.5040864920522719E-2</v>
      </c>
      <c r="H1139" s="4">
        <f>(Raw_Stock_Data!H1139/Raw_Stock_Data!H1138)-1</f>
        <v>5.3296703296703551E-3</v>
      </c>
      <c r="I1139" s="4">
        <f>(Raw_Stock_Data!I1139/Raw_Stock_Data!I1138)-1</f>
        <v>-1.0529427497571797E-2</v>
      </c>
      <c r="J1139" s="4">
        <f>(Raw_Stock_Data!J1139/Raw_Stock_Data!J1138)-1</f>
        <v>2.5481434195129271E-3</v>
      </c>
    </row>
    <row r="1140" spans="1:10" x14ac:dyDescent="0.2">
      <c r="A1140" s="2">
        <v>45855</v>
      </c>
      <c r="B1140" s="4">
        <f>(Raw_Stock_Data!B1140/Raw_Stock_Data!B1139)-1</f>
        <v>-6.6755992542399945E-4</v>
      </c>
      <c r="C1140" s="4">
        <f>(Raw_Stock_Data!C1140/Raw_Stock_Data!C1139)-1</f>
        <v>1.2024840789525593E-2</v>
      </c>
      <c r="D1140" s="4">
        <f>(Raw_Stock_Data!D1140/Raw_Stock_Data!D1139)-1</f>
        <v>9.5115831242340576E-3</v>
      </c>
      <c r="E1140" s="4">
        <f>(Raw_Stock_Data!E1140/Raw_Stock_Data!E1139)-1</f>
        <v>2.0614692653673217E-3</v>
      </c>
      <c r="F1140" s="4">
        <f>(Raw_Stock_Data!F1140/Raw_Stock_Data!F1139)-1</f>
        <v>3.0915363591559331E-3</v>
      </c>
      <c r="G1140" s="4">
        <f>(Raw_Stock_Data!G1140/Raw_Stock_Data!G1139)-1</f>
        <v>-7.0258339291821015E-3</v>
      </c>
      <c r="H1140" s="4">
        <f>(Raw_Stock_Data!H1140/Raw_Stock_Data!H1139)-1</f>
        <v>3.3338798710171869E-3</v>
      </c>
      <c r="I1140" s="4">
        <f>(Raw_Stock_Data!I1140/Raw_Stock_Data!I1139)-1</f>
        <v>-2.1339858587869909E-3</v>
      </c>
      <c r="J1140" s="4">
        <f>(Raw_Stock_Data!J1140/Raw_Stock_Data!J1139)-1</f>
        <v>7.4846277150226737E-3</v>
      </c>
    </row>
    <row r="1141" spans="1:10" x14ac:dyDescent="0.2">
      <c r="A1141" s="2">
        <v>45856</v>
      </c>
      <c r="B1141" s="4">
        <f>(Raw_Stock_Data!B1141/Raw_Stock_Data!B1140)-1</f>
        <v>5.5253627510389869E-3</v>
      </c>
      <c r="C1141" s="4">
        <f>(Raw_Stock_Data!C1141/Raw_Stock_Data!C1140)-1</f>
        <v>-3.2245456322063104E-3</v>
      </c>
      <c r="D1141" s="4">
        <f>(Raw_Stock_Data!D1141/Raw_Stock_Data!D1140)-1</f>
        <v>-3.4104046242774411E-3</v>
      </c>
      <c r="E1141" s="4">
        <f>(Raw_Stock_Data!E1141/Raw_Stock_Data!E1140)-1</f>
        <v>-2.1320366560688142E-2</v>
      </c>
      <c r="F1141" s="4">
        <f>(Raw_Stock_Data!F1141/Raw_Stock_Data!F1140)-1</f>
        <v>1.0050026800071388E-2</v>
      </c>
      <c r="G1141" s="4">
        <f>(Raw_Stock_Data!G1141/Raw_Stock_Data!G1140)-1</f>
        <v>3.205910898218578E-2</v>
      </c>
      <c r="H1141" s="4">
        <f>(Raw_Stock_Data!H1141/Raw_Stock_Data!H1140)-1</f>
        <v>8.0618803791261406E-3</v>
      </c>
      <c r="I1141" s="4">
        <f>(Raw_Stock_Data!I1141/Raw_Stock_Data!I1140)-1</f>
        <v>4.0917580302533008E-3</v>
      </c>
      <c r="J1141" s="4">
        <f>(Raw_Stock_Data!J1141/Raw_Stock_Data!J1140)-1</f>
        <v>4.792764410013195E-4</v>
      </c>
    </row>
    <row r="1142" spans="1:10" x14ac:dyDescent="0.2">
      <c r="A1142" s="2">
        <v>45859</v>
      </c>
      <c r="B1142" s="4">
        <f>(Raw_Stock_Data!B1142/Raw_Stock_Data!B1141)-1</f>
        <v>6.1498455420736509E-3</v>
      </c>
      <c r="C1142" s="4">
        <f>(Raw_Stock_Data!C1142/Raw_Stock_Data!C1141)-1</f>
        <v>1.9605920988041703E-5</v>
      </c>
      <c r="D1142" s="4">
        <f>(Raw_Stock_Data!D1142/Raw_Stock_Data!D1141)-1</f>
        <v>-5.9741314308915383E-3</v>
      </c>
      <c r="E1142" s="4">
        <f>(Raw_Stock_Data!E1142/Raw_Stock_Data!E1141)-1</f>
        <v>6.3698324733962863E-5</v>
      </c>
      <c r="F1142" s="4">
        <f>(Raw_Stock_Data!F1142/Raw_Stock_Data!F1141)-1</f>
        <v>1.4018484942289966E-2</v>
      </c>
      <c r="G1142" s="4">
        <f>(Raw_Stock_Data!G1142/Raw_Stock_Data!G1141)-1</f>
        <v>-3.5188836644926003E-3</v>
      </c>
      <c r="H1142" s="4">
        <f>(Raw_Stock_Data!H1142/Raw_Stock_Data!H1141)-1</f>
        <v>2.7234410461471903E-2</v>
      </c>
      <c r="I1142" s="4">
        <f>(Raw_Stock_Data!I1142/Raw_Stock_Data!I1141)-1</f>
        <v>1.2331743056738897E-2</v>
      </c>
      <c r="J1142" s="4">
        <f>(Raw_Stock_Data!J1142/Raw_Stock_Data!J1141)-1</f>
        <v>3.757239541608115E-3</v>
      </c>
    </row>
    <row r="1143" spans="1:10" x14ac:dyDescent="0.2">
      <c r="A1143" s="2">
        <v>45860</v>
      </c>
      <c r="B1143" s="4">
        <f>(Raw_Stock_Data!B1143/Raw_Stock_Data!B1142)-1</f>
        <v>9.0410454976348475E-3</v>
      </c>
      <c r="C1143" s="4">
        <f>(Raw_Stock_Data!C1143/Raw_Stock_Data!C1142)-1</f>
        <v>-9.3910520330942049E-3</v>
      </c>
      <c r="D1143" s="4">
        <f>(Raw_Stock_Data!D1143/Raw_Stock_Data!D1142)-1</f>
        <v>-2.5382191620959227E-2</v>
      </c>
      <c r="E1143" s="4">
        <f>(Raw_Stock_Data!E1143/Raw_Stock_Data!E1142)-1</f>
        <v>-1.4522292993630614E-2</v>
      </c>
      <c r="F1143" s="4">
        <f>(Raw_Stock_Data!F1143/Raw_Stock_Data!F1142)-1</f>
        <v>-7.9808111644135149E-3</v>
      </c>
      <c r="G1143" s="4">
        <f>(Raw_Stock_Data!G1143/Raw_Stock_Data!G1142)-1</f>
        <v>1.1020122378154529E-2</v>
      </c>
      <c r="H1143" s="4">
        <f>(Raw_Stock_Data!H1143/Raw_Stock_Data!H1142)-1</f>
        <v>6.522882693319243E-3</v>
      </c>
      <c r="I1143" s="4">
        <f>(Raw_Stock_Data!I1143/Raw_Stock_Data!I1142)-1</f>
        <v>-1.1438149137755871E-2</v>
      </c>
      <c r="J1143" s="4">
        <f>(Raw_Stock_Data!J1143/Raw_Stock_Data!J1142)-1</f>
        <v>-3.8847782772810646E-3</v>
      </c>
    </row>
    <row r="1144" spans="1:10" x14ac:dyDescent="0.2">
      <c r="A1144" s="2">
        <v>45861</v>
      </c>
      <c r="B1144" s="4">
        <f>(Raw_Stock_Data!B1144/Raw_Stock_Data!B1143)-1</f>
        <v>-1.1684973124561626E-3</v>
      </c>
      <c r="C1144" s="4">
        <f>(Raw_Stock_Data!C1144/Raw_Stock_Data!C1143)-1</f>
        <v>1.18748391948853E-3</v>
      </c>
      <c r="D1144" s="4">
        <f>(Raw_Stock_Data!D1144/Raw_Stock_Data!D1143)-1</f>
        <v>2.2451056696401794E-2</v>
      </c>
      <c r="E1144" s="4">
        <f>(Raw_Stock_Data!E1144/Raw_Stock_Data!E1143)-1</f>
        <v>2.5400723888314491E-2</v>
      </c>
      <c r="F1144" s="4">
        <f>(Raw_Stock_Data!F1144/Raw_Stock_Data!F1143)-1</f>
        <v>3.6048709719962435E-3</v>
      </c>
      <c r="G1144" s="4">
        <f>(Raw_Stock_Data!G1144/Raw_Stock_Data!G1143)-1</f>
        <v>1.3549727499924114E-3</v>
      </c>
      <c r="H1144" s="4">
        <f>(Raw_Stock_Data!H1144/Raw_Stock_Data!H1143)-1</f>
        <v>-5.8011915961116989E-3</v>
      </c>
      <c r="I1144" s="4">
        <f>(Raw_Stock_Data!I1144/Raw_Stock_Data!I1143)-1</f>
        <v>1.2443069763482528E-2</v>
      </c>
      <c r="J1144" s="4">
        <f>(Raw_Stock_Data!J1144/Raw_Stock_Data!J1143)-1</f>
        <v>6.0944761062362574E-3</v>
      </c>
    </row>
    <row r="1145" spans="1:10" x14ac:dyDescent="0.2">
      <c r="A1145" s="2">
        <v>45862</v>
      </c>
      <c r="B1145" s="4">
        <f>(Raw_Stock_Data!B1145/Raw_Stock_Data!B1144)-1</f>
        <v>-1.8203088441739457E-3</v>
      </c>
      <c r="C1145" s="4">
        <f>(Raw_Stock_Data!C1145/Raw_Stock_Data!C1144)-1</f>
        <v>9.9037302073654576E-3</v>
      </c>
      <c r="D1145" s="4">
        <f>(Raw_Stock_Data!D1145/Raw_Stock_Data!D1144)-1</f>
        <v>1.73322403091698E-2</v>
      </c>
      <c r="E1145" s="4">
        <f>(Raw_Stock_Data!E1145/Raw_Stock_Data!E1144)-1</f>
        <v>2.1872045382918426E-2</v>
      </c>
      <c r="F1145" s="4">
        <f>(Raw_Stock_Data!F1145/Raw_Stock_Data!F1144)-1</f>
        <v>1.7258749835735276E-2</v>
      </c>
      <c r="G1145" s="4">
        <f>(Raw_Stock_Data!G1145/Raw_Stock_Data!G1144)-1</f>
        <v>-8.1970170796247244E-2</v>
      </c>
      <c r="H1145" s="4">
        <f>(Raw_Stock_Data!H1145/Raw_Stock_Data!H1144)-1</f>
        <v>1.0198181149135177E-2</v>
      </c>
      <c r="I1145" s="4">
        <f>(Raw_Stock_Data!I1145/Raw_Stock_Data!I1144)-1</f>
        <v>1.7096891729027064E-3</v>
      </c>
      <c r="J1145" s="4">
        <f>(Raw_Stock_Data!J1145/Raw_Stock_Data!J1144)-1</f>
        <v>1.8049459515261379E-3</v>
      </c>
    </row>
    <row r="1146" spans="1:10" x14ac:dyDescent="0.2">
      <c r="A1146" s="2">
        <v>45863</v>
      </c>
      <c r="B1146" s="4">
        <f>(Raw_Stock_Data!B1146/Raw_Stock_Data!B1145)-1</f>
        <v>5.6255889288414629E-4</v>
      </c>
      <c r="C1146" s="4">
        <f>(Raw_Stock_Data!C1146/Raw_Stock_Data!C1145)-1</f>
        <v>5.5394613216410704E-3</v>
      </c>
      <c r="D1146" s="4">
        <f>(Raw_Stock_Data!D1146/Raw_Stock_Data!D1145)-1</f>
        <v>-1.3813744675953421E-3</v>
      </c>
      <c r="E1146" s="4">
        <f>(Raw_Stock_Data!E1146/Raw_Stock_Data!E1145)-1</f>
        <v>2.6831976313841599E-2</v>
      </c>
      <c r="F1146" s="4">
        <f>(Raw_Stock_Data!F1146/Raw_Stock_Data!F1145)-1</f>
        <v>-3.4017999397149001E-3</v>
      </c>
      <c r="G1146" s="4">
        <f>(Raw_Stock_Data!G1146/Raw_Stock_Data!G1145)-1</f>
        <v>3.5244022273173803E-2</v>
      </c>
      <c r="H1146" s="4">
        <f>(Raw_Stock_Data!H1146/Raw_Stock_Data!H1145)-1</f>
        <v>5.2557631263985272E-3</v>
      </c>
      <c r="I1146" s="4">
        <f>(Raw_Stock_Data!I1146/Raw_Stock_Data!I1145)-1</f>
        <v>-2.9658645775042514E-3</v>
      </c>
      <c r="J1146" s="4">
        <f>(Raw_Stock_Data!J1146/Raw_Stock_Data!J1145)-1</f>
        <v>2.3914947126881803E-3</v>
      </c>
    </row>
    <row r="1147" spans="1:10" x14ac:dyDescent="0.2">
      <c r="A1147" s="2">
        <v>45866</v>
      </c>
      <c r="B1147" s="4">
        <f>(Raw_Stock_Data!B1147/Raw_Stock_Data!B1146)-1</f>
        <v>7.9182499262042683E-4</v>
      </c>
      <c r="C1147" s="4">
        <f>(Raw_Stock_Data!C1147/Raw_Stock_Data!C1146)-1</f>
        <v>-2.3554145334917509E-3</v>
      </c>
      <c r="D1147" s="4">
        <f>(Raw_Stock_Data!D1147/Raw_Stock_Data!D1146)-1</f>
        <v>1.8731988472622474E-2</v>
      </c>
      <c r="E1147" s="4">
        <f>(Raw_Stock_Data!E1147/Raw_Stock_Data!E1146)-1</f>
        <v>4.3190965339100051E-2</v>
      </c>
      <c r="F1147" s="4">
        <f>(Raw_Stock_Data!F1147/Raw_Stock_Data!F1146)-1</f>
        <v>5.8330452817143552E-3</v>
      </c>
      <c r="G1147" s="4">
        <f>(Raw_Stock_Data!G1147/Raw_Stock_Data!G1146)-1</f>
        <v>3.0152502689362759E-2</v>
      </c>
      <c r="H1147" s="4">
        <f>(Raw_Stock_Data!H1147/Raw_Stock_Data!H1146)-1</f>
        <v>-3.1059115850501362E-3</v>
      </c>
      <c r="I1147" s="4">
        <f>(Raw_Stock_Data!I1147/Raw_Stock_Data!I1146)-1</f>
        <v>6.9456137396868289E-3</v>
      </c>
      <c r="J1147" s="4">
        <f>(Raw_Stock_Data!J1147/Raw_Stock_Data!J1146)-1</f>
        <v>3.3285453318880887E-3</v>
      </c>
    </row>
    <row r="1148" spans="1:10" x14ac:dyDescent="0.2">
      <c r="A1148" s="2">
        <v>45867</v>
      </c>
      <c r="B1148" s="4">
        <f>(Raw_Stock_Data!B1148/Raw_Stock_Data!B1147)-1</f>
        <v>-1.2986891385767807E-2</v>
      </c>
      <c r="C1148" s="4">
        <f>(Raw_Stock_Data!C1148/Raw_Stock_Data!C1147)-1</f>
        <v>1.3658536585370307E-4</v>
      </c>
      <c r="D1148" s="4">
        <f>(Raw_Stock_Data!D1148/Raw_Stock_Data!D1147)-1</f>
        <v>-7.0155586987270535E-3</v>
      </c>
      <c r="E1148" s="4">
        <f>(Raw_Stock_Data!E1148/Raw_Stock_Data!E1147)-1</f>
        <v>2.1766670505585672E-2</v>
      </c>
      <c r="F1148" s="4">
        <f>(Raw_Stock_Data!F1148/Raw_Stock_Data!F1147)-1</f>
        <v>-7.6463765625671698E-3</v>
      </c>
      <c r="G1148" s="4">
        <f>(Raw_Stock_Data!G1148/Raw_Stock_Data!G1147)-1</f>
        <v>-1.3483215086458333E-2</v>
      </c>
      <c r="H1148" s="4">
        <f>(Raw_Stock_Data!H1148/Raw_Stock_Data!H1147)-1</f>
        <v>1.6460691660608484E-2</v>
      </c>
      <c r="I1148" s="4">
        <f>(Raw_Stock_Data!I1148/Raw_Stock_Data!I1147)-1</f>
        <v>-2.4566977411758173E-2</v>
      </c>
      <c r="J1148" s="4">
        <f>(Raw_Stock_Data!J1148/Raw_Stock_Data!J1147)-1</f>
        <v>-3.7910945870781587E-3</v>
      </c>
    </row>
    <row r="1149" spans="1:10" x14ac:dyDescent="0.2">
      <c r="A1149" s="2">
        <v>45868</v>
      </c>
      <c r="B1149" s="4">
        <f>(Raw_Stock_Data!B1149/Raw_Stock_Data!B1148)-1</f>
        <v>-1.05062942900781E-2</v>
      </c>
      <c r="C1149" s="4">
        <f>(Raw_Stock_Data!C1149/Raw_Stock_Data!C1148)-1</f>
        <v>1.3071385371752342E-3</v>
      </c>
      <c r="D1149" s="4">
        <f>(Raw_Stock_Data!D1149/Raw_Stock_Data!D1148)-1</f>
        <v>2.1423280724745197E-2</v>
      </c>
      <c r="E1149" s="4">
        <f>(Raw_Stock_Data!E1149/Raw_Stock_Data!E1148)-1</f>
        <v>1.1665915238953994E-2</v>
      </c>
      <c r="F1149" s="4">
        <f>(Raw_Stock_Data!F1149/Raw_Stock_Data!F1148)-1</f>
        <v>-3.5496298861520392E-3</v>
      </c>
      <c r="G1149" s="4">
        <f>(Raw_Stock_Data!G1149/Raw_Stock_Data!G1148)-1</f>
        <v>-6.7247820672476921E-3</v>
      </c>
      <c r="H1149" s="4">
        <f>(Raw_Stock_Data!H1149/Raw_Stock_Data!H1148)-1</f>
        <v>3.9846743295020026E-3</v>
      </c>
      <c r="I1149" s="4">
        <f>(Raw_Stock_Data!I1149/Raw_Stock_Data!I1148)-1</f>
        <v>-6.8428571428570395E-3</v>
      </c>
      <c r="J1149" s="4">
        <f>(Raw_Stock_Data!J1149/Raw_Stock_Data!J1148)-1</f>
        <v>1.4873243281801063E-3</v>
      </c>
    </row>
    <row r="1150" spans="1:10" x14ac:dyDescent="0.2">
      <c r="A1150" s="2">
        <v>45869</v>
      </c>
      <c r="B1150" s="4">
        <f>(Raw_Stock_Data!B1150/Raw_Stock_Data!B1149)-1</f>
        <v>-7.0801635580098887E-3</v>
      </c>
      <c r="C1150" s="4">
        <f>(Raw_Stock_Data!C1150/Raw_Stock_Data!C1149)-1</f>
        <v>3.9474709687475684E-2</v>
      </c>
      <c r="D1150" s="4">
        <f>(Raw_Stock_Data!D1150/Raw_Stock_Data!D1149)-1</f>
        <v>-7.8094494338148968E-3</v>
      </c>
      <c r="E1150" s="4">
        <f>(Raw_Stock_Data!E1150/Raw_Stock_Data!E1149)-1</f>
        <v>-1.7826304941228832E-2</v>
      </c>
      <c r="F1150" s="4">
        <f>(Raw_Stock_Data!F1150/Raw_Stock_Data!F1149)-1</f>
        <v>1.7029410486989027E-2</v>
      </c>
      <c r="G1150" s="4">
        <f>(Raw_Stock_Data!G1150/Raw_Stock_Data!G1149)-1</f>
        <v>-3.3757522567703258E-2</v>
      </c>
      <c r="H1150" s="4">
        <f>(Raw_Stock_Data!H1150/Raw_Stock_Data!H1149)-1</f>
        <v>-2.3558744212079596E-2</v>
      </c>
      <c r="I1150" s="4">
        <f>(Raw_Stock_Data!I1150/Raw_Stock_Data!I1149)-1</f>
        <v>0.1125271500697631</v>
      </c>
      <c r="J1150" s="4">
        <f>(Raw_Stock_Data!J1150/Raw_Stock_Data!J1149)-1</f>
        <v>-3.4169961007424199E-4</v>
      </c>
    </row>
    <row r="1151" spans="1:10" x14ac:dyDescent="0.2">
      <c r="A1151" s="2">
        <v>45870</v>
      </c>
      <c r="B1151" s="4">
        <f>(Raw_Stock_Data!B1151/Raw_Stock_Data!B1150)-1</f>
        <v>-2.5003138065213704E-2</v>
      </c>
      <c r="C1151" s="4">
        <f>(Raw_Stock_Data!C1151/Raw_Stock_Data!C1150)-1</f>
        <v>-1.7600749765698143E-2</v>
      </c>
      <c r="D1151" s="4">
        <f>(Raw_Stock_Data!D1151/Raw_Stock_Data!D1150)-1</f>
        <v>-2.3331646708270148E-2</v>
      </c>
      <c r="E1151" s="4">
        <f>(Raw_Stock_Data!E1151/Raw_Stock_Data!E1150)-1</f>
        <v>-2.6147127219102839E-2</v>
      </c>
      <c r="F1151" s="4">
        <f>(Raw_Stock_Data!F1151/Raw_Stock_Data!F1150)-1</f>
        <v>-8.2696168467814357E-2</v>
      </c>
      <c r="G1151" s="4">
        <f>(Raw_Stock_Data!G1151/Raw_Stock_Data!G1150)-1</f>
        <v>-1.8295649917280277E-2</v>
      </c>
      <c r="H1151" s="4">
        <f>(Raw_Stock_Data!H1151/Raw_Stock_Data!H1150)-1</f>
        <v>-1.4434601354872401E-2</v>
      </c>
      <c r="I1151" s="4">
        <f>(Raw_Stock_Data!I1151/Raw_Stock_Data!I1150)-1</f>
        <v>-3.0293235415804753E-2</v>
      </c>
      <c r="J1151" s="4">
        <f>(Raw_Stock_Data!J1151/Raw_Stock_Data!J1150)-1</f>
        <v>-2.2361042398017283E-2</v>
      </c>
    </row>
    <row r="1152" spans="1:10" x14ac:dyDescent="0.2">
      <c r="A1152" s="2">
        <v>45873</v>
      </c>
      <c r="B1152" s="4">
        <f>(Raw_Stock_Data!B1152/Raw_Stock_Data!B1151)-1</f>
        <v>4.7881953900621443E-3</v>
      </c>
      <c r="C1152" s="4">
        <f>(Raw_Stock_Data!C1152/Raw_Stock_Data!C1151)-1</f>
        <v>2.1999198641506457E-2</v>
      </c>
      <c r="D1152" s="4">
        <f>(Raw_Stock_Data!D1152/Raw_Stock_Data!D1151)-1</f>
        <v>3.6150126640571045E-2</v>
      </c>
      <c r="E1152" s="4">
        <f>(Raw_Stock_Data!E1152/Raw_Stock_Data!E1151)-1</f>
        <v>2.9586488060570737E-2</v>
      </c>
      <c r="F1152" s="4">
        <f>(Raw_Stock_Data!F1152/Raw_Stock_Data!F1151)-1</f>
        <v>-1.4435389988358582E-2</v>
      </c>
      <c r="G1152" s="4">
        <f>(Raw_Stock_Data!G1152/Raw_Stock_Data!G1151)-1</f>
        <v>2.1907940389254144E-2</v>
      </c>
      <c r="H1152" s="4">
        <f>(Raw_Stock_Data!H1152/Raw_Stock_Data!H1151)-1</f>
        <v>3.1248347697351075E-2</v>
      </c>
      <c r="I1152" s="4">
        <f>(Raw_Stock_Data!I1152/Raw_Stock_Data!I1151)-1</f>
        <v>3.5146198050692634E-2</v>
      </c>
      <c r="J1152" s="4">
        <f>(Raw_Stock_Data!J1152/Raw_Stock_Data!J1151)-1</f>
        <v>1.9537407270559637E-2</v>
      </c>
    </row>
    <row r="1153" spans="1:10" x14ac:dyDescent="0.2">
      <c r="A1153" s="2">
        <v>45874</v>
      </c>
      <c r="B1153" s="4">
        <f>(Raw_Stock_Data!B1153/Raw_Stock_Data!B1152)-1</f>
        <v>-2.109184809926945E-3</v>
      </c>
      <c r="C1153" s="4">
        <f>(Raw_Stock_Data!C1153/Raw_Stock_Data!C1152)-1</f>
        <v>-1.473004256590249E-2</v>
      </c>
      <c r="D1153" s="4">
        <f>(Raw_Stock_Data!D1153/Raw_Stock_Data!D1152)-1</f>
        <v>-9.6666666666667123E-3</v>
      </c>
      <c r="E1153" s="4">
        <f>(Raw_Stock_Data!E1153/Raw_Stock_Data!E1152)-1</f>
        <v>-1.3972168797375284E-2</v>
      </c>
      <c r="F1153" s="4">
        <f>(Raw_Stock_Data!F1153/Raw_Stock_Data!F1152)-1</f>
        <v>9.9220411055989111E-3</v>
      </c>
      <c r="G1153" s="4">
        <f>(Raw_Stock_Data!G1153/Raw_Stock_Data!G1152)-1</f>
        <v>-1.7461036021469978E-3</v>
      </c>
      <c r="H1153" s="4">
        <f>(Raw_Stock_Data!H1153/Raw_Stock_Data!H1152)-1</f>
        <v>-1.8970467596390872E-3</v>
      </c>
      <c r="I1153" s="4">
        <f>(Raw_Stock_Data!I1153/Raw_Stock_Data!I1152)-1</f>
        <v>-1.6628669320040701E-2</v>
      </c>
      <c r="J1153" s="4">
        <f>(Raw_Stock_Data!J1153/Raw_Stock_Data!J1152)-1</f>
        <v>-6.5086317861381415E-3</v>
      </c>
    </row>
    <row r="1154" spans="1:10" x14ac:dyDescent="0.2">
      <c r="A1154" s="2">
        <v>45875</v>
      </c>
      <c r="B1154" s="4">
        <f>(Raw_Stock_Data!B1154/Raw_Stock_Data!B1153)-1</f>
        <v>5.0905212006281619E-2</v>
      </c>
      <c r="C1154" s="4">
        <f>(Raw_Stock_Data!C1154/Raw_Stock_Data!C1153)-1</f>
        <v>-5.3244907626716076E-3</v>
      </c>
      <c r="D1154" s="4">
        <f>(Raw_Stock_Data!D1154/Raw_Stock_Data!D1153)-1</f>
        <v>6.5073488163356341E-3</v>
      </c>
      <c r="E1154" s="4">
        <f>(Raw_Stock_Data!E1154/Raw_Stock_Data!E1153)-1</f>
        <v>-6.4195972692329795E-2</v>
      </c>
      <c r="F1154" s="4">
        <f>(Raw_Stock_Data!F1154/Raw_Stock_Data!F1153)-1</f>
        <v>4.0046783625730997E-2</v>
      </c>
      <c r="G1154" s="4">
        <f>(Raw_Stock_Data!G1154/Raw_Stock_Data!G1153)-1</f>
        <v>3.6246436900751577E-2</v>
      </c>
      <c r="H1154" s="4">
        <f>(Raw_Stock_Data!H1154/Raw_Stock_Data!H1153)-1</f>
        <v>7.294395643910212E-3</v>
      </c>
      <c r="I1154" s="4">
        <f>(Raw_Stock_Data!I1154/Raw_Stock_Data!I1153)-1</f>
        <v>1.1172818484268987E-2</v>
      </c>
      <c r="J1154" s="4">
        <f>(Raw_Stock_Data!J1154/Raw_Stock_Data!J1153)-1</f>
        <v>1.208946982174397E-2</v>
      </c>
    </row>
    <row r="1155" spans="1:10" x14ac:dyDescent="0.2">
      <c r="A1155" s="2">
        <v>45876</v>
      </c>
      <c r="B1155" s="4">
        <f>(Raw_Stock_Data!B1155/Raw_Stock_Data!B1154)-1</f>
        <v>3.1794813958515578E-2</v>
      </c>
      <c r="C1155" s="4">
        <f>(Raw_Stock_Data!C1155/Raw_Stock_Data!C1154)-1</f>
        <v>-7.8104164285442979E-3</v>
      </c>
      <c r="D1155" s="4">
        <f>(Raw_Stock_Data!D1155/Raw_Stock_Data!D1154)-1</f>
        <v>7.5242447887640118E-3</v>
      </c>
      <c r="E1155" s="4">
        <f>(Raw_Stock_Data!E1155/Raw_Stock_Data!E1154)-1</f>
        <v>5.689063266307004E-2</v>
      </c>
      <c r="F1155" s="4">
        <f>(Raw_Stock_Data!F1155/Raw_Stock_Data!F1154)-1</f>
        <v>3.6885430255049201E-3</v>
      </c>
      <c r="G1155" s="4">
        <f>(Raw_Stock_Data!G1155/Raw_Stock_Data!G1154)-1</f>
        <v>7.3770748022881083E-3</v>
      </c>
      <c r="H1155" s="4">
        <f>(Raw_Stock_Data!H1155/Raw_Stock_Data!H1154)-1</f>
        <v>2.1928706206333359E-3</v>
      </c>
      <c r="I1155" s="4">
        <f>(Raw_Stock_Data!I1155/Raw_Stock_Data!I1154)-1</f>
        <v>-1.3160792238241403E-2</v>
      </c>
      <c r="J1155" s="4">
        <f>(Raw_Stock_Data!J1155/Raw_Stock_Data!J1154)-1</f>
        <v>3.4615969639226751E-3</v>
      </c>
    </row>
    <row r="1156" spans="1:10" x14ac:dyDescent="0.2">
      <c r="A1156" s="2">
        <v>45877</v>
      </c>
      <c r="B1156" s="4">
        <f>(Raw_Stock_Data!B1156/Raw_Stock_Data!B1155)-1</f>
        <v>4.2355898855935159E-2</v>
      </c>
      <c r="C1156" s="4">
        <f>(Raw_Stock_Data!C1156/Raw_Stock_Data!C1155)-1</f>
        <v>2.303970509177411E-3</v>
      </c>
      <c r="D1156" s="4">
        <f>(Raw_Stock_Data!D1156/Raw_Stock_Data!D1155)-1</f>
        <v>1.0676550312551658E-2</v>
      </c>
      <c r="E1156" s="4">
        <f>(Raw_Stock_Data!E1156/Raw_Stock_Data!E1155)-1</f>
        <v>2.0881670533641206E-3</v>
      </c>
      <c r="F1156" s="4">
        <f>(Raw_Stock_Data!F1156/Raw_Stock_Data!F1155)-1</f>
        <v>-1.9719446062833601E-3</v>
      </c>
      <c r="G1156" s="4">
        <f>(Raw_Stock_Data!G1156/Raw_Stock_Data!G1155)-1</f>
        <v>2.2900052750798983E-2</v>
      </c>
      <c r="H1156" s="4">
        <f>(Raw_Stock_Data!H1156/Raw_Stock_Data!H1155)-1</f>
        <v>2.4933848972114703E-2</v>
      </c>
      <c r="I1156" s="4">
        <f>(Raw_Stock_Data!I1156/Raw_Stock_Data!I1155)-1</f>
        <v>9.8053371487076824E-3</v>
      </c>
      <c r="J1156" s="4">
        <f>(Raw_Stock_Data!J1156/Raw_Stock_Data!J1155)-1</f>
        <v>9.7595879996421608E-3</v>
      </c>
    </row>
    <row r="1157" spans="1:10" x14ac:dyDescent="0.2">
      <c r="A1157" s="2">
        <v>45880</v>
      </c>
      <c r="B1157" s="4">
        <f>(Raw_Stock_Data!B1157/Raw_Stock_Data!B1156)-1</f>
        <v>-8.3366831536081376E-3</v>
      </c>
      <c r="C1157" s="4">
        <f>(Raw_Stock_Data!C1157/Raw_Stock_Data!C1156)-1</f>
        <v>-5.1720174699254606E-4</v>
      </c>
      <c r="D1157" s="4">
        <f>(Raw_Stock_Data!D1157/Raw_Stock_Data!D1156)-1</f>
        <v>-3.5030103995620232E-3</v>
      </c>
      <c r="E1157" s="4">
        <f>(Raw_Stock_Data!E1157/Raw_Stock_Data!E1156)-1</f>
        <v>-2.778420930770964E-3</v>
      </c>
      <c r="F1157" s="4">
        <f>(Raw_Stock_Data!F1157/Raw_Stock_Data!F1156)-1</f>
        <v>-6.2418608828415101E-3</v>
      </c>
      <c r="G1157" s="4">
        <f>(Raw_Stock_Data!G1157/Raw_Stock_Data!G1156)-1</f>
        <v>2.8454421355983639E-2</v>
      </c>
      <c r="H1157" s="4">
        <f>(Raw_Stock_Data!H1157/Raw_Stock_Data!H1156)-1</f>
        <v>-2.085195114685634E-3</v>
      </c>
      <c r="I1157" s="4">
        <f>(Raw_Stock_Data!I1157/Raw_Stock_Data!I1156)-1</f>
        <v>-4.4585987261145377E-3</v>
      </c>
      <c r="J1157" s="4">
        <f>(Raw_Stock_Data!J1157/Raw_Stock_Data!J1156)-1</f>
        <v>-3.0125846036507253E-3</v>
      </c>
    </row>
    <row r="1158" spans="1:10" x14ac:dyDescent="0.2">
      <c r="A1158" s="2">
        <v>45881</v>
      </c>
      <c r="B1158" s="4">
        <f>(Raw_Stock_Data!B1158/Raw_Stock_Data!B1157)-1</f>
        <v>1.087416284807885E-2</v>
      </c>
      <c r="C1158" s="4">
        <f>(Raw_Stock_Data!C1158/Raw_Stock_Data!C1157)-1</f>
        <v>1.4316652931368301E-2</v>
      </c>
      <c r="D1158" s="4">
        <f>(Raw_Stock_Data!D1158/Raw_Stock_Data!D1157)-1</f>
        <v>6.0419641876303665E-3</v>
      </c>
      <c r="E1158" s="4">
        <f>(Raw_Stock_Data!E1158/Raw_Stock_Data!E1157)-1</f>
        <v>1.5498026468539594E-2</v>
      </c>
      <c r="F1158" s="4">
        <f>(Raw_Stock_Data!F1158/Raw_Stock_Data!F1157)-1</f>
        <v>7.681879801173519E-4</v>
      </c>
      <c r="G1158" s="4">
        <f>(Raw_Stock_Data!G1158/Raw_Stock_Data!G1157)-1</f>
        <v>5.3387605816594963E-3</v>
      </c>
      <c r="H1158" s="4">
        <f>(Raw_Stock_Data!H1158/Raw_Stock_Data!H1157)-1</f>
        <v>1.164179104477614E-2</v>
      </c>
      <c r="I1158" s="4">
        <f>(Raw_Stock_Data!I1158/Raw_Stock_Data!I1157)-1</f>
        <v>3.1506652565056692E-2</v>
      </c>
      <c r="J1158" s="4">
        <f>(Raw_Stock_Data!J1158/Raw_Stock_Data!J1157)-1</f>
        <v>1.3864599212546791E-2</v>
      </c>
    </row>
    <row r="1159" spans="1:10" x14ac:dyDescent="0.2">
      <c r="A1159" s="2">
        <v>45882</v>
      </c>
      <c r="B1159" s="4">
        <f>(Raw_Stock_Data!B1159/Raw_Stock_Data!B1158)-1</f>
        <v>1.6022455846714578E-2</v>
      </c>
      <c r="C1159" s="4">
        <f>(Raw_Stock_Data!C1159/Raw_Stock_Data!C1158)-1</f>
        <v>-1.6363086690348361E-2</v>
      </c>
      <c r="D1159" s="4">
        <f>(Raw_Stock_Data!D1159/Raw_Stock_Data!D1158)-1</f>
        <v>-8.5717405547062198E-3</v>
      </c>
      <c r="E1159" s="4">
        <f>(Raw_Stock_Data!E1159/Raw_Stock_Data!E1158)-1</f>
        <v>5.4129751357530731E-2</v>
      </c>
      <c r="F1159" s="4">
        <f>(Raw_Stock_Data!F1159/Raw_Stock_Data!F1158)-1</f>
        <v>1.3952228292771096E-2</v>
      </c>
      <c r="G1159" s="4">
        <f>(Raw_Stock_Data!G1159/Raw_Stock_Data!G1158)-1</f>
        <v>-4.2835347963853243E-3</v>
      </c>
      <c r="H1159" s="4">
        <f>(Raw_Stock_Data!H1159/Raw_Stock_Data!H1158)-1</f>
        <v>-6.7866627323693862E-3</v>
      </c>
      <c r="I1159" s="4">
        <f>(Raw_Stock_Data!I1159/Raw_Stock_Data!I1158)-1</f>
        <v>-1.255696202531642E-2</v>
      </c>
      <c r="J1159" s="4">
        <f>(Raw_Stock_Data!J1159/Raw_Stock_Data!J1158)-1</f>
        <v>1.4408331373172434E-3</v>
      </c>
    </row>
    <row r="1160" spans="1:10" x14ac:dyDescent="0.2">
      <c r="A1160" s="2">
        <v>45883</v>
      </c>
      <c r="B1160" s="4">
        <f>(Raw_Stock_Data!B1160/Raw_Stock_Data!B1159)-1</f>
        <v>-2.3551719404214522E-3</v>
      </c>
      <c r="C1160" s="4">
        <f>(Raw_Stock_Data!C1160/Raw_Stock_Data!C1159)-1</f>
        <v>3.6497752506818859E-3</v>
      </c>
      <c r="D1160" s="4">
        <f>(Raw_Stock_Data!D1160/Raw_Stock_Data!D1159)-1</f>
        <v>2.367971804614788E-3</v>
      </c>
      <c r="E1160" s="4">
        <f>(Raw_Stock_Data!E1160/Raw_Stock_Data!E1159)-1</f>
        <v>-1.8815746665220678E-2</v>
      </c>
      <c r="F1160" s="4">
        <f>(Raw_Stock_Data!F1160/Raw_Stock_Data!F1159)-1</f>
        <v>2.8589241182757297E-2</v>
      </c>
      <c r="G1160" s="4">
        <f>(Raw_Stock_Data!G1160/Raw_Stock_Data!G1159)-1</f>
        <v>-1.1196888443632536E-2</v>
      </c>
      <c r="H1160" s="4">
        <f>(Raw_Stock_Data!H1160/Raw_Stock_Data!H1159)-1</f>
        <v>4.8524460289165461E-3</v>
      </c>
      <c r="I1160" s="4">
        <f>(Raw_Stock_Data!I1160/Raw_Stock_Data!I1159)-1</f>
        <v>2.6279355963489959E-3</v>
      </c>
      <c r="J1160" s="4">
        <f>(Raw_Stock_Data!J1160/Raw_Stock_Data!J1159)-1</f>
        <v>-1.1375600212593096E-4</v>
      </c>
    </row>
    <row r="1161" spans="1:10" x14ac:dyDescent="0.2">
      <c r="A1161" s="2">
        <v>45884</v>
      </c>
      <c r="B1161" s="4">
        <f>(Raw_Stock_Data!B1161/Raw_Stock_Data!B1160)-1</f>
        <v>-5.1127690223817801E-3</v>
      </c>
      <c r="C1161" s="4">
        <f>(Raw_Stock_Data!C1161/Raw_Stock_Data!C1160)-1</f>
        <v>-4.4212218649518631E-3</v>
      </c>
      <c r="D1161" s="4">
        <f>(Raw_Stock_Data!D1161/Raw_Stock_Data!D1160)-1</f>
        <v>-8.62542577738723E-3</v>
      </c>
      <c r="E1161" s="4">
        <f>(Raw_Stock_Data!E1161/Raw_Stock_Data!E1160)-1</f>
        <v>-1.9010776457584977E-2</v>
      </c>
      <c r="F1161" s="4">
        <f>(Raw_Stock_Data!F1161/Raw_Stock_Data!F1160)-1</f>
        <v>2.1646895835147895E-4</v>
      </c>
      <c r="G1161" s="4">
        <f>(Raw_Stock_Data!G1161/Raw_Stock_Data!G1160)-1</f>
        <v>-1.4959175159425464E-2</v>
      </c>
      <c r="H1161" s="4">
        <f>(Raw_Stock_Data!H1161/Raw_Stock_Data!H1160)-1</f>
        <v>4.7304622055779344E-3</v>
      </c>
      <c r="I1161" s="4">
        <f>(Raw_Stock_Data!I1161/Raw_Stock_Data!I1160)-1</f>
        <v>3.9635354736424766E-3</v>
      </c>
      <c r="J1161" s="4">
        <f>(Raw_Stock_Data!J1161/Raw_Stock_Data!J1160)-1</f>
        <v>-4.0390278144339931E-3</v>
      </c>
    </row>
    <row r="1162" spans="1:10" x14ac:dyDescent="0.2">
      <c r="A1162" s="2">
        <v>45887</v>
      </c>
      <c r="B1162" s="4">
        <f>(Raw_Stock_Data!B1162/Raw_Stock_Data!B1161)-1</f>
        <v>-3.0255093661126775E-3</v>
      </c>
      <c r="C1162" s="4">
        <f>(Raw_Stock_Data!C1162/Raw_Stock_Data!C1161)-1</f>
        <v>-5.9019166810848622E-3</v>
      </c>
      <c r="D1162" s="4">
        <f>(Raw_Stock_Data!D1162/Raw_Stock_Data!D1161)-1</f>
        <v>8.6450540315876623E-3</v>
      </c>
      <c r="E1162" s="4">
        <f>(Raw_Stock_Data!E1162/Raw_Stock_Data!E1161)-1</f>
        <v>-7.7178750492929993E-3</v>
      </c>
      <c r="F1162" s="4">
        <f>(Raw_Stock_Data!F1162/Raw_Stock_Data!F1161)-1</f>
        <v>1.9910834090810514E-3</v>
      </c>
      <c r="G1162" s="4">
        <f>(Raw_Stock_Data!G1162/Raw_Stock_Data!G1161)-1</f>
        <v>1.3915779283639962E-2</v>
      </c>
      <c r="H1162" s="4">
        <f>(Raw_Stock_Data!H1162/Raw_Stock_Data!H1161)-1</f>
        <v>-1.9617459538989745E-3</v>
      </c>
      <c r="I1162" s="4">
        <f>(Raw_Stock_Data!I1162/Raw_Stock_Data!I1161)-1</f>
        <v>-2.2744928237586448E-2</v>
      </c>
      <c r="J1162" s="4">
        <f>(Raw_Stock_Data!J1162/Raw_Stock_Data!J1161)-1</f>
        <v>3.1401777183348578E-4</v>
      </c>
    </row>
    <row r="1163" spans="1:10" x14ac:dyDescent="0.2">
      <c r="A1163" s="2">
        <v>45888</v>
      </c>
      <c r="B1163" s="4">
        <f>(Raw_Stock_Data!B1163/Raw_Stock_Data!B1162)-1</f>
        <v>-1.4263047003025831E-3</v>
      </c>
      <c r="C1163" s="4">
        <f>(Raw_Stock_Data!C1163/Raw_Stock_Data!C1162)-1</f>
        <v>-1.4175207890156694E-2</v>
      </c>
      <c r="D1163" s="4">
        <f>(Raw_Stock_Data!D1163/Raw_Stock_Data!D1162)-1</f>
        <v>-3.4998077028734698E-2</v>
      </c>
      <c r="E1163" s="4">
        <f>(Raw_Stock_Data!E1163/Raw_Stock_Data!E1162)-1</f>
        <v>-5.4445327580333713E-2</v>
      </c>
      <c r="F1163" s="4">
        <f>(Raw_Stock_Data!F1163/Raw_Stock_Data!F1162)-1</f>
        <v>-1.5033046783878401E-2</v>
      </c>
      <c r="G1163" s="4">
        <f>(Raw_Stock_Data!G1163/Raw_Stock_Data!G1162)-1</f>
        <v>-1.7454350161117183E-2</v>
      </c>
      <c r="H1163" s="4">
        <f>(Raw_Stock_Data!H1163/Raw_Stock_Data!H1162)-1</f>
        <v>-9.4840294840294881E-3</v>
      </c>
      <c r="I1163" s="4">
        <f>(Raw_Stock_Data!I1163/Raw_Stock_Data!I1162)-1</f>
        <v>-2.0707090451802856E-2</v>
      </c>
      <c r="J1163" s="4">
        <f>(Raw_Stock_Data!J1163/Raw_Stock_Data!J1162)-1</f>
        <v>-1.4554939789003796E-2</v>
      </c>
    </row>
    <row r="1164" spans="1:10" x14ac:dyDescent="0.2">
      <c r="A1164" s="2">
        <v>45889</v>
      </c>
      <c r="B1164" s="4">
        <f>(Raw_Stock_Data!B1164/Raw_Stock_Data!B1163)-1</f>
        <v>-1.9736299422150938E-2</v>
      </c>
      <c r="C1164" s="4">
        <f>(Raw_Stock_Data!C1164/Raw_Stock_Data!C1163)-1</f>
        <v>-7.9447594012985734E-3</v>
      </c>
      <c r="D1164" s="4">
        <f>(Raw_Stock_Data!D1164/Raw_Stock_Data!D1163)-1</f>
        <v>-1.3664313368252357E-3</v>
      </c>
      <c r="E1164" s="4">
        <f>(Raw_Stock_Data!E1164/Raw_Stock_Data!E1163)-1</f>
        <v>-8.1056739717804138E-3</v>
      </c>
      <c r="F1164" s="4">
        <f>(Raw_Stock_Data!F1164/Raw_Stock_Data!F1163)-1</f>
        <v>-1.8420244726108481E-2</v>
      </c>
      <c r="G1164" s="4">
        <f>(Raw_Stock_Data!G1164/Raw_Stock_Data!G1163)-1</f>
        <v>-1.6428289453706335E-2</v>
      </c>
      <c r="H1164" s="4">
        <f>(Raw_Stock_Data!H1164/Raw_Stock_Data!H1163)-1</f>
        <v>-1.1162375353475196E-2</v>
      </c>
      <c r="I1164" s="4">
        <f>(Raw_Stock_Data!I1164/Raw_Stock_Data!I1163)-1</f>
        <v>-5.0034598392505458E-3</v>
      </c>
      <c r="J1164" s="4">
        <f>(Raw_Stock_Data!J1164/Raw_Stock_Data!J1163)-1</f>
        <v>-6.6662131508635758E-3</v>
      </c>
    </row>
    <row r="1165" spans="1:10" x14ac:dyDescent="0.2">
      <c r="A1165" s="2">
        <v>45890</v>
      </c>
      <c r="B1165" s="4">
        <f>(Raw_Stock_Data!B1165/Raw_Stock_Data!B1164)-1</f>
        <v>-4.9116218095496267E-3</v>
      </c>
      <c r="C1165" s="4">
        <f>(Raw_Stock_Data!C1165/Raw_Stock_Data!C1164)-1</f>
        <v>-2.9265206042869973E-3</v>
      </c>
      <c r="D1165" s="4">
        <f>(Raw_Stock_Data!D1165/Raw_Stock_Data!D1164)-1</f>
        <v>-2.3945267958951355E-3</v>
      </c>
      <c r="E1165" s="4">
        <f>(Raw_Stock_Data!E1165/Raw_Stock_Data!E1164)-1</f>
        <v>-9.0193704600483038E-3</v>
      </c>
      <c r="F1165" s="4">
        <f>(Raw_Stock_Data!F1165/Raw_Stock_Data!F1164)-1</f>
        <v>-8.31062061570087E-3</v>
      </c>
      <c r="G1165" s="4">
        <f>(Raw_Stock_Data!G1165/Raw_Stock_Data!G1164)-1</f>
        <v>-1.1701142327878888E-2</v>
      </c>
      <c r="H1165" s="4">
        <f>(Raw_Stock_Data!H1165/Raw_Stock_Data!H1164)-1</f>
        <v>2.1573349387919993E-3</v>
      </c>
      <c r="I1165" s="4">
        <f>(Raw_Stock_Data!I1165/Raw_Stock_Data!I1164)-1</f>
        <v>-1.1528379607339656E-2</v>
      </c>
      <c r="J1165" s="4">
        <f>(Raw_Stock_Data!J1165/Raw_Stock_Data!J1164)-1</f>
        <v>-3.4265564500969292E-3</v>
      </c>
    </row>
    <row r="1166" spans="1:10" x14ac:dyDescent="0.2">
      <c r="A1166" s="2">
        <v>45891</v>
      </c>
      <c r="B1166" s="4">
        <f>(Raw_Stock_Data!B1166/Raw_Stock_Data!B1165)-1</f>
        <v>1.2715749370221019E-2</v>
      </c>
      <c r="C1166" s="4">
        <f>(Raw_Stock_Data!C1166/Raw_Stock_Data!C1165)-1</f>
        <v>5.9297160082500966E-3</v>
      </c>
      <c r="D1166" s="4">
        <f>(Raw_Stock_Data!D1166/Raw_Stock_Data!D1165)-1</f>
        <v>1.7201965938964614E-2</v>
      </c>
      <c r="E1166" s="4">
        <f>(Raw_Stock_Data!E1166/Raw_Stock_Data!E1165)-1</f>
        <v>2.473886750962051E-2</v>
      </c>
      <c r="F1166" s="4">
        <f>(Raw_Stock_Data!F1166/Raw_Stock_Data!F1165)-1</f>
        <v>3.1043027708943516E-2</v>
      </c>
      <c r="G1166" s="4">
        <f>(Raw_Stock_Data!G1166/Raw_Stock_Data!G1165)-1</f>
        <v>6.2166130392677488E-2</v>
      </c>
      <c r="H1166" s="4">
        <f>(Raw_Stock_Data!H1166/Raw_Stock_Data!H1165)-1</f>
        <v>3.1739674593241674E-2</v>
      </c>
      <c r="I1166" s="4">
        <f>(Raw_Stock_Data!I1166/Raw_Stock_Data!I1165)-1</f>
        <v>2.1228521174401216E-2</v>
      </c>
      <c r="J1166" s="4">
        <f>(Raw_Stock_Data!J1166/Raw_Stock_Data!J1165)-1</f>
        <v>1.8778397094639798E-2</v>
      </c>
    </row>
    <row r="1167" spans="1:10" x14ac:dyDescent="0.2">
      <c r="A1167" s="2">
        <v>45894</v>
      </c>
      <c r="B1167" s="4">
        <f>(Raw_Stock_Data!B1167/Raw_Stock_Data!B1166)-1</f>
        <v>-2.6325157445535874E-3</v>
      </c>
      <c r="C1167" s="4">
        <f>(Raw_Stock_Data!C1167/Raw_Stock_Data!C1166)-1</f>
        <v>-5.8553319007157434E-3</v>
      </c>
      <c r="D1167" s="4">
        <f>(Raw_Stock_Data!D1167/Raw_Stock_Data!D1166)-1</f>
        <v>1.0225293555817805E-2</v>
      </c>
      <c r="E1167" s="4">
        <f>(Raw_Stock_Data!E1167/Raw_Stock_Data!E1166)-1</f>
        <v>-2.6227944682880144E-2</v>
      </c>
      <c r="F1167" s="4">
        <f>(Raw_Stock_Data!F1167/Raw_Stock_Data!F1166)-1</f>
        <v>-3.9328788673309578E-3</v>
      </c>
      <c r="G1167" s="4">
        <f>(Raw_Stock_Data!G1167/Raw_Stock_Data!G1166)-1</f>
        <v>1.9381782888738597E-2</v>
      </c>
      <c r="H1167" s="4">
        <f>(Raw_Stock_Data!H1167/Raw_Stock_Data!H1166)-1</f>
        <v>1.1645397641806943E-2</v>
      </c>
      <c r="I1167" s="4">
        <f>(Raw_Stock_Data!I1167/Raw_Stock_Data!I1166)-1</f>
        <v>-1.9740590097908628E-3</v>
      </c>
      <c r="J1167" s="4">
        <f>(Raw_Stock_Data!J1167/Raw_Stock_Data!J1166)-1</f>
        <v>-2.1980281477856911E-3</v>
      </c>
    </row>
    <row r="1168" spans="1:10" x14ac:dyDescent="0.2">
      <c r="A1168" s="2">
        <v>45895</v>
      </c>
      <c r="B1168" s="4">
        <f>(Raw_Stock_Data!B1168/Raw_Stock_Data!B1167)-1</f>
        <v>9.4650568432184112E-3</v>
      </c>
      <c r="C1168" s="4">
        <f>(Raw_Stock_Data!C1168/Raw_Stock_Data!C1167)-1</f>
        <v>-4.4024907785665812E-3</v>
      </c>
      <c r="D1168" s="4">
        <f>(Raw_Stock_Data!D1168/Raw_Stock_Data!D1167)-1</f>
        <v>1.0900394861242502E-2</v>
      </c>
      <c r="E1168" s="4">
        <f>(Raw_Stock_Data!E1168/Raw_Stock_Data!E1167)-1</f>
        <v>1.9955925563173382E-2</v>
      </c>
      <c r="F1168" s="4">
        <f>(Raw_Stock_Data!F1168/Raw_Stock_Data!F1167)-1</f>
        <v>3.3780819513906657E-3</v>
      </c>
      <c r="G1168" s="4">
        <f>(Raw_Stock_Data!G1168/Raw_Stock_Data!G1167)-1</f>
        <v>1.4627813040969384E-2</v>
      </c>
      <c r="H1168" s="4">
        <f>(Raw_Stock_Data!H1168/Raw_Stock_Data!H1167)-1</f>
        <v>-6.4751307017124615E-3</v>
      </c>
      <c r="I1168" s="4">
        <f>(Raw_Stock_Data!I1168/Raw_Stock_Data!I1167)-1</f>
        <v>1.0619938935352291E-3</v>
      </c>
      <c r="J1168" s="4">
        <f>(Raw_Stock_Data!J1168/Raw_Stock_Data!J1167)-1</f>
        <v>4.4281185997299133E-3</v>
      </c>
    </row>
    <row r="1169" spans="1:10" x14ac:dyDescent="0.2">
      <c r="A1169" s="2">
        <v>45896</v>
      </c>
      <c r="B1169" s="4">
        <f>(Raw_Stock_Data!B1169/Raw_Stock_Data!B1168)-1</f>
        <v>5.1464939237324536E-3</v>
      </c>
      <c r="C1169" s="4">
        <f>(Raw_Stock_Data!C1169/Raw_Stock_Data!C1168)-1</f>
        <v>9.3618038403313619E-3</v>
      </c>
      <c r="D1169" s="4">
        <f>(Raw_Stock_Data!D1169/Raw_Stock_Data!D1168)-1</f>
        <v>-9.3524784067788858E-4</v>
      </c>
      <c r="E1169" s="4">
        <f>(Raw_Stock_Data!E1169/Raw_Stock_Data!E1168)-1</f>
        <v>3.0608570399710544E-3</v>
      </c>
      <c r="F1169" s="4">
        <f>(Raw_Stock_Data!F1169/Raw_Stock_Data!F1168)-1</f>
        <v>1.7926631979361396E-3</v>
      </c>
      <c r="G1169" s="4">
        <f>(Raw_Stock_Data!G1169/Raw_Stock_Data!G1168)-1</f>
        <v>-5.8862001308044309E-3</v>
      </c>
      <c r="H1169" s="4">
        <f>(Raw_Stock_Data!H1169/Raw_Stock_Data!H1168)-1</f>
        <v>1.641401950371657E-3</v>
      </c>
      <c r="I1169" s="4">
        <f>(Raw_Stock_Data!I1169/Raw_Stock_Data!I1168)-1</f>
        <v>-8.9112849754674484E-3</v>
      </c>
      <c r="J1169" s="4">
        <f>(Raw_Stock_Data!J1169/Raw_Stock_Data!J1168)-1</f>
        <v>2.129104397596171E-3</v>
      </c>
    </row>
    <row r="1170" spans="1:10" x14ac:dyDescent="0.2">
      <c r="A1170" s="2">
        <v>45897</v>
      </c>
      <c r="B1170" s="4">
        <f>(Raw_Stock_Data!B1170/Raw_Stock_Data!B1169)-1</f>
        <v>8.9808787190521766E-3</v>
      </c>
      <c r="C1170" s="4">
        <f>(Raw_Stock_Data!C1170/Raw_Stock_Data!C1169)-1</f>
        <v>5.7228559024351533E-3</v>
      </c>
      <c r="D1170" s="4">
        <f>(Raw_Stock_Data!D1170/Raw_Stock_Data!D1169)-1</f>
        <v>-7.8744493392071124E-3</v>
      </c>
      <c r="E1170" s="4">
        <f>(Raw_Stock_Data!E1170/Raw_Stock_Data!E1169)-1</f>
        <v>8.6758810506792905E-3</v>
      </c>
      <c r="F1170" s="4">
        <f>(Raw_Stock_Data!F1170/Raw_Stock_Data!F1169)-1</f>
        <v>1.08240223463687E-2</v>
      </c>
      <c r="G1170" s="4">
        <f>(Raw_Stock_Data!G1170/Raw_Stock_Data!G1169)-1</f>
        <v>-1.0354691075514899E-2</v>
      </c>
      <c r="H1170" s="4">
        <f>(Raw_Stock_Data!H1170/Raw_Stock_Data!H1169)-1</f>
        <v>2.0050125313283207E-2</v>
      </c>
      <c r="I1170" s="4">
        <f>(Raw_Stock_Data!I1170/Raw_Stock_Data!I1169)-1</f>
        <v>4.9907677486686897E-3</v>
      </c>
      <c r="J1170" s="4">
        <f>(Raw_Stock_Data!J1170/Raw_Stock_Data!J1169)-1</f>
        <v>5.327431873994426E-3</v>
      </c>
    </row>
    <row r="1171" spans="1:10" x14ac:dyDescent="0.2">
      <c r="A1171" s="2">
        <v>45898</v>
      </c>
      <c r="B1171" s="4">
        <f>(Raw_Stock_Data!B1171/Raw_Stock_Data!B1170)-1</f>
        <v>-1.8077345212732521E-3</v>
      </c>
      <c r="C1171" s="4">
        <f>(Raw_Stock_Data!C1171/Raw_Stock_Data!C1170)-1</f>
        <v>-5.7883996546581606E-3</v>
      </c>
      <c r="D1171" s="4">
        <f>(Raw_Stock_Data!D1171/Raw_Stock_Data!D1170)-1</f>
        <v>-3.3246378420380696E-2</v>
      </c>
      <c r="E1171" s="4">
        <f>(Raw_Stock_Data!E1171/Raw_Stock_Data!E1170)-1</f>
        <v>-3.5294815517855072E-2</v>
      </c>
      <c r="F1171" s="4">
        <f>(Raw_Stock_Data!F1171/Raw_Stock_Data!F1170)-1</f>
        <v>-1.1226252158894612E-2</v>
      </c>
      <c r="G1171" s="4">
        <f>(Raw_Stock_Data!G1171/Raw_Stock_Data!G1170)-1</f>
        <v>-3.5002023238337565E-2</v>
      </c>
      <c r="H1171" s="4">
        <f>(Raw_Stock_Data!H1171/Raw_Stock_Data!H1170)-1</f>
        <v>6.0007560007560024E-3</v>
      </c>
      <c r="I1171" s="4">
        <f>(Raw_Stock_Data!I1171/Raw_Stock_Data!I1170)-1</f>
        <v>-1.652221379025709E-2</v>
      </c>
      <c r="J1171" s="4">
        <f>(Raw_Stock_Data!J1171/Raw_Stock_Data!J1170)-1</f>
        <v>-1.1500030407516015E-2</v>
      </c>
    </row>
    <row r="1172" spans="1:10" x14ac:dyDescent="0.2">
      <c r="A1172" s="2">
        <v>45902</v>
      </c>
      <c r="B1172" s="4">
        <f>(Raw_Stock_Data!B1172/Raw_Stock_Data!B1171)-1</f>
        <v>-1.0421921824806502E-2</v>
      </c>
      <c r="C1172" s="4">
        <f>(Raw_Stock_Data!C1172/Raw_Stock_Data!C1171)-1</f>
        <v>-3.09854151453548E-3</v>
      </c>
      <c r="D1172" s="4">
        <f>(Raw_Stock_Data!D1172/Raw_Stock_Data!D1171)-1</f>
        <v>-1.952003674359859E-2</v>
      </c>
      <c r="E1172" s="4">
        <f>(Raw_Stock_Data!E1172/Raw_Stock_Data!E1171)-1</f>
        <v>-1.9061673737932328E-3</v>
      </c>
      <c r="F1172" s="4">
        <f>(Raw_Stock_Data!F1172/Raw_Stock_Data!F1171)-1</f>
        <v>-1.5982532751091738E-2</v>
      </c>
      <c r="G1172" s="4">
        <f>(Raw_Stock_Data!G1172/Raw_Stock_Data!G1171)-1</f>
        <v>-1.3508251714739239E-2</v>
      </c>
      <c r="H1172" s="4">
        <f>(Raw_Stock_Data!H1172/Raw_Stock_Data!H1171)-1</f>
        <v>-7.3270395941947841E-3</v>
      </c>
      <c r="I1172" s="4">
        <f>(Raw_Stock_Data!I1172/Raw_Stock_Data!I1171)-1</f>
        <v>-4.8598889941789958E-3</v>
      </c>
      <c r="J1172" s="4">
        <f>(Raw_Stock_Data!J1172/Raw_Stock_Data!J1171)-1</f>
        <v>-8.1992771101182527E-3</v>
      </c>
    </row>
    <row r="1173" spans="1:10" x14ac:dyDescent="0.2">
      <c r="A1173" s="2">
        <v>45903</v>
      </c>
      <c r="B1173" s="4">
        <f>(Raw_Stock_Data!B1173/Raw_Stock_Data!B1172)-1</f>
        <v>3.8087477886517673E-2</v>
      </c>
      <c r="C1173" s="4">
        <f>(Raw_Stock_Data!C1173/Raw_Stock_Data!C1172)-1</f>
        <v>4.5533734558134142E-4</v>
      </c>
      <c r="D1173" s="4">
        <f>(Raw_Stock_Data!D1173/Raw_Stock_Data!D1172)-1</f>
        <v>-9.3687785454965589E-4</v>
      </c>
      <c r="E1173" s="4">
        <f>(Raw_Stock_Data!E1173/Raw_Stock_Data!E1172)-1</f>
        <v>-1.1705273533760829E-3</v>
      </c>
      <c r="F1173" s="4">
        <f>(Raw_Stock_Data!F1173/Raw_Stock_Data!F1172)-1</f>
        <v>2.8845300434898746E-3</v>
      </c>
      <c r="G1173" s="4">
        <f>(Raw_Stock_Data!G1173/Raw_Stock_Data!G1172)-1</f>
        <v>1.4361185329123005E-2</v>
      </c>
      <c r="H1173" s="4">
        <f>(Raw_Stock_Data!H1173/Raw_Stock_Data!H1172)-1</f>
        <v>9.1365034303288351E-2</v>
      </c>
      <c r="I1173" s="4">
        <f>(Raw_Stock_Data!I1173/Raw_Stock_Data!I1172)-1</f>
        <v>2.6390608208295419E-3</v>
      </c>
      <c r="J1173" s="4">
        <f>(Raw_Stock_Data!J1173/Raw_Stock_Data!J1172)-1</f>
        <v>1.0249238356117907E-2</v>
      </c>
    </row>
    <row r="1174" spans="1:10" x14ac:dyDescent="0.2">
      <c r="A1174" s="2">
        <v>45904</v>
      </c>
      <c r="B1174" s="4">
        <f>(Raw_Stock_Data!B1174/Raw_Stock_Data!B1173)-1</f>
        <v>5.4944824315077412E-3</v>
      </c>
      <c r="C1174" s="4">
        <f>(Raw_Stock_Data!C1174/Raw_Stock_Data!C1173)-1</f>
        <v>5.1845255763331988E-3</v>
      </c>
      <c r="D1174" s="4">
        <f>(Raw_Stock_Data!D1174/Raw_Stock_Data!D1173)-1</f>
        <v>6.0954167155080619E-3</v>
      </c>
      <c r="E1174" s="4">
        <f>(Raw_Stock_Data!E1174/Raw_Stock_Data!E1173)-1</f>
        <v>-2.0970825880466393E-3</v>
      </c>
      <c r="F1174" s="4">
        <f>(Raw_Stock_Data!F1174/Raw_Stock_Data!F1173)-1</f>
        <v>4.2878003451480184E-2</v>
      </c>
      <c r="G1174" s="4">
        <f>(Raw_Stock_Data!G1174/Raw_Stock_Data!G1173)-1</f>
        <v>1.3289832081175623E-2</v>
      </c>
      <c r="H1174" s="4">
        <f>(Raw_Stock_Data!H1174/Raw_Stock_Data!H1173)-1</f>
        <v>7.1100320818522356E-3</v>
      </c>
      <c r="I1174" s="4">
        <f>(Raw_Stock_Data!I1174/Raw_Stock_Data!I1173)-1</f>
        <v>1.5738416661013499E-2</v>
      </c>
      <c r="J1174" s="4">
        <f>(Raw_Stock_Data!J1174/Raw_Stock_Data!J1173)-1</f>
        <v>9.766612567931654E-3</v>
      </c>
    </row>
    <row r="1175" spans="1:10" x14ac:dyDescent="0.2">
      <c r="A1175" s="2">
        <v>45905</v>
      </c>
      <c r="B1175" s="4">
        <f>(Raw_Stock_Data!B1175/Raw_Stock_Data!B1174)-1</f>
        <v>-3.7570758261395998E-4</v>
      </c>
      <c r="C1175" s="4">
        <f>(Raw_Stock_Data!C1175/Raw_Stock_Data!C1174)-1</f>
        <v>-2.5533003917554198E-2</v>
      </c>
      <c r="D1175" s="4">
        <f>(Raw_Stock_Data!D1175/Raw_Stock_Data!D1174)-1</f>
        <v>-2.7030175929162237E-2</v>
      </c>
      <c r="E1175" s="4">
        <f>(Raw_Stock_Data!E1175/Raw_Stock_Data!E1174)-1</f>
        <v>-6.5826070832560757E-2</v>
      </c>
      <c r="F1175" s="4">
        <f>(Raw_Stock_Data!F1175/Raw_Stock_Data!F1174)-1</f>
        <v>-1.4214188730481969E-2</v>
      </c>
      <c r="G1175" s="4">
        <f>(Raw_Stock_Data!G1175/Raw_Stock_Data!G1174)-1</f>
        <v>3.6363099282190614E-2</v>
      </c>
      <c r="H1175" s="4">
        <f>(Raw_Stock_Data!H1175/Raw_Stock_Data!H1174)-1</f>
        <v>1.162290142057687E-2</v>
      </c>
      <c r="I1175" s="4">
        <f>(Raw_Stock_Data!I1175/Raw_Stock_Data!I1174)-1</f>
        <v>5.0758031122688507E-3</v>
      </c>
      <c r="J1175" s="4">
        <f>(Raw_Stock_Data!J1175/Raw_Stock_Data!J1174)-1</f>
        <v>-3.3628635750737601E-4</v>
      </c>
    </row>
    <row r="1176" spans="1:10" x14ac:dyDescent="0.2">
      <c r="A1176" s="2">
        <v>45908</v>
      </c>
      <c r="B1176" s="4">
        <f>(Raw_Stock_Data!B1176/Raw_Stock_Data!B1175)-1</f>
        <v>-7.550384618596917E-3</v>
      </c>
      <c r="C1176" s="4">
        <f>(Raw_Stock_Data!C1176/Raw_Stock_Data!C1175)-1</f>
        <v>6.4646464646465063E-3</v>
      </c>
      <c r="D1176" s="4">
        <f>(Raw_Stock_Data!D1176/Raw_Stock_Data!D1175)-1</f>
        <v>7.7236259130641916E-3</v>
      </c>
      <c r="E1176" s="4">
        <f>(Raw_Stock_Data!E1176/Raw_Stock_Data!E1175)-1</f>
        <v>1.7864231838031763E-3</v>
      </c>
      <c r="F1176" s="4">
        <f>(Raw_Stock_Data!F1176/Raw_Stock_Data!F1175)-1</f>
        <v>1.5107820772177538E-2</v>
      </c>
      <c r="G1176" s="4">
        <f>(Raw_Stock_Data!G1176/Raw_Stock_Data!G1175)-1</f>
        <v>-1.2655341466195402E-2</v>
      </c>
      <c r="H1176" s="4">
        <f>(Raw_Stock_Data!H1176/Raw_Stock_Data!H1175)-1</f>
        <v>-4.0851063829787648E-3</v>
      </c>
      <c r="I1176" s="4">
        <f>(Raw_Stock_Data!I1176/Raw_Stock_Data!I1175)-1</f>
        <v>-1.993487939399019E-4</v>
      </c>
      <c r="J1176" s="4">
        <f>(Raw_Stock_Data!J1176/Raw_Stock_Data!J1175)-1</f>
        <v>4.5303333258066569E-3</v>
      </c>
    </row>
    <row r="1177" spans="1:10" x14ac:dyDescent="0.2">
      <c r="A1177" s="2">
        <v>45909</v>
      </c>
      <c r="B1177" s="4">
        <f>(Raw_Stock_Data!B1177/Raw_Stock_Data!B1176)-1</f>
        <v>-1.4841152956027837E-2</v>
      </c>
      <c r="C1177" s="4">
        <f>(Raw_Stock_Data!C1177/Raw_Stock_Data!C1176)-1</f>
        <v>4.2151746286633873E-4</v>
      </c>
      <c r="D1177" s="4">
        <f>(Raw_Stock_Data!D1177/Raw_Stock_Data!D1176)-1</f>
        <v>1.4556473174499374E-2</v>
      </c>
      <c r="E1177" s="4">
        <f>(Raw_Stock_Data!E1177/Raw_Stock_Data!E1176)-1</f>
        <v>2.9126213592232997E-2</v>
      </c>
      <c r="F1177" s="4">
        <f>(Raw_Stock_Data!F1177/Raw_Stock_Data!F1176)-1</f>
        <v>1.0176390773405819E-2</v>
      </c>
      <c r="G1177" s="4">
        <f>(Raw_Stock_Data!G1177/Raw_Stock_Data!G1176)-1</f>
        <v>1.6454965357968199E-3</v>
      </c>
      <c r="H1177" s="4">
        <f>(Raw_Stock_Data!H1177/Raw_Stock_Data!H1176)-1</f>
        <v>2.3884806016065685E-2</v>
      </c>
      <c r="I1177" s="4">
        <f>(Raw_Stock_Data!I1177/Raw_Stock_Data!I1176)-1</f>
        <v>1.7812043067925165E-2</v>
      </c>
      <c r="J1177" s="4">
        <f>(Raw_Stock_Data!J1177/Raw_Stock_Data!J1176)-1</f>
        <v>3.7061843137435879E-3</v>
      </c>
    </row>
    <row r="1178" spans="1:10" x14ac:dyDescent="0.2">
      <c r="A1178" s="2">
        <v>45910</v>
      </c>
      <c r="B1178" s="4">
        <f>(Raw_Stock_Data!B1178/Raw_Stock_Data!B1177)-1</f>
        <v>-3.2260820167177018E-2</v>
      </c>
      <c r="C1178" s="4">
        <f>(Raw_Stock_Data!C1178/Raw_Stock_Data!C1177)-1</f>
        <v>3.9325053670671295E-3</v>
      </c>
      <c r="D1178" s="4">
        <f>(Raw_Stock_Data!D1178/Raw_Stock_Data!D1177)-1</f>
        <v>3.8475052705551738E-2</v>
      </c>
      <c r="E1178" s="4">
        <f>(Raw_Stock_Data!E1178/Raw_Stock_Data!E1177)-1</f>
        <v>2.3873700423565625E-2</v>
      </c>
      <c r="F1178" s="4">
        <f>(Raw_Stock_Data!F1178/Raw_Stock_Data!F1177)-1</f>
        <v>-3.3201813297515148E-2</v>
      </c>
      <c r="G1178" s="4">
        <f>(Raw_Stock_Data!G1178/Raw_Stock_Data!G1177)-1</f>
        <v>2.3633167132603994E-3</v>
      </c>
      <c r="H1178" s="4">
        <f>(Raw_Stock_Data!H1178/Raw_Stock_Data!H1177)-1</f>
        <v>-1.9196260902224482E-3</v>
      </c>
      <c r="I1178" s="4">
        <f>(Raw_Stock_Data!I1178/Raw_Stock_Data!I1177)-1</f>
        <v>-1.7918244743372114E-2</v>
      </c>
      <c r="J1178" s="4">
        <f>(Raw_Stock_Data!J1178/Raw_Stock_Data!J1177)-1</f>
        <v>3.0028122227720999E-4</v>
      </c>
    </row>
    <row r="1179" spans="1:10" x14ac:dyDescent="0.2">
      <c r="A1179" s="2">
        <v>45911</v>
      </c>
      <c r="B1179" s="4">
        <f>(Raw_Stock_Data!B1179/Raw_Stock_Data!B1178)-1</f>
        <v>1.428697532771328E-2</v>
      </c>
      <c r="C1179" s="4">
        <f>(Raw_Stock_Data!C1179/Raw_Stock_Data!C1178)-1</f>
        <v>1.2790535004096881E-3</v>
      </c>
      <c r="D1179" s="4">
        <f>(Raw_Stock_Data!D1179/Raw_Stock_Data!D1178)-1</f>
        <v>-9.0227259910913293E-4</v>
      </c>
      <c r="E1179" s="4">
        <f>(Raw_Stock_Data!E1179/Raw_Stock_Data!E1178)-1</f>
        <v>-2.4257239563745814E-2</v>
      </c>
      <c r="F1179" s="4">
        <f>(Raw_Stock_Data!F1179/Raw_Stock_Data!F1178)-1</f>
        <v>-1.6498067989407783E-3</v>
      </c>
      <c r="G1179" s="4">
        <f>(Raw_Stock_Data!G1179/Raw_Stock_Data!G1178)-1</f>
        <v>6.0438770522441621E-2</v>
      </c>
      <c r="H1179" s="4">
        <f>(Raw_Stock_Data!H1179/Raw_Stock_Data!H1178)-1</f>
        <v>5.0173516745410929E-3</v>
      </c>
      <c r="I1179" s="4">
        <f>(Raw_Stock_Data!I1179/Raw_Stock_Data!I1178)-1</f>
        <v>-1.4362084097981898E-3</v>
      </c>
      <c r="J1179" s="4">
        <f>(Raw_Stock_Data!J1179/Raw_Stock_Data!J1178)-1</f>
        <v>7.1739728393322988E-3</v>
      </c>
    </row>
    <row r="1180" spans="1:10" x14ac:dyDescent="0.2">
      <c r="A1180" s="2">
        <v>45912</v>
      </c>
      <c r="B1180" s="4">
        <f>(Raw_Stock_Data!B1180/Raw_Stock_Data!B1179)-1</f>
        <v>1.7562563368391793E-2</v>
      </c>
      <c r="C1180" s="4">
        <f>(Raw_Stock_Data!C1180/Raw_Stock_Data!C1179)-1</f>
        <v>1.7744156803257471E-2</v>
      </c>
      <c r="D1180" s="4">
        <f>(Raw_Stock_Data!D1180/Raw_Stock_Data!D1179)-1</f>
        <v>3.6687926849918728E-3</v>
      </c>
      <c r="E1180" s="4">
        <f>(Raw_Stock_Data!E1180/Raw_Stock_Data!E1179)-1</f>
        <v>1.8629151410034073E-2</v>
      </c>
      <c r="F1180" s="4">
        <f>(Raw_Stock_Data!F1180/Raw_Stock_Data!F1179)-1</f>
        <v>-7.8277886497063465E-3</v>
      </c>
      <c r="G1180" s="4">
        <f>(Raw_Stock_Data!G1180/Raw_Stock_Data!G1179)-1</f>
        <v>7.3560912122773159E-2</v>
      </c>
      <c r="H1180" s="4">
        <f>(Raw_Stock_Data!H1180/Raw_Stock_Data!H1179)-1</f>
        <v>1.7889087656530744E-3</v>
      </c>
      <c r="I1180" s="4">
        <f>(Raw_Stock_Data!I1180/Raw_Stock_Data!I1179)-1</f>
        <v>6.2458383273404916E-3</v>
      </c>
      <c r="J1180" s="4">
        <f>(Raw_Stock_Data!J1180/Raw_Stock_Data!J1179)-1</f>
        <v>4.4472026809332377E-3</v>
      </c>
    </row>
    <row r="1181" spans="1:10" x14ac:dyDescent="0.2">
      <c r="A1181" s="2">
        <v>45915</v>
      </c>
      <c r="B1181" s="4">
        <f>(Raw_Stock_Data!B1181/Raw_Stock_Data!B1180)-1</f>
        <v>1.1238309464042251E-2</v>
      </c>
      <c r="C1181" s="4">
        <f>(Raw_Stock_Data!C1181/Raw_Stock_Data!C1180)-1</f>
        <v>1.0707981957246648E-2</v>
      </c>
      <c r="D1181" s="4">
        <f>(Raw_Stock_Data!D1181/Raw_Stock_Data!D1180)-1</f>
        <v>-3.9365650657963158E-4</v>
      </c>
      <c r="E1181" s="4">
        <f>(Raw_Stock_Data!E1181/Raw_Stock_Data!E1180)-1</f>
        <v>1.6333480481806273E-2</v>
      </c>
      <c r="F1181" s="4">
        <f>(Raw_Stock_Data!F1181/Raw_Stock_Data!F1180)-1</f>
        <v>1.4376506684198986E-2</v>
      </c>
      <c r="G1181" s="4">
        <f>(Raw_Stock_Data!G1181/Raw_Stock_Data!G1180)-1</f>
        <v>3.5611456281254839E-2</v>
      </c>
      <c r="H1181" s="4">
        <f>(Raw_Stock_Data!H1181/Raw_Stock_Data!H1180)-1</f>
        <v>4.4892026578073008E-2</v>
      </c>
      <c r="I1181" s="4">
        <f>(Raw_Stock_Data!I1181/Raw_Stock_Data!I1180)-1</f>
        <v>1.2056803292791018E-2</v>
      </c>
      <c r="J1181" s="4">
        <f>(Raw_Stock_Data!J1181/Raw_Stock_Data!J1180)-1</f>
        <v>9.3784861637407069E-3</v>
      </c>
    </row>
    <row r="1182" spans="1:10" x14ac:dyDescent="0.2">
      <c r="A1182" s="2">
        <v>45916</v>
      </c>
      <c r="B1182" s="4">
        <f>(Raw_Stock_Data!B1182/Raw_Stock_Data!B1181)-1</f>
        <v>6.12337242198846E-3</v>
      </c>
      <c r="C1182" s="4">
        <f>(Raw_Stock_Data!C1182/Raw_Stock_Data!C1181)-1</f>
        <v>-1.2263272275690795E-2</v>
      </c>
      <c r="D1182" s="4">
        <f>(Raw_Stock_Data!D1182/Raw_Stock_Data!D1181)-1</f>
        <v>-1.6146272855133592E-2</v>
      </c>
      <c r="E1182" s="4">
        <f>(Raw_Stock_Data!E1182/Raw_Stock_Data!E1181)-1</f>
        <v>-4.3435095557209369E-3</v>
      </c>
      <c r="F1182" s="4">
        <f>(Raw_Stock_Data!F1182/Raw_Stock_Data!F1181)-1</f>
        <v>1.1320917772112526E-2</v>
      </c>
      <c r="G1182" s="4">
        <f>(Raw_Stock_Data!G1182/Raw_Stock_Data!G1181)-1</f>
        <v>2.8241147205150696E-2</v>
      </c>
      <c r="H1182" s="4">
        <f>(Raw_Stock_Data!H1182/Raw_Stock_Data!H1181)-1</f>
        <v>-1.7884821747944368E-3</v>
      </c>
      <c r="I1182" s="4">
        <f>(Raw_Stock_Data!I1182/Raw_Stock_Data!I1181)-1</f>
        <v>1.8700143847260264E-2</v>
      </c>
      <c r="J1182" s="4">
        <f>(Raw_Stock_Data!J1182/Raw_Stock_Data!J1181)-1</f>
        <v>-6.6178197885791157E-4</v>
      </c>
    </row>
    <row r="1183" spans="1:10" x14ac:dyDescent="0.2">
      <c r="A1183" s="2">
        <v>45917</v>
      </c>
      <c r="B1183" s="4">
        <f>(Raw_Stock_Data!B1183/Raw_Stock_Data!B1182)-1</f>
        <v>3.5306133600090384E-3</v>
      </c>
      <c r="C1183" s="4">
        <f>(Raw_Stock_Data!C1183/Raw_Stock_Data!C1182)-1</f>
        <v>1.9251925192518282E-3</v>
      </c>
      <c r="D1183" s="4">
        <f>(Raw_Stock_Data!D1183/Raw_Stock_Data!D1182)-1</f>
        <v>-2.6246569075937809E-2</v>
      </c>
      <c r="E1183" s="4">
        <f>(Raw_Stock_Data!E1183/Raw_Stock_Data!E1182)-1</f>
        <v>-8.1017075906768543E-3</v>
      </c>
      <c r="F1183" s="4">
        <f>(Raw_Stock_Data!F1183/Raw_Stock_Data!F1182)-1</f>
        <v>-1.0382396923734327E-2</v>
      </c>
      <c r="G1183" s="4">
        <f>(Raw_Stock_Data!G1183/Raw_Stock_Data!G1182)-1</f>
        <v>1.0056448935060081E-2</v>
      </c>
      <c r="H1183" s="4">
        <f>(Raw_Stock_Data!H1183/Raw_Stock_Data!H1182)-1</f>
        <v>-6.4898869246695634E-3</v>
      </c>
      <c r="I1183" s="4">
        <f>(Raw_Stock_Data!I1183/Raw_Stock_Data!I1182)-1</f>
        <v>-4.2169448010269672E-3</v>
      </c>
      <c r="J1183" s="4">
        <f>(Raw_Stock_Data!J1183/Raw_Stock_Data!J1182)-1</f>
        <v>-3.2519983021370713E-3</v>
      </c>
    </row>
    <row r="1184" spans="1:10" x14ac:dyDescent="0.2">
      <c r="A1184" s="2">
        <v>45918</v>
      </c>
      <c r="B1184" s="4">
        <f>(Raw_Stock_Data!B1184/Raw_Stock_Data!B1183)-1</f>
        <v>-4.6448510841475832E-3</v>
      </c>
      <c r="C1184" s="4">
        <f>(Raw_Stock_Data!C1184/Raw_Stock_Data!C1183)-1</f>
        <v>-3.0783106544841621E-3</v>
      </c>
      <c r="D1184" s="4">
        <f>(Raw_Stock_Data!D1184/Raw_Stock_Data!D1183)-1</f>
        <v>3.4940395795407975E-2</v>
      </c>
      <c r="E1184" s="4">
        <f>(Raw_Stock_Data!E1184/Raw_Stock_Data!E1183)-1</f>
        <v>-7.790902236742947E-3</v>
      </c>
      <c r="F1184" s="4">
        <f>(Raw_Stock_Data!F1184/Raw_Stock_Data!F1183)-1</f>
        <v>-1.6837924186167141E-3</v>
      </c>
      <c r="G1184" s="4">
        <f>(Raw_Stock_Data!G1184/Raw_Stock_Data!G1183)-1</f>
        <v>-2.1157187808199862E-2</v>
      </c>
      <c r="H1184" s="4">
        <f>(Raw_Stock_Data!H1184/Raw_Stock_Data!H1183)-1</f>
        <v>1.0018835410571914E-2</v>
      </c>
      <c r="I1184" s="4">
        <f>(Raw_Stock_Data!I1184/Raw_Stock_Data!I1183)-1</f>
        <v>5.8462192944572777E-3</v>
      </c>
      <c r="J1184" s="4">
        <f>(Raw_Stock_Data!J1184/Raw_Stock_Data!J1183)-1</f>
        <v>9.405996856432175E-3</v>
      </c>
    </row>
    <row r="1185" spans="1:10" x14ac:dyDescent="0.2">
      <c r="A1185" s="2">
        <v>45919</v>
      </c>
      <c r="B1185" s="4">
        <f>(Raw_Stock_Data!B1185/Raw_Stock_Data!B1184)-1</f>
        <v>3.2030296654744328E-2</v>
      </c>
      <c r="C1185" s="4">
        <f>(Raw_Stock_Data!C1185/Raw_Stock_Data!C1184)-1</f>
        <v>1.8644901170223216E-2</v>
      </c>
      <c r="D1185" s="4">
        <f>(Raw_Stock_Data!D1185/Raw_Stock_Data!D1184)-1</f>
        <v>2.4398547435313667E-3</v>
      </c>
      <c r="E1185" s="4">
        <f>(Raw_Stock_Data!E1185/Raw_Stock_Data!E1184)-1</f>
        <v>-3.3561296859169198E-3</v>
      </c>
      <c r="F1185" s="4">
        <f>(Raw_Stock_Data!F1185/Raw_Stock_Data!F1184)-1</f>
        <v>1.0811745880725532E-3</v>
      </c>
      <c r="G1185" s="4">
        <f>(Raw_Stock_Data!G1185/Raw_Stock_Data!G1184)-1</f>
        <v>2.2118267962096594E-2</v>
      </c>
      <c r="H1185" s="4">
        <f>(Raw_Stock_Data!H1185/Raw_Stock_Data!H1184)-1</f>
        <v>1.0673332539776981E-2</v>
      </c>
      <c r="I1185" s="4">
        <f>(Raw_Stock_Data!I1185/Raw_Stock_Data!I1184)-1</f>
        <v>-2.3966677347003751E-3</v>
      </c>
      <c r="J1185" s="4">
        <f>(Raw_Stock_Data!J1185/Raw_Stock_Data!J1184)-1</f>
        <v>7.154198886373031E-3</v>
      </c>
    </row>
    <row r="1186" spans="1:10" x14ac:dyDescent="0.2">
      <c r="A1186" s="2">
        <v>45922</v>
      </c>
      <c r="B1186" s="4">
        <f>(Raw_Stock_Data!B1186/Raw_Stock_Data!B1185)-1</f>
        <v>4.3096769984750871E-2</v>
      </c>
      <c r="C1186" s="4">
        <f>(Raw_Stock_Data!C1186/Raw_Stock_Data!C1185)-1</f>
        <v>-6.7190546985111954E-3</v>
      </c>
      <c r="D1186" s="4">
        <f>(Raw_Stock_Data!D1186/Raw_Stock_Data!D1185)-1</f>
        <v>3.9282277692873846E-2</v>
      </c>
      <c r="E1186" s="4">
        <f>(Raw_Stock_Data!E1186/Raw_Stock_Data!E1185)-1</f>
        <v>1.5248745155346688E-2</v>
      </c>
      <c r="F1186" s="4">
        <f>(Raw_Stock_Data!F1186/Raw_Stock_Data!F1185)-1</f>
        <v>-1.6632106445481187E-2</v>
      </c>
      <c r="G1186" s="4">
        <f>(Raw_Stock_Data!G1186/Raw_Stock_Data!G1185)-1</f>
        <v>1.910484192738271E-2</v>
      </c>
      <c r="H1186" s="4">
        <f>(Raw_Stock_Data!H1186/Raw_Stock_Data!H1185)-1</f>
        <v>-8.597675879396971E-3</v>
      </c>
      <c r="I1186" s="4">
        <f>(Raw_Stock_Data!I1186/Raw_Stock_Data!I1185)-1</f>
        <v>-1.6983992394460357E-2</v>
      </c>
      <c r="J1186" s="4">
        <f>(Raw_Stock_Data!J1186/Raw_Stock_Data!J1185)-1</f>
        <v>6.9593327524315463E-3</v>
      </c>
    </row>
    <row r="1187" spans="1:10" x14ac:dyDescent="0.2">
      <c r="A1187" s="2">
        <v>45923</v>
      </c>
      <c r="B1187" s="4">
        <f>(Raw_Stock_Data!B1187/Raw_Stock_Data!B1186)-1</f>
        <v>-6.4417273835954969E-3</v>
      </c>
      <c r="C1187" s="4">
        <f>(Raw_Stock_Data!C1187/Raw_Stock_Data!C1186)-1</f>
        <v>-1.0146758674312473E-2</v>
      </c>
      <c r="D1187" s="4">
        <f>(Raw_Stock_Data!D1187/Raw_Stock_Data!D1186)-1</f>
        <v>-2.8211971025543292E-2</v>
      </c>
      <c r="E1187" s="4">
        <f>(Raw_Stock_Data!E1187/Raw_Stock_Data!E1186)-1</f>
        <v>6.9466174353840504E-3</v>
      </c>
      <c r="F1187" s="4">
        <f>(Raw_Stock_Data!F1187/Raw_Stock_Data!F1186)-1</f>
        <v>-3.0400210868514632E-2</v>
      </c>
      <c r="G1187" s="4">
        <f>(Raw_Stock_Data!G1187/Raw_Stock_Data!G1186)-1</f>
        <v>-1.9253356670735244E-2</v>
      </c>
      <c r="H1187" s="4">
        <f>(Raw_Stock_Data!H1187/Raw_Stock_Data!H1186)-1</f>
        <v>-3.4451352314576189E-3</v>
      </c>
      <c r="I1187" s="4">
        <f>(Raw_Stock_Data!I1187/Raw_Stock_Data!I1186)-1</f>
        <v>-1.275550211720422E-2</v>
      </c>
      <c r="J1187" s="4">
        <f>(Raw_Stock_Data!J1187/Raw_Stock_Data!J1186)-1</f>
        <v>-9.4567637516026481E-3</v>
      </c>
    </row>
    <row r="1188" spans="1:10" x14ac:dyDescent="0.2">
      <c r="A1188" s="2">
        <v>45924</v>
      </c>
      <c r="B1188" s="4">
        <f>(Raw_Stock_Data!B1188/Raw_Stock_Data!B1187)-1</f>
        <v>-8.3325465017467515E-3</v>
      </c>
      <c r="C1188" s="4">
        <f>(Raw_Stock_Data!C1188/Raw_Stock_Data!C1187)-1</f>
        <v>1.8066492547570423E-3</v>
      </c>
      <c r="D1188" s="4">
        <f>(Raw_Stock_Data!D1188/Raw_Stock_Data!D1187)-1</f>
        <v>-8.1824805245754861E-3</v>
      </c>
      <c r="E1188" s="4">
        <f>(Raw_Stock_Data!E1188/Raw_Stock_Data!E1187)-1</f>
        <v>-1.2430080795533538E-4</v>
      </c>
      <c r="F1188" s="4">
        <f>(Raw_Stock_Data!F1188/Raw_Stock_Data!F1187)-1</f>
        <v>-2.2654161569480857E-3</v>
      </c>
      <c r="G1188" s="4">
        <f>(Raw_Stock_Data!G1188/Raw_Stock_Data!G1187)-1</f>
        <v>3.9779264999412867E-2</v>
      </c>
      <c r="H1188" s="4">
        <f>(Raw_Stock_Data!H1188/Raw_Stock_Data!H1187)-1</f>
        <v>-1.7960740681872367E-2</v>
      </c>
      <c r="I1188" s="4">
        <f>(Raw_Stock_Data!I1188/Raw_Stock_Data!I1187)-1</f>
        <v>6.9631983055333802E-3</v>
      </c>
      <c r="J1188" s="4">
        <f>(Raw_Stock_Data!J1188/Raw_Stock_Data!J1187)-1</f>
        <v>-3.3495071869765747E-3</v>
      </c>
    </row>
    <row r="1189" spans="1:10" x14ac:dyDescent="0.2">
      <c r="A1189" s="2">
        <v>45925</v>
      </c>
      <c r="B1189" s="4">
        <f>(Raw_Stock_Data!B1189/Raw_Stock_Data!B1188)-1</f>
        <v>1.8070664032435957E-2</v>
      </c>
      <c r="C1189" s="4">
        <f>(Raw_Stock_Data!C1189/Raw_Stock_Data!C1188)-1</f>
        <v>-6.1158482799177349E-3</v>
      </c>
      <c r="D1189" s="4">
        <f>(Raw_Stock_Data!D1189/Raw_Stock_Data!D1188)-1</f>
        <v>4.0684861840989406E-3</v>
      </c>
      <c r="E1189" s="4">
        <f>(Raw_Stock_Data!E1189/Raw_Stock_Data!E1188)-1</f>
        <v>2.424167081054307E-3</v>
      </c>
      <c r="F1189" s="4">
        <f>(Raw_Stock_Data!F1189/Raw_Stock_Data!F1188)-1</f>
        <v>-9.3547068707143799E-3</v>
      </c>
      <c r="G1189" s="4">
        <f>(Raw_Stock_Data!G1189/Raw_Stock_Data!G1188)-1</f>
        <v>-4.3813094243320805E-2</v>
      </c>
      <c r="H1189" s="4">
        <f>(Raw_Stock_Data!H1189/Raw_Stock_Data!H1188)-1</f>
        <v>-5.462490895848493E-3</v>
      </c>
      <c r="I1189" s="4">
        <f>(Raw_Stock_Data!I1189/Raw_Stock_Data!I1188)-1</f>
        <v>-1.5447111718770556E-2</v>
      </c>
      <c r="J1189" s="4">
        <f>(Raw_Stock_Data!J1189/Raw_Stock_Data!J1188)-1</f>
        <v>-5.0298117243151585E-3</v>
      </c>
    </row>
    <row r="1190" spans="1:10" x14ac:dyDescent="0.2">
      <c r="A1190" s="2">
        <v>45926</v>
      </c>
      <c r="B1190" s="4">
        <f>(Raw_Stock_Data!B1190/Raw_Stock_Data!B1189)-1</f>
        <v>-5.4866904890870094E-3</v>
      </c>
      <c r="C1190" s="4">
        <f>(Raw_Stock_Data!C1190/Raw_Stock_Data!C1189)-1</f>
        <v>8.7371555923712041E-3</v>
      </c>
      <c r="D1190" s="4">
        <f>(Raw_Stock_Data!D1190/Raw_Stock_Data!D1189)-1</f>
        <v>2.8138893578704138E-3</v>
      </c>
      <c r="E1190" s="4">
        <f>(Raw_Stock_Data!E1190/Raw_Stock_Data!E1189)-1</f>
        <v>-1.1223414150182909E-2</v>
      </c>
      <c r="F1190" s="4">
        <f>(Raw_Stock_Data!F1190/Raw_Stock_Data!F1189)-1</f>
        <v>7.4719229887691974E-3</v>
      </c>
      <c r="G1190" s="4">
        <f>(Raw_Stock_Data!G1190/Raw_Stock_Data!G1189)-1</f>
        <v>4.0175724509317723E-2</v>
      </c>
      <c r="H1190" s="4">
        <f>(Raw_Stock_Data!H1190/Raw_Stock_Data!H1189)-1</f>
        <v>3.0513853289393378E-3</v>
      </c>
      <c r="I1190" s="4">
        <f>(Raw_Stock_Data!I1190/Raw_Stock_Data!I1189)-1</f>
        <v>-6.8900134862666107E-3</v>
      </c>
      <c r="J1190" s="4">
        <f>(Raw_Stock_Data!J1190/Raw_Stock_Data!J1189)-1</f>
        <v>4.4391928415390414E-3</v>
      </c>
    </row>
    <row r="1191" spans="1:10" x14ac:dyDescent="0.2">
      <c r="A1191" s="2">
        <v>45929</v>
      </c>
      <c r="B1191" s="4">
        <f>(Raw_Stock_Data!B1191/Raw_Stock_Data!B1190)-1</f>
        <v>-4.0319262733481409E-3</v>
      </c>
      <c r="C1191" s="4">
        <f>(Raw_Stock_Data!C1191/Raw_Stock_Data!C1190)-1</f>
        <v>6.1392875298167393E-3</v>
      </c>
      <c r="D1191" s="4">
        <f>(Raw_Stock_Data!D1191/Raw_Stock_Data!D1190)-1</f>
        <v>2.0539873169089118E-2</v>
      </c>
      <c r="E1191" s="4">
        <f>(Raw_Stock_Data!E1191/Raw_Stock_Data!E1190)-1</f>
        <v>1.1915213846732664E-2</v>
      </c>
      <c r="F1191" s="4">
        <f>(Raw_Stock_Data!F1191/Raw_Stock_Data!F1190)-1</f>
        <v>1.0874510874510745E-2</v>
      </c>
      <c r="G1191" s="4">
        <f>(Raw_Stock_Data!G1191/Raw_Stock_Data!G1190)-1</f>
        <v>6.380563124432248E-3</v>
      </c>
      <c r="H1191" s="4">
        <f>(Raw_Stock_Data!H1191/Raw_Stock_Data!H1190)-1</f>
        <v>-1.0099780968605421E-2</v>
      </c>
      <c r="I1191" s="4">
        <f>(Raw_Stock_Data!I1191/Raw_Stock_Data!I1190)-1</f>
        <v>-4.7058823529411153E-4</v>
      </c>
      <c r="J1191" s="4">
        <f>(Raw_Stock_Data!J1191/Raw_Stock_Data!J1190)-1</f>
        <v>4.7624829490391374E-3</v>
      </c>
    </row>
    <row r="1192" spans="1:10" x14ac:dyDescent="0.2">
      <c r="A1192" s="2">
        <v>45930</v>
      </c>
      <c r="B1192" s="4">
        <f>(Raw_Stock_Data!B1192/Raw_Stock_Data!B1191)-1</f>
        <v>7.8289742863435485E-4</v>
      </c>
      <c r="C1192" s="4">
        <f>(Raw_Stock_Data!C1192/Raw_Stock_Data!C1191)-1</f>
        <v>6.5099106101826898E-3</v>
      </c>
      <c r="D1192" s="4">
        <f>(Raw_Stock_Data!D1192/Raw_Stock_Data!D1191)-1</f>
        <v>2.6010448171570166E-2</v>
      </c>
      <c r="E1192" s="4">
        <f>(Raw_Stock_Data!E1192/Raw_Stock_Data!E1191)-1</f>
        <v>2.6648487853246916E-3</v>
      </c>
      <c r="F1192" s="4">
        <f>(Raw_Stock_Data!F1192/Raw_Stock_Data!F1191)-1</f>
        <v>-1.1702750146284302E-2</v>
      </c>
      <c r="G1192" s="4">
        <f>(Raw_Stock_Data!G1192/Raw_Stock_Data!G1191)-1</f>
        <v>3.4069628392863205E-3</v>
      </c>
      <c r="H1192" s="4">
        <f>(Raw_Stock_Data!H1192/Raw_Stock_Data!H1191)-1</f>
        <v>-3.8926449498054572E-3</v>
      </c>
      <c r="I1192" s="4">
        <f>(Raw_Stock_Data!I1192/Raw_Stock_Data!I1191)-1</f>
        <v>-1.2133440947000196E-2</v>
      </c>
      <c r="J1192" s="4">
        <f>(Raw_Stock_Data!J1192/Raw_Stock_Data!J1191)-1</f>
        <v>3.0480962677861267E-3</v>
      </c>
    </row>
    <row r="1193" spans="1:10" x14ac:dyDescent="0.2">
      <c r="A1193" s="2">
        <v>45931</v>
      </c>
      <c r="B1193" s="4">
        <f>(Raw_Stock_Data!B1193/Raw_Stock_Data!B1192)-1</f>
        <v>3.2234858461452909E-3</v>
      </c>
      <c r="C1193" s="4">
        <f>(Raw_Stock_Data!C1193/Raw_Stock_Data!C1192)-1</f>
        <v>3.3980113910609955E-3</v>
      </c>
      <c r="D1193" s="4">
        <f>(Raw_Stock_Data!D1193/Raw_Stock_Data!D1192)-1</f>
        <v>3.5373566298637638E-3</v>
      </c>
      <c r="E1193" s="4">
        <f>(Raw_Stock_Data!E1193/Raw_Stock_Data!E1192)-1</f>
        <v>1.3721490821435145E-2</v>
      </c>
      <c r="F1193" s="4">
        <f>(Raw_Stock_Data!F1193/Raw_Stock_Data!F1192)-1</f>
        <v>4.8276176162500573E-3</v>
      </c>
      <c r="G1193" s="4">
        <f>(Raw_Stock_Data!G1193/Raw_Stock_Data!G1192)-1</f>
        <v>3.3144450440726558E-2</v>
      </c>
      <c r="H1193" s="4">
        <f>(Raw_Stock_Data!H1193/Raw_Stock_Data!H1192)-1</f>
        <v>7.4043603455369311E-3</v>
      </c>
      <c r="I1193" s="4">
        <f>(Raw_Stock_Data!I1193/Raw_Stock_Data!I1192)-1</f>
        <v>-2.3203246275769973E-2</v>
      </c>
      <c r="J1193" s="4">
        <f>(Raw_Stock_Data!J1193/Raw_Stock_Data!J1192)-1</f>
        <v>4.1990272731566858E-3</v>
      </c>
    </row>
    <row r="1194" spans="1:10" x14ac:dyDescent="0.2">
      <c r="A1194" s="2">
        <v>45932</v>
      </c>
      <c r="B1194" s="4">
        <f>(Raw_Stock_Data!B1194/Raw_Stock_Data!B1193)-1</f>
        <v>6.5751578155428536E-3</v>
      </c>
      <c r="C1194" s="4">
        <f>(Raw_Stock_Data!C1194/Raw_Stock_Data!C1193)-1</f>
        <v>-7.6388755267361441E-3</v>
      </c>
      <c r="D1194" s="4">
        <f>(Raw_Stock_Data!D1194/Raw_Stock_Data!D1193)-1</f>
        <v>8.8122196111941609E-3</v>
      </c>
      <c r="E1194" s="4">
        <f>(Raw_Stock_Data!E1194/Raw_Stock_Data!E1193)-1</f>
        <v>3.4875922199865794E-2</v>
      </c>
      <c r="F1194" s="4">
        <f>(Raw_Stock_Data!F1194/Raw_Stock_Data!F1193)-1</f>
        <v>8.0678058287630972E-3</v>
      </c>
      <c r="G1194" s="4">
        <f>(Raw_Stock_Data!G1194/Raw_Stock_Data!G1193)-1</f>
        <v>-5.1059939929482434E-2</v>
      </c>
      <c r="H1194" s="4">
        <f>(Raw_Stock_Data!H1194/Raw_Stock_Data!H1193)-1</f>
        <v>3.225806451612856E-3</v>
      </c>
      <c r="I1194" s="4">
        <f>(Raw_Stock_Data!I1194/Raw_Stock_Data!I1193)-1</f>
        <v>1.3536119552792103E-2</v>
      </c>
      <c r="J1194" s="4">
        <f>(Raw_Stock_Data!J1194/Raw_Stock_Data!J1193)-1</f>
        <v>3.906366731765365E-3</v>
      </c>
    </row>
    <row r="1195" spans="1:10" x14ac:dyDescent="0.2">
      <c r="A1195" s="2">
        <v>45933</v>
      </c>
      <c r="B1195" s="4">
        <f>(Raw_Stock_Data!B1195/Raw_Stock_Data!B1194)-1</f>
        <v>3.4607464156555245E-3</v>
      </c>
      <c r="C1195" s="4">
        <f>(Raw_Stock_Data!C1195/Raw_Stock_Data!C1194)-1</f>
        <v>3.1217280024820049E-3</v>
      </c>
      <c r="D1195" s="4">
        <f>(Raw_Stock_Data!D1195/Raw_Stock_Data!D1194)-1</f>
        <v>-6.72348986182425E-3</v>
      </c>
      <c r="E1195" s="4">
        <f>(Raw_Stock_Data!E1195/Raw_Stock_Data!E1194)-1</f>
        <v>-2.9812054439403823E-2</v>
      </c>
      <c r="F1195" s="4">
        <f>(Raw_Stock_Data!F1195/Raw_Stock_Data!F1194)-1</f>
        <v>-1.3038982060159188E-2</v>
      </c>
      <c r="G1195" s="4">
        <f>(Raw_Stock_Data!G1195/Raw_Stock_Data!G1194)-1</f>
        <v>-1.4151376146789074E-2</v>
      </c>
      <c r="H1195" s="4">
        <f>(Raw_Stock_Data!H1195/Raw_Stock_Data!H1194)-1</f>
        <v>-1.3838577068664426E-3</v>
      </c>
      <c r="I1195" s="4">
        <f>(Raw_Stock_Data!I1195/Raw_Stock_Data!I1194)-1</f>
        <v>-2.2680695963138708E-2</v>
      </c>
      <c r="J1195" s="4">
        <f>(Raw_Stock_Data!J1195/Raw_Stock_Data!J1194)-1</f>
        <v>-2.781468259787645E-3</v>
      </c>
    </row>
    <row r="1196" spans="1:10" x14ac:dyDescent="0.2">
      <c r="A1196" s="2">
        <v>45936</v>
      </c>
      <c r="B1196" s="4">
        <f>(Raw_Stock_Data!B1196/Raw_Stock_Data!B1195)-1</f>
        <v>-5.1557590099701178E-3</v>
      </c>
      <c r="C1196" s="4">
        <f>(Raw_Stock_Data!C1196/Raw_Stock_Data!C1195)-1</f>
        <v>2.1687445636416447E-2</v>
      </c>
      <c r="D1196" s="4">
        <f>(Raw_Stock_Data!D1196/Raw_Stock_Data!D1195)-1</f>
        <v>-1.1086238140923244E-2</v>
      </c>
      <c r="E1196" s="4">
        <f>(Raw_Stock_Data!E1196/Raw_Stock_Data!E1195)-1</f>
        <v>0.23708022104815707</v>
      </c>
      <c r="F1196" s="4">
        <f>(Raw_Stock_Data!F1196/Raw_Stock_Data!F1195)-1</f>
        <v>6.3322855450778093E-3</v>
      </c>
      <c r="G1196" s="4">
        <f>(Raw_Stock_Data!G1196/Raw_Stock_Data!G1195)-1</f>
        <v>5.4486657515762094E-2</v>
      </c>
      <c r="H1196" s="4">
        <f>(Raw_Stock_Data!H1196/Raw_Stock_Data!H1195)-1</f>
        <v>2.0705115141634423E-2</v>
      </c>
      <c r="I1196" s="4">
        <f>(Raw_Stock_Data!I1196/Raw_Stock_Data!I1195)-1</f>
        <v>7.1774375140734037E-3</v>
      </c>
      <c r="J1196" s="4">
        <f>(Raw_Stock_Data!J1196/Raw_Stock_Data!J1195)-1</f>
        <v>7.0744684820489567E-3</v>
      </c>
    </row>
    <row r="1197" spans="1:10" x14ac:dyDescent="0.2">
      <c r="A1197" s="2">
        <v>45937</v>
      </c>
      <c r="B1197" s="4">
        <f>(Raw_Stock_Data!B1197/Raw_Stock_Data!B1196)-1</f>
        <v>-8.1500228122621809E-4</v>
      </c>
      <c r="C1197" s="4">
        <f>(Raw_Stock_Data!C1197/Raw_Stock_Data!C1196)-1</f>
        <v>-8.6838072535331268E-3</v>
      </c>
      <c r="D1197" s="4">
        <f>(Raw_Stock_Data!D1197/Raw_Stock_Data!D1196)-1</f>
        <v>-2.6948366928963852E-3</v>
      </c>
      <c r="E1197" s="4">
        <f>(Raw_Stock_Data!E1197/Raw_Stock_Data!E1196)-1</f>
        <v>3.8289725590299861E-2</v>
      </c>
      <c r="F1197" s="4">
        <f>(Raw_Stock_Data!F1197/Raw_Stock_Data!F1196)-1</f>
        <v>3.9837030330465151E-3</v>
      </c>
      <c r="G1197" s="4">
        <f>(Raw_Stock_Data!G1197/Raw_Stock_Data!G1196)-1</f>
        <v>-4.4478764478764532E-2</v>
      </c>
      <c r="H1197" s="4">
        <f>(Raw_Stock_Data!H1197/Raw_Stock_Data!H1196)-1</f>
        <v>-1.8647925568023083E-2</v>
      </c>
      <c r="I1197" s="4">
        <f>(Raw_Stock_Data!I1197/Raw_Stock_Data!I1196)-1</f>
        <v>-3.6050638571387683E-3</v>
      </c>
      <c r="J1197" s="4">
        <f>(Raw_Stock_Data!J1197/Raw_Stock_Data!J1196)-1</f>
        <v>-6.6825998281728749E-3</v>
      </c>
    </row>
    <row r="1198" spans="1:10" x14ac:dyDescent="0.2">
      <c r="A1198" s="2">
        <v>45938</v>
      </c>
      <c r="B1198" s="4">
        <f>(Raw_Stock_Data!B1198/Raw_Stock_Data!B1197)-1</f>
        <v>6.1584813762527446E-3</v>
      </c>
      <c r="C1198" s="4">
        <f>(Raw_Stock_Data!C1198/Raw_Stock_Data!C1197)-1</f>
        <v>1.6603687163632141E-3</v>
      </c>
      <c r="D1198" s="4">
        <f>(Raw_Stock_Data!D1198/Raw_Stock_Data!D1197)-1</f>
        <v>2.1995244271509007E-2</v>
      </c>
      <c r="E1198" s="4">
        <f>(Raw_Stock_Data!E1198/Raw_Stock_Data!E1197)-1</f>
        <v>0.11370620774431472</v>
      </c>
      <c r="F1198" s="4">
        <f>(Raw_Stock_Data!F1198/Raw_Stock_Data!F1197)-1</f>
        <v>1.5510866624582897E-2</v>
      </c>
      <c r="G1198" s="4">
        <f>(Raw_Stock_Data!G1198/Raw_Stock_Data!G1197)-1</f>
        <v>1.2930337805075132E-2</v>
      </c>
      <c r="H1198" s="4">
        <f>(Raw_Stock_Data!H1198/Raw_Stock_Data!H1197)-1</f>
        <v>-4.638671875E-3</v>
      </c>
      <c r="I1198" s="4">
        <f>(Raw_Stock_Data!I1198/Raw_Stock_Data!I1197)-1</f>
        <v>6.6752678521344588E-3</v>
      </c>
      <c r="J1198" s="4">
        <f>(Raw_Stock_Data!J1198/Raw_Stock_Data!J1197)-1</f>
        <v>1.1190800917661559E-2</v>
      </c>
    </row>
    <row r="1199" spans="1:10" x14ac:dyDescent="0.2">
      <c r="A1199" s="2">
        <v>45939</v>
      </c>
      <c r="B1199" s="4">
        <f>(Raw_Stock_Data!B1199/Raw_Stock_Data!B1198)-1</f>
        <v>-1.5577363174430703E-2</v>
      </c>
      <c r="C1199" s="4">
        <f>(Raw_Stock_Data!C1199/Raw_Stock_Data!C1198)-1</f>
        <v>-4.6680003810612991E-3</v>
      </c>
      <c r="D1199" s="4">
        <f>(Raw_Stock_Data!D1199/Raw_Stock_Data!D1198)-1</f>
        <v>1.8296229707577494E-2</v>
      </c>
      <c r="E1199" s="4">
        <f>(Raw_Stock_Data!E1199/Raw_Stock_Data!E1198)-1</f>
        <v>-1.1334691798268071E-2</v>
      </c>
      <c r="F1199" s="4">
        <f>(Raw_Stock_Data!F1199/Raw_Stock_Data!F1198)-1</f>
        <v>1.1189059586182548E-2</v>
      </c>
      <c r="G1199" s="4">
        <f>(Raw_Stock_Data!G1199/Raw_Stock_Data!G1198)-1</f>
        <v>-7.1804691239827356E-3</v>
      </c>
      <c r="H1199" s="4">
        <f>(Raw_Stock_Data!H1199/Raw_Stock_Data!H1198)-1</f>
        <v>-1.2631837135148372E-2</v>
      </c>
      <c r="I1199" s="4">
        <f>(Raw_Stock_Data!I1199/Raw_Stock_Data!I1198)-1</f>
        <v>2.1829377019948693E-2</v>
      </c>
      <c r="J1199" s="4">
        <f>(Raw_Stock_Data!J1199/Raw_Stock_Data!J1198)-1</f>
        <v>-8.1368271494897115E-4</v>
      </c>
    </row>
    <row r="1200" spans="1:10" x14ac:dyDescent="0.2">
      <c r="A1200" s="2">
        <v>45940</v>
      </c>
      <c r="B1200" s="4">
        <f>(Raw_Stock_Data!B1200/Raw_Stock_Data!B1199)-1</f>
        <v>-3.4524062822604118E-2</v>
      </c>
      <c r="C1200" s="4">
        <f>(Raw_Stock_Data!C1200/Raw_Stock_Data!C1199)-1</f>
        <v>-2.1898928024502329E-2</v>
      </c>
      <c r="D1200" s="4">
        <f>(Raw_Stock_Data!D1200/Raw_Stock_Data!D1199)-1</f>
        <v>-4.8865347665783876E-2</v>
      </c>
      <c r="E1200" s="4">
        <f>(Raw_Stock_Data!E1200/Raw_Stock_Data!E1199)-1</f>
        <v>-7.724676886083548E-2</v>
      </c>
      <c r="F1200" s="4">
        <f>(Raw_Stock_Data!F1200/Raw_Stock_Data!F1199)-1</f>
        <v>-4.9925353473258993E-2</v>
      </c>
      <c r="G1200" s="4">
        <f>(Raw_Stock_Data!G1200/Raw_Stock_Data!G1199)-1</f>
        <v>-5.06268081002893E-2</v>
      </c>
      <c r="H1200" s="4">
        <f>(Raw_Stock_Data!H1200/Raw_Stock_Data!H1199)-1</f>
        <v>-2.0535751252432455E-2</v>
      </c>
      <c r="I1200" s="4">
        <f>(Raw_Stock_Data!I1200/Raw_Stock_Data!I1199)-1</f>
        <v>-3.8458916715518598E-2</v>
      </c>
      <c r="J1200" s="4">
        <f>(Raw_Stock_Data!J1200/Raw_Stock_Data!J1199)-1</f>
        <v>-3.5622722276101748E-2</v>
      </c>
    </row>
    <row r="1201" spans="1:10" x14ac:dyDescent="0.2">
      <c r="A1201" s="2">
        <v>45943</v>
      </c>
      <c r="B1201" s="4">
        <f>(Raw_Stock_Data!B1201/Raw_Stock_Data!B1200)-1</f>
        <v>9.7456658722125944E-3</v>
      </c>
      <c r="C1201" s="4">
        <f>(Raw_Stock_Data!C1201/Raw_Stock_Data!C1200)-1</f>
        <v>6.0474401127288413E-3</v>
      </c>
      <c r="D1201" s="4">
        <f>(Raw_Stock_Data!D1201/Raw_Stock_Data!D1200)-1</f>
        <v>2.8172089975977199E-2</v>
      </c>
      <c r="E1201" s="4">
        <f>(Raw_Stock_Data!E1201/Raw_Stock_Data!E1200)-1</f>
        <v>7.0730572359236632E-3</v>
      </c>
      <c r="F1201" s="4">
        <f>(Raw_Stock_Data!F1201/Raw_Stock_Data!F1200)-1</f>
        <v>1.7100337385034914E-2</v>
      </c>
      <c r="G1201" s="4">
        <f>(Raw_Stock_Data!G1201/Raw_Stock_Data!G1200)-1</f>
        <v>5.4197199448595912E-2</v>
      </c>
      <c r="H1201" s="4">
        <f>(Raw_Stock_Data!H1201/Raw_Stock_Data!H1200)-1</f>
        <v>3.2041256287779651E-2</v>
      </c>
      <c r="I1201" s="4">
        <f>(Raw_Stock_Data!I1201/Raw_Stock_Data!I1200)-1</f>
        <v>1.4745498369488352E-2</v>
      </c>
      <c r="J1201" s="4">
        <f>(Raw_Stock_Data!J1201/Raw_Stock_Data!J1200)-1</f>
        <v>2.2075774969229078E-2</v>
      </c>
    </row>
    <row r="1202" spans="1:10" x14ac:dyDescent="0.2">
      <c r="A1202" s="2">
        <v>45944</v>
      </c>
      <c r="B1202" s="4">
        <f>(Raw_Stock_Data!B1202/Raw_Stock_Data!B1201)-1</f>
        <v>4.4458814970504967E-4</v>
      </c>
      <c r="C1202" s="4">
        <f>(Raw_Stock_Data!C1202/Raw_Stock_Data!C1201)-1</f>
        <v>-9.3376130726563478E-4</v>
      </c>
      <c r="D1202" s="4">
        <f>(Raw_Stock_Data!D1202/Raw_Stock_Data!D1201)-1</f>
        <v>-4.4020815632965116E-2</v>
      </c>
      <c r="E1202" s="4">
        <f>(Raw_Stock_Data!E1202/Raw_Stock_Data!E1201)-1</f>
        <v>7.7164772202200638E-3</v>
      </c>
      <c r="F1202" s="4">
        <f>(Raw_Stock_Data!F1202/Raw_Stock_Data!F1201)-1</f>
        <v>-1.672195210614813E-2</v>
      </c>
      <c r="G1202" s="4">
        <f>(Raw_Stock_Data!G1202/Raw_Stock_Data!G1201)-1</f>
        <v>-1.5278733654507826E-2</v>
      </c>
      <c r="H1202" s="4">
        <f>(Raw_Stock_Data!H1202/Raw_Stock_Data!H1201)-1</f>
        <v>5.32459553553144E-3</v>
      </c>
      <c r="I1202" s="4">
        <f>(Raw_Stock_Data!I1202/Raw_Stock_Data!I1201)-1</f>
        <v>-9.8504960178846801E-3</v>
      </c>
      <c r="J1202" s="4">
        <f>(Raw_Stock_Data!J1202/Raw_Stock_Data!J1201)-1</f>
        <v>-7.6189897072476143E-3</v>
      </c>
    </row>
    <row r="1203" spans="1:10" x14ac:dyDescent="0.2">
      <c r="A1203" s="2">
        <v>45945</v>
      </c>
      <c r="B1203" s="4">
        <f>(Raw_Stock_Data!B1203/Raw_Stock_Data!B1202)-1</f>
        <v>6.3386256211368508E-3</v>
      </c>
      <c r="C1203" s="4">
        <f>(Raw_Stock_Data!C1203/Raw_Stock_Data!C1202)-1</f>
        <v>-2.7260159277231466E-4</v>
      </c>
      <c r="D1203" s="4">
        <f>(Raw_Stock_Data!D1203/Raw_Stock_Data!D1202)-1</f>
        <v>-1.1109259567849694E-3</v>
      </c>
      <c r="E1203" s="4">
        <f>(Raw_Stock_Data!E1203/Raw_Stock_Data!E1202)-1</f>
        <v>9.4043743408684488E-2</v>
      </c>
      <c r="F1203" s="4">
        <f>(Raw_Stock_Data!F1203/Raw_Stock_Data!F1202)-1</f>
        <v>-3.7894542261657227E-3</v>
      </c>
      <c r="G1203" s="4">
        <f>(Raw_Stock_Data!G1203/Raw_Stock_Data!G1202)-1</f>
        <v>1.3768521107072829E-2</v>
      </c>
      <c r="H1203" s="4">
        <f>(Raw_Stock_Data!H1203/Raw_Stock_Data!H1202)-1</f>
        <v>2.2733754328783995E-2</v>
      </c>
      <c r="I1203" s="4">
        <f>(Raw_Stock_Data!I1203/Raw_Stock_Data!I1202)-1</f>
        <v>1.2559091229803032E-2</v>
      </c>
      <c r="J1203" s="4">
        <f>(Raw_Stock_Data!J1203/Raw_Stock_Data!J1202)-1</f>
        <v>6.5883126051764496E-3</v>
      </c>
    </row>
    <row r="1204" spans="1:10" x14ac:dyDescent="0.2">
      <c r="A1204" s="2">
        <v>45946</v>
      </c>
      <c r="B1204" s="4">
        <f>(Raw_Stock_Data!B1204/Raw_Stock_Data!B1203)-1</f>
        <v>-7.5833303224821513E-3</v>
      </c>
      <c r="C1204" s="4">
        <f>(Raw_Stock_Data!C1204/Raw_Stock_Data!C1203)-1</f>
        <v>-3.5447870206258836E-3</v>
      </c>
      <c r="D1204" s="4">
        <f>(Raw_Stock_Data!D1204/Raw_Stock_Data!D1203)-1</f>
        <v>1.1010398709892621E-2</v>
      </c>
      <c r="E1204" s="4">
        <f>(Raw_Stock_Data!E1204/Raw_Stock_Data!E1203)-1</f>
        <v>-1.6932103939647947E-2</v>
      </c>
      <c r="F1204" s="4">
        <f>(Raw_Stock_Data!F1204/Raw_Stock_Data!F1203)-1</f>
        <v>-5.1027508465927296E-3</v>
      </c>
      <c r="G1204" s="4">
        <f>(Raw_Stock_Data!G1204/Raw_Stock_Data!G1203)-1</f>
        <v>-1.470757210157414E-2</v>
      </c>
      <c r="H1204" s="4">
        <f>(Raw_Stock_Data!H1204/Raw_Stock_Data!H1203)-1</f>
        <v>1.7129426761741673E-3</v>
      </c>
      <c r="I1204" s="4">
        <f>(Raw_Stock_Data!I1204/Raw_Stock_Data!I1203)-1</f>
        <v>-7.6370984600374614E-3</v>
      </c>
      <c r="J1204" s="4">
        <f>(Raw_Stock_Data!J1204/Raw_Stock_Data!J1203)-1</f>
        <v>-4.7436974196827242E-3</v>
      </c>
    </row>
    <row r="1205" spans="1:10" x14ac:dyDescent="0.2">
      <c r="A1205" s="2">
        <v>45947</v>
      </c>
      <c r="B1205" s="4">
        <f>(Raw_Stock_Data!B1205/Raw_Stock_Data!B1204)-1</f>
        <v>1.9562315440313949E-2</v>
      </c>
      <c r="C1205" s="4">
        <f>(Raw_Stock_Data!C1205/Raw_Stock_Data!C1204)-1</f>
        <v>3.8505893160807325E-3</v>
      </c>
      <c r="D1205" s="4">
        <f>(Raw_Stock_Data!D1205/Raw_Stock_Data!D1204)-1</f>
        <v>7.7553489907045137E-3</v>
      </c>
      <c r="E1205" s="4">
        <f>(Raw_Stock_Data!E1205/Raw_Stock_Data!E1204)-1</f>
        <v>-6.3096862210094695E-3</v>
      </c>
      <c r="F1205" s="4">
        <f>(Raw_Stock_Data!F1205/Raw_Stock_Data!F1204)-1</f>
        <v>-6.6675991980230664E-3</v>
      </c>
      <c r="G1205" s="4">
        <f>(Raw_Stock_Data!G1205/Raw_Stock_Data!G1204)-1</f>
        <v>2.4629737609329405E-2</v>
      </c>
      <c r="H1205" s="4">
        <f>(Raw_Stock_Data!H1205/Raw_Stock_Data!H1204)-1</f>
        <v>7.3172671597867556E-3</v>
      </c>
      <c r="I1205" s="4">
        <f>(Raw_Stock_Data!I1205/Raw_Stock_Data!I1204)-1</f>
        <v>6.8041063378598832E-3</v>
      </c>
      <c r="J1205" s="4">
        <f>(Raw_Stock_Data!J1205/Raw_Stock_Data!J1204)-1</f>
        <v>5.2046445125415453E-3</v>
      </c>
    </row>
    <row r="1206" spans="1:10" x14ac:dyDescent="0.2">
      <c r="A1206" s="2">
        <v>45950</v>
      </c>
      <c r="B1206" s="4">
        <f>(Raw_Stock_Data!B1206/Raw_Stock_Data!B1205)-1</f>
        <v>3.9437245582155667E-2</v>
      </c>
      <c r="C1206" s="4">
        <f>(Raw_Stock_Data!C1206/Raw_Stock_Data!C1205)-1</f>
        <v>6.2502433895399445E-3</v>
      </c>
      <c r="D1206" s="4">
        <f>(Raw_Stock_Data!D1206/Raw_Stock_Data!D1205)-1</f>
        <v>-3.1655932758433147E-3</v>
      </c>
      <c r="E1206" s="4">
        <f>(Raw_Stock_Data!E1206/Raw_Stock_Data!E1205)-1</f>
        <v>3.209198558434867E-2</v>
      </c>
      <c r="F1206" s="4">
        <f>(Raw_Stock_Data!F1206/Raw_Stock_Data!F1205)-1</f>
        <v>1.6147202403304473E-2</v>
      </c>
      <c r="G1206" s="4">
        <f>(Raw_Stock_Data!G1206/Raw_Stock_Data!G1205)-1</f>
        <v>1.8483530991782571E-2</v>
      </c>
      <c r="H1206" s="4">
        <f>(Raw_Stock_Data!H1206/Raw_Stock_Data!H1205)-1</f>
        <v>1.2830635609948571E-2</v>
      </c>
      <c r="I1206" s="4">
        <f>(Raw_Stock_Data!I1206/Raw_Stock_Data!I1205)-1</f>
        <v>2.1278673203936282E-2</v>
      </c>
      <c r="J1206" s="4">
        <f>(Raw_Stock_Data!J1206/Raw_Stock_Data!J1205)-1</f>
        <v>1.3693580723431298E-2</v>
      </c>
    </row>
    <row r="1207" spans="1:10" x14ac:dyDescent="0.2">
      <c r="A1207" s="2">
        <v>45951</v>
      </c>
      <c r="B1207" s="4">
        <f>(Raw_Stock_Data!B1207/Raw_Stock_Data!B1206)-1</f>
        <v>2.0230088630690535E-3</v>
      </c>
      <c r="C1207" s="4">
        <f>(Raw_Stock_Data!C1207/Raw_Stock_Data!C1206)-1</f>
        <v>1.6834691073743802E-3</v>
      </c>
      <c r="D1207" s="4">
        <f>(Raw_Stock_Data!D1207/Raw_Stock_Data!D1206)-1</f>
        <v>-8.1033727551467205E-3</v>
      </c>
      <c r="E1207" s="4">
        <f>(Raw_Stock_Data!E1207/Raw_Stock_Data!E1206)-1</f>
        <v>-1.0517126704356561E-2</v>
      </c>
      <c r="F1207" s="4">
        <f>(Raw_Stock_Data!F1207/Raw_Stock_Data!F1206)-1</f>
        <v>2.5637472283813745E-2</v>
      </c>
      <c r="G1207" s="4">
        <f>(Raw_Stock_Data!G1207/Raw_Stock_Data!G1206)-1</f>
        <v>-1.0794984690342568E-2</v>
      </c>
      <c r="H1207" s="4">
        <f>(Raw_Stock_Data!H1207/Raw_Stock_Data!H1206)-1</f>
        <v>-2.3738062755798151E-2</v>
      </c>
      <c r="I1207" s="4">
        <f>(Raw_Stock_Data!I1207/Raw_Stock_Data!I1206)-1</f>
        <v>1.5023833262766129E-3</v>
      </c>
      <c r="J1207" s="4">
        <f>(Raw_Stock_Data!J1207/Raw_Stock_Data!J1206)-1</f>
        <v>-1.6037030883138126E-3</v>
      </c>
    </row>
    <row r="1208" spans="1:10" x14ac:dyDescent="0.2">
      <c r="A1208" s="2">
        <v>45952</v>
      </c>
      <c r="B1208" s="4">
        <f>(Raw_Stock_Data!B1208/Raw_Stock_Data!B1207)-1</f>
        <v>-1.6440902649743405E-2</v>
      </c>
      <c r="C1208" s="4">
        <f>(Raw_Stock_Data!C1208/Raw_Stock_Data!C1207)-1</f>
        <v>5.563497276204421E-3</v>
      </c>
      <c r="D1208" s="4">
        <f>(Raw_Stock_Data!D1208/Raw_Stock_Data!D1207)-1</f>
        <v>-4.8575844557297021E-3</v>
      </c>
      <c r="E1208" s="4">
        <f>(Raw_Stock_Data!E1208/Raw_Stock_Data!E1207)-1</f>
        <v>-3.2768978700163931E-2</v>
      </c>
      <c r="F1208" s="4">
        <f>(Raw_Stock_Data!F1208/Raw_Stock_Data!F1207)-1</f>
        <v>-1.8375895149304156E-2</v>
      </c>
      <c r="G1208" s="4">
        <f>(Raw_Stock_Data!G1208/Raw_Stock_Data!G1207)-1</f>
        <v>-8.2015363759602167E-3</v>
      </c>
      <c r="H1208" s="4">
        <f>(Raw_Stock_Data!H1208/Raw_Stock_Data!H1207)-1</f>
        <v>4.9109638265592004E-3</v>
      </c>
      <c r="I1208" s="4">
        <f>(Raw_Stock_Data!I1208/Raw_Stock_Data!I1207)-1</f>
        <v>1.9092557993638515E-4</v>
      </c>
      <c r="J1208" s="4">
        <f>(Raw_Stock_Data!J1208/Raw_Stock_Data!J1207)-1</f>
        <v>-9.2913246552728257E-3</v>
      </c>
    </row>
    <row r="1209" spans="1:10" x14ac:dyDescent="0.2">
      <c r="A1209" s="2">
        <v>45953</v>
      </c>
      <c r="B1209" s="4">
        <f>(Raw_Stock_Data!B1209/Raw_Stock_Data!B1208)-1</f>
        <v>4.3725793958173664E-3</v>
      </c>
      <c r="C1209" s="4">
        <f>(Raw_Stock_Data!C1209/Raw_Stock_Data!C1208)-1</f>
        <v>3.8421639066976709E-5</v>
      </c>
      <c r="D1209" s="4">
        <f>(Raw_Stock_Data!D1209/Raw_Stock_Data!D1208)-1</f>
        <v>1.0428222764588435E-2</v>
      </c>
      <c r="E1209" s="4">
        <f>(Raw_Stock_Data!E1209/Raw_Stock_Data!E1208)-1</f>
        <v>2.0674977196716515E-2</v>
      </c>
      <c r="F1209" s="4">
        <f>(Raw_Stock_Data!F1209/Raw_Stock_Data!F1208)-1</f>
        <v>1.4406974076623058E-2</v>
      </c>
      <c r="G1209" s="4">
        <f>(Raw_Stock_Data!G1209/Raw_Stock_Data!G1208)-1</f>
        <v>2.2803380641046145E-2</v>
      </c>
      <c r="H1209" s="4">
        <f>(Raw_Stock_Data!H1209/Raw_Stock_Data!H1208)-1</f>
        <v>5.5226667726171463E-3</v>
      </c>
      <c r="I1209" s="4">
        <f>(Raw_Stock_Data!I1209/Raw_Stock_Data!I1208)-1</f>
        <v>8.0446135176770461E-4</v>
      </c>
      <c r="J1209" s="4">
        <f>(Raw_Stock_Data!J1209/Raw_Stock_Data!J1208)-1</f>
        <v>8.856484494555783E-3</v>
      </c>
    </row>
    <row r="1210" spans="1:10" x14ac:dyDescent="0.2">
      <c r="A1210" s="2">
        <v>45954</v>
      </c>
      <c r="B1210" s="4">
        <f>(Raw_Stock_Data!B1210/Raw_Stock_Data!B1209)-1</f>
        <v>1.2478357607517809E-2</v>
      </c>
      <c r="C1210" s="4">
        <f>(Raw_Stock_Data!C1210/Raw_Stock_Data!C1209)-1</f>
        <v>5.8590748424773853E-3</v>
      </c>
      <c r="D1210" s="4">
        <f>(Raw_Stock_Data!D1210/Raw_Stock_Data!D1209)-1</f>
        <v>2.2507685551163892E-2</v>
      </c>
      <c r="E1210" s="4">
        <f>(Raw_Stock_Data!E1210/Raw_Stock_Data!E1209)-1</f>
        <v>7.6301119196561462E-2</v>
      </c>
      <c r="F1210" s="4">
        <f>(Raw_Stock_Data!F1210/Raw_Stock_Data!F1209)-1</f>
        <v>1.4111900131168253E-2</v>
      </c>
      <c r="G1210" s="4">
        <f>(Raw_Stock_Data!G1210/Raw_Stock_Data!G1209)-1</f>
        <v>-3.3988150919862736E-2</v>
      </c>
      <c r="H1210" s="4">
        <f>(Raw_Stock_Data!H1210/Raw_Stock_Data!H1209)-1</f>
        <v>2.7027027027026973E-2</v>
      </c>
      <c r="I1210" s="4">
        <f>(Raw_Stock_Data!I1210/Raw_Stock_Data!I1209)-1</f>
        <v>5.9400544959127277E-3</v>
      </c>
      <c r="J1210" s="4">
        <f>(Raw_Stock_Data!J1210/Raw_Stock_Data!J1209)-1</f>
        <v>1.146684218326377E-2</v>
      </c>
    </row>
    <row r="1211" spans="1:10" x14ac:dyDescent="0.2">
      <c r="A1211" s="2">
        <v>45957</v>
      </c>
      <c r="B1211" s="4">
        <f>(Raw_Stock_Data!B1211/Raw_Stock_Data!B1210)-1</f>
        <v>2.279435568335475E-2</v>
      </c>
      <c r="C1211" s="4">
        <f>(Raw_Stock_Data!C1211/Raw_Stock_Data!C1210)-1</f>
        <v>1.5106663356314831E-2</v>
      </c>
      <c r="D1211" s="4">
        <f>(Raw_Stock_Data!D1211/Raw_Stock_Data!D1210)-1</f>
        <v>2.8079029313862414E-2</v>
      </c>
      <c r="E1211" s="4">
        <f>(Raw_Stock_Data!E1211/Raw_Stock_Data!E1210)-1</f>
        <v>2.6688280879329618E-2</v>
      </c>
      <c r="F1211" s="4">
        <f>(Raw_Stock_Data!F1211/Raw_Stock_Data!F1210)-1</f>
        <v>1.2309888051380335E-2</v>
      </c>
      <c r="G1211" s="4">
        <f>(Raw_Stock_Data!G1211/Raw_Stock_Data!G1210)-1</f>
        <v>4.3115373973992455E-2</v>
      </c>
      <c r="H1211" s="4">
        <f>(Raw_Stock_Data!H1211/Raw_Stock_Data!H1210)-1</f>
        <v>3.5972606955986253E-2</v>
      </c>
      <c r="I1211" s="4">
        <f>(Raw_Stock_Data!I1211/Raw_Stock_Data!I1210)-1</f>
        <v>1.687523701175575E-2</v>
      </c>
      <c r="J1211" s="4">
        <f>(Raw_Stock_Data!J1211/Raw_Stock_Data!J1210)-1</f>
        <v>1.8642207433181124E-2</v>
      </c>
    </row>
    <row r="1212" spans="1:10" x14ac:dyDescent="0.2">
      <c r="A1212" s="2">
        <v>45958</v>
      </c>
      <c r="B1212" s="4">
        <f>(Raw_Stock_Data!B1212/Raw_Stock_Data!B1211)-1</f>
        <v>7.0377955687939142E-4</v>
      </c>
      <c r="C1212" s="4">
        <f>(Raw_Stock_Data!C1212/Raw_Stock_Data!C1211)-1</f>
        <v>1.984873570138479E-2</v>
      </c>
      <c r="D1212" s="4">
        <f>(Raw_Stock_Data!D1212/Raw_Stock_Data!D1211)-1</f>
        <v>4.9819833933886892E-2</v>
      </c>
      <c r="E1212" s="4">
        <f>(Raw_Stock_Data!E1212/Raw_Stock_Data!E1211)-1</f>
        <v>-6.3927292332577323E-3</v>
      </c>
      <c r="F1212" s="4">
        <f>(Raw_Stock_Data!F1212/Raw_Stock_Data!F1211)-1</f>
        <v>1.004538044675507E-2</v>
      </c>
      <c r="G1212" s="4">
        <f>(Raw_Stock_Data!G1212/Raw_Stock_Data!G1211)-1</f>
        <v>1.7970027850227721E-2</v>
      </c>
      <c r="H1212" s="4">
        <f>(Raw_Stock_Data!H1212/Raw_Stock_Data!H1211)-1</f>
        <v>-6.6847402235672426E-3</v>
      </c>
      <c r="I1212" s="4">
        <f>(Raw_Stock_Data!I1212/Raw_Stock_Data!I1211)-1</f>
        <v>8.2576383154409072E-4</v>
      </c>
      <c r="J1212" s="4">
        <f>(Raw_Stock_Data!J1212/Raw_Stock_Data!J1211)-1</f>
        <v>8.0393578667083965E-3</v>
      </c>
    </row>
    <row r="1213" spans="1:10" x14ac:dyDescent="0.2">
      <c r="A1213" s="2">
        <v>45959</v>
      </c>
      <c r="B1213" s="4">
        <f>(Raw_Stock_Data!B1213/Raw_Stock_Data!B1212)-1</f>
        <v>2.6047577761323382E-3</v>
      </c>
      <c r="C1213" s="4">
        <f>(Raw_Stock_Data!C1213/Raw_Stock_Data!C1212)-1</f>
        <v>-9.5928570110892508E-4</v>
      </c>
      <c r="D1213" s="4">
        <f>(Raw_Stock_Data!D1213/Raw_Stock_Data!D1212)-1</f>
        <v>2.989603541759922E-2</v>
      </c>
      <c r="E1213" s="4">
        <f>(Raw_Stock_Data!E1213/Raw_Stock_Data!E1212)-1</f>
        <v>2.4495174605635439E-2</v>
      </c>
      <c r="F1213" s="4">
        <f>(Raw_Stock_Data!F1213/Raw_Stock_Data!F1212)-1</f>
        <v>4.5801526717557106E-3</v>
      </c>
      <c r="G1213" s="4">
        <f>(Raw_Stock_Data!G1213/Raw_Stock_Data!G1212)-1</f>
        <v>2.0844642275539282E-3</v>
      </c>
      <c r="H1213" s="4">
        <f>(Raw_Stock_Data!H1213/Raw_Stock_Data!H1212)-1</f>
        <v>2.6545033087822745E-2</v>
      </c>
      <c r="I1213" s="4">
        <f>(Raw_Stock_Data!I1213/Raw_Stock_Data!I1212)-1</f>
        <v>3.0607899499623947E-4</v>
      </c>
      <c r="J1213" s="4">
        <f>(Raw_Stock_Data!J1213/Raw_Stock_Data!J1212)-1</f>
        <v>5.4970120646362641E-3</v>
      </c>
    </row>
    <row r="1214" spans="1:10" x14ac:dyDescent="0.2">
      <c r="A1214" s="2">
        <v>45960</v>
      </c>
      <c r="B1214" s="4">
        <f>(Raw_Stock_Data!B1214/Raw_Stock_Data!B1213)-1</f>
        <v>6.3019830091410878E-3</v>
      </c>
      <c r="C1214" s="4">
        <f>(Raw_Stock_Data!C1214/Raw_Stock_Data!C1213)-1</f>
        <v>-2.915704921059914E-2</v>
      </c>
      <c r="D1214" s="4">
        <f>(Raw_Stock_Data!D1214/Raw_Stock_Data!D1213)-1</f>
        <v>-2.0044435857805243E-2</v>
      </c>
      <c r="E1214" s="4">
        <f>(Raw_Stock_Data!E1214/Raw_Stock_Data!E1213)-1</f>
        <v>-3.5902092081867343E-2</v>
      </c>
      <c r="F1214" s="4">
        <f>(Raw_Stock_Data!F1214/Raw_Stock_Data!F1213)-1</f>
        <v>-3.2305688232739938E-2</v>
      </c>
      <c r="G1214" s="4">
        <f>(Raw_Stock_Data!G1214/Raw_Stock_Data!G1213)-1</f>
        <v>-4.6391194123637569E-2</v>
      </c>
      <c r="H1214" s="4">
        <f>(Raw_Stock_Data!H1214/Raw_Stock_Data!H1213)-1</f>
        <v>2.5166624175984253E-2</v>
      </c>
      <c r="I1214" s="4">
        <f>(Raw_Stock_Data!I1214/Raw_Stock_Data!I1213)-1</f>
        <v>-0.11334761264916782</v>
      </c>
      <c r="J1214" s="4">
        <f>(Raw_Stock_Data!J1214/Raw_Stock_Data!J1213)-1</f>
        <v>-1.57493362472646E-2</v>
      </c>
    </row>
    <row r="1215" spans="1:10" x14ac:dyDescent="0.2">
      <c r="A1215" s="2">
        <v>45961</v>
      </c>
      <c r="B1215" s="4">
        <f>(Raw_Stock_Data!B1215/Raw_Stock_Data!B1214)-1</f>
        <v>-3.7951293995286406E-3</v>
      </c>
      <c r="C1215" s="4">
        <f>(Raw_Stock_Data!C1215/Raw_Stock_Data!C1214)-1</f>
        <v>-1.5120967741935609E-2</v>
      </c>
      <c r="D1215" s="4">
        <f>(Raw_Stock_Data!D1215/Raw_Stock_Data!D1214)-1</f>
        <v>-1.9715116565625079E-3</v>
      </c>
      <c r="E1215" s="4">
        <f>(Raw_Stock_Data!E1215/Raw_Stock_Data!E1214)-1</f>
        <v>5.02275937843355E-3</v>
      </c>
      <c r="F1215" s="4">
        <f>(Raw_Stock_Data!F1215/Raw_Stock_Data!F1214)-1</f>
        <v>9.5844925065063258E-2</v>
      </c>
      <c r="G1215" s="4">
        <f>(Raw_Stock_Data!G1215/Raw_Stock_Data!G1214)-1</f>
        <v>3.7400590774823828E-2</v>
      </c>
      <c r="H1215" s="4">
        <f>(Raw_Stock_Data!H1215/Raw_Stock_Data!H1214)-1</f>
        <v>-1.0302685803610379E-3</v>
      </c>
      <c r="I1215" s="4">
        <f>(Raw_Stock_Data!I1215/Raw_Stock_Data!I1214)-1</f>
        <v>-2.7188020466037521E-2</v>
      </c>
      <c r="J1215" s="4">
        <f>(Raw_Stock_Data!J1215/Raw_Stock_Data!J1214)-1</f>
        <v>6.0989417814405478E-3</v>
      </c>
    </row>
    <row r="1216" spans="1:10" x14ac:dyDescent="0.2">
      <c r="A1216" s="2">
        <v>45964</v>
      </c>
      <c r="B1216" s="4">
        <f>(Raw_Stock_Data!B1216/Raw_Stock_Data!B1215)-1</f>
        <v>-4.8832318924282303E-3</v>
      </c>
      <c r="C1216" s="4">
        <f>(Raw_Stock_Data!C1216/Raw_Stock_Data!C1215)-1</f>
        <v>-1.5063440258009653E-3</v>
      </c>
      <c r="D1216" s="4">
        <f>(Raw_Stock_Data!D1216/Raw_Stock_Data!D1215)-1</f>
        <v>2.1680082967060033E-2</v>
      </c>
      <c r="E1216" s="4">
        <f>(Raw_Stock_Data!E1216/Raw_Stock_Data!E1215)-1</f>
        <v>1.378260190535685E-2</v>
      </c>
      <c r="F1216" s="4">
        <f>(Raw_Stock_Data!F1216/Raw_Stock_Data!F1215)-1</f>
        <v>4.0045860289902535E-2</v>
      </c>
      <c r="G1216" s="4">
        <f>(Raw_Stock_Data!G1216/Raw_Stock_Data!G1215)-1</f>
        <v>2.5867355878745446E-2</v>
      </c>
      <c r="H1216" s="4">
        <f>(Raw_Stock_Data!H1216/Raw_Stock_Data!H1215)-1</f>
        <v>8.997475016892631E-3</v>
      </c>
      <c r="I1216" s="4">
        <f>(Raw_Stock_Data!I1216/Raw_Stock_Data!I1215)-1</f>
        <v>-1.6410889180226707E-2</v>
      </c>
      <c r="J1216" s="4">
        <f>(Raw_Stock_Data!J1216/Raw_Stock_Data!J1215)-1</f>
        <v>4.6263513194544359E-3</v>
      </c>
    </row>
    <row r="1217" spans="1:10" x14ac:dyDescent="0.2">
      <c r="A1217" s="2">
        <v>45965</v>
      </c>
      <c r="B1217" s="4">
        <f>(Raw_Stock_Data!B1217/Raw_Stock_Data!B1216)-1</f>
        <v>3.6794660495780285E-3</v>
      </c>
      <c r="C1217" s="4">
        <f>(Raw_Stock_Data!C1217/Raw_Stock_Data!C1216)-1</f>
        <v>-5.222134112140342E-3</v>
      </c>
      <c r="D1217" s="4">
        <f>(Raw_Stock_Data!D1217/Raw_Stock_Data!D1216)-1</f>
        <v>-3.9588167053364209E-2</v>
      </c>
      <c r="E1217" s="4">
        <f>(Raw_Stock_Data!E1217/Raw_Stock_Data!E1216)-1</f>
        <v>-3.6972848064702357E-2</v>
      </c>
      <c r="F1217" s="4">
        <f>(Raw_Stock_Data!F1217/Raw_Stock_Data!F1216)-1</f>
        <v>-1.8425196850393677E-2</v>
      </c>
      <c r="G1217" s="4">
        <f>(Raw_Stock_Data!G1217/Raw_Stock_Data!G1216)-1</f>
        <v>-5.1476396865725804E-2</v>
      </c>
      <c r="H1217" s="4">
        <f>(Raw_Stock_Data!H1217/Raw_Stock_Data!H1216)-1</f>
        <v>-2.1782038629634903E-2</v>
      </c>
      <c r="I1217" s="4">
        <f>(Raw_Stock_Data!I1217/Raw_Stock_Data!I1216)-1</f>
        <v>-1.6292672217779192E-2</v>
      </c>
      <c r="J1217" s="4">
        <f>(Raw_Stock_Data!J1217/Raw_Stock_Data!J1216)-1</f>
        <v>-2.0393778487853065E-2</v>
      </c>
    </row>
    <row r="1218" spans="1:10" x14ac:dyDescent="0.2">
      <c r="A1218" s="2">
        <v>45966</v>
      </c>
      <c r="B1218" s="4">
        <f>(Raw_Stock_Data!B1218/Raw_Stock_Data!B1217)-1</f>
        <v>3.7067514771393917E-4</v>
      </c>
      <c r="C1218" s="4">
        <f>(Raw_Stock_Data!C1218/Raw_Stock_Data!C1217)-1</f>
        <v>-1.3940466237629567E-2</v>
      </c>
      <c r="D1218" s="4">
        <f>(Raw_Stock_Data!D1218/Raw_Stock_Data!D1217)-1</f>
        <v>-1.7514721425335944E-2</v>
      </c>
      <c r="E1218" s="4">
        <f>(Raw_Stock_Data!E1218/Raw_Stock_Data!E1217)-1</f>
        <v>2.511497700459886E-2</v>
      </c>
      <c r="F1218" s="4">
        <f>(Raw_Stock_Data!F1218/Raw_Stock_Data!F1217)-1</f>
        <v>3.5296005133964581E-3</v>
      </c>
      <c r="G1218" s="4">
        <f>(Raw_Stock_Data!G1218/Raw_Stock_Data!G1217)-1</f>
        <v>4.0089136991851682E-2</v>
      </c>
      <c r="H1218" s="4">
        <f>(Raw_Stock_Data!H1218/Raw_Stock_Data!H1217)-1</f>
        <v>2.4392880305541542E-2</v>
      </c>
      <c r="I1218" s="4">
        <f>(Raw_Stock_Data!I1218/Raw_Stock_Data!I1217)-1</f>
        <v>1.3756934260026776E-2</v>
      </c>
      <c r="J1218" s="4">
        <f>(Raw_Stock_Data!J1218/Raw_Stock_Data!J1217)-1</f>
        <v>6.4740387448691816E-3</v>
      </c>
    </row>
    <row r="1219" spans="1:10" x14ac:dyDescent="0.2">
      <c r="A1219" s="2">
        <v>45967</v>
      </c>
      <c r="B1219" s="4">
        <f>(Raw_Stock_Data!B1219/Raw_Stock_Data!B1218)-1</f>
        <v>-1.3672844766893233E-3</v>
      </c>
      <c r="C1219" s="4">
        <f>(Raw_Stock_Data!C1219/Raw_Stock_Data!C1218)-1</f>
        <v>-1.9835949207350767E-2</v>
      </c>
      <c r="D1219" s="4">
        <f>(Raw_Stock_Data!D1219/Raw_Stock_Data!D1218)-1</f>
        <v>-3.6524768198350488E-2</v>
      </c>
      <c r="E1219" s="4">
        <f>(Raw_Stock_Data!E1219/Raw_Stock_Data!E1218)-1</f>
        <v>-7.2679748761362295E-2</v>
      </c>
      <c r="F1219" s="4">
        <f>(Raw_Stock_Data!F1219/Raw_Stock_Data!F1218)-1</f>
        <v>-2.8617106314948071E-2</v>
      </c>
      <c r="G1219" s="4">
        <f>(Raw_Stock_Data!G1219/Raw_Stock_Data!G1218)-1</f>
        <v>-3.4973056030471517E-2</v>
      </c>
      <c r="H1219" s="4">
        <f>(Raw_Stock_Data!H1219/Raw_Stock_Data!H1218)-1</f>
        <v>1.5476064858781502E-3</v>
      </c>
      <c r="I1219" s="4">
        <f>(Raw_Stock_Data!I1219/Raw_Stock_Data!I1218)-1</f>
        <v>-2.6747385800770518E-2</v>
      </c>
      <c r="J1219" s="4">
        <f>(Raw_Stock_Data!J1219/Raw_Stock_Data!J1218)-1</f>
        <v>-1.8970799751487188E-2</v>
      </c>
    </row>
    <row r="1220" spans="1:10" x14ac:dyDescent="0.2">
      <c r="A1220" s="2">
        <v>45968</v>
      </c>
      <c r="B1220" s="4">
        <f>(Raw_Stock_Data!B1220/Raw_Stock_Data!B1219)-1</f>
        <v>-4.8198761451381245E-3</v>
      </c>
      <c r="C1220" s="4">
        <f>(Raw_Stock_Data!C1220/Raw_Stock_Data!C1219)-1</f>
        <v>-5.6326694830022284E-4</v>
      </c>
      <c r="D1220" s="4">
        <f>(Raw_Stock_Data!D1220/Raw_Stock_Data!D1219)-1</f>
        <v>3.7218205019140527E-4</v>
      </c>
      <c r="E1220" s="4">
        <f>(Raw_Stock_Data!E1220/Raw_Stock_Data!E1219)-1</f>
        <v>-1.7501051745898222E-2</v>
      </c>
      <c r="F1220" s="4">
        <f>(Raw_Stock_Data!F1220/Raw_Stock_Data!F1219)-1</f>
        <v>5.636932192231825E-3</v>
      </c>
      <c r="G1220" s="4">
        <f>(Raw_Stock_Data!G1220/Raw_Stock_Data!G1219)-1</f>
        <v>-3.6756296113565567E-2</v>
      </c>
      <c r="H1220" s="4">
        <f>(Raw_Stock_Data!H1220/Raw_Stock_Data!H1219)-1</f>
        <v>-2.0790166812993949E-2</v>
      </c>
      <c r="I1220" s="4">
        <f>(Raw_Stock_Data!I1220/Raw_Stock_Data!I1219)-1</f>
        <v>4.4753934145473906E-3</v>
      </c>
      <c r="J1220" s="4">
        <f>(Raw_Stock_Data!J1220/Raw_Stock_Data!J1219)-1</f>
        <v>-2.1449649279799976E-3</v>
      </c>
    </row>
    <row r="1221" spans="1:10" x14ac:dyDescent="0.2">
      <c r="A1221" s="2">
        <v>45971</v>
      </c>
      <c r="B1221" s="4">
        <f>(Raw_Stock_Data!B1221/Raw_Stock_Data!B1220)-1</f>
        <v>4.5486745460647793E-3</v>
      </c>
      <c r="C1221" s="4">
        <f>(Raw_Stock_Data!C1221/Raw_Stock_Data!C1220)-1</f>
        <v>1.8477517008171906E-2</v>
      </c>
      <c r="D1221" s="4">
        <f>(Raw_Stock_Data!D1221/Raw_Stock_Data!D1220)-1</f>
        <v>5.7932500664363618E-2</v>
      </c>
      <c r="E1221" s="4">
        <f>(Raw_Stock_Data!E1221/Raw_Stock_Data!E1220)-1</f>
        <v>4.470326282435555E-2</v>
      </c>
      <c r="F1221" s="4">
        <f>(Raw_Stock_Data!F1221/Raw_Stock_Data!F1220)-1</f>
        <v>1.6325027617527965E-2</v>
      </c>
      <c r="G1221" s="4">
        <f>(Raw_Stock_Data!G1221/Raw_Stock_Data!G1220)-1</f>
        <v>3.6575712423170037E-2</v>
      </c>
      <c r="H1221" s="4">
        <f>(Raw_Stock_Data!H1221/Raw_Stock_Data!H1220)-1</f>
        <v>4.0418893232435638E-2</v>
      </c>
      <c r="I1221" s="4">
        <f>(Raw_Stock_Data!I1221/Raw_Stock_Data!I1220)-1</f>
        <v>1.6165093049814061E-2</v>
      </c>
      <c r="J1221" s="4">
        <f>(Raw_Stock_Data!J1221/Raw_Stock_Data!J1220)-1</f>
        <v>2.2718559032260499E-2</v>
      </c>
    </row>
    <row r="1222" spans="1:10" x14ac:dyDescent="0.2">
      <c r="A1222" s="2">
        <v>45972</v>
      </c>
      <c r="B1222" s="4">
        <f>(Raw_Stock_Data!B1222/Raw_Stock_Data!B1221)-1</f>
        <v>2.1601158000222664E-2</v>
      </c>
      <c r="C1222" s="4">
        <f>(Raw_Stock_Data!C1222/Raw_Stock_Data!C1221)-1</f>
        <v>5.2964426877470938E-3</v>
      </c>
      <c r="D1222" s="4">
        <f>(Raw_Stock_Data!D1222/Raw_Stock_Data!D1221)-1</f>
        <v>-2.9590555136900343E-2</v>
      </c>
      <c r="E1222" s="4">
        <f>(Raw_Stock_Data!E1222/Raw_Stock_Data!E1221)-1</f>
        <v>-2.647758012951873E-2</v>
      </c>
      <c r="F1222" s="4">
        <f>(Raw_Stock_Data!F1222/Raw_Stock_Data!F1221)-1</f>
        <v>2.8180354267310914E-3</v>
      </c>
      <c r="G1222" s="4">
        <f>(Raw_Stock_Data!G1222/Raw_Stock_Data!G1221)-1</f>
        <v>-1.2600229095074522E-2</v>
      </c>
      <c r="H1222" s="4">
        <f>(Raw_Stock_Data!H1222/Raw_Stock_Data!H1221)-1</f>
        <v>4.1709755256806869E-3</v>
      </c>
      <c r="I1222" s="4">
        <f>(Raw_Stock_Data!I1222/Raw_Stock_Data!I1221)-1</f>
        <v>-7.4078764087627258E-3</v>
      </c>
      <c r="J1222" s="4">
        <f>(Raw_Stock_Data!J1222/Raw_Stock_Data!J1221)-1</f>
        <v>-2.5022133983815253E-3</v>
      </c>
    </row>
    <row r="1223" spans="1:10" x14ac:dyDescent="0.2">
      <c r="A1223" s="2">
        <v>45973</v>
      </c>
      <c r="B1223" s="4">
        <f>(Raw_Stock_Data!B1223/Raw_Stock_Data!B1222)-1</f>
        <v>-6.4668483197092286E-3</v>
      </c>
      <c r="C1223" s="4">
        <f>(Raw_Stock_Data!C1223/Raw_Stock_Data!C1222)-1</f>
        <v>4.8360462373200352E-3</v>
      </c>
      <c r="D1223" s="4">
        <f>(Raw_Stock_Data!D1223/Raw_Stock_Data!D1222)-1</f>
        <v>3.313315386208382E-3</v>
      </c>
      <c r="E1223" s="4">
        <f>(Raw_Stock_Data!E1223/Raw_Stock_Data!E1222)-1</f>
        <v>8.9971370831929853E-2</v>
      </c>
      <c r="F1223" s="4">
        <f>(Raw_Stock_Data!F1223/Raw_Stock_Data!F1222)-1</f>
        <v>-1.9670814933761549E-2</v>
      </c>
      <c r="G1223" s="4">
        <f>(Raw_Stock_Data!G1223/Raw_Stock_Data!G1222)-1</f>
        <v>-2.0517719848960447E-2</v>
      </c>
      <c r="H1223" s="4">
        <f>(Raw_Stock_Data!H1223/Raw_Stock_Data!H1222)-1</f>
        <v>-1.5790738388658188E-2</v>
      </c>
      <c r="I1223" s="4">
        <f>(Raw_Stock_Data!I1223/Raw_Stock_Data!I1222)-1</f>
        <v>-2.881610001913637E-2</v>
      </c>
      <c r="J1223" s="4">
        <f>(Raw_Stock_Data!J1223/Raw_Stock_Data!J1222)-1</f>
        <v>-2.6350438676853161E-3</v>
      </c>
    </row>
    <row r="1224" spans="1:10" x14ac:dyDescent="0.2">
      <c r="A1224" s="2">
        <v>45974</v>
      </c>
      <c r="B1224" s="4">
        <f>(Raw_Stock_Data!B1224/Raw_Stock_Data!B1223)-1</f>
        <v>-1.9014882802502742E-3</v>
      </c>
      <c r="C1224" s="4">
        <f>(Raw_Stock_Data!C1224/Raw_Stock_Data!C1223)-1</f>
        <v>-1.5357827601048535E-2</v>
      </c>
      <c r="D1224" s="4">
        <f>(Raw_Stock_Data!D1224/Raw_Stock_Data!D1223)-1</f>
        <v>-3.5810113519091802E-2</v>
      </c>
      <c r="E1224" s="4">
        <f>(Raw_Stock_Data!E1224/Raw_Stock_Data!E1223)-1</f>
        <v>-4.2218702924021745E-2</v>
      </c>
      <c r="F1224" s="4">
        <f>(Raw_Stock_Data!F1224/Raw_Stock_Data!F1223)-1</f>
        <v>-2.7108927108926983E-2</v>
      </c>
      <c r="G1224" s="4">
        <f>(Raw_Stock_Data!G1224/Raw_Stock_Data!G1223)-1</f>
        <v>-6.6442173711100838E-2</v>
      </c>
      <c r="H1224" s="4">
        <f>(Raw_Stock_Data!H1224/Raw_Stock_Data!H1223)-1</f>
        <v>-2.8391057165777167E-2</v>
      </c>
      <c r="I1224" s="4">
        <f>(Raw_Stock_Data!I1224/Raw_Stock_Data!I1223)-1</f>
        <v>1.4449680629218253E-3</v>
      </c>
      <c r="J1224" s="4">
        <f>(Raw_Stock_Data!J1224/Raw_Stock_Data!J1223)-1</f>
        <v>-2.290393335856844E-2</v>
      </c>
    </row>
    <row r="1225" spans="1:10" x14ac:dyDescent="0.2">
      <c r="A1225" s="2">
        <v>45975</v>
      </c>
      <c r="B1225" s="4">
        <f>(Raw_Stock_Data!B1225/Raw_Stock_Data!B1224)-1</f>
        <v>-1.9783843194722817E-3</v>
      </c>
      <c r="C1225" s="4">
        <f>(Raw_Stock_Data!C1225/Raw_Stock_Data!C1224)-1</f>
        <v>1.3689920324266192E-2</v>
      </c>
      <c r="D1225" s="4">
        <f>(Raw_Stock_Data!D1225/Raw_Stock_Data!D1224)-1</f>
        <v>1.7713796425131045E-2</v>
      </c>
      <c r="E1225" s="4">
        <f>(Raw_Stock_Data!E1225/Raw_Stock_Data!E1224)-1</f>
        <v>-4.6378448136796813E-3</v>
      </c>
      <c r="F1225" s="4">
        <f>(Raw_Stock_Data!F1225/Raw_Stock_Data!F1224)-1</f>
        <v>-1.2164323596262405E-2</v>
      </c>
      <c r="G1225" s="4">
        <f>(Raw_Stock_Data!G1225/Raw_Stock_Data!G1224)-1</f>
        <v>5.8707928057912806E-3</v>
      </c>
      <c r="H1225" s="4">
        <f>(Raw_Stock_Data!H1225/Raw_Stock_Data!H1224)-1</f>
        <v>-7.7538859173635899E-3</v>
      </c>
      <c r="I1225" s="4">
        <f>(Raw_Stock_Data!I1225/Raw_Stock_Data!I1224)-1</f>
        <v>-7.0504517208014317E-4</v>
      </c>
      <c r="J1225" s="4">
        <f>(Raw_Stock_Data!J1225/Raw_Stock_Data!J1224)-1</f>
        <v>1.321798170208055E-3</v>
      </c>
    </row>
    <row r="1226" spans="1:10" x14ac:dyDescent="0.2">
      <c r="A1226" s="2">
        <v>45978</v>
      </c>
      <c r="B1226" s="4">
        <f>(Raw_Stock_Data!B1226/Raw_Stock_Data!B1225)-1</f>
        <v>-1.817113909181034E-2</v>
      </c>
      <c r="C1226" s="4">
        <f>(Raw_Stock_Data!C1226/Raw_Stock_Data!C1225)-1</f>
        <v>-5.2726488690265638E-3</v>
      </c>
      <c r="D1226" s="4">
        <f>(Raw_Stock_Data!D1226/Raw_Stock_Data!D1225)-1</f>
        <v>-1.8772677078403466E-2</v>
      </c>
      <c r="E1226" s="4">
        <f>(Raw_Stock_Data!E1226/Raw_Stock_Data!E1225)-1</f>
        <v>-2.5485191037640242E-2</v>
      </c>
      <c r="F1226" s="4">
        <f>(Raw_Stock_Data!F1226/Raw_Stock_Data!F1225)-1</f>
        <v>-7.7549107333076961E-3</v>
      </c>
      <c r="G1226" s="4">
        <f>(Raw_Stock_Data!G1226/Raw_Stock_Data!G1225)-1</f>
        <v>1.1302089773710833E-2</v>
      </c>
      <c r="H1226" s="4">
        <f>(Raw_Stock_Data!H1226/Raw_Stock_Data!H1225)-1</f>
        <v>3.114937954487873E-2</v>
      </c>
      <c r="I1226" s="4">
        <f>(Raw_Stock_Data!I1226/Raw_Stock_Data!I1225)-1</f>
        <v>-1.2223935943294184E-2</v>
      </c>
      <c r="J1226" s="4">
        <f>(Raw_Stock_Data!J1226/Raw_Stock_Data!J1225)-1</f>
        <v>-8.4067703059178545E-3</v>
      </c>
    </row>
    <row r="1227" spans="1:10" x14ac:dyDescent="0.2">
      <c r="A1227" s="2">
        <v>45979</v>
      </c>
      <c r="B1227" s="4">
        <f>(Raw_Stock_Data!B1227/Raw_Stock_Data!B1226)-1</f>
        <v>-7.4777536827830282E-5</v>
      </c>
      <c r="C1227" s="4">
        <f>(Raw_Stock_Data!C1227/Raw_Stock_Data!C1226)-1</f>
        <v>-2.699560582474525E-2</v>
      </c>
      <c r="D1227" s="4">
        <f>(Raw_Stock_Data!D1227/Raw_Stock_Data!D1226)-1</f>
        <v>-2.8081457663451159E-2</v>
      </c>
      <c r="E1227" s="4">
        <f>(Raw_Stock_Data!E1227/Raw_Stock_Data!E1226)-1</f>
        <v>-4.2532845501413674E-2</v>
      </c>
      <c r="F1227" s="4">
        <f>(Raw_Stock_Data!F1227/Raw_Stock_Data!F1226)-1</f>
        <v>-4.4316571477648448E-2</v>
      </c>
      <c r="G1227" s="4">
        <f>(Raw_Stock_Data!G1227/Raw_Stock_Data!G1226)-1</f>
        <v>-1.8756725031791044E-2</v>
      </c>
      <c r="H1227" s="4">
        <f>(Raw_Stock_Data!H1227/Raw_Stock_Data!H1226)-1</f>
        <v>-2.5963090309452097E-3</v>
      </c>
      <c r="I1227" s="4">
        <f>(Raw_Stock_Data!I1227/Raw_Stock_Data!I1226)-1</f>
        <v>-7.1759605322169184E-3</v>
      </c>
      <c r="J1227" s="4">
        <f>(Raw_Stock_Data!J1227/Raw_Stock_Data!J1226)-1</f>
        <v>-1.2119920363113268E-2</v>
      </c>
    </row>
    <row r="1228" spans="1:10" x14ac:dyDescent="0.2">
      <c r="A1228" s="2">
        <v>45980</v>
      </c>
      <c r="B1228" s="4">
        <f>(Raw_Stock_Data!B1228/Raw_Stock_Data!B1227)-1</f>
        <v>4.1878552198624241E-3</v>
      </c>
      <c r="C1228" s="4">
        <f>(Raw_Stock_Data!C1228/Raw_Stock_Data!C1227)-1</f>
        <v>-1.3507766459426085E-2</v>
      </c>
      <c r="D1228" s="4">
        <f>(Raw_Stock_Data!D1228/Raw_Stock_Data!D1227)-1</f>
        <v>2.8451698279664761E-2</v>
      </c>
      <c r="E1228" s="4">
        <f>(Raw_Stock_Data!E1228/Raw_Stock_Data!E1227)-1</f>
        <v>-2.9267445394936753E-2</v>
      </c>
      <c r="F1228" s="4">
        <f>(Raw_Stock_Data!F1228/Raw_Stock_Data!F1227)-1</f>
        <v>6.2907211862506252E-4</v>
      </c>
      <c r="G1228" s="4">
        <f>(Raw_Stock_Data!G1228/Raw_Stock_Data!G1227)-1</f>
        <v>6.8286604361371683E-3</v>
      </c>
      <c r="H1228" s="4">
        <f>(Raw_Stock_Data!H1228/Raw_Stock_Data!H1227)-1</f>
        <v>3.0005628253834349E-2</v>
      </c>
      <c r="I1228" s="4">
        <f>(Raw_Stock_Data!I1228/Raw_Stock_Data!I1227)-1</f>
        <v>-1.2330806940052508E-2</v>
      </c>
      <c r="J1228" s="4">
        <f>(Raw_Stock_Data!J1228/Raw_Stock_Data!J1227)-1</f>
        <v>5.8565897779372378E-3</v>
      </c>
    </row>
    <row r="1229" spans="1:10" x14ac:dyDescent="0.2">
      <c r="A1229" s="2">
        <v>45981</v>
      </c>
      <c r="B1229" s="4">
        <f>(Raw_Stock_Data!B1229/Raw_Stock_Data!B1228)-1</f>
        <v>-8.6014298480786566E-3</v>
      </c>
      <c r="C1229" s="4">
        <f>(Raw_Stock_Data!C1229/Raw_Stock_Data!C1228)-1</f>
        <v>-1.7839546723599886E-2</v>
      </c>
      <c r="D1229" s="4">
        <f>(Raw_Stock_Data!D1229/Raw_Stock_Data!D1228)-1</f>
        <v>-3.1524769461720004E-2</v>
      </c>
      <c r="E1229" s="4">
        <f>(Raw_Stock_Data!E1229/Raw_Stock_Data!E1228)-1</f>
        <v>-7.8416461641690915E-2</v>
      </c>
      <c r="F1229" s="4">
        <f>(Raw_Stock_Data!F1229/Raw_Stock_Data!F1228)-1</f>
        <v>-2.4922538057389199E-2</v>
      </c>
      <c r="G1229" s="4">
        <f>(Raw_Stock_Data!G1229/Raw_Stock_Data!G1228)-1</f>
        <v>-2.168370504220396E-2</v>
      </c>
      <c r="H1229" s="4">
        <f>(Raw_Stock_Data!H1229/Raw_Stock_Data!H1228)-1</f>
        <v>-1.1475017929715614E-2</v>
      </c>
      <c r="I1229" s="4">
        <f>(Raw_Stock_Data!I1229/Raw_Stock_Data!I1228)-1</f>
        <v>-1.9819758774902718E-3</v>
      </c>
      <c r="J1229" s="4">
        <f>(Raw_Stock_Data!J1229/Raw_Stock_Data!J1228)-1</f>
        <v>-2.1546491947653457E-2</v>
      </c>
    </row>
    <row r="1230" spans="1:10" x14ac:dyDescent="0.2">
      <c r="A1230" s="2">
        <v>45982</v>
      </c>
      <c r="B1230" s="4">
        <f>(Raw_Stock_Data!B1230/Raw_Stock_Data!B1229)-1</f>
        <v>1.9680751173708932E-2</v>
      </c>
      <c r="C1230" s="4">
        <f>(Raw_Stock_Data!C1230/Raw_Stock_Data!C1229)-1</f>
        <v>-1.3188972263445065E-2</v>
      </c>
      <c r="D1230" s="4">
        <f>(Raw_Stock_Data!D1230/Raw_Stock_Data!D1229)-1</f>
        <v>-9.7431355181576418E-3</v>
      </c>
      <c r="E1230" s="4">
        <f>(Raw_Stock_Data!E1230/Raw_Stock_Data!E1229)-1</f>
        <v>-1.0872730802834685E-2</v>
      </c>
      <c r="F1230" s="4">
        <f>(Raw_Stock_Data!F1230/Raw_Stock_Data!F1229)-1</f>
        <v>1.6348899327622846E-2</v>
      </c>
      <c r="G1230" s="4">
        <f>(Raw_Stock_Data!G1230/Raw_Stock_Data!G1229)-1</f>
        <v>-1.0474913341598668E-2</v>
      </c>
      <c r="H1230" s="4">
        <f>(Raw_Stock_Data!H1230/Raw_Stock_Data!H1229)-1</f>
        <v>3.5273795128692553E-2</v>
      </c>
      <c r="I1230" s="4">
        <f>(Raw_Stock_Data!I1230/Raw_Stock_Data!I1229)-1</f>
        <v>8.6565390817279209E-3</v>
      </c>
      <c r="J1230" s="4">
        <f>(Raw_Stock_Data!J1230/Raw_Stock_Data!J1229)-1</f>
        <v>8.8336605814374192E-3</v>
      </c>
    </row>
    <row r="1231" spans="1:10" x14ac:dyDescent="0.2">
      <c r="A1231" s="2">
        <v>45985</v>
      </c>
      <c r="B1231" s="4">
        <f>(Raw_Stock_Data!B1231/Raw_Stock_Data!B1230)-1</f>
        <v>1.631735975542381E-2</v>
      </c>
      <c r="C1231" s="4">
        <f>(Raw_Stock_Data!C1231/Raw_Stock_Data!C1230)-1</f>
        <v>3.9820384647970553E-3</v>
      </c>
      <c r="D1231" s="4">
        <f>(Raw_Stock_Data!D1231/Raw_Stock_Data!D1230)-1</f>
        <v>2.0516547406082442E-2</v>
      </c>
      <c r="E1231" s="4">
        <f>(Raw_Stock_Data!E1231/Raw_Stock_Data!E1230)-1</f>
        <v>5.5304740406320496E-2</v>
      </c>
      <c r="F1231" s="4">
        <f>(Raw_Stock_Data!F1231/Raw_Stock_Data!F1230)-1</f>
        <v>2.5329647922425202E-2</v>
      </c>
      <c r="G1231" s="4">
        <f>(Raw_Stock_Data!G1231/Raw_Stock_Data!G1230)-1</f>
        <v>6.8245160960392681E-2</v>
      </c>
      <c r="H1231" s="4">
        <f>(Raw_Stock_Data!H1231/Raw_Stock_Data!H1230)-1</f>
        <v>6.3138223319762155E-2</v>
      </c>
      <c r="I1231" s="4">
        <f>(Raw_Stock_Data!I1231/Raw_Stock_Data!I1230)-1</f>
        <v>3.1636516617585153E-2</v>
      </c>
      <c r="J1231" s="4">
        <f>(Raw_Stock_Data!J1231/Raw_Stock_Data!J1230)-1</f>
        <v>2.6890308839190524E-2</v>
      </c>
    </row>
    <row r="1232" spans="1:10" x14ac:dyDescent="0.2">
      <c r="A1232" s="2">
        <v>45986</v>
      </c>
      <c r="B1232" s="4">
        <f>(Raw_Stock_Data!B1232/Raw_Stock_Data!B1231)-1</f>
        <v>3.8054508553204691E-3</v>
      </c>
      <c r="C1232" s="4">
        <f>(Raw_Stock_Data!C1232/Raw_Stock_Data!C1231)-1</f>
        <v>6.308016877637046E-3</v>
      </c>
      <c r="D1232" s="4">
        <f>(Raw_Stock_Data!D1232/Raw_Stock_Data!D1231)-1</f>
        <v>-2.5910709394686537E-2</v>
      </c>
      <c r="E1232" s="4">
        <f>(Raw_Stock_Data!E1232/Raw_Stock_Data!E1231)-1</f>
        <v>-4.147872587770296E-2</v>
      </c>
      <c r="F1232" s="4">
        <f>(Raw_Stock_Data!F1232/Raw_Stock_Data!F1231)-1</f>
        <v>1.498143892522541E-2</v>
      </c>
      <c r="G1232" s="4">
        <f>(Raw_Stock_Data!G1232/Raw_Stock_Data!G1231)-1</f>
        <v>3.8776389487289453E-3</v>
      </c>
      <c r="H1232" s="4">
        <f>(Raw_Stock_Data!H1232/Raw_Stock_Data!H1231)-1</f>
        <v>1.5255194927490834E-2</v>
      </c>
      <c r="I1232" s="4">
        <f>(Raw_Stock_Data!I1232/Raw_Stock_Data!I1231)-1</f>
        <v>3.7794633390425103E-2</v>
      </c>
      <c r="J1232" s="4">
        <f>(Raw_Stock_Data!J1232/Raw_Stock_Data!J1231)-1</f>
        <v>6.7147574699382151E-3</v>
      </c>
    </row>
    <row r="1233" spans="1:10" x14ac:dyDescent="0.2">
      <c r="A1233" s="2">
        <v>45987</v>
      </c>
      <c r="B1233" s="4">
        <f>(Raw_Stock_Data!B1233/Raw_Stock_Data!B1232)-1</f>
        <v>2.0940896125933861E-3</v>
      </c>
      <c r="C1233" s="4">
        <f>(Raw_Stock_Data!C1233/Raw_Stock_Data!C1232)-1</f>
        <v>1.7841044885636981E-2</v>
      </c>
      <c r="D1233" s="4">
        <f>(Raw_Stock_Data!D1233/Raw_Stock_Data!D1232)-1</f>
        <v>1.3721741086492045E-2</v>
      </c>
      <c r="E1233" s="4">
        <f>(Raw_Stock_Data!E1233/Raw_Stock_Data!E1232)-1</f>
        <v>3.9344103235822159E-2</v>
      </c>
      <c r="F1233" s="4">
        <f>(Raw_Stock_Data!F1233/Raw_Stock_Data!F1232)-1</f>
        <v>-2.2205773501109416E-3</v>
      </c>
      <c r="G1233" s="4">
        <f>(Raw_Stock_Data!G1233/Raw_Stock_Data!G1232)-1</f>
        <v>1.7119694802098184E-2</v>
      </c>
      <c r="H1233" s="4">
        <f>(Raw_Stock_Data!H1233/Raw_Stock_Data!H1232)-1</f>
        <v>-1.0790254761315898E-2</v>
      </c>
      <c r="I1233" s="4">
        <f>(Raw_Stock_Data!I1233/Raw_Stock_Data!I1232)-1</f>
        <v>-4.1023545314513576E-3</v>
      </c>
      <c r="J1233" s="4">
        <f>(Raw_Stock_Data!J1233/Raw_Stock_Data!J1232)-1</f>
        <v>8.212601718349033E-3</v>
      </c>
    </row>
    <row r="1234" spans="1:10" x14ac:dyDescent="0.2">
      <c r="A1234" s="2">
        <v>45989</v>
      </c>
      <c r="B1234" s="4">
        <f>(Raw_Stock_Data!B1234/Raw_Stock_Data!B1233)-1</f>
        <v>4.6838407494145251E-3</v>
      </c>
      <c r="C1234" s="4">
        <f>(Raw_Stock_Data!C1234/Raw_Stock_Data!C1233)-1</f>
        <v>1.3408856848609707E-2</v>
      </c>
      <c r="D1234" s="4">
        <f>(Raw_Stock_Data!D1234/Raw_Stock_Data!D1233)-1</f>
        <v>-1.8084988350160813E-2</v>
      </c>
      <c r="E1234" s="4">
        <f>(Raw_Stock_Data!E1234/Raw_Stock_Data!E1233)-1</f>
        <v>1.5356609410007493E-2</v>
      </c>
      <c r="F1234" s="4">
        <f>(Raw_Stock_Data!F1234/Raw_Stock_Data!F1233)-1</f>
        <v>1.7716879036481004E-2</v>
      </c>
      <c r="G1234" s="4">
        <f>(Raw_Stock_Data!G1234/Raw_Stock_Data!G1233)-1</f>
        <v>8.4157719536781528E-3</v>
      </c>
      <c r="H1234" s="4">
        <f>(Raw_Stock_Data!H1234/Raw_Stock_Data!H1233)-1</f>
        <v>7.1886232223783431E-4</v>
      </c>
      <c r="I1234" s="4">
        <f>(Raw_Stock_Data!I1234/Raw_Stock_Data!I1233)-1</f>
        <v>2.263221855715658E-2</v>
      </c>
      <c r="J1234" s="4">
        <f>(Raw_Stock_Data!J1234/Raw_Stock_Data!J1233)-1</f>
        <v>6.5045021062095643E-3</v>
      </c>
    </row>
    <row r="1235" spans="1:10" x14ac:dyDescent="0.2">
      <c r="A1235" s="2">
        <v>45992</v>
      </c>
      <c r="B1235" s="4">
        <f>(Raw_Stock_Data!B1235/Raw_Stock_Data!B1234)-1</f>
        <v>1.524116908732287E-2</v>
      </c>
      <c r="C1235" s="4">
        <f>(Raw_Stock_Data!C1235/Raw_Stock_Data!C1234)-1</f>
        <v>-1.0711164407227414E-2</v>
      </c>
      <c r="D1235" s="4">
        <f>(Raw_Stock_Data!D1235/Raw_Stock_Data!D1234)-1</f>
        <v>1.6497175141242826E-2</v>
      </c>
      <c r="E1235" s="4">
        <f>(Raw_Stock_Data!E1235/Raw_Stock_Data!E1234)-1</f>
        <v>1.0251459568795029E-2</v>
      </c>
      <c r="F1235" s="4">
        <f>(Raw_Stock_Data!F1235/Raw_Stock_Data!F1234)-1</f>
        <v>2.8299459737586297E-3</v>
      </c>
      <c r="G1235" s="4">
        <f>(Raw_Stock_Data!G1235/Raw_Stock_Data!G1234)-1</f>
        <v>-6.9739870283913596E-5</v>
      </c>
      <c r="H1235" s="4">
        <f>(Raw_Stock_Data!H1235/Raw_Stock_Data!H1234)-1</f>
        <v>-1.6521956399525362E-2</v>
      </c>
      <c r="I1235" s="4">
        <f>(Raw_Stock_Data!I1235/Raw_Stock_Data!I1234)-1</f>
        <v>-1.0926769040821127E-2</v>
      </c>
      <c r="J1235" s="4">
        <f>(Raw_Stock_Data!J1235/Raw_Stock_Data!J1234)-1</f>
        <v>-3.8419580162195599E-3</v>
      </c>
    </row>
    <row r="1236" spans="1:10" x14ac:dyDescent="0.2">
      <c r="A1236" s="2">
        <v>45993</v>
      </c>
      <c r="B1236" s="4">
        <f>(Raw_Stock_Data!B1236/Raw_Stock_Data!B1235)-1</f>
        <v>1.0914871070293097E-2</v>
      </c>
      <c r="C1236" s="4">
        <f>(Raw_Stock_Data!C1236/Raw_Stock_Data!C1235)-1</f>
        <v>6.6976209064386616E-3</v>
      </c>
      <c r="D1236" s="4">
        <f>(Raw_Stock_Data!D1236/Raw_Stock_Data!D1235)-1</f>
        <v>8.5593597154292045E-3</v>
      </c>
      <c r="E1236" s="4">
        <f>(Raw_Stock_Data!E1236/Raw_Stock_Data!E1235)-1</f>
        <v>-2.0567892246086572E-2</v>
      </c>
      <c r="F1236" s="4">
        <f>(Raw_Stock_Data!F1236/Raw_Stock_Data!F1235)-1</f>
        <v>2.3088763468444018E-3</v>
      </c>
      <c r="G1236" s="4">
        <f>(Raw_Stock_Data!G1236/Raw_Stock_Data!G1235)-1</f>
        <v>-2.0923420281768745E-3</v>
      </c>
      <c r="H1236" s="4">
        <f>(Raw_Stock_Data!H1236/Raw_Stock_Data!H1235)-1</f>
        <v>2.9216551811743763E-3</v>
      </c>
      <c r="I1236" s="4">
        <f>(Raw_Stock_Data!I1236/Raw_Stock_Data!I1235)-1</f>
        <v>9.7211602977202993E-3</v>
      </c>
      <c r="J1236" s="4">
        <f>(Raw_Stock_Data!J1236/Raw_Stock_Data!J1235)-1</f>
        <v>5.9181334185716139E-3</v>
      </c>
    </row>
    <row r="1237" spans="1:10" x14ac:dyDescent="0.2">
      <c r="A1237" s="2">
        <v>45994</v>
      </c>
      <c r="B1237" s="4">
        <f>(Raw_Stock_Data!B1237/Raw_Stock_Data!B1236)-1</f>
        <v>-7.1281316607848533E-3</v>
      </c>
      <c r="C1237" s="4">
        <f>(Raw_Stock_Data!C1237/Raw_Stock_Data!C1236)-1</f>
        <v>-2.5040816326530546E-2</v>
      </c>
      <c r="D1237" s="4">
        <f>(Raw_Stock_Data!D1237/Raw_Stock_Data!D1236)-1</f>
        <v>-1.030530144384445E-2</v>
      </c>
      <c r="E1237" s="4">
        <f>(Raw_Stock_Data!E1237/Raw_Stock_Data!E1236)-1</f>
        <v>1.0964504738895986E-2</v>
      </c>
      <c r="F1237" s="4">
        <f>(Raw_Stock_Data!F1237/Raw_Stock_Data!F1236)-1</f>
        <v>-8.7023291528026681E-3</v>
      </c>
      <c r="G1237" s="4">
        <f>(Raw_Stock_Data!G1237/Raw_Stock_Data!G1236)-1</f>
        <v>4.0769732550554494E-2</v>
      </c>
      <c r="H1237" s="4">
        <f>(Raw_Stock_Data!H1237/Raw_Stock_Data!H1236)-1</f>
        <v>1.2095880434438433E-2</v>
      </c>
      <c r="I1237" s="4">
        <f>(Raw_Stock_Data!I1237/Raw_Stock_Data!I1236)-1</f>
        <v>-1.1590171534538674E-2</v>
      </c>
      <c r="J1237" s="4">
        <f>(Raw_Stock_Data!J1237/Raw_Stock_Data!J1236)-1</f>
        <v>1.7263419190585161E-3</v>
      </c>
    </row>
    <row r="1238" spans="1:10" x14ac:dyDescent="0.2">
      <c r="A1238" s="2">
        <v>45995</v>
      </c>
      <c r="B1238" s="4">
        <f>(Raw_Stock_Data!B1238/Raw_Stock_Data!B1237)-1</f>
        <v>-1.2141474573288735E-2</v>
      </c>
      <c r="C1238" s="4">
        <f>(Raw_Stock_Data!C1238/Raw_Stock_Data!C1237)-1</f>
        <v>6.5099533209134197E-3</v>
      </c>
      <c r="D1238" s="4">
        <f>(Raw_Stock_Data!D1238/Raw_Stock_Data!D1237)-1</f>
        <v>2.1103624923436648E-2</v>
      </c>
      <c r="E1238" s="4">
        <f>(Raw_Stock_Data!E1238/Raw_Stock_Data!E1237)-1</f>
        <v>-7.4448529411764719E-3</v>
      </c>
      <c r="F1238" s="4">
        <f>(Raw_Stock_Data!F1238/Raw_Stock_Data!F1237)-1</f>
        <v>-1.4071778982700622E-2</v>
      </c>
      <c r="G1238" s="4">
        <f>(Raw_Stock_Data!G1238/Raw_Stock_Data!G1237)-1</f>
        <v>1.7437435644894084E-2</v>
      </c>
      <c r="H1238" s="4">
        <f>(Raw_Stock_Data!H1238/Raw_Stock_Data!H1237)-1</f>
        <v>-6.2885211025247578E-3</v>
      </c>
      <c r="I1238" s="4">
        <f>(Raw_Stock_Data!I1238/Raw_Stock_Data!I1237)-1</f>
        <v>3.428705440900548E-2</v>
      </c>
      <c r="J1238" s="4">
        <f>(Raw_Stock_Data!J1238/Raw_Stock_Data!J1237)-1</f>
        <v>2.1765926539891733E-3</v>
      </c>
    </row>
    <row r="1239" spans="1:10" x14ac:dyDescent="0.2">
      <c r="A1239" s="2">
        <v>45996</v>
      </c>
      <c r="B1239" s="4">
        <f>(Raw_Stock_Data!B1239/Raw_Stock_Data!B1238)-1</f>
        <v>-6.8400427502672834E-3</v>
      </c>
      <c r="C1239" s="4">
        <f>(Raw_Stock_Data!C1239/Raw_Stock_Data!C1238)-1</f>
        <v>4.8248897762250831E-3</v>
      </c>
      <c r="D1239" s="4">
        <f>(Raw_Stock_Data!D1239/Raw_Stock_Data!D1238)-1</f>
        <v>-5.2895626567782683E-3</v>
      </c>
      <c r="E1239" s="4">
        <f>(Raw_Stock_Data!E1239/Raw_Stock_Data!E1238)-1</f>
        <v>9.2138160940828939E-3</v>
      </c>
      <c r="F1239" s="4">
        <f>(Raw_Stock_Data!F1239/Raw_Stock_Data!F1238)-1</f>
        <v>1.8331805682858526E-3</v>
      </c>
      <c r="G1239" s="4">
        <f>(Raw_Stock_Data!G1239/Raw_Stock_Data!G1238)-1</f>
        <v>1.0340351571953565E-3</v>
      </c>
      <c r="H1239" s="4">
        <f>(Raw_Stock_Data!H1239/Raw_Stock_Data!H1238)-1</f>
        <v>1.1491719665008393E-2</v>
      </c>
      <c r="I1239" s="4">
        <f>(Raw_Stock_Data!I1239/Raw_Stock_Data!I1238)-1</f>
        <v>1.7973485707375225E-2</v>
      </c>
      <c r="J1239" s="4">
        <f>(Raw_Stock_Data!J1239/Raw_Stock_Data!J1238)-1</f>
        <v>3.1052782497786868E-3</v>
      </c>
    </row>
    <row r="1240" spans="1:10" x14ac:dyDescent="0.2">
      <c r="A1240" s="2">
        <v>45999</v>
      </c>
      <c r="B1240" s="4">
        <f>(Raw_Stock_Data!B1240/Raw_Stock_Data!B1239)-1</f>
        <v>-3.192481526651747E-3</v>
      </c>
      <c r="C1240" s="4">
        <f>(Raw_Stock_Data!C1240/Raw_Stock_Data!C1239)-1</f>
        <v>1.6267902972100234E-2</v>
      </c>
      <c r="D1240" s="4">
        <f>(Raw_Stock_Data!D1240/Raw_Stock_Data!D1239)-1</f>
        <v>1.7213968532427071E-2</v>
      </c>
      <c r="E1240" s="4">
        <f>(Raw_Stock_Data!E1240/Raw_Stock_Data!E1239)-1</f>
        <v>1.4405652153966164E-2</v>
      </c>
      <c r="F1240" s="4">
        <f>(Raw_Stock_Data!F1240/Raw_Stock_Data!F1239)-1</f>
        <v>-1.1501764475232101E-2</v>
      </c>
      <c r="G1240" s="4">
        <f>(Raw_Stock_Data!G1240/Raw_Stock_Data!G1239)-1</f>
        <v>-3.3890109890109876E-2</v>
      </c>
      <c r="H1240" s="4">
        <f>(Raw_Stock_Data!H1240/Raw_Stock_Data!H1239)-1</f>
        <v>-2.3500482460235839E-2</v>
      </c>
      <c r="I1240" s="4">
        <f>(Raw_Stock_Data!I1240/Raw_Stock_Data!I1239)-1</f>
        <v>-9.830417867007224E-3</v>
      </c>
      <c r="J1240" s="4">
        <f>(Raw_Stock_Data!J1240/Raw_Stock_Data!J1239)-1</f>
        <v>-1.3669447068108687E-3</v>
      </c>
    </row>
    <row r="1241" spans="1:10" x14ac:dyDescent="0.2">
      <c r="A1241" s="2">
        <v>46000</v>
      </c>
      <c r="B1241" s="4">
        <f>(Raw_Stock_Data!B1241/Raw_Stock_Data!B1240)-1</f>
        <v>-2.5549677930115644E-3</v>
      </c>
      <c r="C1241" s="4">
        <f>(Raw_Stock_Data!C1241/Raw_Stock_Data!C1240)-1</f>
        <v>2.0365769215102691E-3</v>
      </c>
      <c r="D1241" s="4">
        <f>(Raw_Stock_Data!D1241/Raw_Stock_Data!D1240)-1</f>
        <v>-3.1258420910806883E-3</v>
      </c>
      <c r="E1241" s="4">
        <f>(Raw_Stock_Data!E1241/Raw_Stock_Data!E1240)-1</f>
        <v>2.3065442539911274E-3</v>
      </c>
      <c r="F1241" s="4">
        <f>(Raw_Stock_Data!F1241/Raw_Stock_Data!F1240)-1</f>
        <v>4.5396447617789271E-3</v>
      </c>
      <c r="G1241" s="4">
        <f>(Raw_Stock_Data!G1241/Raw_Stock_Data!G1240)-1</f>
        <v>1.2716684107557219E-2</v>
      </c>
      <c r="H1241" s="4">
        <f>(Raw_Stock_Data!H1241/Raw_Stock_Data!H1240)-1</f>
        <v>1.0710187428279783E-2</v>
      </c>
      <c r="I1241" s="4">
        <f>(Raw_Stock_Data!I1241/Raw_Stock_Data!I1240)-1</f>
        <v>-1.4757048590281818E-2</v>
      </c>
      <c r="J1241" s="4">
        <f>(Raw_Stock_Data!J1241/Raw_Stock_Data!J1240)-1</f>
        <v>1.2991646103992505E-3</v>
      </c>
    </row>
    <row r="1242" spans="1:10" x14ac:dyDescent="0.2">
      <c r="A1242" s="2">
        <v>46001</v>
      </c>
      <c r="B1242" s="4">
        <f>(Raw_Stock_Data!B1242/Raw_Stock_Data!B1241)-1</f>
        <v>5.7724222526875923E-3</v>
      </c>
      <c r="C1242" s="4">
        <f>(Raw_Stock_Data!C1242/Raw_Stock_Data!C1241)-1</f>
        <v>-2.735661151985691E-2</v>
      </c>
      <c r="D1242" s="4">
        <f>(Raw_Stock_Data!D1242/Raw_Stock_Data!D1241)-1</f>
        <v>-6.433475698761959E-3</v>
      </c>
      <c r="E1242" s="4">
        <f>(Raw_Stock_Data!E1242/Raw_Stock_Data!E1241)-1</f>
        <v>-9.024456276509607E-4</v>
      </c>
      <c r="F1242" s="4">
        <f>(Raw_Stock_Data!F1242/Raw_Stock_Data!F1241)-1</f>
        <v>1.6935766935767038E-2</v>
      </c>
      <c r="G1242" s="4">
        <f>(Raw_Stock_Data!G1242/Raw_Stock_Data!G1241)-1</f>
        <v>1.4106970370869387E-2</v>
      </c>
      <c r="H1242" s="4">
        <f>(Raw_Stock_Data!H1242/Raw_Stock_Data!H1241)-1</f>
        <v>9.8713258483662525E-3</v>
      </c>
      <c r="I1242" s="4">
        <f>(Raw_Stock_Data!I1242/Raw_Stock_Data!I1241)-1</f>
        <v>-1.0396371164150042E-2</v>
      </c>
      <c r="J1242" s="4">
        <f>(Raw_Stock_Data!J1242/Raw_Stock_Data!J1241)-1</f>
        <v>3.2939593637559827E-3</v>
      </c>
    </row>
    <row r="1243" spans="1:10" x14ac:dyDescent="0.2">
      <c r="A1243" s="2">
        <v>46002</v>
      </c>
      <c r="B1243" s="4">
        <f>(Raw_Stock_Data!B1243/Raw_Stock_Data!B1242)-1</f>
        <v>-2.6902934213358654E-3</v>
      </c>
      <c r="C1243" s="4">
        <f>(Raw_Stock_Data!C1243/Raw_Stock_Data!C1242)-1</f>
        <v>1.0259946506185225E-2</v>
      </c>
      <c r="D1243" s="4">
        <f>(Raw_Stock_Data!D1243/Raw_Stock_Data!D1242)-1</f>
        <v>-1.5507672216780954E-2</v>
      </c>
      <c r="E1243" s="4">
        <f>(Raw_Stock_Data!E1243/Raw_Stock_Data!E1242)-1</f>
        <v>4.5163038569384639E-5</v>
      </c>
      <c r="F1243" s="4">
        <f>(Raw_Stock_Data!F1243/Raw_Stock_Data!F1242)-1</f>
        <v>-6.4716541548019979E-3</v>
      </c>
      <c r="G1243" s="4">
        <f>(Raw_Stock_Data!G1243/Raw_Stock_Data!G1242)-1</f>
        <v>-1.0100786355078051E-2</v>
      </c>
      <c r="H1243" s="4">
        <f>(Raw_Stock_Data!H1243/Raw_Stock_Data!H1242)-1</f>
        <v>-2.4296555385528218E-2</v>
      </c>
      <c r="I1243" s="4">
        <f>(Raw_Stock_Data!I1243/Raw_Stock_Data!I1242)-1</f>
        <v>3.968437081814491E-3</v>
      </c>
      <c r="J1243" s="4">
        <f>(Raw_Stock_Data!J1243/Raw_Stock_Data!J1242)-1</f>
        <v>-2.5488127876081013E-3</v>
      </c>
    </row>
    <row r="1244" spans="1:10" x14ac:dyDescent="0.2">
      <c r="A1244" s="2">
        <v>46003</v>
      </c>
      <c r="B1244" s="4">
        <f>(Raw_Stock_Data!B1244/Raw_Stock_Data!B1243)-1</f>
        <v>8.9918354134455036E-4</v>
      </c>
      <c r="C1244" s="4">
        <f>(Raw_Stock_Data!C1244/Raw_Stock_Data!C1243)-1</f>
        <v>-1.0217800484001227E-2</v>
      </c>
      <c r="D1244" s="4">
        <f>(Raw_Stock_Data!D1244/Raw_Stock_Data!D1243)-1</f>
        <v>-3.2664566406897633E-2</v>
      </c>
      <c r="E1244" s="4">
        <f>(Raw_Stock_Data!E1244/Raw_Stock_Data!E1243)-1</f>
        <v>-4.8096463893781305E-2</v>
      </c>
      <c r="F1244" s="4">
        <f>(Raw_Stock_Data!F1244/Raw_Stock_Data!F1243)-1</f>
        <v>-1.776098662497827E-2</v>
      </c>
      <c r="G1244" s="4">
        <f>(Raw_Stock_Data!G1244/Raw_Stock_Data!G1243)-1</f>
        <v>2.7008883617892554E-2</v>
      </c>
      <c r="H1244" s="4">
        <f>(Raw_Stock_Data!H1244/Raw_Stock_Data!H1243)-1</f>
        <v>-1.005025125628134E-2</v>
      </c>
      <c r="I1244" s="4">
        <f>(Raw_Stock_Data!I1244/Raw_Stock_Data!I1243)-1</f>
        <v>-1.2991987253144655E-2</v>
      </c>
      <c r="J1244" s="4">
        <f>(Raw_Stock_Data!J1244/Raw_Stock_Data!J1243)-1</f>
        <v>-1.6898040422381189E-2</v>
      </c>
    </row>
    <row r="1245" spans="1:10" x14ac:dyDescent="0.2">
      <c r="A1245" s="2">
        <v>46006</v>
      </c>
      <c r="B1245" s="4">
        <f>(Raw_Stock_Data!B1245/Raw_Stock_Data!B1244)-1</f>
        <v>-1.4984907287623805E-2</v>
      </c>
      <c r="C1245" s="4">
        <f>(Raw_Stock_Data!C1245/Raw_Stock_Data!C1244)-1</f>
        <v>-7.7529099533989454E-3</v>
      </c>
      <c r="D1245" s="4">
        <f>(Raw_Stock_Data!D1245/Raw_Stock_Data!D1244)-1</f>
        <v>7.2563135641638965E-3</v>
      </c>
      <c r="E1245" s="4">
        <f>(Raw_Stock_Data!E1245/Raw_Stock_Data!E1244)-1</f>
        <v>-1.5181706044216647E-2</v>
      </c>
      <c r="F1245" s="4">
        <f>(Raw_Stock_Data!F1245/Raw_Stock_Data!F1244)-1</f>
        <v>-1.6136876077633922E-2</v>
      </c>
      <c r="G1245" s="4">
        <f>(Raw_Stock_Data!G1245/Raw_Stock_Data!G1244)-1</f>
        <v>3.5624019522398465E-2</v>
      </c>
      <c r="H1245" s="4">
        <f>(Raw_Stock_Data!H1245/Raw_Stock_Data!H1244)-1</f>
        <v>-3.4595363574638771E-3</v>
      </c>
      <c r="I1245" s="4">
        <f>(Raw_Stock_Data!I1245/Raw_Stock_Data!I1244)-1</f>
        <v>5.0913493628050865E-3</v>
      </c>
      <c r="J1245" s="4">
        <f>(Raw_Stock_Data!J1245/Raw_Stock_Data!J1244)-1</f>
        <v>-5.9391675077181683E-3</v>
      </c>
    </row>
    <row r="1246" spans="1:10" x14ac:dyDescent="0.2">
      <c r="A1246" s="2">
        <v>46007</v>
      </c>
      <c r="B1246" s="4">
        <f>(Raw_Stock_Data!B1246/Raw_Stock_Data!B1245)-1</f>
        <v>1.8240852212614289E-3</v>
      </c>
      <c r="C1246" s="4">
        <f>(Raw_Stock_Data!C1246/Raw_Stock_Data!C1245)-1</f>
        <v>3.306516153489758E-3</v>
      </c>
      <c r="D1246" s="4">
        <f>(Raw_Stock_Data!D1246/Raw_Stock_Data!D1245)-1</f>
        <v>8.1116342390379348E-3</v>
      </c>
      <c r="E1246" s="4">
        <f>(Raw_Stock_Data!E1246/Raw_Stock_Data!E1245)-1</f>
        <v>7.6596974660370076E-3</v>
      </c>
      <c r="F1246" s="4">
        <f>(Raw_Stock_Data!F1246/Raw_Stock_Data!F1245)-1</f>
        <v>8.9871483778258821E-5</v>
      </c>
      <c r="G1246" s="4">
        <f>(Raw_Stock_Data!G1246/Raw_Stock_Data!G1245)-1</f>
        <v>3.0653678651827221E-2</v>
      </c>
      <c r="H1246" s="4">
        <f>(Raw_Stock_Data!H1246/Raw_Stock_Data!H1245)-1</f>
        <v>-5.3533190578159973E-3</v>
      </c>
      <c r="I1246" s="4">
        <f>(Raw_Stock_Data!I1246/Raw_Stock_Data!I1245)-1</f>
        <v>1.4887800960602826E-2</v>
      </c>
      <c r="J1246" s="4">
        <f>(Raw_Stock_Data!J1246/Raw_Stock_Data!J1245)-1</f>
        <v>2.3441488007542866E-3</v>
      </c>
    </row>
    <row r="1247" spans="1:10" x14ac:dyDescent="0.2">
      <c r="A1247" s="2">
        <v>46008</v>
      </c>
      <c r="B1247" s="4">
        <f>(Raw_Stock_Data!B1247/Raw_Stock_Data!B1246)-1</f>
        <v>-1.0087032518845018E-2</v>
      </c>
      <c r="C1247" s="4">
        <f>(Raw_Stock_Data!C1247/Raw_Stock_Data!C1246)-1</f>
        <v>-5.6676252650134096E-4</v>
      </c>
      <c r="D1247" s="4">
        <f>(Raw_Stock_Data!D1247/Raw_Stock_Data!D1246)-1</f>
        <v>-3.8149898717083075E-2</v>
      </c>
      <c r="E1247" s="4">
        <f>(Raw_Stock_Data!E1247/Raw_Stock_Data!E1246)-1</f>
        <v>-5.28756513840416E-2</v>
      </c>
      <c r="F1247" s="4">
        <f>(Raw_Stock_Data!F1247/Raw_Stock_Data!F1246)-1</f>
        <v>-5.7961897915168592E-3</v>
      </c>
      <c r="G1247" s="4">
        <f>(Raw_Stock_Data!G1247/Raw_Stock_Data!G1246)-1</f>
        <v>-4.6174573364905713E-2</v>
      </c>
      <c r="H1247" s="4">
        <f>(Raw_Stock_Data!H1247/Raw_Stock_Data!H1246)-1</f>
        <v>-3.2129693055419573E-2</v>
      </c>
      <c r="I1247" s="4">
        <f>(Raw_Stock_Data!I1247/Raw_Stock_Data!I1246)-1</f>
        <v>-1.1641177813284553E-2</v>
      </c>
      <c r="J1247" s="4">
        <f>(Raw_Stock_Data!J1247/Raw_Stock_Data!J1246)-1</f>
        <v>-1.8092323029354263E-2</v>
      </c>
    </row>
    <row r="1248" spans="1:10" x14ac:dyDescent="0.2">
      <c r="A1248" s="2">
        <v>46009</v>
      </c>
      <c r="B1248" s="4">
        <f>(Raw_Stock_Data!B1248/Raw_Stock_Data!B1247)-1</f>
        <v>1.2875220718069347E-3</v>
      </c>
      <c r="C1248" s="4">
        <f>(Raw_Stock_Data!C1248/Raw_Stock_Data!C1247)-1</f>
        <v>1.650844324960099E-2</v>
      </c>
      <c r="D1248" s="4">
        <f>(Raw_Stock_Data!D1248/Raw_Stock_Data!D1247)-1</f>
        <v>1.8720018720018716E-2</v>
      </c>
      <c r="E1248" s="4">
        <f>(Raw_Stock_Data!E1248/Raw_Stock_Data!E1247)-1</f>
        <v>1.489071727827973E-2</v>
      </c>
      <c r="F1248" s="4">
        <f>(Raw_Stock_Data!F1248/Raw_Stock_Data!F1247)-1</f>
        <v>2.4811316491164526E-2</v>
      </c>
      <c r="G1248" s="4">
        <f>(Raw_Stock_Data!G1248/Raw_Stock_Data!G1247)-1</f>
        <v>3.4477592774900589E-2</v>
      </c>
      <c r="H1248" s="4">
        <f>(Raw_Stock_Data!H1248/Raw_Stock_Data!H1247)-1</f>
        <v>1.9344836883256722E-2</v>
      </c>
      <c r="I1248" s="4">
        <f>(Raw_Stock_Data!I1248/Raw_Stock_Data!I1247)-1</f>
        <v>2.3017705927636634E-2</v>
      </c>
      <c r="J1248" s="4">
        <f>(Raw_Stock_Data!J1248/Raw_Stock_Data!J1247)-1</f>
        <v>1.3794367681767117E-2</v>
      </c>
    </row>
    <row r="1249" spans="1:10" x14ac:dyDescent="0.2">
      <c r="A1249" s="2">
        <v>46010</v>
      </c>
      <c r="B1249" s="4">
        <f>(Raw_Stock_Data!B1249/Raw_Stock_Data!B1248)-1</f>
        <v>5.4373783019214805E-3</v>
      </c>
      <c r="C1249" s="4">
        <f>(Raw_Stock_Data!C1249/Raw_Stock_Data!C1248)-1</f>
        <v>4.0084301004172929E-3</v>
      </c>
      <c r="D1249" s="4">
        <f>(Raw_Stock_Data!D1249/Raw_Stock_Data!D1248)-1</f>
        <v>3.9336166302974762E-2</v>
      </c>
      <c r="E1249" s="4">
        <f>(Raw_Stock_Data!E1249/Raw_Stock_Data!E1248)-1</f>
        <v>6.152392320700284E-2</v>
      </c>
      <c r="F1249" s="4">
        <f>(Raw_Stock_Data!F1249/Raw_Stock_Data!F1248)-1</f>
        <v>2.6018698183101208E-3</v>
      </c>
      <c r="G1249" s="4">
        <f>(Raw_Stock_Data!G1249/Raw_Stock_Data!G1248)-1</f>
        <v>-4.4893146037197074E-3</v>
      </c>
      <c r="H1249" s="4">
        <f>(Raw_Stock_Data!H1249/Raw_Stock_Data!H1248)-1</f>
        <v>1.5539244858824519E-2</v>
      </c>
      <c r="I1249" s="4">
        <f>(Raw_Stock_Data!I1249/Raw_Stock_Data!I1248)-1</f>
        <v>-8.5484235081647597E-3</v>
      </c>
      <c r="J1249" s="4">
        <f>(Raw_Stock_Data!J1249/Raw_Stock_Data!J1248)-1</f>
        <v>1.3094639916962025E-2</v>
      </c>
    </row>
    <row r="1250" spans="1:10" x14ac:dyDescent="0.2">
      <c r="A1250" s="2">
        <v>46013</v>
      </c>
      <c r="B1250" s="4">
        <f>(Raw_Stock_Data!B1250/Raw_Stock_Data!B1249)-1</f>
        <v>-9.8658968831073501E-3</v>
      </c>
      <c r="C1250" s="4">
        <f>(Raw_Stock_Data!C1250/Raw_Stock_Data!C1249)-1</f>
        <v>-2.057951926243029E-3</v>
      </c>
      <c r="D1250" s="4">
        <f>(Raw_Stock_Data!D1250/Raw_Stock_Data!D1249)-1</f>
        <v>1.4917951268025753E-2</v>
      </c>
      <c r="E1250" s="4">
        <f>(Raw_Stock_Data!E1250/Raw_Stock_Data!E1249)-1</f>
        <v>7.12177294663352E-3</v>
      </c>
      <c r="F1250" s="4">
        <f>(Raw_Stock_Data!F1250/Raw_Stock_Data!F1249)-1</f>
        <v>4.750384869144586E-3</v>
      </c>
      <c r="G1250" s="4">
        <f>(Raw_Stock_Data!G1250/Raw_Stock_Data!G1249)-1</f>
        <v>1.5648379052369155E-2</v>
      </c>
      <c r="H1250" s="4">
        <f>(Raw_Stock_Data!H1250/Raw_Stock_Data!H1249)-1</f>
        <v>8.5297564787079061E-3</v>
      </c>
      <c r="I1250" s="4">
        <f>(Raw_Stock_Data!I1250/Raw_Stock_Data!I1249)-1</f>
        <v>4.1440867070450249E-3</v>
      </c>
      <c r="J1250" s="4">
        <f>(Raw_Stock_Data!J1250/Raw_Stock_Data!J1249)-1</f>
        <v>5.2004451762985848E-3</v>
      </c>
    </row>
    <row r="1251" spans="1:10" x14ac:dyDescent="0.2">
      <c r="A1251" s="2">
        <v>46014</v>
      </c>
      <c r="B1251" s="4">
        <f>(Raw_Stock_Data!B1251/Raw_Stock_Data!B1250)-1</f>
        <v>5.1297191571022527E-3</v>
      </c>
      <c r="C1251" s="4">
        <f>(Raw_Stock_Data!C1251/Raw_Stock_Data!C1250)-1</f>
        <v>3.9800379444032696E-3</v>
      </c>
      <c r="D1251" s="4">
        <f>(Raw_Stock_Data!D1251/Raw_Stock_Data!D1250)-1</f>
        <v>3.0050628776743471E-2</v>
      </c>
      <c r="E1251" s="4">
        <f>(Raw_Stock_Data!E1251/Raw_Stock_Data!E1250)-1</f>
        <v>-2.326122354034954E-4</v>
      </c>
      <c r="F1251" s="4">
        <f>(Raw_Stock_Data!F1251/Raw_Stock_Data!F1250)-1</f>
        <v>1.6241299303944245E-2</v>
      </c>
      <c r="G1251" s="4">
        <f>(Raw_Stock_Data!G1251/Raw_Stock_Data!G1250)-1</f>
        <v>-6.4861989237411377E-3</v>
      </c>
      <c r="H1251" s="4">
        <f>(Raw_Stock_Data!H1251/Raw_Stock_Data!H1250)-1</f>
        <v>1.4752404932532936E-2</v>
      </c>
      <c r="I1251" s="4">
        <f>(Raw_Stock_Data!I1251/Raw_Stock_Data!I1250)-1</f>
        <v>5.2003023431594908E-3</v>
      </c>
      <c r="J1251" s="4">
        <f>(Raw_Stock_Data!J1251/Raw_Stock_Data!J1250)-1</f>
        <v>5.677193440730921E-3</v>
      </c>
    </row>
    <row r="1252" spans="1:10" x14ac:dyDescent="0.2">
      <c r="A1252" s="2">
        <v>46015</v>
      </c>
      <c r="B1252" s="4">
        <f>(Raw_Stock_Data!B1252/Raw_Stock_Data!B1251)-1</f>
        <v>5.3238360992802214E-3</v>
      </c>
      <c r="C1252" s="4">
        <f>(Raw_Stock_Data!C1252/Raw_Stock_Data!C1251)-1</f>
        <v>2.4032042723629576E-3</v>
      </c>
      <c r="D1252" s="4">
        <f>(Raw_Stock_Data!D1252/Raw_Stock_Data!D1251)-1</f>
        <v>-3.1710797526557366E-3</v>
      </c>
      <c r="E1252" s="4">
        <f>(Raw_Stock_Data!E1252/Raw_Stock_Data!E1251)-1</f>
        <v>6.514657980456473E-4</v>
      </c>
      <c r="F1252" s="4">
        <f>(Raw_Stock_Data!F1252/Raw_Stock_Data!F1251)-1</f>
        <v>1.0338588782632385E-3</v>
      </c>
      <c r="G1252" s="4">
        <f>(Raw_Stock_Data!G1252/Raw_Stock_Data!G1251)-1</f>
        <v>-3.2951643463219327E-4</v>
      </c>
      <c r="H1252" s="4">
        <f>(Raw_Stock_Data!H1252/Raw_Stock_Data!H1251)-1</f>
        <v>-8.2710354700188393E-4</v>
      </c>
      <c r="I1252" s="4">
        <f>(Raw_Stock_Data!I1252/Raw_Stock_Data!I1251)-1</f>
        <v>3.9251661804071691E-3</v>
      </c>
      <c r="J1252" s="4">
        <f>(Raw_Stock_Data!J1252/Raw_Stock_Data!J1251)-1</f>
        <v>2.184464371203676E-3</v>
      </c>
    </row>
    <row r="1253" spans="1:10" x14ac:dyDescent="0.2">
      <c r="A1253" s="2">
        <v>46017</v>
      </c>
      <c r="B1253" s="4">
        <f>(Raw_Stock_Data!B1253/Raw_Stock_Data!B1252)-1</f>
        <v>-1.4973887001936692E-3</v>
      </c>
      <c r="C1253" s="4">
        <f>(Raw_Stock_Data!C1253/Raw_Stock_Data!C1252)-1</f>
        <v>-6.3521986803816155E-4</v>
      </c>
      <c r="D1253" s="4">
        <f>(Raw_Stock_Data!D1253/Raw_Stock_Data!D1252)-1</f>
        <v>1.0179735963098402E-2</v>
      </c>
      <c r="E1253" s="4">
        <f>(Raw_Stock_Data!E1253/Raw_Stock_Data!E1252)-1</f>
        <v>-2.3251488095232808E-4</v>
      </c>
      <c r="F1253" s="4">
        <f>(Raw_Stock_Data!F1253/Raw_Stock_Data!F1252)-1</f>
        <v>6.0246148549802925E-4</v>
      </c>
      <c r="G1253" s="4">
        <f>(Raw_Stock_Data!G1253/Raw_Stock_Data!G1252)-1</f>
        <v>-2.1034198599093501E-2</v>
      </c>
      <c r="H1253" s="4">
        <f>(Raw_Stock_Data!H1253/Raw_Stock_Data!H1252)-1</f>
        <v>-1.8466044764239298E-3</v>
      </c>
      <c r="I1253" s="4">
        <f>(Raw_Stock_Data!I1253/Raw_Stock_Data!I1252)-1</f>
        <v>-6.3815444535989529E-3</v>
      </c>
      <c r="J1253" s="4">
        <f>(Raw_Stock_Data!J1253/Raw_Stock_Data!J1252)-1</f>
        <v>-8.5587323420577288E-4</v>
      </c>
    </row>
    <row r="1254" spans="1:10" x14ac:dyDescent="0.2">
      <c r="A1254" s="2">
        <v>46020</v>
      </c>
      <c r="B1254" s="4">
        <f>(Raw_Stock_Data!B1254/Raw_Stock_Data!B1253)-1</f>
        <v>1.3167520117045584E-3</v>
      </c>
      <c r="C1254" s="4">
        <f>(Raw_Stock_Data!C1254/Raw_Stock_Data!C1253)-1</f>
        <v>-1.2507432695658682E-3</v>
      </c>
      <c r="D1254" s="4">
        <f>(Raw_Stock_Data!D1254/Raw_Stock_Data!D1253)-1</f>
        <v>-1.2124074948826946E-2</v>
      </c>
      <c r="E1254" s="4">
        <f>(Raw_Stock_Data!E1254/Raw_Stock_Data!E1253)-1</f>
        <v>2.8838550630261306E-3</v>
      </c>
      <c r="F1254" s="4">
        <f>(Raw_Stock_Data!F1254/Raw_Stock_Data!F1253)-1</f>
        <v>-1.935317392052327E-3</v>
      </c>
      <c r="G1254" s="4">
        <f>(Raw_Stock_Data!G1254/Raw_Stock_Data!G1253)-1</f>
        <v>-3.2723752604221445E-2</v>
      </c>
      <c r="H1254" s="4">
        <f>(Raw_Stock_Data!H1254/Raw_Stock_Data!H1253)-1</f>
        <v>1.5948454594760797E-4</v>
      </c>
      <c r="I1254" s="4">
        <f>(Raw_Stock_Data!I1254/Raw_Stock_Data!I1253)-1</f>
        <v>-6.9351264152933689E-3</v>
      </c>
      <c r="J1254" s="4">
        <f>(Raw_Stock_Data!J1254/Raw_Stock_Data!J1253)-1</f>
        <v>-5.0332512471866764E-3</v>
      </c>
    </row>
    <row r="1255" spans="1:10" x14ac:dyDescent="0.2">
      <c r="A1255" s="2">
        <v>46021</v>
      </c>
      <c r="B1255" s="4">
        <f>(Raw_Stock_Data!B1255/Raw_Stock_Data!B1254)-1</f>
        <v>-2.4839275277616091E-3</v>
      </c>
      <c r="C1255" s="4">
        <f>(Raw_Stock_Data!C1255/Raw_Stock_Data!C1254)-1</f>
        <v>7.8012728392518049E-4</v>
      </c>
      <c r="D1255" s="4">
        <f>(Raw_Stock_Data!D1255/Raw_Stock_Data!D1254)-1</f>
        <v>-3.6127935394750788E-3</v>
      </c>
      <c r="E1255" s="4">
        <f>(Raw_Stock_Data!E1255/Raw_Stock_Data!E1254)-1</f>
        <v>-1.2522610268540513E-3</v>
      </c>
      <c r="F1255" s="4">
        <f>(Raw_Stock_Data!F1255/Raw_Stock_Data!F1254)-1</f>
        <v>1.982160555004997E-3</v>
      </c>
      <c r="G1255" s="4">
        <f>(Raw_Stock_Data!G1255/Raw_Stock_Data!G1254)-1</f>
        <v>-1.1334957793055378E-2</v>
      </c>
      <c r="H1255" s="4">
        <f>(Raw_Stock_Data!H1255/Raw_Stock_Data!H1254)-1</f>
        <v>9.2486286516146876E-4</v>
      </c>
      <c r="I1255" s="4">
        <f>(Raw_Stock_Data!I1255/Raw_Stock_Data!I1254)-1</f>
        <v>1.1021876755378024E-2</v>
      </c>
      <c r="J1255" s="4">
        <f>(Raw_Stock_Data!J1255/Raw_Stock_Data!J1254)-1</f>
        <v>-2.354484788716027E-3</v>
      </c>
    </row>
    <row r="1256" spans="1:10" x14ac:dyDescent="0.2">
      <c r="A1256" s="2">
        <v>46022</v>
      </c>
      <c r="B1256" s="4">
        <f>(Raw_Stock_Data!B1256/Raw_Stock_Data!B1255)-1</f>
        <v>-4.4675552951515263E-3</v>
      </c>
      <c r="C1256" s="4">
        <f>(Raw_Stock_Data!C1256/Raw_Stock_Data!C1255)-1</f>
        <v>-7.9182735701978091E-3</v>
      </c>
      <c r="D1256" s="4">
        <f>(Raw_Stock_Data!D1256/Raw_Stock_Data!D1255)-1</f>
        <v>-5.5454836301588317E-3</v>
      </c>
      <c r="E1256" s="4">
        <f>(Raw_Stock_Data!E1256/Raw_Stock_Data!E1255)-1</f>
        <v>-5.4797065106343412E-3</v>
      </c>
      <c r="F1256" s="4">
        <f>(Raw_Stock_Data!F1256/Raw_Stock_Data!F1255)-1</f>
        <v>-7.3538898206683134E-3</v>
      </c>
      <c r="G1256" s="4">
        <f>(Raw_Stock_Data!G1256/Raw_Stock_Data!G1255)-1</f>
        <v>-1.0364632616684633E-2</v>
      </c>
      <c r="H1256" s="4">
        <f>(Raw_Stock_Data!H1256/Raw_Stock_Data!H1255)-1</f>
        <v>-2.7083001433806375E-3</v>
      </c>
      <c r="I1256" s="4">
        <f>(Raw_Stock_Data!I1256/Raw_Stock_Data!I1255)-1</f>
        <v>-8.7994594188752773E-3</v>
      </c>
      <c r="J1256" s="4">
        <f>(Raw_Stock_Data!J1256/Raw_Stock_Data!J1255)-1</f>
        <v>-7.5617829564611494E-3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2035-AFE9-422F-B4A1-7468CFBDCF6A}">
  <dimension ref="A1:K61"/>
  <sheetViews>
    <sheetView zoomScaleNormal="100" workbookViewId="0">
      <selection sqref="A1:XFD1048576"/>
    </sheetView>
  </sheetViews>
  <sheetFormatPr defaultRowHeight="11.4" x14ac:dyDescent="0.2"/>
  <cols>
    <col min="1" max="1" width="14.5546875" style="1" bestFit="1" customWidth="1"/>
    <col min="2" max="2" width="20.21875" style="1" bestFit="1" customWidth="1"/>
    <col min="3" max="3" width="15.33203125" style="1" bestFit="1" customWidth="1"/>
    <col min="4" max="4" width="15" style="1" bestFit="1" customWidth="1"/>
    <col min="5" max="6" width="12.5546875" style="1" bestFit="1" customWidth="1"/>
    <col min="7" max="7" width="18.21875" style="1" bestFit="1" customWidth="1"/>
    <col min="8" max="10" width="12.5546875" style="1" bestFit="1" customWidth="1"/>
    <col min="11" max="16384" width="8.88671875" style="1"/>
  </cols>
  <sheetData>
    <row r="1" spans="1:11" ht="12" x14ac:dyDescent="0.2">
      <c r="A1" s="1" t="s">
        <v>14</v>
      </c>
      <c r="B1" s="5" t="s">
        <v>22</v>
      </c>
      <c r="C1" s="5" t="s">
        <v>23</v>
      </c>
      <c r="D1" s="5" t="s">
        <v>24</v>
      </c>
      <c r="E1" s="5" t="s">
        <v>25</v>
      </c>
    </row>
    <row r="2" spans="1:11" x14ac:dyDescent="0.2">
      <c r="A2" s="1" t="s">
        <v>0</v>
      </c>
      <c r="B2" s="6">
        <f>AVERAGE(Daily_returns_cal!B3:B1256)</f>
        <v>7.6674074191835381E-4</v>
      </c>
      <c r="C2" s="6">
        <f>(1+B2)^252-1</f>
        <v>0.21305822604223401</v>
      </c>
      <c r="D2" s="6">
        <f>_xlfn.STDEV.P(Daily_returns_cal!B3:B1256)*SQRT(252)</f>
        <v>0.27851470476196261</v>
      </c>
      <c r="E2" s="7">
        <f>(C2-Risk_free_rate!$B$1)/Summary_sheet!D2</f>
        <v>0.61346213726223509</v>
      </c>
      <c r="G2" s="6"/>
      <c r="I2" s="6"/>
      <c r="J2" s="6"/>
      <c r="K2" s="6"/>
    </row>
    <row r="3" spans="1:11" x14ac:dyDescent="0.2">
      <c r="A3" s="1" t="s">
        <v>5</v>
      </c>
      <c r="B3" s="6">
        <f>AVERAGE(Daily_returns_cal!C3:C1256)</f>
        <v>7.9462433561805837E-4</v>
      </c>
      <c r="C3" s="6">
        <f t="shared" ref="C3:C10" si="0">(1+B3)^252-1</f>
        <v>0.2216053015942554</v>
      </c>
      <c r="D3" s="6">
        <f>_xlfn.STDEV.P(Daily_returns_cal!C3:C1256)*SQRT(252)</f>
        <v>0.25705455002525623</v>
      </c>
      <c r="E3" s="7">
        <f>(C3-Risk_free_rate!$B$1)/Summary_sheet!D3</f>
        <v>0.69792696366054741</v>
      </c>
    </row>
    <row r="4" spans="1:11" x14ac:dyDescent="0.2">
      <c r="A4" s="1" t="s">
        <v>4</v>
      </c>
      <c r="B4" s="6">
        <f>AVERAGE(Daily_returns_cal!D3:D1256)</f>
        <v>2.6564860849610356E-3</v>
      </c>
      <c r="C4" s="6">
        <f t="shared" si="0"/>
        <v>0.95139966747027316</v>
      </c>
      <c r="D4" s="6">
        <f>_xlfn.STDEV.P(Daily_returns_cal!D3:D1256)*SQRT(252)</f>
        <v>0.5220310049351109</v>
      </c>
      <c r="E4" s="7">
        <f>(C4-Risk_free_rate!$B$1)/Summary_sheet!D4</f>
        <v>1.7416583667923857</v>
      </c>
    </row>
    <row r="5" spans="1:11" x14ac:dyDescent="0.2">
      <c r="A5" s="1" t="s">
        <v>6</v>
      </c>
      <c r="B5" s="6">
        <f>AVERAGE(Daily_returns_cal!E3:E1256)</f>
        <v>1.2097415186152448E-3</v>
      </c>
      <c r="C5" s="6">
        <f t="shared" si="0"/>
        <v>0.35617822260291976</v>
      </c>
      <c r="D5" s="6">
        <f>_xlfn.STDEV.P(Daily_returns_cal!E3:E1256)*SQRT(252)</f>
        <v>0.52384238975641906</v>
      </c>
      <c r="E5" s="7">
        <f>(C5-Risk_free_rate!$B$1)/Summary_sheet!D5</f>
        <v>0.59937536316775764</v>
      </c>
    </row>
    <row r="6" spans="1:11" x14ac:dyDescent="0.2">
      <c r="A6" s="1" t="s">
        <v>7</v>
      </c>
      <c r="B6" s="6">
        <f>AVERAGE(Daily_returns_cal!F3:F1256)</f>
        <v>5.3975534173054051E-4</v>
      </c>
      <c r="C6" s="6">
        <f t="shared" si="0"/>
        <v>0.14566087167676667</v>
      </c>
      <c r="D6" s="6">
        <f>_xlfn.STDEV.P(Daily_returns_cal!F3:F1256)*SQRT(252)</f>
        <v>0.35091971485420098</v>
      </c>
      <c r="E6" s="7">
        <f>(C6-Risk_free_rate!$B$1)/Summary_sheet!D6</f>
        <v>0.29482775488904139</v>
      </c>
    </row>
    <row r="7" spans="1:11" x14ac:dyDescent="0.2">
      <c r="A7" s="1" t="s">
        <v>8</v>
      </c>
      <c r="B7" s="6">
        <f>AVERAGE(Daily_returns_cal!G3:G1256)</f>
        <v>1.2166811195674966E-3</v>
      </c>
      <c r="C7" s="6">
        <f t="shared" si="0"/>
        <v>0.35854907529599189</v>
      </c>
      <c r="D7" s="6">
        <f>_xlfn.STDEV.P(Daily_returns_cal!G3:G1256)*SQRT(252)</f>
        <v>0.60711574173543104</v>
      </c>
      <c r="E7" s="7">
        <f>(C7-Risk_free_rate!$B$1)/Summary_sheet!D7</f>
        <v>0.52106880706422287</v>
      </c>
    </row>
    <row r="8" spans="1:11" x14ac:dyDescent="0.2">
      <c r="A8" s="1" t="s">
        <v>9</v>
      </c>
      <c r="B8" s="6">
        <f>AVERAGE(Daily_returns_cal!H3:H1256)</f>
        <v>1.222851112794405E-3</v>
      </c>
      <c r="C8" s="6">
        <f t="shared" si="0"/>
        <v>0.36066046502973426</v>
      </c>
      <c r="D8" s="6">
        <f>_xlfn.STDEV.P(Daily_returns_cal!H3:H1256)*SQRT(252)</f>
        <v>0.31136883025635304</v>
      </c>
      <c r="E8" s="7">
        <f>(C8-Risk_free_rate!$B$1)/Summary_sheet!D8</f>
        <v>1.0227756733631386</v>
      </c>
    </row>
    <row r="9" spans="1:11" x14ac:dyDescent="0.2">
      <c r="A9" s="1" t="s">
        <v>10</v>
      </c>
      <c r="B9" s="6">
        <f>AVERAGE(Daily_returns_cal!I3:I1256)</f>
        <v>1.0943113371630628E-3</v>
      </c>
      <c r="C9" s="6">
        <f t="shared" si="0"/>
        <v>0.31734148574909016</v>
      </c>
      <c r="D9" s="6">
        <f>_xlfn.STDEV.P(Daily_returns_cal!I3:I1256)*SQRT(252)</f>
        <v>0.43393878524397866</v>
      </c>
      <c r="E9" s="7">
        <f>(C9-Risk_free_rate!$B$1)/Summary_sheet!D9</f>
        <v>0.63405598924372253</v>
      </c>
    </row>
    <row r="10" spans="1:11" x14ac:dyDescent="0.2">
      <c r="A10" s="1" t="s">
        <v>12</v>
      </c>
      <c r="B10" s="6">
        <f>AVERAGE(Daily_returns_cal!J3:J1256)</f>
        <v>5.8393858877132552E-4</v>
      </c>
      <c r="C10" s="6">
        <f t="shared" si="0"/>
        <v>0.15848089901757278</v>
      </c>
      <c r="D10" s="6">
        <f>_xlfn.STDEV.P(Daily_returns_cal!J3:J1256)*SQRT(252)</f>
        <v>0.22667214695570731</v>
      </c>
      <c r="E10" s="7">
        <f>(C10-Risk_free_rate!$B$1)/Summary_sheet!D10</f>
        <v>0.51299156327439988</v>
      </c>
      <c r="G10" s="3"/>
    </row>
    <row r="13" spans="1:11" x14ac:dyDescent="0.2">
      <c r="A13" s="1" t="s">
        <v>14</v>
      </c>
      <c r="B13" s="1" t="s">
        <v>28</v>
      </c>
      <c r="C13" s="1" t="s">
        <v>26</v>
      </c>
    </row>
    <row r="14" spans="1:11" x14ac:dyDescent="0.2">
      <c r="A14" s="1" t="s">
        <v>0</v>
      </c>
      <c r="B14" s="1">
        <v>200000</v>
      </c>
      <c r="C14" s="3">
        <f>B14/$B$22</f>
        <v>8.3333333333333329E-2</v>
      </c>
    </row>
    <row r="15" spans="1:11" x14ac:dyDescent="0.2">
      <c r="A15" s="1" t="s">
        <v>5</v>
      </c>
      <c r="B15" s="1">
        <v>300000</v>
      </c>
      <c r="C15" s="3">
        <f t="shared" ref="C15:C21" si="1">B15/$B$22</f>
        <v>0.125</v>
      </c>
    </row>
    <row r="16" spans="1:11" x14ac:dyDescent="0.2">
      <c r="A16" s="1" t="s">
        <v>4</v>
      </c>
      <c r="B16" s="1">
        <v>500000</v>
      </c>
      <c r="C16" s="3">
        <f t="shared" si="1"/>
        <v>0.20833333333333334</v>
      </c>
    </row>
    <row r="17" spans="1:9" x14ac:dyDescent="0.2">
      <c r="A17" s="1" t="s">
        <v>6</v>
      </c>
      <c r="B17" s="1">
        <v>100000</v>
      </c>
      <c r="C17" s="3">
        <f t="shared" si="1"/>
        <v>4.1666666666666664E-2</v>
      </c>
    </row>
    <row r="18" spans="1:9" x14ac:dyDescent="0.2">
      <c r="A18" s="1" t="s">
        <v>7</v>
      </c>
      <c r="B18" s="1">
        <v>600000</v>
      </c>
      <c r="C18" s="3">
        <f t="shared" si="1"/>
        <v>0.25</v>
      </c>
    </row>
    <row r="19" spans="1:9" x14ac:dyDescent="0.2">
      <c r="A19" s="1" t="s">
        <v>8</v>
      </c>
      <c r="B19" s="1">
        <v>300000</v>
      </c>
      <c r="C19" s="3">
        <f t="shared" si="1"/>
        <v>0.125</v>
      </c>
    </row>
    <row r="20" spans="1:9" x14ac:dyDescent="0.2">
      <c r="A20" s="1" t="s">
        <v>9</v>
      </c>
      <c r="B20" s="1">
        <v>150000</v>
      </c>
      <c r="C20" s="3">
        <f t="shared" si="1"/>
        <v>6.25E-2</v>
      </c>
    </row>
    <row r="21" spans="1:9" x14ac:dyDescent="0.2">
      <c r="A21" s="1" t="s">
        <v>10</v>
      </c>
      <c r="B21" s="1">
        <v>250000</v>
      </c>
      <c r="C21" s="3">
        <f t="shared" si="1"/>
        <v>0.10416666666666667</v>
      </c>
    </row>
    <row r="22" spans="1:9" x14ac:dyDescent="0.2">
      <c r="A22" s="1" t="s">
        <v>27</v>
      </c>
      <c r="B22" s="1">
        <f>SUM(B14:B21)</f>
        <v>2400000</v>
      </c>
      <c r="C22" s="3">
        <f>SUM(C14:C21)</f>
        <v>0.99999999999999989</v>
      </c>
    </row>
    <row r="23" spans="1:9" ht="12" x14ac:dyDescent="0.25">
      <c r="A23" s="8"/>
      <c r="B23" s="8"/>
    </row>
    <row r="24" spans="1:9" ht="12" x14ac:dyDescent="0.25">
      <c r="A24" s="8" t="s">
        <v>29</v>
      </c>
      <c r="B24" s="1" t="s">
        <v>0</v>
      </c>
      <c r="C24" s="1" t="s">
        <v>5</v>
      </c>
      <c r="D24" s="1" t="s">
        <v>4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10</v>
      </c>
    </row>
    <row r="25" spans="1:9" x14ac:dyDescent="0.2">
      <c r="A25" s="1" t="s">
        <v>0</v>
      </c>
      <c r="B25" s="9">
        <f>CORREL(Daily_returns_cal!B3:B1256,Daily_returns_cal!B3:B1256)</f>
        <v>1.0000000000000002</v>
      </c>
      <c r="C25" s="9">
        <f>CORREL(Daily_returns_cal!$B$3:$B$1256,Daily_returns_cal!C3:C1256)</f>
        <v>0.63395544842169405</v>
      </c>
      <c r="D25" s="9">
        <f>CORREL(Daily_returns_cal!$B$3:$B$1256,Daily_returns_cal!D3:D1256)</f>
        <v>0.51989038581677738</v>
      </c>
      <c r="E25" s="9">
        <f>CORREL(Daily_returns_cal!$B$3:$B$1256,Daily_returns_cal!E3:E1256)</f>
        <v>0.50525533207419893</v>
      </c>
      <c r="F25" s="9">
        <f>CORREL(Daily_returns_cal!$B$3:$B$1256,Daily_returns_cal!F3:F1256)</f>
        <v>0.56131828231938141</v>
      </c>
      <c r="G25" s="9">
        <f>CORREL(Daily_returns_cal!$B$3:$B$1256,Daily_returns_cal!G3:G1256)</f>
        <v>0.50019597606574917</v>
      </c>
      <c r="H25" s="9">
        <f>CORREL(Daily_returns_cal!$B$3:$B$1256,Daily_returns_cal!H3:H1256)</f>
        <v>0.57871273022846392</v>
      </c>
      <c r="I25" s="9">
        <f>CORREL(Daily_returns_cal!$B$3:$B$1256,Daily_returns_cal!I3:I1256)</f>
        <v>0.4888636386959278</v>
      </c>
    </row>
    <row r="26" spans="1:9" x14ac:dyDescent="0.2">
      <c r="A26" s="1" t="s">
        <v>5</v>
      </c>
      <c r="B26" s="9">
        <f>CORREL(Daily_returns_cal!$C$3:$C$1256,Daily_returns_cal!B3:B1256)</f>
        <v>0.63395544842169405</v>
      </c>
      <c r="C26" s="9">
        <f>CORREL(Daily_returns_cal!$C$3:$C$1256,Daily_returns_cal!C3:C1256)</f>
        <v>1.0000000000000002</v>
      </c>
      <c r="D26" s="9">
        <f>CORREL(Daily_returns_cal!$C$3:$C$1256,Daily_returns_cal!D3:D1256)</f>
        <v>0.63048096829646894</v>
      </c>
      <c r="E26" s="9">
        <f>CORREL(Daily_returns_cal!$C$3:$C$1256,Daily_returns_cal!E3:E1256)</f>
        <v>0.55846978342169284</v>
      </c>
      <c r="F26" s="9">
        <f>CORREL(Daily_returns_cal!$C$3:$C$1256,Daily_returns_cal!F3:F1256)</f>
        <v>0.6549664681604962</v>
      </c>
      <c r="G26" s="9">
        <f>CORREL(Daily_returns_cal!$C$3:$C$1256,Daily_returns_cal!G3:G1256)</f>
        <v>0.42346022303291636</v>
      </c>
      <c r="H26" s="9">
        <f>CORREL(Daily_returns_cal!$C$3:$C$1256,Daily_returns_cal!H3:H1256)</f>
        <v>0.64429032926087315</v>
      </c>
      <c r="I26" s="9">
        <f>CORREL(Daily_returns_cal!$C$3:$C$1256,Daily_returns_cal!I3:I1256)</f>
        <v>0.59209450107824557</v>
      </c>
    </row>
    <row r="27" spans="1:9" x14ac:dyDescent="0.2">
      <c r="A27" s="1" t="s">
        <v>4</v>
      </c>
      <c r="B27" s="9">
        <f>CORREL(Daily_returns_cal!$D$3:$D$1256,Daily_returns_cal!B3:B1256)</f>
        <v>0.51989038581677738</v>
      </c>
      <c r="C27" s="9">
        <f>CORREL(Daily_returns_cal!$D$3:$D$1256,Daily_returns_cal!C3:C1256)</f>
        <v>0.63048096829646894</v>
      </c>
      <c r="D27" s="9">
        <f>CORREL(Daily_returns_cal!$D$3:$D$1256,Daily_returns_cal!D3:D1256)</f>
        <v>1</v>
      </c>
      <c r="E27" s="9">
        <f>CORREL(Daily_returns_cal!$D$3:$D$1256,Daily_returns_cal!E3:E1256)</f>
        <v>0.7004021945488268</v>
      </c>
      <c r="F27" s="9">
        <f>CORREL(Daily_returns_cal!$D$3:$D$1256,Daily_returns_cal!F3:F1256)</f>
        <v>0.55717266603622562</v>
      </c>
      <c r="G27" s="9">
        <f>CORREL(Daily_returns_cal!$D$3:$D$1256,Daily_returns_cal!G3:G1256)</f>
        <v>0.46781872869458568</v>
      </c>
      <c r="H27" s="9">
        <f>CORREL(Daily_returns_cal!$D$3:$D$1256,Daily_returns_cal!H3:H1256)</f>
        <v>0.52756128212874476</v>
      </c>
      <c r="I27" s="9">
        <f>CORREL(Daily_returns_cal!$D$3:$D$1256,Daily_returns_cal!I3:I1256)</f>
        <v>0.49826457842213129</v>
      </c>
    </row>
    <row r="28" spans="1:9" x14ac:dyDescent="0.2">
      <c r="A28" s="1" t="s">
        <v>6</v>
      </c>
      <c r="B28" s="9">
        <f>CORREL(Daily_returns_cal!$E$3:$E$1256,Daily_returns_cal!B3:B1256)</f>
        <v>0.50525533207419893</v>
      </c>
      <c r="C28" s="9">
        <f>CORREL(Daily_returns_cal!$E$3:$E$1256,Daily_returns_cal!C3:C1256)</f>
        <v>0.55846978342169284</v>
      </c>
      <c r="D28" s="9">
        <f>CORREL(Daily_returns_cal!$E$3:$E$1256,Daily_returns_cal!D3:D1256)</f>
        <v>0.7004021945488268</v>
      </c>
      <c r="E28" s="9">
        <f>CORREL(Daily_returns_cal!$E$3:$E$1256,Daily_returns_cal!E3:E1256)</f>
        <v>1</v>
      </c>
      <c r="F28" s="9">
        <f>CORREL(Daily_returns_cal!$E$3:$E$1256,Daily_returns_cal!F3:F1256)</f>
        <v>0.51984563460255229</v>
      </c>
      <c r="G28" s="9">
        <f>CORREL(Daily_returns_cal!$E$3:$E$1256,Daily_returns_cal!G3:G1256)</f>
        <v>0.45667955871646926</v>
      </c>
      <c r="H28" s="9">
        <f>CORREL(Daily_returns_cal!$E$3:$E$1256,Daily_returns_cal!H3:H1256)</f>
        <v>0.51677586214830462</v>
      </c>
      <c r="I28" s="9">
        <f>CORREL(Daily_returns_cal!$E$3:$E$1256,Daily_returns_cal!I3:I1256)</f>
        <v>0.47058246621566524</v>
      </c>
    </row>
    <row r="29" spans="1:9" x14ac:dyDescent="0.2">
      <c r="A29" s="1" t="s">
        <v>7</v>
      </c>
      <c r="B29" s="9">
        <f>CORREL(Daily_returns_cal!$F$3:$F$1256,Daily_returns_cal!B3:B1256)</f>
        <v>0.56131828231938141</v>
      </c>
      <c r="C29" s="9">
        <f>CORREL(Daily_returns_cal!$F$3:$F$1256,Daily_returns_cal!C3:C1256)</f>
        <v>0.6549664681604962</v>
      </c>
      <c r="D29" s="9">
        <f>CORREL(Daily_returns_cal!$F$3:$F$1256,Daily_returns_cal!D3:D1256)</f>
        <v>0.55717266603622562</v>
      </c>
      <c r="E29" s="9">
        <f>CORREL(Daily_returns_cal!$F$3:$F$1256,Daily_returns_cal!E3:E1256)</f>
        <v>0.51984563460255229</v>
      </c>
      <c r="F29" s="9">
        <f>CORREL(Daily_returns_cal!$F$3:$F$1256,Daily_returns_cal!F3:F1256)</f>
        <v>1</v>
      </c>
      <c r="G29" s="9">
        <f>CORREL(Daily_returns_cal!$F$3:$F$1256,Daily_returns_cal!G3:G1256)</f>
        <v>0.44864242159258916</v>
      </c>
      <c r="H29" s="9">
        <f>CORREL(Daily_returns_cal!$F$3:$F$1256,Daily_returns_cal!H3:H1256)</f>
        <v>0.61918336474958613</v>
      </c>
      <c r="I29" s="9">
        <f>CORREL(Daily_returns_cal!$F$3:$F$1256,Daily_returns_cal!I3:I1256)</f>
        <v>0.60101589040206682</v>
      </c>
    </row>
    <row r="30" spans="1:9" x14ac:dyDescent="0.2">
      <c r="A30" s="1" t="s">
        <v>8</v>
      </c>
      <c r="B30" s="9">
        <f>CORREL(Daily_returns_cal!$G$3:$G$1256,Daily_returns_cal!B3:B1256)</f>
        <v>0.50019597606574917</v>
      </c>
      <c r="C30" s="9">
        <f>CORREL(Daily_returns_cal!$G$3:$G$1256,Daily_returns_cal!C3:C1256)</f>
        <v>0.42346022303291636</v>
      </c>
      <c r="D30" s="9">
        <f>CORREL(Daily_returns_cal!$G$3:$G$1256,Daily_returns_cal!D3:D1256)</f>
        <v>0.46781872869458568</v>
      </c>
      <c r="E30" s="9">
        <f>CORREL(Daily_returns_cal!$G$3:$G$1256,Daily_returns_cal!E3:E1256)</f>
        <v>0.45667955871646926</v>
      </c>
      <c r="F30" s="9">
        <f>CORREL(Daily_returns_cal!$G$3:$G$1256,Daily_returns_cal!F3:F1256)</f>
        <v>0.44864242159258916</v>
      </c>
      <c r="G30" s="9">
        <f>CORREL(Daily_returns_cal!$G$3:$G$1256,Daily_returns_cal!G3:G1256)</f>
        <v>1.0000000000000002</v>
      </c>
      <c r="H30" s="9">
        <f>CORREL(Daily_returns_cal!$G$3:$G$1256,Daily_returns_cal!H3:H1256)</f>
        <v>0.41659499051874049</v>
      </c>
      <c r="I30" s="9">
        <f>CORREL(Daily_returns_cal!$G$3:$G$1256,Daily_returns_cal!I3:I1256)</f>
        <v>0.34766095205421027</v>
      </c>
    </row>
    <row r="31" spans="1:9" x14ac:dyDescent="0.2">
      <c r="A31" s="1" t="s">
        <v>9</v>
      </c>
      <c r="B31" s="9">
        <f>CORREL(Daily_returns_cal!$H$3:$H$1256,Daily_returns_cal!B3:B1256)</f>
        <v>0.57871273022846392</v>
      </c>
      <c r="C31" s="9">
        <f>CORREL(Daily_returns_cal!$H$3:$H$1256,Daily_returns_cal!C3:C1256)</f>
        <v>0.64429032926087315</v>
      </c>
      <c r="D31" s="9">
        <f>CORREL(Daily_returns_cal!$H$3:$H$1256,Daily_returns_cal!D3:D1256)</f>
        <v>0.52756128212874476</v>
      </c>
      <c r="E31" s="9">
        <f>CORREL(Daily_returns_cal!$H$3:$H$1256,Daily_returns_cal!E3:E1256)</f>
        <v>0.51677586214830462</v>
      </c>
      <c r="F31" s="9">
        <f>CORREL(Daily_returns_cal!$H$3:$H$1256,Daily_returns_cal!F3:F1256)</f>
        <v>0.61918336474958613</v>
      </c>
      <c r="G31" s="9">
        <f>CORREL(Daily_returns_cal!$H$3:$H$1256,Daily_returns_cal!G3:G1256)</f>
        <v>0.41659499051874049</v>
      </c>
      <c r="H31" s="9">
        <f>CORREL(Daily_returns_cal!$H$3:$H$1256,Daily_returns_cal!H3:H1256)</f>
        <v>1</v>
      </c>
      <c r="I31" s="9">
        <f>CORREL(Daily_returns_cal!$H$3:$H$1256,Daily_returns_cal!I3:I1256)</f>
        <v>0.56355464592177573</v>
      </c>
    </row>
    <row r="32" spans="1:9" x14ac:dyDescent="0.2">
      <c r="A32" s="1" t="s">
        <v>10</v>
      </c>
      <c r="B32" s="9">
        <f>CORREL(Daily_returns_cal!$I$3:$I$1256,Daily_returns_cal!B3:B1256)</f>
        <v>0.4888636386959278</v>
      </c>
      <c r="C32" s="9">
        <f>CORREL(Daily_returns_cal!$I$3:$I$1256,Daily_returns_cal!C3:C1256)</f>
        <v>0.59209450107824557</v>
      </c>
      <c r="D32" s="9">
        <f>CORREL(Daily_returns_cal!$I$3:$I$1256,Daily_returns_cal!D3:D1256)</f>
        <v>0.49826457842213129</v>
      </c>
      <c r="E32" s="9">
        <f>CORREL(Daily_returns_cal!$I$3:$I$1256,Daily_returns_cal!E3:E1256)</f>
        <v>0.47058246621566524</v>
      </c>
      <c r="F32" s="9">
        <f>CORREL(Daily_returns_cal!$I$3:$I$1256,Daily_returns_cal!F3:F1256)</f>
        <v>0.60101589040206682</v>
      </c>
      <c r="G32" s="9">
        <f>CORREL(Daily_returns_cal!$I$3:$I$1256,Daily_returns_cal!G3:G1256)</f>
        <v>0.34766095205421027</v>
      </c>
      <c r="H32" s="9">
        <f>CORREL(Daily_returns_cal!$I$3:$I$1256,Daily_returns_cal!H3:H1256)</f>
        <v>0.56355464592177573</v>
      </c>
      <c r="I32" s="9">
        <f>CORREL(Daily_returns_cal!$I$3:$I$1256,Daily_returns_cal!I3:I1256)</f>
        <v>1</v>
      </c>
    </row>
    <row r="34" spans="1:10" ht="12" x14ac:dyDescent="0.25">
      <c r="A34" s="8" t="s">
        <v>30</v>
      </c>
      <c r="B34" s="1" t="s">
        <v>0</v>
      </c>
      <c r="C34" s="1" t="s">
        <v>5</v>
      </c>
      <c r="D34" s="1" t="s">
        <v>4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10</v>
      </c>
    </row>
    <row r="35" spans="1:10" x14ac:dyDescent="0.2">
      <c r="A35" s="1" t="s">
        <v>0</v>
      </c>
      <c r="B35" s="10">
        <f>_xlfn.COVARIANCE.P(Daily_returns_cal!$B$3:$B$1256,Daily_returns_cal!B3:B1256)</f>
        <v>3.0781920939937791E-4</v>
      </c>
      <c r="C35" s="10">
        <f>_xlfn.COVARIANCE.P(Daily_returns_cal!$B$3:$B$1256,Daily_returns_cal!C3:C1256)</f>
        <v>1.8010742743767988E-4</v>
      </c>
      <c r="D35" s="10">
        <f>_xlfn.COVARIANCE.P(Daily_returns_cal!$B$3:$B$1256,Daily_returns_cal!D3:D1256)</f>
        <v>2.9995470104489445E-4</v>
      </c>
      <c r="E35" s="10">
        <f>_xlfn.COVARIANCE.P(Daily_returns_cal!$B$3:$B$1256,Daily_returns_cal!E3:E1256)</f>
        <v>2.9252240355198705E-4</v>
      </c>
      <c r="F35" s="10">
        <f>_xlfn.COVARIANCE.P(Daily_returns_cal!$B$3:$B$1256,Daily_returns_cal!F3:F1256)</f>
        <v>2.1770306536836599E-4</v>
      </c>
      <c r="G35" s="10">
        <f>_xlfn.COVARIANCE.P(Daily_returns_cal!$B$3:$B$1256,Daily_returns_cal!G3:G1256)</f>
        <v>3.3562884327579509E-4</v>
      </c>
      <c r="H35" s="10">
        <f>_xlfn.COVARIANCE.P(Daily_returns_cal!$B$3:$B$1256,Daily_returns_cal!H3:H1256)</f>
        <v>1.9915249873145126E-4</v>
      </c>
      <c r="I35" s="10">
        <f>_xlfn.COVARIANCE.P(Daily_returns_cal!$B$3:$B$1256,Daily_returns_cal!I3:I1256)</f>
        <v>2.3445731852944358E-4</v>
      </c>
      <c r="J35" s="3"/>
    </row>
    <row r="36" spans="1:10" x14ac:dyDescent="0.2">
      <c r="A36" s="1" t="s">
        <v>5</v>
      </c>
      <c r="B36" s="10">
        <f>_xlfn.COVARIANCE.P(Daily_returns_cal!$C$3:$C$1256,Daily_returns_cal!B3:B1256)</f>
        <v>1.8010742743767988E-4</v>
      </c>
      <c r="C36" s="10">
        <f>_xlfn.COVARIANCE.P(Daily_returns_cal!$C$3:$C$1256,Daily_returns_cal!C3:C1256)</f>
        <v>2.622104828916149E-4</v>
      </c>
      <c r="D36" s="10">
        <f>_xlfn.COVARIANCE.P(Daily_returns_cal!$C$3:$C$1256,Daily_returns_cal!D3:D1256)</f>
        <v>3.3573222914940566E-4</v>
      </c>
      <c r="E36" s="10">
        <f>_xlfn.COVARIANCE.P(Daily_returns_cal!$C$3:$C$1256,Daily_returns_cal!E3:E1256)</f>
        <v>2.984180401909659E-4</v>
      </c>
      <c r="F36" s="10">
        <f>_xlfn.COVARIANCE.P(Daily_returns_cal!$C$3:$C$1256,Daily_returns_cal!F3:F1256)</f>
        <v>2.344507297550212E-4</v>
      </c>
      <c r="G36" s="10">
        <f>_xlfn.COVARIANCE.P(Daily_returns_cal!$C$3:$C$1256,Daily_returns_cal!G3:G1256)</f>
        <v>2.622459986262677E-4</v>
      </c>
      <c r="H36" s="10">
        <f>_xlfn.COVARIANCE.P(Daily_returns_cal!$C$3:$C$1256,Daily_returns_cal!H3:H1256)</f>
        <v>2.0463574766139218E-4</v>
      </c>
      <c r="I36" s="10">
        <f>_xlfn.COVARIANCE.P(Daily_returns_cal!$C$3:$C$1256,Daily_returns_cal!I3:I1256)</f>
        <v>2.6208625875289522E-4</v>
      </c>
    </row>
    <row r="37" spans="1:10" x14ac:dyDescent="0.2">
      <c r="A37" s="1" t="s">
        <v>4</v>
      </c>
      <c r="B37" s="10">
        <f>_xlfn.COVARIANCE.P(Daily_returns_cal!$D$3:$D$1256,Daily_returns_cal!B3:B1256)</f>
        <v>2.9995470104489445E-4</v>
      </c>
      <c r="C37" s="10">
        <f>_xlfn.COVARIANCE.P(Daily_returns_cal!$D$3:$D$1256,Daily_returns_cal!C3:C1256)</f>
        <v>3.3573222914940566E-4</v>
      </c>
      <c r="D37" s="10">
        <f>_xlfn.COVARIANCE.P(Daily_returns_cal!$D$3:$D$1256,Daily_returns_cal!D3:D1256)</f>
        <v>1.0814141671173082E-3</v>
      </c>
      <c r="E37" s="10">
        <f>_xlfn.COVARIANCE.P(Daily_returns_cal!$D$3:$D$1256,Daily_returns_cal!E3:E1256)</f>
        <v>7.6005302904687201E-4</v>
      </c>
      <c r="F37" s="10">
        <f>_xlfn.COVARIANCE.P(Daily_returns_cal!$D$3:$D$1256,Daily_returns_cal!F3:F1256)</f>
        <v>4.050357219324055E-4</v>
      </c>
      <c r="G37" s="10">
        <f>_xlfn.COVARIANCE.P(Daily_returns_cal!$D$3:$D$1256,Daily_returns_cal!G3:G1256)</f>
        <v>5.8836232451631046E-4</v>
      </c>
      <c r="H37" s="10">
        <f>_xlfn.COVARIANCE.P(Daily_returns_cal!$D$3:$D$1256,Daily_returns_cal!H3:H1256)</f>
        <v>3.4028578483406299E-4</v>
      </c>
      <c r="I37" s="10">
        <f>_xlfn.COVARIANCE.P(Daily_returns_cal!$D$3:$D$1256,Daily_returns_cal!I3:I1256)</f>
        <v>4.4790327733352749E-4</v>
      </c>
    </row>
    <row r="38" spans="1:10" x14ac:dyDescent="0.2">
      <c r="A38" s="1" t="s">
        <v>6</v>
      </c>
      <c r="B38" s="10">
        <f>_xlfn.COVARIANCE.P(Daily_returns_cal!$E$3:$E$1256,Daily_returns_cal!B3:B1256)</f>
        <v>2.9252240355198705E-4</v>
      </c>
      <c r="C38" s="10">
        <f>_xlfn.COVARIANCE.P(Daily_returns_cal!$E$3:$E$1256,Daily_returns_cal!C3:C1256)</f>
        <v>2.984180401909659E-4</v>
      </c>
      <c r="D38" s="10">
        <f>_xlfn.COVARIANCE.P(Daily_returns_cal!$E$3:$E$1256,Daily_returns_cal!D3:D1256)</f>
        <v>7.6005302904687201E-4</v>
      </c>
      <c r="E38" s="10">
        <f>_xlfn.COVARIANCE.P(Daily_returns_cal!$E$3:$E$1256,Daily_returns_cal!E3:E1256)</f>
        <v>1.0889319416893483E-3</v>
      </c>
      <c r="F38" s="10">
        <f>_xlfn.COVARIANCE.P(Daily_returns_cal!$E$3:$E$1256,Daily_returns_cal!F3:F1256)</f>
        <v>3.792121706039572E-4</v>
      </c>
      <c r="G38" s="10">
        <f>_xlfn.COVARIANCE.P(Daily_returns_cal!$E$3:$E$1256,Daily_returns_cal!G3:G1256)</f>
        <v>5.7634584242491295E-4</v>
      </c>
      <c r="H38" s="10">
        <f>_xlfn.COVARIANCE.P(Daily_returns_cal!$E$3:$E$1256,Daily_returns_cal!H3:H1256)</f>
        <v>3.3448562148859635E-4</v>
      </c>
      <c r="I38" s="10">
        <f>_xlfn.COVARIANCE.P(Daily_returns_cal!$E$3:$E$1256,Daily_returns_cal!I3:I1256)</f>
        <v>4.2448691604632556E-4</v>
      </c>
    </row>
    <row r="39" spans="1:10" x14ac:dyDescent="0.2">
      <c r="A39" s="1" t="s">
        <v>7</v>
      </c>
      <c r="B39" s="10">
        <f>_xlfn.COVARIANCE.P(Daily_returns_cal!$F$3:$F$1256,Daily_returns_cal!B3:B1256)</f>
        <v>2.1770306536836599E-4</v>
      </c>
      <c r="C39" s="10">
        <f>_xlfn.COVARIANCE.P(Daily_returns_cal!$F$3:$F$1256,Daily_returns_cal!C3:C1256)</f>
        <v>2.344507297550212E-4</v>
      </c>
      <c r="D39" s="10">
        <f>_xlfn.COVARIANCE.P(Daily_returns_cal!$F$3:$F$1256,Daily_returns_cal!D3:D1256)</f>
        <v>4.050357219324055E-4</v>
      </c>
      <c r="E39" s="10">
        <f>_xlfn.COVARIANCE.P(Daily_returns_cal!$F$3:$F$1256,Daily_returns_cal!E3:E1256)</f>
        <v>3.792121706039572E-4</v>
      </c>
      <c r="F39" s="10">
        <f>_xlfn.COVARIANCE.P(Daily_returns_cal!$F$3:$F$1256,Daily_returns_cal!F3:F1256)</f>
        <v>4.8866923124346725E-4</v>
      </c>
      <c r="G39" s="10">
        <f>_xlfn.COVARIANCE.P(Daily_returns_cal!$F$3:$F$1256,Daily_returns_cal!G3:G1256)</f>
        <v>3.7929669355053509E-4</v>
      </c>
      <c r="H39" s="10">
        <f>_xlfn.COVARIANCE.P(Daily_returns_cal!$F$3:$F$1256,Daily_returns_cal!H3:H1256)</f>
        <v>2.6847363441340595E-4</v>
      </c>
      <c r="I39" s="10">
        <f>_xlfn.COVARIANCE.P(Daily_returns_cal!$F$3:$F$1256,Daily_returns_cal!I3:I1256)</f>
        <v>3.6317977102165639E-4</v>
      </c>
    </row>
    <row r="40" spans="1:10" x14ac:dyDescent="0.2">
      <c r="A40" s="1" t="s">
        <v>8</v>
      </c>
      <c r="B40" s="10">
        <f>_xlfn.COVARIANCE.P(Daily_returns_cal!$G$3:$G$1256,Daily_returns_cal!B3:B1256)</f>
        <v>3.3562884327579509E-4</v>
      </c>
      <c r="C40" s="10">
        <f>_xlfn.COVARIANCE.P(Daily_returns_cal!$G$3:$G$1256,Daily_returns_cal!C3:C1256)</f>
        <v>2.622459986262677E-4</v>
      </c>
      <c r="D40" s="10">
        <f>_xlfn.COVARIANCE.P(Daily_returns_cal!$G$3:$G$1256,Daily_returns_cal!D3:D1256)</f>
        <v>5.8836232451631046E-4</v>
      </c>
      <c r="E40" s="10">
        <f>_xlfn.COVARIANCE.P(Daily_returns_cal!$G$3:$G$1256,Daily_returns_cal!E3:E1256)</f>
        <v>5.7634584242491295E-4</v>
      </c>
      <c r="F40" s="10">
        <f>_xlfn.COVARIANCE.P(Daily_returns_cal!$G$3:$G$1256,Daily_returns_cal!F3:F1256)</f>
        <v>3.7929669355053509E-4</v>
      </c>
      <c r="G40" s="10">
        <f>_xlfn.COVARIANCE.P(Daily_returns_cal!$G$3:$G$1256,Daily_returns_cal!G3:G1256)</f>
        <v>1.4626568407260421E-3</v>
      </c>
      <c r="H40" s="10">
        <f>_xlfn.COVARIANCE.P(Daily_returns_cal!$G$3:$G$1256,Daily_returns_cal!H3:H1256)</f>
        <v>3.1250727460794685E-4</v>
      </c>
      <c r="I40" s="10">
        <f>_xlfn.COVARIANCE.P(Daily_returns_cal!$G$3:$G$1256,Daily_returns_cal!I3:I1256)</f>
        <v>3.6345892435208353E-4</v>
      </c>
    </row>
    <row r="41" spans="1:10" x14ac:dyDescent="0.2">
      <c r="A41" s="1" t="s">
        <v>9</v>
      </c>
      <c r="B41" s="10">
        <f>_xlfn.COVARIANCE.P(Daily_returns_cal!$H$3:$H$1256,Daily_returns_cal!B3:B1256)</f>
        <v>1.9915249873145126E-4</v>
      </c>
      <c r="C41" s="10">
        <f>_xlfn.COVARIANCE.P(Daily_returns_cal!$H$3:$H$1256,Daily_returns_cal!C3:C1256)</f>
        <v>2.0463574766139218E-4</v>
      </c>
      <c r="D41" s="10">
        <f>_xlfn.COVARIANCE.P(Daily_returns_cal!$H$3:$H$1256,Daily_returns_cal!D3:D1256)</f>
        <v>3.4028578483406299E-4</v>
      </c>
      <c r="E41" s="10">
        <f>_xlfn.COVARIANCE.P(Daily_returns_cal!$H$3:$H$1256,Daily_returns_cal!E3:E1256)</f>
        <v>3.3448562148859635E-4</v>
      </c>
      <c r="F41" s="10">
        <f>_xlfn.COVARIANCE.P(Daily_returns_cal!$H$3:$H$1256,Daily_returns_cal!F3:F1256)</f>
        <v>2.6847363441340595E-4</v>
      </c>
      <c r="G41" s="10">
        <f>_xlfn.COVARIANCE.P(Daily_returns_cal!$H$3:$H$1256,Daily_returns_cal!G3:G1256)</f>
        <v>3.1250727460794685E-4</v>
      </c>
      <c r="H41" s="10">
        <f>_xlfn.COVARIANCE.P(Daily_returns_cal!$H$3:$H$1256,Daily_returns_cal!H3:H1256)</f>
        <v>3.8472439863178364E-4</v>
      </c>
      <c r="I41" s="10">
        <f>_xlfn.COVARIANCE.P(Daily_returns_cal!$H$3:$H$1256,Daily_returns_cal!I3:I1256)</f>
        <v>3.0216147907240708E-4</v>
      </c>
    </row>
    <row r="42" spans="1:10" x14ac:dyDescent="0.2">
      <c r="A42" s="1" t="s">
        <v>10</v>
      </c>
      <c r="B42" s="10">
        <f>_xlfn.COVARIANCE.P(Daily_returns_cal!$I$3:$I$1256,Daily_returns_cal!B3:B1256)</f>
        <v>2.3445731852944358E-4</v>
      </c>
      <c r="C42" s="10">
        <f>_xlfn.COVARIANCE.P(Daily_returns_cal!$I$3:$I$1256,Daily_returns_cal!C3:C1256)</f>
        <v>2.6208625875289522E-4</v>
      </c>
      <c r="D42" s="10">
        <f>_xlfn.COVARIANCE.P(Daily_returns_cal!$I$3:$I$1256,Daily_returns_cal!D3:D1256)</f>
        <v>4.4790327733352749E-4</v>
      </c>
      <c r="E42" s="10">
        <f>_xlfn.COVARIANCE.P(Daily_returns_cal!$I$3:$I$1256,Daily_returns_cal!E3:E1256)</f>
        <v>4.2448691604632556E-4</v>
      </c>
      <c r="F42" s="10">
        <f>_xlfn.COVARIANCE.P(Daily_returns_cal!$I$3:$I$1256,Daily_returns_cal!F3:F1256)</f>
        <v>3.6317977102165639E-4</v>
      </c>
      <c r="G42" s="10">
        <f>_xlfn.COVARIANCE.P(Daily_returns_cal!$I$3:$I$1256,Daily_returns_cal!G3:G1256)</f>
        <v>3.6345892435208353E-4</v>
      </c>
      <c r="H42" s="10">
        <f>_xlfn.COVARIANCE.P(Daily_returns_cal!$I$3:$I$1256,Daily_returns_cal!H3:H1256)</f>
        <v>3.0216147907240708E-4</v>
      </c>
      <c r="I42" s="10">
        <f>_xlfn.COVARIANCE.P(Daily_returns_cal!$I$3:$I$1256,Daily_returns_cal!I3:I1256)</f>
        <v>7.4723360848817568E-4</v>
      </c>
    </row>
    <row r="44" spans="1:10" x14ac:dyDescent="0.2">
      <c r="B44" s="3"/>
    </row>
    <row r="45" spans="1:10" ht="12" x14ac:dyDescent="0.25">
      <c r="A45" s="8" t="s">
        <v>15</v>
      </c>
      <c r="B45" s="8"/>
    </row>
    <row r="46" spans="1:10" x14ac:dyDescent="0.2">
      <c r="A46" s="1" t="s">
        <v>16</v>
      </c>
      <c r="B46" s="11">
        <f>SUMPRODUCT(C14:C21,C2:C9)</f>
        <v>0.39533607436197593</v>
      </c>
    </row>
    <row r="47" spans="1:10" x14ac:dyDescent="0.2">
      <c r="A47" s="1" t="s">
        <v>17</v>
      </c>
      <c r="B47" s="6">
        <f>C10</f>
        <v>0.15848089901757278</v>
      </c>
    </row>
    <row r="49" spans="1:9" ht="12" x14ac:dyDescent="0.25">
      <c r="A49" s="8" t="s">
        <v>18</v>
      </c>
    </row>
    <row r="50" spans="1:9" ht="12" x14ac:dyDescent="0.25">
      <c r="A50" s="8" t="s">
        <v>16</v>
      </c>
    </row>
    <row r="51" spans="1:9" x14ac:dyDescent="0.2">
      <c r="A51" s="1" t="s">
        <v>21</v>
      </c>
      <c r="B51" s="12">
        <f t="array" ref="B51">MMULT(MMULT(TRANSPOSE(C14:C21),B35:I42),C14:C21)</f>
        <v>4.1289758904338006E-4</v>
      </c>
    </row>
    <row r="52" spans="1:9" x14ac:dyDescent="0.2">
      <c r="A52" s="1" t="s">
        <v>24</v>
      </c>
      <c r="B52" s="4">
        <f>SQRT(B51)</f>
        <v>2.0319881619817081E-2</v>
      </c>
    </row>
    <row r="53" spans="1:9" x14ac:dyDescent="0.2">
      <c r="A53" s="1" t="s">
        <v>31</v>
      </c>
      <c r="B53" s="4">
        <f>B52*SQRT(252)</f>
        <v>0.32256812061784995</v>
      </c>
    </row>
    <row r="55" spans="1:9" x14ac:dyDescent="0.2">
      <c r="A55" s="1" t="s">
        <v>17</v>
      </c>
      <c r="B55" s="6">
        <f>D10</f>
        <v>0.22667214695570731</v>
      </c>
    </row>
    <row r="57" spans="1:9" x14ac:dyDescent="0.2">
      <c r="B57" s="1" t="s">
        <v>0</v>
      </c>
      <c r="C57" s="1" t="s">
        <v>5</v>
      </c>
      <c r="D57" s="1" t="s">
        <v>4</v>
      </c>
      <c r="E57" s="1" t="s">
        <v>6</v>
      </c>
      <c r="F57" s="1" t="s">
        <v>7</v>
      </c>
      <c r="G57" s="1" t="s">
        <v>8</v>
      </c>
      <c r="H57" s="1" t="s">
        <v>9</v>
      </c>
      <c r="I57" s="1" t="s">
        <v>10</v>
      </c>
    </row>
    <row r="58" spans="1:9" x14ac:dyDescent="0.2">
      <c r="A58" s="1" t="s">
        <v>26</v>
      </c>
      <c r="B58" s="3">
        <v>8.3333333333333329E-2</v>
      </c>
      <c r="C58" s="3">
        <v>0.125</v>
      </c>
      <c r="D58" s="3">
        <v>0.20833333333333334</v>
      </c>
      <c r="E58" s="3">
        <v>4.1666666666666664E-2</v>
      </c>
      <c r="F58" s="3">
        <v>0.25</v>
      </c>
      <c r="G58" s="3">
        <v>0.125</v>
      </c>
      <c r="H58" s="3">
        <v>6.25E-2</v>
      </c>
      <c r="I58" s="3">
        <v>0.10416666666666667</v>
      </c>
    </row>
    <row r="59" spans="1:9" ht="12" x14ac:dyDescent="0.25">
      <c r="A59" s="8" t="s">
        <v>19</v>
      </c>
      <c r="B59" s="3">
        <f>_xlfn.COVARIANCE.P(Daily_returns_cal!B3:B1256,Daily_returns_cal!$J$3:$J$1256)/_xlfn.VAR.P(Daily_returns_cal!$J$3:$J$1256)</f>
        <v>0.95697113088190844</v>
      </c>
      <c r="C59" s="3">
        <f>_xlfn.COVARIANCE.P(Daily_returns_cal!C3:C1256,Daily_returns_cal!$J$3:$J$1256)/_xlfn.VAR.P(Daily_returns_cal!$J$3:$J$1256)</f>
        <v>0.91334243736161025</v>
      </c>
      <c r="D59" s="3">
        <f>_xlfn.COVARIANCE.P(Daily_returns_cal!D3:D1256,Daily_returns_cal!$J$3:$J$1256)/_xlfn.VAR.P(Daily_returns_cal!$J$3:$J$1256)</f>
        <v>1.8130460180328893</v>
      </c>
      <c r="E59" s="3">
        <f>_xlfn.COVARIANCE.P(Daily_returns_cal!E3:E1256,Daily_returns_cal!$J$3:$J$1256)/_xlfn.VAR.P(Daily_returns_cal!$J$3:$J$1256)</f>
        <v>1.675308866690324</v>
      </c>
      <c r="F59" s="3">
        <f>_xlfn.COVARIANCE.P(Daily_returns_cal!F3:F1256,Daily_returns_cal!$J$3:$J$1256)/_xlfn.VAR.P(Daily_returns_cal!$J$3:$J$1256)</f>
        <v>1.2020305364567045</v>
      </c>
      <c r="G59" s="3">
        <f>_xlfn.COVARIANCE.P(Daily_returns_cal!G3:G1256,Daily_returns_cal!$J$3:$J$1256)/_xlfn.VAR.P(Daily_returns_cal!$J$3:$J$1256)</f>
        <v>1.7329160532175241</v>
      </c>
      <c r="H59" s="3">
        <f>_xlfn.COVARIANCE.P(Daily_returns_cal!H3:H1256,Daily_returns_cal!$J$3:$J$1256)/_xlfn.VAR.P(Daily_returns_cal!$J$3:$J$1256)</f>
        <v>1.0183736714580638</v>
      </c>
      <c r="I59" s="3">
        <f>_xlfn.COVARIANCE.P(Daily_returns_cal!I3:I1256,Daily_returns_cal!$J$3:$J$1256)/_xlfn.VAR.P(Daily_returns_cal!$J$3:$J$1256)</f>
        <v>1.3043507739522366</v>
      </c>
    </row>
    <row r="60" spans="1:9" ht="12" x14ac:dyDescent="0.25">
      <c r="A60" s="8" t="s">
        <v>32</v>
      </c>
      <c r="B60" s="3">
        <f>SUMPRODUCT(B58:I58,B59:I59)</f>
        <v>1.3580782229651627</v>
      </c>
      <c r="C60" s="3"/>
      <c r="D60" s="3"/>
      <c r="E60" s="3"/>
      <c r="F60" s="3"/>
      <c r="G60" s="3"/>
      <c r="H60" s="3"/>
      <c r="I60" s="3"/>
    </row>
    <row r="61" spans="1:9" ht="12" x14ac:dyDescent="0.25">
      <c r="A61" s="8" t="s">
        <v>20</v>
      </c>
      <c r="B61" s="6">
        <f>Risk_free_rate!B1+(Summary_sheet!B47-Risk_free_rate!B1)*B60</f>
        <v>0.20011855670257678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BCF5-D74E-4CDC-A41B-9D3DDA701BB9}">
  <dimension ref="A1:C6"/>
  <sheetViews>
    <sheetView workbookViewId="0">
      <selection sqref="A1:XFD1048576"/>
    </sheetView>
  </sheetViews>
  <sheetFormatPr defaultRowHeight="11.4" x14ac:dyDescent="0.2"/>
  <cols>
    <col min="1" max="1" width="13.77734375" style="1" bestFit="1" customWidth="1"/>
    <col min="2" max="2" width="20.21875" style="1" bestFit="1" customWidth="1"/>
    <col min="3" max="16384" width="8.88671875" style="1"/>
  </cols>
  <sheetData>
    <row r="1" spans="1:3" x14ac:dyDescent="0.2">
      <c r="B1" s="1" t="s">
        <v>16</v>
      </c>
      <c r="C1" s="1" t="s">
        <v>17</v>
      </c>
    </row>
    <row r="2" spans="1:3" x14ac:dyDescent="0.2">
      <c r="A2" s="1" t="s">
        <v>15</v>
      </c>
      <c r="B2" s="4">
        <f>Summary_sheet!B46</f>
        <v>0.39533607436197593</v>
      </c>
      <c r="C2" s="6">
        <f>Summary_sheet!B47</f>
        <v>0.15848089901757278</v>
      </c>
    </row>
    <row r="3" spans="1:3" x14ac:dyDescent="0.2">
      <c r="A3" s="13" t="s">
        <v>20</v>
      </c>
      <c r="B3" s="6">
        <f>Summary_sheet!$B$61</f>
        <v>0.20011855670257678</v>
      </c>
      <c r="C3" s="6">
        <f>C2</f>
        <v>0.15848089901757278</v>
      </c>
    </row>
    <row r="4" spans="1:3" x14ac:dyDescent="0.2">
      <c r="A4" s="1" t="s">
        <v>31</v>
      </c>
      <c r="B4" s="6">
        <f>Summary_sheet!B53</f>
        <v>0.32256812061784995</v>
      </c>
      <c r="C4" s="6">
        <f>Summary_sheet!B55</f>
        <v>0.22667214695570731</v>
      </c>
    </row>
    <row r="5" spans="1:3" x14ac:dyDescent="0.2">
      <c r="A5" s="1" t="s">
        <v>33</v>
      </c>
      <c r="B5" s="3">
        <f>Summary_sheet!B60</f>
        <v>1.3580782229651627</v>
      </c>
      <c r="C5" s="3">
        <v>1</v>
      </c>
    </row>
    <row r="6" spans="1:3" x14ac:dyDescent="0.2">
      <c r="A6" s="1" t="s">
        <v>25</v>
      </c>
      <c r="B6" s="3">
        <f>(Summary_sheet!B46-Risk_free_rate!B1)/Summary_sheet!B53</f>
        <v>1.0947643359349208</v>
      </c>
      <c r="C6" s="3">
        <f>Summary_sheet!E10</f>
        <v>0.51299156327439988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A4D0-4D0D-4995-8CB1-F14275B1EBC0}">
  <dimension ref="A1:D90"/>
  <sheetViews>
    <sheetView zoomScaleNormal="100" workbookViewId="0">
      <selection activeCell="K19" sqref="K19"/>
    </sheetView>
  </sheetViews>
  <sheetFormatPr defaultRowHeight="11.4" x14ac:dyDescent="0.2"/>
  <cols>
    <col min="1" max="1" width="17.33203125" style="1" bestFit="1" customWidth="1"/>
    <col min="2" max="2" width="13.33203125" style="1" bestFit="1" customWidth="1"/>
    <col min="3" max="16384" width="8.88671875" style="1"/>
  </cols>
  <sheetData>
    <row r="1" spans="1:4" x14ac:dyDescent="0.2">
      <c r="A1" s="1" t="s">
        <v>36</v>
      </c>
      <c r="B1" s="1" t="s">
        <v>16</v>
      </c>
      <c r="C1" s="1" t="s">
        <v>17</v>
      </c>
    </row>
    <row r="2" spans="1:4" x14ac:dyDescent="0.2">
      <c r="A2" s="1" t="s">
        <v>35</v>
      </c>
      <c r="B2" s="6">
        <v>0.3226</v>
      </c>
      <c r="C2" s="6">
        <v>0.22670000000000001</v>
      </c>
    </row>
    <row r="3" spans="1:4" x14ac:dyDescent="0.2">
      <c r="A3" s="1" t="s">
        <v>37</v>
      </c>
      <c r="B3" s="6">
        <v>0.39529999999999998</v>
      </c>
      <c r="C3" s="6">
        <v>0.1585</v>
      </c>
    </row>
    <row r="10" spans="1:4" x14ac:dyDescent="0.2">
      <c r="C10" s="6"/>
      <c r="D10" s="6"/>
    </row>
    <row r="11" spans="1:4" x14ac:dyDescent="0.2">
      <c r="C11" s="6"/>
      <c r="D11" s="6"/>
    </row>
    <row r="21" spans="1:3" x14ac:dyDescent="0.2">
      <c r="A21" s="1" t="s">
        <v>36</v>
      </c>
      <c r="B21" s="1" t="s">
        <v>16</v>
      </c>
      <c r="C21" s="1" t="s">
        <v>17</v>
      </c>
    </row>
    <row r="22" spans="1:3" x14ac:dyDescent="0.2">
      <c r="A22" s="1" t="s">
        <v>39</v>
      </c>
      <c r="B22" s="6">
        <f>Benchmark!B2</f>
        <v>0.39533607436197593</v>
      </c>
      <c r="C22" s="6">
        <f>Benchmark!C2</f>
        <v>0.15848089901757278</v>
      </c>
    </row>
    <row r="23" spans="1:3" x14ac:dyDescent="0.2">
      <c r="A23" s="1" t="s">
        <v>38</v>
      </c>
      <c r="B23" s="6">
        <f>Benchmark!B3</f>
        <v>0.20011855670257678</v>
      </c>
      <c r="C23" s="6">
        <f>Benchmark!C3</f>
        <v>0.15848089901757278</v>
      </c>
    </row>
    <row r="41" spans="1:2" x14ac:dyDescent="0.2">
      <c r="A41" s="1" t="s">
        <v>34</v>
      </c>
      <c r="B41" s="1" t="s">
        <v>40</v>
      </c>
    </row>
    <row r="42" spans="1:2" x14ac:dyDescent="0.2">
      <c r="A42" s="1" t="s">
        <v>16</v>
      </c>
      <c r="B42" s="6">
        <f>Benchmark!B4</f>
        <v>0.32256812061784995</v>
      </c>
    </row>
    <row r="43" spans="1:2" x14ac:dyDescent="0.2">
      <c r="A43" s="1" t="s">
        <v>17</v>
      </c>
      <c r="B43" s="6">
        <f>Benchmark!C4</f>
        <v>0.22667214695570731</v>
      </c>
    </row>
    <row r="60" spans="1:2" x14ac:dyDescent="0.2">
      <c r="A60" s="1" t="s">
        <v>34</v>
      </c>
      <c r="B60" s="1" t="s">
        <v>41</v>
      </c>
    </row>
    <row r="61" spans="1:2" x14ac:dyDescent="0.2">
      <c r="A61" s="1" t="s">
        <v>16</v>
      </c>
      <c r="B61" s="3">
        <f>Benchmark!B6</f>
        <v>1.0947643359349208</v>
      </c>
    </row>
    <row r="62" spans="1:2" x14ac:dyDescent="0.2">
      <c r="A62" s="1" t="s">
        <v>17</v>
      </c>
      <c r="B62" s="3">
        <f>Benchmark!C6</f>
        <v>0.51299156327439988</v>
      </c>
    </row>
    <row r="81" spans="1:3" x14ac:dyDescent="0.2">
      <c r="A81" s="1" t="s">
        <v>42</v>
      </c>
      <c r="B81" s="1" t="s">
        <v>26</v>
      </c>
    </row>
    <row r="82" spans="1:3" x14ac:dyDescent="0.2">
      <c r="A82" s="1" t="s">
        <v>0</v>
      </c>
      <c r="B82" s="3">
        <v>8.3333333333333329E-2</v>
      </c>
      <c r="C82" s="3"/>
    </row>
    <row r="83" spans="1:3" x14ac:dyDescent="0.2">
      <c r="A83" s="1" t="s">
        <v>5</v>
      </c>
      <c r="B83" s="3">
        <v>0.125</v>
      </c>
      <c r="C83" s="3"/>
    </row>
    <row r="84" spans="1:3" x14ac:dyDescent="0.2">
      <c r="A84" s="1" t="s">
        <v>4</v>
      </c>
      <c r="B84" s="3">
        <v>0.20833333333333334</v>
      </c>
      <c r="C84" s="3"/>
    </row>
    <row r="85" spans="1:3" x14ac:dyDescent="0.2">
      <c r="A85" s="1" t="s">
        <v>6</v>
      </c>
      <c r="B85" s="3">
        <v>4.1666666666666664E-2</v>
      </c>
      <c r="C85" s="3"/>
    </row>
    <row r="86" spans="1:3" x14ac:dyDescent="0.2">
      <c r="A86" s="1" t="s">
        <v>7</v>
      </c>
      <c r="B86" s="3">
        <v>0.25</v>
      </c>
      <c r="C86" s="3"/>
    </row>
    <row r="87" spans="1:3" x14ac:dyDescent="0.2">
      <c r="A87" s="1" t="s">
        <v>8</v>
      </c>
      <c r="B87" s="3">
        <v>0.125</v>
      </c>
      <c r="C87" s="3"/>
    </row>
    <row r="88" spans="1:3" x14ac:dyDescent="0.2">
      <c r="A88" s="1" t="s">
        <v>9</v>
      </c>
      <c r="B88" s="3">
        <v>6.25E-2</v>
      </c>
      <c r="C88" s="3"/>
    </row>
    <row r="89" spans="1:3" x14ac:dyDescent="0.2">
      <c r="A89" s="1" t="s">
        <v>10</v>
      </c>
      <c r="B89" s="3">
        <v>0.10416666666666667</v>
      </c>
      <c r="C89" s="3"/>
    </row>
    <row r="90" spans="1:3" x14ac:dyDescent="0.2">
      <c r="A90" s="1" t="s">
        <v>27</v>
      </c>
      <c r="B90" s="3">
        <v>1</v>
      </c>
      <c r="C90" s="3"/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23C0-5822-4373-9E96-2E87BF9B7571}">
  <dimension ref="A1:T1"/>
  <sheetViews>
    <sheetView tabSelected="1" zoomScale="110" zoomScaleNormal="110" workbookViewId="0">
      <selection sqref="A1:XFD1048576"/>
    </sheetView>
  </sheetViews>
  <sheetFormatPr defaultRowHeight="11.4" x14ac:dyDescent="0.2"/>
  <cols>
    <col min="1" max="16384" width="8.88671875" style="1"/>
  </cols>
  <sheetData>
    <row r="1" spans="1:20" ht="12" x14ac:dyDescent="0.25">
      <c r="A1" s="14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</sheetData>
  <mergeCells count="1">
    <mergeCell ref="A1:T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AAPL</vt:lpstr>
      <vt:lpstr>MSFT</vt:lpstr>
      <vt:lpstr>NVDA</vt:lpstr>
      <vt:lpstr>AMD</vt:lpstr>
      <vt:lpstr>AMZN</vt:lpstr>
      <vt:lpstr>TSLA</vt:lpstr>
      <vt:lpstr>GOOGL</vt:lpstr>
      <vt:lpstr>META</vt:lpstr>
      <vt:lpstr>Nasdaq</vt:lpstr>
      <vt:lpstr>Risk_free_rate</vt:lpstr>
      <vt:lpstr>Raw_Stock_Data</vt:lpstr>
      <vt:lpstr>Daily_returns_cal</vt:lpstr>
      <vt:lpstr>Summary_sheet</vt:lpstr>
      <vt:lpstr>Benchmark</vt:lpstr>
      <vt:lpstr>DashBoard</vt:lpstr>
      <vt:lpstr>F.Dashboard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Kandukuri Naveen Kumar</dc:creator>
  <cp:lastModifiedBy>Kandukuri Naveen Kumar</cp:lastModifiedBy>
  <cp:lastPrinted>2026-03-13T16:33:58Z</cp:lastPrinted>
  <dcterms:created xsi:type="dcterms:W3CDTF">2026-02-07T09:46:59Z</dcterms:created>
  <dcterms:modified xsi:type="dcterms:W3CDTF">2026-03-15T07:13:58Z</dcterms:modified>
</cp:coreProperties>
</file>