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JOB prep 2025 dec\Projects- Resume\"/>
    </mc:Choice>
  </mc:AlternateContent>
  <xr:revisionPtr revIDLastSave="0" documentId="13_ncr:1_{324A6B45-B96E-4F8C-B83C-258CC2E25D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ome Statment (Trend)" sheetId="1" r:id="rId1"/>
    <sheet name="Income Statment (Common Size)" sheetId="2" r:id="rId2"/>
    <sheet name="Balance Sheet (Trend)" sheetId="3" r:id="rId3"/>
    <sheet name="Balance sheet (KPIs)" sheetId="4" r:id="rId4"/>
    <sheet name="Ratio Analysis" sheetId="6" r:id="rId5"/>
    <sheet name="Cash flow Statment" sheetId="5" r:id="rId6"/>
    <sheet name="DCF" sheetId="10" r:id="rId7"/>
    <sheet name="Peer comparision and Industry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0" l="1"/>
  <c r="C11" i="10"/>
  <c r="D25" i="10" s="1"/>
  <c r="E25" i="10" s="1"/>
  <c r="F25" i="10" s="1"/>
  <c r="G25" i="10" s="1"/>
  <c r="H25" i="10" s="1"/>
  <c r="I25" i="10" s="1"/>
  <c r="J25" i="10" s="1"/>
  <c r="K25" i="10" s="1"/>
  <c r="L25" i="10" s="1"/>
  <c r="M25" i="10" s="1"/>
  <c r="D55" i="4"/>
  <c r="E55" i="4"/>
  <c r="F55" i="4"/>
  <c r="G55" i="4"/>
  <c r="C55" i="4"/>
  <c r="C25" i="10"/>
  <c r="C9" i="10"/>
  <c r="C8" i="10"/>
  <c r="E16" i="10"/>
  <c r="F16" i="10" s="1"/>
  <c r="E17" i="10"/>
  <c r="F17" i="10" s="1"/>
  <c r="E18" i="10"/>
  <c r="F18" i="10" s="1"/>
  <c r="E19" i="10"/>
  <c r="G19" i="10" s="1"/>
  <c r="E15" i="10"/>
  <c r="G15" i="10" s="1"/>
  <c r="D19" i="10"/>
  <c r="D18" i="10"/>
  <c r="D17" i="10"/>
  <c r="D16" i="10"/>
  <c r="D15" i="10"/>
  <c r="C19" i="10"/>
  <c r="C18" i="10"/>
  <c r="C17" i="10"/>
  <c r="C16" i="10"/>
  <c r="C15" i="10"/>
  <c r="C12" i="8"/>
  <c r="C11" i="8"/>
  <c r="C10" i="8"/>
  <c r="C9" i="8"/>
  <c r="C8" i="8"/>
  <c r="C7" i="8"/>
  <c r="C6" i="8"/>
  <c r="C5" i="8"/>
  <c r="C4" i="8"/>
  <c r="C3" i="8"/>
  <c r="B12" i="8"/>
  <c r="B11" i="8"/>
  <c r="B10" i="8"/>
  <c r="B9" i="8"/>
  <c r="B8" i="8"/>
  <c r="B7" i="8"/>
  <c r="B6" i="8"/>
  <c r="B5" i="8"/>
  <c r="B4" i="8"/>
  <c r="B3" i="8"/>
  <c r="K28" i="5"/>
  <c r="L28" i="5"/>
  <c r="M28" i="5"/>
  <c r="N28" i="5"/>
  <c r="J28" i="5"/>
  <c r="K27" i="5"/>
  <c r="L27" i="5"/>
  <c r="M27" i="5"/>
  <c r="N27" i="5"/>
  <c r="J27" i="5"/>
  <c r="K8" i="5"/>
  <c r="L8" i="5"/>
  <c r="M8" i="5"/>
  <c r="N8" i="5"/>
  <c r="J8" i="5"/>
  <c r="K25" i="5"/>
  <c r="L25" i="5"/>
  <c r="M25" i="5"/>
  <c r="N25" i="5"/>
  <c r="J25" i="5"/>
  <c r="G54" i="4"/>
  <c r="F54" i="4"/>
  <c r="E54" i="4"/>
  <c r="D54" i="4"/>
  <c r="C54" i="4"/>
  <c r="L24" i="5"/>
  <c r="M24" i="5"/>
  <c r="N24" i="5"/>
  <c r="K24" i="5"/>
  <c r="L23" i="5"/>
  <c r="M23" i="5"/>
  <c r="N23" i="5"/>
  <c r="K23" i="5"/>
  <c r="K22" i="5"/>
  <c r="L22" i="5"/>
  <c r="M22" i="5"/>
  <c r="N22" i="5"/>
  <c r="J22" i="5"/>
  <c r="K21" i="5"/>
  <c r="L21" i="5"/>
  <c r="M21" i="5"/>
  <c r="N21" i="5"/>
  <c r="J21" i="5"/>
  <c r="K18" i="5"/>
  <c r="L18" i="5"/>
  <c r="M18" i="5"/>
  <c r="N18" i="5"/>
  <c r="J18" i="5"/>
  <c r="K17" i="5"/>
  <c r="L17" i="5"/>
  <c r="M17" i="5"/>
  <c r="N17" i="5"/>
  <c r="J17" i="5"/>
  <c r="K13" i="5"/>
  <c r="J13" i="5"/>
  <c r="K11" i="5"/>
  <c r="L11" i="5"/>
  <c r="M11" i="5"/>
  <c r="N11" i="5"/>
  <c r="J12" i="5"/>
  <c r="J11" i="5"/>
  <c r="K10" i="5"/>
  <c r="L10" i="5"/>
  <c r="M10" i="5"/>
  <c r="N10" i="5"/>
  <c r="J10" i="5"/>
  <c r="K12" i="5"/>
  <c r="L12" i="5"/>
  <c r="L13" i="5" s="1"/>
  <c r="M12" i="5"/>
  <c r="M13" i="5" s="1"/>
  <c r="N12" i="5"/>
  <c r="N13" i="5" s="1"/>
  <c r="K9" i="5"/>
  <c r="L9" i="5"/>
  <c r="M9" i="5"/>
  <c r="N9" i="5"/>
  <c r="J9" i="5"/>
  <c r="K6" i="5"/>
  <c r="L6" i="5"/>
  <c r="M6" i="5"/>
  <c r="N6" i="5"/>
  <c r="J6" i="5"/>
  <c r="K7" i="5"/>
  <c r="L7" i="5"/>
  <c r="M7" i="5"/>
  <c r="N7" i="5"/>
  <c r="J7" i="5"/>
  <c r="K5" i="5"/>
  <c r="L5" i="5"/>
  <c r="M5" i="5"/>
  <c r="N5" i="5"/>
  <c r="J5" i="5"/>
  <c r="F15" i="10" l="1"/>
  <c r="G16" i="10"/>
  <c r="F19" i="10"/>
  <c r="G18" i="10"/>
  <c r="G17" i="10"/>
  <c r="E18" i="6"/>
  <c r="F18" i="6"/>
  <c r="G18" i="6"/>
  <c r="D18" i="6"/>
  <c r="D17" i="6"/>
  <c r="E17" i="6"/>
  <c r="F17" i="6"/>
  <c r="G17" i="6"/>
  <c r="C17" i="6"/>
  <c r="D16" i="6"/>
  <c r="E16" i="6"/>
  <c r="F16" i="6"/>
  <c r="G16" i="6"/>
  <c r="C16" i="6"/>
  <c r="D15" i="6"/>
  <c r="E15" i="6"/>
  <c r="F15" i="6"/>
  <c r="G15" i="6"/>
  <c r="D14" i="6"/>
  <c r="E14" i="6"/>
  <c r="F14" i="6"/>
  <c r="G14" i="6"/>
  <c r="C15" i="6"/>
  <c r="C14" i="6"/>
  <c r="G10" i="6"/>
  <c r="G11" i="6" s="1"/>
  <c r="G12" i="6" s="1"/>
  <c r="F10" i="6"/>
  <c r="F11" i="6" s="1"/>
  <c r="F12" i="6" s="1"/>
  <c r="E10" i="6"/>
  <c r="E11" i="6" s="1"/>
  <c r="E12" i="6" s="1"/>
  <c r="D10" i="6"/>
  <c r="D11" i="6" s="1"/>
  <c r="D12" i="6" s="1"/>
  <c r="C10" i="6"/>
  <c r="C11" i="6" s="1"/>
  <c r="C12" i="6" s="1"/>
  <c r="D20" i="1"/>
  <c r="E20" i="1"/>
  <c r="F20" i="1"/>
  <c r="G20" i="1"/>
  <c r="C20" i="1"/>
  <c r="E31" i="6"/>
  <c r="F31" i="6"/>
  <c r="G31" i="6"/>
  <c r="D31" i="6"/>
  <c r="E30" i="6"/>
  <c r="F30" i="6"/>
  <c r="G30" i="6"/>
  <c r="D30" i="6"/>
  <c r="E29" i="6"/>
  <c r="F29" i="6"/>
  <c r="G29" i="6"/>
  <c r="D29" i="6"/>
  <c r="K8" i="4"/>
  <c r="L8" i="4"/>
  <c r="M8" i="4"/>
  <c r="N8" i="4"/>
  <c r="J8" i="4"/>
  <c r="E28" i="6"/>
  <c r="F28" i="6"/>
  <c r="G28" i="6"/>
  <c r="D28" i="6"/>
  <c r="E25" i="6"/>
  <c r="E26" i="6" s="1"/>
  <c r="F25" i="6"/>
  <c r="G25" i="6"/>
  <c r="D25" i="6"/>
  <c r="D26" i="6" s="1"/>
  <c r="E23" i="6"/>
  <c r="E24" i="6" s="1"/>
  <c r="F23" i="6"/>
  <c r="F24" i="6" s="1"/>
  <c r="G23" i="6"/>
  <c r="G24" i="6" s="1"/>
  <c r="D23" i="6"/>
  <c r="D24" i="6" s="1"/>
  <c r="F26" i="6"/>
  <c r="G26" i="6"/>
  <c r="E21" i="6"/>
  <c r="E22" i="6" s="1"/>
  <c r="F21" i="6"/>
  <c r="F22" i="6" s="1"/>
  <c r="G21" i="6"/>
  <c r="G22" i="6" s="1"/>
  <c r="D21" i="6"/>
  <c r="D22" i="6" s="1"/>
  <c r="E6" i="6"/>
  <c r="F6" i="6"/>
  <c r="G6" i="6"/>
  <c r="D6" i="6"/>
  <c r="E5" i="6"/>
  <c r="F5" i="6"/>
  <c r="G5" i="6"/>
  <c r="D5" i="6"/>
  <c r="E4" i="6"/>
  <c r="F4" i="6"/>
  <c r="G4" i="6"/>
  <c r="D4" i="6"/>
  <c r="L13" i="4"/>
  <c r="M13" i="4"/>
  <c r="N13" i="4"/>
  <c r="K13" i="4"/>
  <c r="J11" i="4"/>
  <c r="K11" i="4"/>
  <c r="L11" i="4"/>
  <c r="M11" i="4"/>
  <c r="N11" i="4"/>
  <c r="K12" i="4"/>
  <c r="L12" i="4"/>
  <c r="M12" i="4"/>
  <c r="N12" i="4"/>
  <c r="J12" i="4"/>
  <c r="K10" i="4"/>
  <c r="L10" i="4"/>
  <c r="M10" i="4"/>
  <c r="N10" i="4"/>
  <c r="J10" i="4"/>
  <c r="K7" i="4"/>
  <c r="L7" i="4"/>
  <c r="M7" i="4"/>
  <c r="N7" i="4"/>
  <c r="J7" i="4"/>
  <c r="K6" i="4"/>
  <c r="L6" i="4"/>
  <c r="M6" i="4"/>
  <c r="N6" i="4"/>
  <c r="J6" i="4"/>
  <c r="K5" i="4"/>
  <c r="L5" i="4"/>
  <c r="M5" i="4"/>
  <c r="N5" i="4"/>
  <c r="J5" i="4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I43" i="3"/>
  <c r="J43" i="3"/>
  <c r="K43" i="3"/>
  <c r="H44" i="3"/>
  <c r="I44" i="3"/>
  <c r="J44" i="3"/>
  <c r="K44" i="3"/>
  <c r="H45" i="3"/>
  <c r="I45" i="3"/>
  <c r="J45" i="3"/>
  <c r="K45" i="3"/>
  <c r="H46" i="3"/>
  <c r="I46" i="3"/>
  <c r="J46" i="3"/>
  <c r="K46" i="3"/>
  <c r="H47" i="3"/>
  <c r="I47" i="3"/>
  <c r="J47" i="3"/>
  <c r="K47" i="3"/>
  <c r="H49" i="3"/>
  <c r="I49" i="3"/>
  <c r="J49" i="3"/>
  <c r="K49" i="3"/>
  <c r="I36" i="3"/>
  <c r="J36" i="3"/>
  <c r="K36" i="3"/>
  <c r="H36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I24" i="3"/>
  <c r="J24" i="3"/>
  <c r="K24" i="3"/>
  <c r="H24" i="3"/>
  <c r="H8" i="3"/>
  <c r="I8" i="3"/>
  <c r="J8" i="3"/>
  <c r="K8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I7" i="3"/>
  <c r="J7" i="3"/>
  <c r="K7" i="3"/>
  <c r="H7" i="3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G23" i="2"/>
  <c r="G22" i="2"/>
  <c r="G21" i="2"/>
  <c r="F23" i="2"/>
  <c r="F22" i="2"/>
  <c r="F21" i="2"/>
  <c r="E23" i="2"/>
  <c r="E22" i="2"/>
  <c r="E21" i="2"/>
  <c r="D23" i="2"/>
  <c r="D22" i="2"/>
  <c r="D21" i="2"/>
  <c r="C23" i="2"/>
  <c r="C22" i="2"/>
  <c r="C21" i="2"/>
  <c r="J9" i="2"/>
  <c r="J18" i="2"/>
  <c r="J17" i="2"/>
  <c r="J16" i="2"/>
  <c r="J15" i="2"/>
  <c r="J14" i="2"/>
  <c r="J13" i="2"/>
  <c r="J12" i="2"/>
  <c r="J11" i="2"/>
  <c r="J10" i="2"/>
  <c r="J8" i="2"/>
  <c r="J7" i="2"/>
  <c r="J6" i="2"/>
  <c r="J5" i="2"/>
  <c r="H18" i="2"/>
  <c r="H17" i="2"/>
  <c r="H16" i="2"/>
  <c r="H15" i="2"/>
  <c r="H14" i="2"/>
  <c r="H13" i="2"/>
  <c r="H12" i="2"/>
  <c r="H11" i="2"/>
  <c r="H10" i="2"/>
  <c r="H8" i="2"/>
  <c r="H7" i="2"/>
  <c r="H6" i="2"/>
  <c r="H5" i="2"/>
  <c r="F18" i="2"/>
  <c r="F17" i="2"/>
  <c r="F16" i="2"/>
  <c r="F15" i="2"/>
  <c r="F14" i="2"/>
  <c r="F13" i="2"/>
  <c r="F12" i="2"/>
  <c r="F11" i="2"/>
  <c r="F10" i="2"/>
  <c r="F8" i="2"/>
  <c r="F7" i="2"/>
  <c r="F6" i="2"/>
  <c r="F5" i="2"/>
  <c r="D17" i="2"/>
  <c r="D15" i="2"/>
  <c r="D11" i="2"/>
  <c r="D8" i="2"/>
  <c r="D6" i="2"/>
  <c r="D7" i="2"/>
  <c r="D10" i="2"/>
  <c r="D12" i="2"/>
  <c r="D13" i="2"/>
  <c r="D14" i="2"/>
  <c r="D16" i="2"/>
  <c r="D18" i="2"/>
  <c r="D5" i="2"/>
  <c r="K14" i="2"/>
  <c r="K16" i="2" s="1"/>
  <c r="K18" i="2" s="1"/>
  <c r="I14" i="2"/>
  <c r="I16" i="2" s="1"/>
  <c r="I18" i="2" s="1"/>
  <c r="G14" i="2"/>
  <c r="G16" i="2" s="1"/>
  <c r="G18" i="2" s="1"/>
  <c r="E14" i="2"/>
  <c r="E16" i="2" s="1"/>
  <c r="E18" i="2" s="1"/>
  <c r="K7" i="2"/>
  <c r="I7" i="2"/>
  <c r="G7" i="2"/>
  <c r="E7" i="2"/>
  <c r="C7" i="2"/>
  <c r="C10" i="2" s="1"/>
  <c r="C14" i="2" s="1"/>
  <c r="C16" i="2" s="1"/>
  <c r="C18" i="2" s="1"/>
  <c r="I6" i="1"/>
  <c r="J6" i="1"/>
  <c r="K6" i="1"/>
  <c r="L6" i="1"/>
  <c r="I8" i="1"/>
  <c r="J8" i="1"/>
  <c r="K8" i="1"/>
  <c r="L8" i="1"/>
  <c r="L9" i="1"/>
  <c r="I10" i="1"/>
  <c r="J10" i="1"/>
  <c r="K10" i="1"/>
  <c r="L10" i="1"/>
  <c r="I11" i="1"/>
  <c r="J11" i="1"/>
  <c r="K11" i="1"/>
  <c r="L11" i="1"/>
  <c r="I12" i="1"/>
  <c r="J12" i="1"/>
  <c r="K12" i="1"/>
  <c r="L12" i="1"/>
  <c r="I13" i="1"/>
  <c r="J13" i="1"/>
  <c r="K13" i="1"/>
  <c r="L13" i="1"/>
  <c r="K14" i="1"/>
  <c r="I15" i="1"/>
  <c r="J15" i="1"/>
  <c r="K15" i="1"/>
  <c r="L15" i="1"/>
  <c r="I17" i="1"/>
  <c r="J17" i="1"/>
  <c r="K17" i="1"/>
  <c r="L17" i="1"/>
  <c r="J5" i="1"/>
  <c r="K5" i="1"/>
  <c r="L5" i="1"/>
  <c r="I5" i="1"/>
  <c r="F18" i="1"/>
  <c r="F16" i="1"/>
  <c r="G16" i="1"/>
  <c r="L16" i="1" s="1"/>
  <c r="D14" i="1"/>
  <c r="E14" i="1"/>
  <c r="E16" i="1" s="1"/>
  <c r="F14" i="1"/>
  <c r="G14" i="1"/>
  <c r="L14" i="1" s="1"/>
  <c r="C10" i="1"/>
  <c r="C14" i="1" s="1"/>
  <c r="C16" i="1" s="1"/>
  <c r="C18" i="1" s="1"/>
  <c r="G7" i="1"/>
  <c r="L7" i="1" s="1"/>
  <c r="D7" i="1"/>
  <c r="I7" i="1" s="1"/>
  <c r="E7" i="1"/>
  <c r="J7" i="1" s="1"/>
  <c r="F7" i="1"/>
  <c r="K7" i="1" s="1"/>
  <c r="C7" i="1"/>
  <c r="G20" i="10" l="1"/>
  <c r="F20" i="10"/>
  <c r="D27" i="6"/>
  <c r="G27" i="6"/>
  <c r="F27" i="6"/>
  <c r="E27" i="6"/>
  <c r="K16" i="1"/>
  <c r="E18" i="1"/>
  <c r="I14" i="1"/>
  <c r="J14" i="1"/>
  <c r="D16" i="1"/>
  <c r="G18" i="1"/>
  <c r="L18" i="1" s="1"/>
  <c r="L26" i="10" l="1"/>
  <c r="K26" i="10"/>
  <c r="E26" i="10"/>
  <c r="M26" i="10"/>
  <c r="F26" i="10"/>
  <c r="D26" i="10"/>
  <c r="G26" i="10"/>
  <c r="H26" i="10"/>
  <c r="I26" i="10"/>
  <c r="J26" i="10"/>
  <c r="M29" i="10"/>
  <c r="C29" i="10" s="1"/>
  <c r="D18" i="1"/>
  <c r="I18" i="1" s="1"/>
  <c r="I16" i="1"/>
  <c r="J18" i="1"/>
  <c r="J16" i="1"/>
  <c r="K18" i="1"/>
  <c r="C27" i="10" l="1"/>
  <c r="C28" i="10" l="1"/>
  <c r="C30" i="10" s="1"/>
  <c r="C33" i="10" s="1"/>
  <c r="C34" i="10" s="1"/>
</calcChain>
</file>

<file path=xl/sharedStrings.xml><?xml version="1.0" encoding="utf-8"?>
<sst xmlns="http://schemas.openxmlformats.org/spreadsheetml/2006/main" count="286" uniqueCount="202">
  <si>
    <t>Income statement</t>
  </si>
  <si>
    <t>$ in millions</t>
  </si>
  <si>
    <t>Net Sales</t>
  </si>
  <si>
    <t>Cost of products sold</t>
  </si>
  <si>
    <t>Selling, general and administrative expense</t>
  </si>
  <si>
    <t>Interest expense</t>
  </si>
  <si>
    <t>Interest income</t>
  </si>
  <si>
    <t>Other non-operating income, net</t>
  </si>
  <si>
    <t>Income taxes</t>
  </si>
  <si>
    <t>Indefinite-lived intangible asset impairment charge</t>
  </si>
  <si>
    <t>Gross Profit</t>
  </si>
  <si>
    <t>EBIT</t>
  </si>
  <si>
    <t>Net Earnings</t>
  </si>
  <si>
    <t>Less: Net earnings attributable to noncontrolling interests</t>
  </si>
  <si>
    <t>Net Earnings Attributable to Procter &amp; Gamble</t>
  </si>
  <si>
    <t>Var % 
2021-2022</t>
  </si>
  <si>
    <t>Var % 
2022-2023</t>
  </si>
  <si>
    <t>Var % 
2023-2024</t>
  </si>
  <si>
    <t>Var % 
2024-2025</t>
  </si>
  <si>
    <t>EBT</t>
  </si>
  <si>
    <t>Gross Profit Margin</t>
  </si>
  <si>
    <t>Net Profit Margin</t>
  </si>
  <si>
    <t>Operating Profit Margin</t>
  </si>
  <si>
    <t>KPIs</t>
  </si>
  <si>
    <t>Balance Sheet</t>
  </si>
  <si>
    <t>Assets</t>
  </si>
  <si>
    <t>Cash and cash equivalents</t>
  </si>
  <si>
    <t>Accounts receivable</t>
  </si>
  <si>
    <t>Materials and supplies</t>
  </si>
  <si>
    <t>Work in process</t>
  </si>
  <si>
    <t>Finished goods</t>
  </si>
  <si>
    <t>Total inventories</t>
  </si>
  <si>
    <t>Prepaid expenses and other current assets</t>
  </si>
  <si>
    <t>Accounts payable</t>
  </si>
  <si>
    <t>Accrued and other liabilities</t>
  </si>
  <si>
    <t>Debt due within one year</t>
  </si>
  <si>
    <t>Common stock, stated value $1 per share (10,000 shares authorized;</t>
  </si>
  <si>
    <t>Additional paid-in capital</t>
  </si>
  <si>
    <t>Accumulated other comprehensive loss</t>
  </si>
  <si>
    <t>Retained earnings</t>
  </si>
  <si>
    <t>Noncontrolling interest</t>
  </si>
  <si>
    <t>Current assets</t>
  </si>
  <si>
    <t>Inventories</t>
  </si>
  <si>
    <t>Total current assets</t>
  </si>
  <si>
    <t>Property, plant and equipment, net</t>
  </si>
  <si>
    <t>Goodwill</t>
  </si>
  <si>
    <t>Trademarks and other intangible assets, net</t>
  </si>
  <si>
    <t>Other noncurrent assets</t>
  </si>
  <si>
    <t>Total assets</t>
  </si>
  <si>
    <t>Liabilities and shareholders' equity</t>
  </si>
  <si>
    <t>Current liabilities</t>
  </si>
  <si>
    <t>Total current liabilities</t>
  </si>
  <si>
    <t>Long-term debt</t>
  </si>
  <si>
    <t>Deferred income taxes</t>
  </si>
  <si>
    <t>Other noncurrent liabilities</t>
  </si>
  <si>
    <t>Total liabilities</t>
  </si>
  <si>
    <t>Shareholders' equity</t>
  </si>
  <si>
    <t>Convertible class a preferred stock, stated value $1 per share (600</t>
  </si>
  <si>
    <t>Shares authorized)</t>
  </si>
  <si>
    <t>Non-voting class b preferred stock, stated value $1 per share (200</t>
  </si>
  <si>
    <t>Reserve for esop debt retirement</t>
  </si>
  <si>
    <t>Total shareholders' equity</t>
  </si>
  <si>
    <t>Total liabilities and shareholders' equity</t>
  </si>
  <si>
    <t>Shares issued: 2021 - 4,009.2, 2022 - 4,009.2, 2023 - 4,009.2, 2024 - 4,009.2, 2025 - 4,009.2)</t>
  </si>
  <si>
    <t>Var % 
21-22</t>
  </si>
  <si>
    <t>Var % 
22-23</t>
  </si>
  <si>
    <t>Var % 
23-24</t>
  </si>
  <si>
    <t>Var % 
24-25</t>
  </si>
  <si>
    <t>Treasury stock, at cost (shares held: 2021 - 1,579.5, 2022 - 1,615.4, 2023 - 1,647.1, 2024 - 1,652.2; 2025 - 1,667.3)</t>
  </si>
  <si>
    <t>Current Ratio</t>
  </si>
  <si>
    <t>Quick Ratio</t>
  </si>
  <si>
    <t>Cash Ratio</t>
  </si>
  <si>
    <t>Debt to equity</t>
  </si>
  <si>
    <t>Debt to capital</t>
  </si>
  <si>
    <t>Debt to Assets</t>
  </si>
  <si>
    <t>Financial Levarage</t>
  </si>
  <si>
    <t>Profitability Ratios</t>
  </si>
  <si>
    <t>Ratios</t>
  </si>
  <si>
    <t>Return on Assets</t>
  </si>
  <si>
    <t>Return on Equity</t>
  </si>
  <si>
    <t>Return on Total Capital</t>
  </si>
  <si>
    <t>Valuation Ratios</t>
  </si>
  <si>
    <t>Earning per share</t>
  </si>
  <si>
    <t xml:space="preserve">Price to Earnings </t>
  </si>
  <si>
    <t>Dividend Yeild</t>
  </si>
  <si>
    <t>Retention</t>
  </si>
  <si>
    <t>Dividend Payout</t>
  </si>
  <si>
    <t>Sustainable Growth Rate</t>
  </si>
  <si>
    <t>Activity Ratios</t>
  </si>
  <si>
    <t>Receivables turnover</t>
  </si>
  <si>
    <t>DSO</t>
  </si>
  <si>
    <t>Inventory turnover</t>
  </si>
  <si>
    <t>DIO</t>
  </si>
  <si>
    <t>Payables turnover</t>
  </si>
  <si>
    <t>DPO</t>
  </si>
  <si>
    <t>Cash Conversion Cycle</t>
  </si>
  <si>
    <t>Fixed asset turnover</t>
  </si>
  <si>
    <t>Working capital Turnover</t>
  </si>
  <si>
    <t>Total Asset turnover</t>
  </si>
  <si>
    <t>Equity turnover</t>
  </si>
  <si>
    <t>Working Capital</t>
  </si>
  <si>
    <t>Market Price</t>
  </si>
  <si>
    <t>Prefence Dividends</t>
  </si>
  <si>
    <t>Net Eanrnings to Common share holders</t>
  </si>
  <si>
    <t>Shares Outstanding</t>
  </si>
  <si>
    <t>Dividend per share</t>
  </si>
  <si>
    <t>Dividends</t>
  </si>
  <si>
    <t>Period</t>
  </si>
  <si>
    <t>Net earnings</t>
  </si>
  <si>
    <t>Depreciation and amortization</t>
  </si>
  <si>
    <t>Loss on early extinguishment of debt</t>
  </si>
  <si>
    <t>Share-based compensation expense</t>
  </si>
  <si>
    <t>Loss/(gain) on sale of assets</t>
  </si>
  <si>
    <t>Change in accounts receivable</t>
  </si>
  <si>
    <t>Change in inventories</t>
  </si>
  <si>
    <t>Change in accounts payable and accrued and other liabilities</t>
  </si>
  <si>
    <t>Change in other operating assets and liabilities</t>
  </si>
  <si>
    <t>Other</t>
  </si>
  <si>
    <t>Capital expenditures</t>
  </si>
  <si>
    <t>Proceeds from asset sales</t>
  </si>
  <si>
    <t>Acquisitions, net of cash acquired</t>
  </si>
  <si>
    <t>Other investing activity</t>
  </si>
  <si>
    <t>Dividends to shareholders</t>
  </si>
  <si>
    <t>Additions to short-term debt with original maturities of more than</t>
  </si>
  <si>
    <t>Reductions in short-term debt with original maturities of more than</t>
  </si>
  <si>
    <t>Net additions/(reductions) to other short-term debt</t>
  </si>
  <si>
    <t>Additions to long-term debt</t>
  </si>
  <si>
    <t>Reductions in long-term debt (1)</t>
  </si>
  <si>
    <t>Treasury stock purchases</t>
  </si>
  <si>
    <t>Impact of stock options and other</t>
  </si>
  <si>
    <t>FCFF</t>
  </si>
  <si>
    <t>Cash, cash equivalents and restricted cash, beginning of year</t>
  </si>
  <si>
    <t>Operating activities</t>
  </si>
  <si>
    <t>Total operating activities</t>
  </si>
  <si>
    <t>Investing activities</t>
  </si>
  <si>
    <t>Total investing activities</t>
  </si>
  <si>
    <t>Financing activities</t>
  </si>
  <si>
    <t>Three months</t>
  </si>
  <si>
    <t>Total financing activities</t>
  </si>
  <si>
    <t>Effect of exchange rate changes on cash, cash equivalents and</t>
  </si>
  <si>
    <t>Restricted cash</t>
  </si>
  <si>
    <t>Change in cash, cash equivalents and restricted cash</t>
  </si>
  <si>
    <t>Cash, cash equivalents and restricted cash, end of year</t>
  </si>
  <si>
    <t>Note</t>
  </si>
  <si>
    <t>Tax rate</t>
  </si>
  <si>
    <t>FCFE</t>
  </si>
  <si>
    <t>CFO</t>
  </si>
  <si>
    <t>CFI</t>
  </si>
  <si>
    <t>Performance Ratios</t>
  </si>
  <si>
    <t>Casf flow to revenue</t>
  </si>
  <si>
    <t>Cash to Income</t>
  </si>
  <si>
    <t>Cash return on assets</t>
  </si>
  <si>
    <t>Cash flow per share</t>
  </si>
  <si>
    <t>Cash return on equity</t>
  </si>
  <si>
    <t>weighted average common shares outstanding</t>
  </si>
  <si>
    <t>Interest coverage ratio</t>
  </si>
  <si>
    <t>Debt Coverage Ratio</t>
  </si>
  <si>
    <t>Tax paid</t>
  </si>
  <si>
    <t>P&amp;G</t>
  </si>
  <si>
    <t>Unilever</t>
  </si>
  <si>
    <t>Colgate-Palmolive</t>
  </si>
  <si>
    <t>Kimberly-Clark</t>
  </si>
  <si>
    <t>Reckitt Benckiser</t>
  </si>
  <si>
    <t>P/E</t>
  </si>
  <si>
    <t>Ratio</t>
  </si>
  <si>
    <t>Industry Avg</t>
  </si>
  <si>
    <t>Interpretation</t>
  </si>
  <si>
    <t>10–12%</t>
  </si>
  <si>
    <t>Much stronger profitability</t>
  </si>
  <si>
    <t>Slightly lower liquidity</t>
  </si>
  <si>
    <t>Debt to Equity</t>
  </si>
  <si>
    <t>Higher leverage</t>
  </si>
  <si>
    <t>Normal</t>
  </si>
  <si>
    <t>Fair valuation</t>
  </si>
  <si>
    <t>55–70%</t>
  </si>
  <si>
    <t>Debt Coverage</t>
  </si>
  <si>
    <t>Slightly weaker cash coverage</t>
  </si>
  <si>
    <t>WACC</t>
  </si>
  <si>
    <t>CAPM</t>
  </si>
  <si>
    <t>DCF Valuation</t>
  </si>
  <si>
    <t>Year</t>
  </si>
  <si>
    <t>Equity</t>
  </si>
  <si>
    <t>Debt</t>
  </si>
  <si>
    <t>Total</t>
  </si>
  <si>
    <t>Average weights</t>
  </si>
  <si>
    <t>Cost of Debt</t>
  </si>
  <si>
    <t>Cost of Equity</t>
  </si>
  <si>
    <t>Rfisk free rate</t>
  </si>
  <si>
    <t>Beta</t>
  </si>
  <si>
    <t>Market return</t>
  </si>
  <si>
    <t>Growth Rate</t>
  </si>
  <si>
    <t>PV of Cash flows</t>
  </si>
  <si>
    <t>Terminal value  (PV)</t>
  </si>
  <si>
    <t>Enterprise Value</t>
  </si>
  <si>
    <t>630 billion</t>
  </si>
  <si>
    <t>Approx</t>
  </si>
  <si>
    <t>S.NO</t>
  </si>
  <si>
    <t>Equity Value</t>
  </si>
  <si>
    <t>Price Per share</t>
  </si>
  <si>
    <t>value</t>
  </si>
  <si>
    <t>(alternative)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</si>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</sst>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₹&quot;\ #,##0;[Red]&quot;₹&quot;\ \-#,##0"/>
    <numFmt numFmtId="8" formatCode="&quot;₹&quot;\ #,##0.00;[Red]&quot;₹&quot;\ \-#,##0.00"/>
    <numFmt numFmtId="164" formatCode="_(* #,##0.00_);_(* \(#,##0.00\);_(* &quot;-&quot;??_);_(@_)"/>
    <numFmt numFmtId="165" formatCode="0.0%"/>
    <numFmt numFmtId="166" formatCode="##,###;[Red]\(##,###\);\-;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000000"/>
      <name val="Arial"/>
      <family val="2"/>
    </font>
    <font>
      <b/>
      <sz val="10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5B9BD5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0" fillId="0" borderId="0">
      <alignment vertical="top"/>
    </xf>
  </cellStyleXfs>
  <cellXfs count="83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2" borderId="2" xfId="0" applyFont="1" applyFill="1" applyBorder="1"/>
    <xf numFmtId="0" fontId="6" fillId="2" borderId="0" xfId="0" applyFont="1" applyFill="1" applyAlignment="1">
      <alignment vertical="top"/>
    </xf>
    <xf numFmtId="0" fontId="5" fillId="2" borderId="2" xfId="0" applyFont="1" applyFill="1" applyBorder="1" applyAlignment="1">
      <alignment wrapText="1"/>
    </xf>
    <xf numFmtId="9" fontId="3" fillId="2" borderId="0" xfId="1" applyFont="1" applyFill="1"/>
    <xf numFmtId="165" fontId="3" fillId="2" borderId="0" xfId="1" applyNumberFormat="1" applyFont="1" applyFill="1"/>
    <xf numFmtId="0" fontId="6" fillId="2" borderId="2" xfId="0" applyFont="1" applyFill="1" applyBorder="1" applyAlignment="1">
      <alignment vertical="top"/>
    </xf>
    <xf numFmtId="165" fontId="3" fillId="2" borderId="2" xfId="1" applyNumberFormat="1" applyFont="1" applyFill="1" applyBorder="1"/>
    <xf numFmtId="164" fontId="6" fillId="2" borderId="2" xfId="0" applyNumberFormat="1" applyFont="1" applyFill="1" applyBorder="1" applyAlignment="1">
      <alignment vertical="top"/>
    </xf>
    <xf numFmtId="0" fontId="7" fillId="2" borderId="1" xfId="2" applyFont="1" applyFill="1" applyAlignment="1">
      <alignment vertical="top"/>
    </xf>
    <xf numFmtId="165" fontId="7" fillId="2" borderId="1" xfId="2" applyNumberFormat="1" applyFont="1" applyFill="1"/>
    <xf numFmtId="0" fontId="8" fillId="2" borderId="0" xfId="0" applyFont="1" applyFill="1"/>
    <xf numFmtId="165" fontId="8" fillId="2" borderId="0" xfId="1" applyNumberFormat="1" applyFont="1" applyFill="1"/>
    <xf numFmtId="0" fontId="9" fillId="2" borderId="0" xfId="0" applyFont="1" applyFill="1" applyAlignment="1">
      <alignment vertical="top"/>
    </xf>
    <xf numFmtId="166" fontId="6" fillId="2" borderId="0" xfId="0" applyNumberFormat="1" applyFont="1" applyFill="1" applyAlignment="1">
      <alignment vertical="top"/>
    </xf>
    <xf numFmtId="166" fontId="6" fillId="2" borderId="2" xfId="0" applyNumberFormat="1" applyFont="1" applyFill="1" applyBorder="1" applyAlignment="1">
      <alignment vertical="top"/>
    </xf>
    <xf numFmtId="166" fontId="8" fillId="2" borderId="0" xfId="0" applyNumberFormat="1" applyFont="1" applyFill="1"/>
    <xf numFmtId="166" fontId="9" fillId="2" borderId="0" xfId="0" applyNumberFormat="1" applyFont="1" applyFill="1" applyAlignment="1">
      <alignment vertical="top"/>
    </xf>
    <xf numFmtId="166" fontId="7" fillId="2" borderId="1" xfId="2" applyNumberFormat="1" applyFont="1" applyFill="1" applyAlignment="1">
      <alignment vertical="top"/>
    </xf>
    <xf numFmtId="165" fontId="3" fillId="2" borderId="0" xfId="1" applyNumberFormat="1" applyFont="1" applyFill="1" applyBorder="1"/>
    <xf numFmtId="0" fontId="3" fillId="2" borderId="2" xfId="0" applyFont="1" applyFill="1" applyBorder="1"/>
    <xf numFmtId="0" fontId="8" fillId="2" borderId="1" xfId="2" applyFont="1" applyFill="1" applyAlignment="1">
      <alignment vertical="top"/>
    </xf>
    <xf numFmtId="166" fontId="8" fillId="2" borderId="1" xfId="2" applyNumberFormat="1" applyFont="1" applyFill="1" applyAlignment="1">
      <alignment vertical="top"/>
    </xf>
    <xf numFmtId="10" fontId="3" fillId="2" borderId="0" xfId="1" applyNumberFormat="1" applyFont="1" applyFill="1"/>
    <xf numFmtId="10" fontId="3" fillId="2" borderId="2" xfId="1" applyNumberFormat="1" applyFont="1" applyFill="1" applyBorder="1"/>
    <xf numFmtId="10" fontId="6" fillId="2" borderId="2" xfId="0" applyNumberFormat="1" applyFont="1" applyFill="1" applyBorder="1" applyAlignment="1">
      <alignment vertical="top"/>
    </xf>
    <xf numFmtId="10" fontId="8" fillId="2" borderId="1" xfId="2" applyNumberFormat="1" applyFont="1" applyFill="1"/>
    <xf numFmtId="0" fontId="0" fillId="2" borderId="0" xfId="0" applyFill="1" applyAlignment="1">
      <alignment vertical="top"/>
    </xf>
    <xf numFmtId="0" fontId="8" fillId="3" borderId="0" xfId="0" applyFont="1" applyFill="1"/>
    <xf numFmtId="14" fontId="5" fillId="2" borderId="2" xfId="0" applyNumberFormat="1" applyFont="1" applyFill="1" applyBorder="1"/>
    <xf numFmtId="0" fontId="5" fillId="2" borderId="0" xfId="0" applyFont="1" applyFill="1"/>
    <xf numFmtId="166" fontId="10" fillId="2" borderId="0" xfId="3" applyNumberFormat="1" applyFill="1">
      <alignment vertical="top"/>
    </xf>
    <xf numFmtId="166" fontId="10" fillId="2" borderId="0" xfId="0" applyNumberFormat="1" applyFont="1" applyFill="1" applyAlignment="1">
      <alignment vertical="top"/>
    </xf>
    <xf numFmtId="166" fontId="3" fillId="2" borderId="0" xfId="0" applyNumberFormat="1" applyFont="1" applyFill="1"/>
    <xf numFmtId="0" fontId="6" fillId="2" borderId="0" xfId="3" applyFont="1" applyFill="1">
      <alignment vertical="top"/>
    </xf>
    <xf numFmtId="166" fontId="6" fillId="2" borderId="0" xfId="3" applyNumberFormat="1" applyFont="1" applyFill="1">
      <alignment vertical="top"/>
    </xf>
    <xf numFmtId="166" fontId="3" fillId="2" borderId="0" xfId="0" applyNumberFormat="1" applyFont="1" applyFill="1" applyAlignment="1">
      <alignment vertical="top"/>
    </xf>
    <xf numFmtId="166" fontId="6" fillId="2" borderId="2" xfId="3" applyNumberFormat="1" applyFont="1" applyFill="1" applyBorder="1">
      <alignment vertical="top"/>
    </xf>
    <xf numFmtId="0" fontId="11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11" fillId="4" borderId="2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4" fillId="4" borderId="3" xfId="0" applyFont="1" applyFill="1" applyBorder="1" applyAlignment="1">
      <alignment vertical="center"/>
    </xf>
    <xf numFmtId="166" fontId="15" fillId="2" borderId="1" xfId="2" applyNumberFormat="1" applyFont="1" applyFill="1" applyAlignment="1">
      <alignment vertical="top"/>
    </xf>
    <xf numFmtId="0" fontId="15" fillId="4" borderId="1" xfId="2" applyFont="1" applyFill="1" applyAlignment="1">
      <alignment vertical="center"/>
    </xf>
    <xf numFmtId="0" fontId="11" fillId="4" borderId="0" xfId="0" applyFont="1" applyFill="1" applyAlignment="1">
      <alignment vertical="center" wrapText="1"/>
    </xf>
    <xf numFmtId="166" fontId="6" fillId="2" borderId="0" xfId="3" applyNumberFormat="1" applyFont="1" applyFill="1" applyAlignment="1">
      <alignment horizontal="right"/>
    </xf>
    <xf numFmtId="166" fontId="6" fillId="2" borderId="0" xfId="0" applyNumberFormat="1" applyFont="1" applyFill="1" applyAlignment="1">
      <alignment horizontal="right"/>
    </xf>
    <xf numFmtId="166" fontId="6" fillId="2" borderId="0" xfId="3" applyNumberFormat="1" applyFont="1" applyFill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165" fontId="3" fillId="2" borderId="0" xfId="1" applyNumberFormat="1" applyFont="1" applyFill="1" applyAlignment="1">
      <alignment horizontal="right" vertical="center"/>
    </xf>
    <xf numFmtId="0" fontId="0" fillId="2" borderId="0" xfId="0" applyFill="1"/>
    <xf numFmtId="2" fontId="8" fillId="3" borderId="0" xfId="0" applyNumberFormat="1" applyFont="1" applyFill="1"/>
    <xf numFmtId="166" fontId="8" fillId="3" borderId="0" xfId="0" applyNumberFormat="1" applyFont="1" applyFill="1"/>
    <xf numFmtId="167" fontId="3" fillId="2" borderId="0" xfId="0" applyNumberFormat="1" applyFont="1" applyFill="1"/>
    <xf numFmtId="3" fontId="0" fillId="0" borderId="0" xfId="0" applyNumberFormat="1"/>
    <xf numFmtId="2" fontId="3" fillId="2" borderId="0" xfId="0" applyNumberFormat="1" applyFont="1" applyFill="1"/>
    <xf numFmtId="1" fontId="3" fillId="2" borderId="0" xfId="0" applyNumberFormat="1" applyFont="1" applyFill="1"/>
    <xf numFmtId="10" fontId="3" fillId="2" borderId="0" xfId="0" applyNumberFormat="1" applyFont="1" applyFill="1"/>
    <xf numFmtId="0" fontId="17" fillId="2" borderId="0" xfId="0" applyFont="1" applyFill="1"/>
    <xf numFmtId="0" fontId="18" fillId="4" borderId="4" xfId="0" applyFont="1" applyFill="1" applyBorder="1" applyAlignment="1">
      <alignment vertical="center"/>
    </xf>
    <xf numFmtId="166" fontId="9" fillId="2" borderId="4" xfId="0" applyNumberFormat="1" applyFont="1" applyFill="1" applyBorder="1" applyAlignment="1">
      <alignment vertical="top"/>
    </xf>
    <xf numFmtId="1" fontId="5" fillId="2" borderId="0" xfId="1" applyNumberFormat="1" applyFont="1" applyFill="1"/>
    <xf numFmtId="10" fontId="8" fillId="2" borderId="0" xfId="1" applyNumberFormat="1" applyFont="1" applyFill="1"/>
    <xf numFmtId="0" fontId="3" fillId="2" borderId="0" xfId="1" applyNumberFormat="1" applyFont="1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2" fontId="3" fillId="2" borderId="0" xfId="1" applyNumberFormat="1" applyFont="1" applyFill="1"/>
    <xf numFmtId="9" fontId="3" fillId="2" borderId="0" xfId="0" applyNumberFormat="1" applyFont="1" applyFill="1"/>
    <xf numFmtId="165" fontId="3" fillId="2" borderId="0" xfId="0" applyNumberFormat="1" applyFont="1" applyFill="1"/>
    <xf numFmtId="8" fontId="3" fillId="2" borderId="0" xfId="0" applyNumberFormat="1" applyFont="1" applyFill="1"/>
    <xf numFmtId="6" fontId="3" fillId="2" borderId="0" xfId="0" applyNumberFormat="1" applyFont="1" applyFill="1"/>
    <xf numFmtId="10" fontId="8" fillId="2" borderId="0" xfId="0" applyNumberFormat="1" applyFont="1" applyFill="1"/>
    <xf numFmtId="165" fontId="8" fillId="2" borderId="0" xfId="0" applyNumberFormat="1" applyFont="1" applyFill="1"/>
    <xf numFmtId="1" fontId="5" fillId="2" borderId="2" xfId="0" applyNumberFormat="1" applyFont="1" applyFill="1" applyBorder="1"/>
    <xf numFmtId="6" fontId="8" fillId="2" borderId="0" xfId="0" applyNumberFormat="1" applyFont="1" applyFill="1"/>
    <xf numFmtId="0" fontId="19" fillId="0" borderId="2" xfId="0" applyFont="1" applyBorder="1"/>
    <xf numFmtId="10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9" fontId="0" fillId="2" borderId="0" xfId="0" applyNumberFormat="1" applyFill="1" applyAlignment="1">
      <alignment horizontal="right" vertical="center"/>
    </xf>
  </cellXfs>
  <cellStyles count="4">
    <cellStyle name="Normal" xfId="0" builtinId="0"/>
    <cellStyle name="Normal 2" xfId="3" xr:uid="{6EFF8FFF-7C24-40FA-B338-1D7346A51CAC}"/>
    <cellStyle name="Percent" xfId="1" builtinId="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IN" b="1"/>
              <a:t>Profitability Margin Trends (2021–2025)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Statment (Common Size)'!$B$21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'Income Statment (Common Size)'!$C$20:$G$20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'Income Statment (Common Size)'!$C$21:$G$21</c:f>
              <c:numCache>
                <c:formatCode>0.00%</c:formatCode>
                <c:ptCount val="5"/>
                <c:pt idx="0">
                  <c:v>0.51249375968890409</c:v>
                </c:pt>
                <c:pt idx="1">
                  <c:v>0.47426640228465961</c:v>
                </c:pt>
                <c:pt idx="2">
                  <c:v>0.47857473843377313</c:v>
                </c:pt>
                <c:pt idx="3">
                  <c:v>0.51393995644879165</c:v>
                </c:pt>
                <c:pt idx="4">
                  <c:v>0.51160362583645769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6-4679-8F80-EB8604BDE86F}"/>
            </c:ext>
          </c:extLst>
        </c:ser>
        <c:ser>
          <c:idx val="1"/>
          <c:order val="1"/>
          <c:tx>
            <c:strRef>
              <c:f>'Income Statment (Common Size)'!$B$22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'Income Statment (Common Size)'!$C$20:$G$20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'Income Statment (Common Size)'!$C$22:$G$22</c:f>
              <c:numCache>
                <c:formatCode>0.00%</c:formatCode>
                <c:ptCount val="5"/>
                <c:pt idx="0">
                  <c:v>0.23629102183452008</c:v>
                </c:pt>
                <c:pt idx="1">
                  <c:v>0.22214324017608839</c:v>
                </c:pt>
                <c:pt idx="2">
                  <c:v>0.2211301612077165</c:v>
                </c:pt>
                <c:pt idx="3">
                  <c:v>0.22067135496614668</c:v>
                </c:pt>
                <c:pt idx="4">
                  <c:v>0.24264391818138675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6-4679-8F80-EB8604BDE86F}"/>
            </c:ext>
          </c:extLst>
        </c:ser>
        <c:ser>
          <c:idx val="2"/>
          <c:order val="2"/>
          <c:tx>
            <c:strRef>
              <c:f>'Income Statment (Common Size)'!$B$23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'Income Statment (Common Size)'!$C$20:$G$20</c:f>
              <c:numCache>
                <c:formatCode>0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'Income Statment (Common Size)'!$C$23:$G$23</c:f>
              <c:numCache>
                <c:formatCode>0.00%</c:formatCode>
                <c:ptCount val="5"/>
                <c:pt idx="0">
                  <c:v>0.18794503271236765</c:v>
                </c:pt>
                <c:pt idx="1">
                  <c:v>0.18384526170077445</c:v>
                </c:pt>
                <c:pt idx="2">
                  <c:v>0.17868204765504964</c:v>
                </c:pt>
                <c:pt idx="3">
                  <c:v>0.17704875117504967</c:v>
                </c:pt>
                <c:pt idx="4">
                  <c:v>0.18952588866214229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36-4679-8F80-EB8604BDE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4904064"/>
        <c:axId val="1294901184"/>
      </c:barChart>
      <c:catAx>
        <c:axId val="12949040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4901184"/>
        <c:crosses val="autoZero"/>
        <c:auto val="1"/>
        <c:lblAlgn val="ctr"/>
        <c:lblOffset val="100"/>
        <c:noMultiLvlLbl val="0"/>
      </c:catAx>
      <c:valAx>
        <c:axId val="129490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9490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18</xdr:row>
      <xdr:rowOff>107950</xdr:rowOff>
    </xdr:from>
    <xdr:to>
      <xdr:col>13</xdr:col>
      <xdr:colOff>508000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FED24-2288-28F6-DC62-D63D0A5057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tabSelected="1" zoomScale="115" zoomScaleNormal="115" workbookViewId="0"/>
  </sheetViews>
  <sheetFormatPr defaultRowHeight="11.4" outlineLevelCol="1" x14ac:dyDescent="0.2"/>
  <cols>
    <col min="1" max="1" width="2" style="1" customWidth="1"/>
    <col min="2" max="2" width="46" style="1" bestFit="1" customWidth="1"/>
    <col min="3" max="7" width="8.88671875" style="1"/>
    <col min="8" max="8" width="8.88671875" style="1" hidden="1" customWidth="1" outlineLevel="1"/>
    <col min="9" max="9" width="8.88671875" style="1" collapsed="1"/>
    <col min="10" max="16384" width="8.88671875" style="1"/>
  </cols>
  <sheetData>
    <row r="1" spans="2:12" ht="15" x14ac:dyDescent="0.25">
      <c r="B1" s="2" t="s">
        <v>0</v>
      </c>
    </row>
    <row r="4" spans="2:12" ht="24" x14ac:dyDescent="0.25">
      <c r="B4" s="3" t="s">
        <v>1</v>
      </c>
      <c r="C4" s="3">
        <v>2021</v>
      </c>
      <c r="D4" s="3">
        <v>2022</v>
      </c>
      <c r="E4" s="3">
        <v>2023</v>
      </c>
      <c r="F4" s="3">
        <v>2024</v>
      </c>
      <c r="G4" s="3">
        <v>2025</v>
      </c>
      <c r="I4" s="5" t="s">
        <v>15</v>
      </c>
      <c r="J4" s="5" t="s">
        <v>16</v>
      </c>
      <c r="K4" s="5" t="s">
        <v>17</v>
      </c>
      <c r="L4" s="5" t="s">
        <v>18</v>
      </c>
    </row>
    <row r="5" spans="2:12" x14ac:dyDescent="0.2">
      <c r="B5" s="4" t="s">
        <v>2</v>
      </c>
      <c r="C5" s="16">
        <v>76118</v>
      </c>
      <c r="D5" s="16">
        <v>80187</v>
      </c>
      <c r="E5" s="16">
        <v>82006</v>
      </c>
      <c r="F5" s="16">
        <v>84039</v>
      </c>
      <c r="G5" s="16">
        <v>84284</v>
      </c>
      <c r="I5" s="7">
        <f t="shared" ref="I5:L8" si="0">D5/C5-1</f>
        <v>5.3456475472293041E-2</v>
      </c>
      <c r="J5" s="7">
        <f t="shared" si="0"/>
        <v>2.268447503959492E-2</v>
      </c>
      <c r="K5" s="7">
        <f t="shared" si="0"/>
        <v>2.4790868960807844E-2</v>
      </c>
      <c r="L5" s="7">
        <f t="shared" si="0"/>
        <v>2.9153131284285205E-3</v>
      </c>
    </row>
    <row r="6" spans="2:12" x14ac:dyDescent="0.2">
      <c r="B6" s="8" t="s">
        <v>3</v>
      </c>
      <c r="C6" s="17">
        <v>-37108</v>
      </c>
      <c r="D6" s="17">
        <v>-42157</v>
      </c>
      <c r="E6" s="17">
        <v>-42760</v>
      </c>
      <c r="F6" s="17">
        <v>-40848</v>
      </c>
      <c r="G6" s="17">
        <v>-41164</v>
      </c>
      <c r="I6" s="9">
        <f t="shared" si="0"/>
        <v>0.13606230462433966</v>
      </c>
      <c r="J6" s="9">
        <f t="shared" si="0"/>
        <v>1.4303674360129914E-2</v>
      </c>
      <c r="K6" s="9">
        <f t="shared" si="0"/>
        <v>-4.4714686623012145E-2</v>
      </c>
      <c r="L6" s="9">
        <f t="shared" si="0"/>
        <v>7.7359968664316714E-3</v>
      </c>
    </row>
    <row r="7" spans="2:12" ht="12" x14ac:dyDescent="0.25">
      <c r="B7" s="13" t="s">
        <v>10</v>
      </c>
      <c r="C7" s="18">
        <f>SUM(C5:C6)</f>
        <v>39010</v>
      </c>
      <c r="D7" s="18">
        <f t="shared" ref="D7:F7" si="1">SUM(D5:D6)</f>
        <v>38030</v>
      </c>
      <c r="E7" s="18">
        <f t="shared" si="1"/>
        <v>39246</v>
      </c>
      <c r="F7" s="18">
        <f t="shared" si="1"/>
        <v>43191</v>
      </c>
      <c r="G7" s="18">
        <f>SUM(G5:G6)</f>
        <v>43120</v>
      </c>
      <c r="I7" s="14">
        <f t="shared" si="0"/>
        <v>-2.5121763650346018E-2</v>
      </c>
      <c r="J7" s="14">
        <f t="shared" si="0"/>
        <v>3.1974756770970281E-2</v>
      </c>
      <c r="K7" s="14">
        <f t="shared" si="0"/>
        <v>0.10051979819599444</v>
      </c>
      <c r="L7" s="14">
        <f t="shared" si="0"/>
        <v>-1.6438609895580436E-3</v>
      </c>
    </row>
    <row r="8" spans="2:12" x14ac:dyDescent="0.2">
      <c r="B8" s="4" t="s">
        <v>4</v>
      </c>
      <c r="C8" s="16">
        <v>-21024</v>
      </c>
      <c r="D8" s="16">
        <v>-20217</v>
      </c>
      <c r="E8" s="16">
        <v>-21112</v>
      </c>
      <c r="F8" s="16">
        <v>-23305</v>
      </c>
      <c r="G8" s="16">
        <v>-22669</v>
      </c>
      <c r="I8" s="21">
        <f t="shared" si="0"/>
        <v>-3.8384703196347014E-2</v>
      </c>
      <c r="J8" s="21">
        <f t="shared" si="0"/>
        <v>4.4269674036701678E-2</v>
      </c>
      <c r="K8" s="21">
        <f t="shared" si="0"/>
        <v>0.1038745737021598</v>
      </c>
      <c r="L8" s="21">
        <f t="shared" si="0"/>
        <v>-2.7290281055567522E-2</v>
      </c>
    </row>
    <row r="9" spans="2:12" x14ac:dyDescent="0.2">
      <c r="B9" s="8" t="s">
        <v>9</v>
      </c>
      <c r="C9" s="17">
        <v>0</v>
      </c>
      <c r="D9" s="17">
        <v>0</v>
      </c>
      <c r="E9" s="17">
        <v>0</v>
      </c>
      <c r="F9" s="17">
        <v>1341</v>
      </c>
      <c r="G9" s="17">
        <v>0</v>
      </c>
      <c r="I9" s="10">
        <v>0</v>
      </c>
      <c r="J9" s="10">
        <v>0</v>
      </c>
      <c r="K9" s="10">
        <v>0</v>
      </c>
      <c r="L9" s="9">
        <f t="shared" ref="L9:L18" si="2">G9/F9-1</f>
        <v>-1</v>
      </c>
    </row>
    <row r="10" spans="2:12" ht="12" x14ac:dyDescent="0.25">
      <c r="B10" s="15" t="s">
        <v>11</v>
      </c>
      <c r="C10" s="19">
        <f>SUM(C7:C9)</f>
        <v>17986</v>
      </c>
      <c r="D10" s="19">
        <v>17813</v>
      </c>
      <c r="E10" s="19">
        <v>18134</v>
      </c>
      <c r="F10" s="19">
        <v>18545</v>
      </c>
      <c r="G10" s="19">
        <v>20451</v>
      </c>
      <c r="I10" s="14">
        <f t="shared" ref="I10:I18" si="3">D10/C10-1</f>
        <v>-9.6185922384076639E-3</v>
      </c>
      <c r="J10" s="14">
        <f t="shared" ref="J10:J18" si="4">E10/D10-1</f>
        <v>1.8020546791668979E-2</v>
      </c>
      <c r="K10" s="14">
        <f t="shared" ref="K10:K18" si="5">F10/E10-1</f>
        <v>2.2664607918826407E-2</v>
      </c>
      <c r="L10" s="14">
        <f t="shared" si="2"/>
        <v>0.1027770288487464</v>
      </c>
    </row>
    <row r="11" spans="2:12" x14ac:dyDescent="0.2">
      <c r="B11" s="4" t="s">
        <v>5</v>
      </c>
      <c r="C11" s="16">
        <v>-502</v>
      </c>
      <c r="D11" s="16">
        <v>-439</v>
      </c>
      <c r="E11" s="16">
        <v>-756</v>
      </c>
      <c r="F11" s="16">
        <v>-925</v>
      </c>
      <c r="G11" s="16">
        <v>-907</v>
      </c>
      <c r="I11" s="21">
        <f t="shared" si="3"/>
        <v>-0.12549800796812749</v>
      </c>
      <c r="J11" s="21">
        <f t="shared" si="4"/>
        <v>0.72209567198177682</v>
      </c>
      <c r="K11" s="21">
        <f t="shared" si="5"/>
        <v>0.22354497354497349</v>
      </c>
      <c r="L11" s="21">
        <f t="shared" si="2"/>
        <v>-1.9459459459459483E-2</v>
      </c>
    </row>
    <row r="12" spans="2:12" x14ac:dyDescent="0.2">
      <c r="B12" s="4" t="s">
        <v>6</v>
      </c>
      <c r="C12" s="16">
        <v>45</v>
      </c>
      <c r="D12" s="16">
        <v>51</v>
      </c>
      <c r="E12" s="16">
        <v>307</v>
      </c>
      <c r="F12" s="16">
        <v>473</v>
      </c>
      <c r="G12" s="16">
        <v>469</v>
      </c>
      <c r="I12" s="7">
        <f t="shared" si="3"/>
        <v>0.1333333333333333</v>
      </c>
      <c r="J12" s="7">
        <f t="shared" si="4"/>
        <v>5.0196078431372548</v>
      </c>
      <c r="K12" s="7">
        <f t="shared" si="5"/>
        <v>0.54071661237785018</v>
      </c>
      <c r="L12" s="7">
        <f t="shared" si="2"/>
        <v>-8.4566596194503019E-3</v>
      </c>
    </row>
    <row r="13" spans="2:12" x14ac:dyDescent="0.2">
      <c r="B13" s="8" t="s">
        <v>7</v>
      </c>
      <c r="C13" s="17">
        <v>86</v>
      </c>
      <c r="D13" s="17">
        <v>570</v>
      </c>
      <c r="E13" s="17">
        <v>668</v>
      </c>
      <c r="F13" s="17">
        <v>668</v>
      </c>
      <c r="G13" s="17">
        <v>154</v>
      </c>
      <c r="I13" s="9">
        <f t="shared" si="3"/>
        <v>5.6279069767441863</v>
      </c>
      <c r="J13" s="9">
        <f t="shared" si="4"/>
        <v>0.1719298245614036</v>
      </c>
      <c r="K13" s="9">
        <f t="shared" si="5"/>
        <v>0</v>
      </c>
      <c r="L13" s="9">
        <f t="shared" si="2"/>
        <v>-0.76946107784431139</v>
      </c>
    </row>
    <row r="14" spans="2:12" ht="12" x14ac:dyDescent="0.25">
      <c r="B14" s="15" t="s">
        <v>19</v>
      </c>
      <c r="C14" s="19">
        <f>SUM(C10:C13)</f>
        <v>17615</v>
      </c>
      <c r="D14" s="19">
        <f t="shared" ref="D14:G14" si="6">SUM(D10:D13)</f>
        <v>17995</v>
      </c>
      <c r="E14" s="19">
        <f t="shared" si="6"/>
        <v>18353</v>
      </c>
      <c r="F14" s="19">
        <f t="shared" si="6"/>
        <v>18761</v>
      </c>
      <c r="G14" s="19">
        <f t="shared" si="6"/>
        <v>20167</v>
      </c>
      <c r="I14" s="14">
        <f t="shared" si="3"/>
        <v>2.15725234175419E-2</v>
      </c>
      <c r="J14" s="14">
        <f t="shared" si="4"/>
        <v>1.989441511530976E-2</v>
      </c>
      <c r="K14" s="14">
        <f t="shared" si="5"/>
        <v>2.2230697978532055E-2</v>
      </c>
      <c r="L14" s="14">
        <f t="shared" si="2"/>
        <v>7.494270028250094E-2</v>
      </c>
    </row>
    <row r="15" spans="2:12" x14ac:dyDescent="0.2">
      <c r="B15" s="8" t="s">
        <v>8</v>
      </c>
      <c r="C15" s="17">
        <v>-3263</v>
      </c>
      <c r="D15" s="17">
        <v>-3202</v>
      </c>
      <c r="E15" s="17">
        <v>-3615</v>
      </c>
      <c r="F15" s="17">
        <v>-3787</v>
      </c>
      <c r="G15" s="17">
        <v>-4102</v>
      </c>
      <c r="I15" s="9">
        <f t="shared" si="3"/>
        <v>-1.8694452957401131E-2</v>
      </c>
      <c r="J15" s="9">
        <f t="shared" si="4"/>
        <v>0.12898188632104945</v>
      </c>
      <c r="K15" s="9">
        <f t="shared" si="5"/>
        <v>4.7579529737206139E-2</v>
      </c>
      <c r="L15" s="9">
        <f t="shared" si="2"/>
        <v>8.3179297597042456E-2</v>
      </c>
    </row>
    <row r="16" spans="2:12" ht="12" x14ac:dyDescent="0.25">
      <c r="B16" s="15" t="s">
        <v>12</v>
      </c>
      <c r="C16" s="19">
        <f>SUM(C14:C15)</f>
        <v>14352</v>
      </c>
      <c r="D16" s="19">
        <f t="shared" ref="D16:G16" si="7">SUM(D14:D15)</f>
        <v>14793</v>
      </c>
      <c r="E16" s="19">
        <f t="shared" si="7"/>
        <v>14738</v>
      </c>
      <c r="F16" s="19">
        <f t="shared" si="7"/>
        <v>14974</v>
      </c>
      <c r="G16" s="19">
        <f t="shared" si="7"/>
        <v>16065</v>
      </c>
      <c r="I16" s="14">
        <f t="shared" si="3"/>
        <v>3.072742474916379E-2</v>
      </c>
      <c r="J16" s="14">
        <f t="shared" si="4"/>
        <v>-3.7179747177719102E-3</v>
      </c>
      <c r="K16" s="14">
        <f t="shared" si="5"/>
        <v>1.6013027547835623E-2</v>
      </c>
      <c r="L16" s="14">
        <f t="shared" si="2"/>
        <v>7.2859623347135027E-2</v>
      </c>
    </row>
    <row r="17" spans="2:12" x14ac:dyDescent="0.2">
      <c r="B17" s="8" t="s">
        <v>13</v>
      </c>
      <c r="C17" s="17">
        <v>-46</v>
      </c>
      <c r="D17" s="17">
        <v>-51</v>
      </c>
      <c r="E17" s="17">
        <v>-85</v>
      </c>
      <c r="F17" s="17">
        <v>-95</v>
      </c>
      <c r="G17" s="17">
        <v>-91</v>
      </c>
      <c r="I17" s="9">
        <f t="shared" si="3"/>
        <v>0.10869565217391308</v>
      </c>
      <c r="J17" s="9">
        <f t="shared" si="4"/>
        <v>0.66666666666666674</v>
      </c>
      <c r="K17" s="9">
        <f t="shared" si="5"/>
        <v>0.11764705882352944</v>
      </c>
      <c r="L17" s="9">
        <f t="shared" si="2"/>
        <v>-4.2105263157894757E-2</v>
      </c>
    </row>
    <row r="18" spans="2:12" ht="12.6" thickBot="1" x14ac:dyDescent="0.3">
      <c r="B18" s="11" t="s">
        <v>14</v>
      </c>
      <c r="C18" s="20">
        <f>SUM(C16:C17)</f>
        <v>14306</v>
      </c>
      <c r="D18" s="20">
        <f>SUM(D16:D17)</f>
        <v>14742</v>
      </c>
      <c r="E18" s="20">
        <f>SUM(E16:E17)</f>
        <v>14653</v>
      </c>
      <c r="F18" s="20">
        <f>SUM(F16:F17)</f>
        <v>14879</v>
      </c>
      <c r="G18" s="20">
        <f>SUM(G16:G17)</f>
        <v>15974</v>
      </c>
      <c r="I18" s="12">
        <f t="shared" si="3"/>
        <v>3.0476723053264321E-2</v>
      </c>
      <c r="J18" s="12">
        <f t="shared" si="4"/>
        <v>-6.0371727038394107E-3</v>
      </c>
      <c r="K18" s="12">
        <f t="shared" si="5"/>
        <v>1.5423462772128582E-2</v>
      </c>
      <c r="L18" s="12">
        <f t="shared" si="2"/>
        <v>7.3593655487599996E-2</v>
      </c>
    </row>
    <row r="19" spans="2:12" ht="12" thickTop="1" x14ac:dyDescent="0.2">
      <c r="B19" s="1" t="s">
        <v>102</v>
      </c>
      <c r="C19" s="1">
        <v>271</v>
      </c>
      <c r="D19" s="1">
        <v>281</v>
      </c>
      <c r="E19" s="1">
        <v>282</v>
      </c>
      <c r="F19" s="1">
        <v>284</v>
      </c>
      <c r="G19" s="1">
        <v>291</v>
      </c>
    </row>
    <row r="20" spans="2:12" x14ac:dyDescent="0.2">
      <c r="B20" s="1" t="s">
        <v>103</v>
      </c>
      <c r="C20" s="35">
        <f>C18-C19</f>
        <v>14035</v>
      </c>
      <c r="D20" s="35">
        <f t="shared" ref="D20:G20" si="8">D18-D19</f>
        <v>14461</v>
      </c>
      <c r="E20" s="35">
        <f t="shared" si="8"/>
        <v>14371</v>
      </c>
      <c r="F20" s="35">
        <f t="shared" si="8"/>
        <v>14595</v>
      </c>
      <c r="G20" s="35">
        <f t="shared" si="8"/>
        <v>15683</v>
      </c>
    </row>
    <row r="21" spans="2:12" s="29" customFormat="1" ht="14.4" x14ac:dyDescent="0.3"/>
    <row r="22" spans="2:12" x14ac:dyDescent="0.2">
      <c r="B22" s="1" t="s">
        <v>143</v>
      </c>
    </row>
    <row r="23" spans="2:12" x14ac:dyDescent="0.2">
      <c r="B23" s="1" t="s">
        <v>144</v>
      </c>
      <c r="C23" s="60">
        <v>0.185</v>
      </c>
      <c r="D23" s="60">
        <v>0.17799999999999999</v>
      </c>
      <c r="E23" s="60">
        <v>0.19700000000000001</v>
      </c>
      <c r="F23" s="60">
        <v>0.20200000000000001</v>
      </c>
      <c r="G23" s="60">
        <v>0.20300000000000001</v>
      </c>
    </row>
  </sheetData>
  <conditionalFormatting sqref="I6:L6">
    <cfRule type="iconSet" priority="5">
      <iconSet reverse="1">
        <cfvo type="percent" val="0"/>
        <cfvo type="num" val="0"/>
        <cfvo type="num" val="0.1"/>
      </iconSet>
    </cfRule>
  </conditionalFormatting>
  <conditionalFormatting sqref="I8:L8">
    <cfRule type="iconSet" priority="4">
      <iconSet reverse="1">
        <cfvo type="percent" val="0"/>
        <cfvo type="num" val="0"/>
        <cfvo type="num" val="0.1"/>
      </iconSet>
    </cfRule>
  </conditionalFormatting>
  <conditionalFormatting sqref="I11:L11">
    <cfRule type="iconSet" priority="3">
      <iconSet reverse="1">
        <cfvo type="percent" val="0"/>
        <cfvo type="num" val="0"/>
        <cfvo type="num" val="0.1"/>
      </iconSet>
    </cfRule>
  </conditionalFormatting>
  <conditionalFormatting sqref="I15:L15">
    <cfRule type="iconSet" priority="2">
      <iconSet reverse="1">
        <cfvo type="percent" val="0"/>
        <cfvo type="num" val="0"/>
        <cfvo type="num" val="0.1"/>
      </iconSet>
    </cfRule>
  </conditionalFormatting>
  <conditionalFormatting sqref="I17:L17">
    <cfRule type="iconSet" priority="1">
      <iconSet reverse="1">
        <cfvo type="percent" val="0"/>
        <cfvo type="num" val="0"/>
        <cfvo type="num" val="0.1"/>
      </iconSet>
    </cfRule>
  </conditionalFormatting>
  <conditionalFormatting sqref="L9 I5:L8 I10:L18">
    <cfRule type="iconSet" priority="6">
      <iconSet>
        <cfvo type="percent" val="0"/>
        <cfvo type="num" val="0"/>
        <cfvo type="num" val="0.1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E809-9E3F-485E-A208-66C7DE81CD54}">
  <dimension ref="B1:L26"/>
  <sheetViews>
    <sheetView zoomScale="120" zoomScaleNormal="120" workbookViewId="0"/>
  </sheetViews>
  <sheetFormatPr defaultRowHeight="11.4" x14ac:dyDescent="0.2"/>
  <cols>
    <col min="1" max="1" width="2" style="1" customWidth="1"/>
    <col min="2" max="2" width="42.44140625" style="1" bestFit="1" customWidth="1"/>
    <col min="3" max="16384" width="8.88671875" style="1"/>
  </cols>
  <sheetData>
    <row r="1" spans="2:12" ht="15" x14ac:dyDescent="0.25">
      <c r="B1" s="2" t="s">
        <v>0</v>
      </c>
    </row>
    <row r="4" spans="2:12" ht="12" x14ac:dyDescent="0.25">
      <c r="B4" s="3" t="s">
        <v>1</v>
      </c>
      <c r="C4" s="3">
        <v>2021</v>
      </c>
      <c r="D4" s="22"/>
      <c r="E4" s="3">
        <v>2022</v>
      </c>
      <c r="F4" s="22"/>
      <c r="G4" s="3">
        <v>2023</v>
      </c>
      <c r="H4" s="22"/>
      <c r="I4" s="3">
        <v>2024</v>
      </c>
      <c r="J4" s="22"/>
      <c r="K4" s="3">
        <v>2025</v>
      </c>
      <c r="L4" s="22"/>
    </row>
    <row r="5" spans="2:12" x14ac:dyDescent="0.2">
      <c r="B5" s="4" t="s">
        <v>2</v>
      </c>
      <c r="C5" s="16">
        <v>76118</v>
      </c>
      <c r="D5" s="6">
        <f>C5/C5</f>
        <v>1</v>
      </c>
      <c r="E5" s="16">
        <v>80187</v>
      </c>
      <c r="F5" s="6">
        <f>E5/E5</f>
        <v>1</v>
      </c>
      <c r="G5" s="16">
        <v>82006</v>
      </c>
      <c r="H5" s="6">
        <f>G5/G5</f>
        <v>1</v>
      </c>
      <c r="I5" s="16">
        <v>84039</v>
      </c>
      <c r="J5" s="6">
        <f>I5/I5</f>
        <v>1</v>
      </c>
      <c r="K5" s="16">
        <v>84284</v>
      </c>
      <c r="L5" s="6">
        <f>K5/K5</f>
        <v>1</v>
      </c>
    </row>
    <row r="6" spans="2:12" x14ac:dyDescent="0.2">
      <c r="B6" s="8" t="s">
        <v>3</v>
      </c>
      <c r="C6" s="17">
        <v>-37108</v>
      </c>
      <c r="D6" s="26">
        <f>-C6/C$5</f>
        <v>0.48750624031109591</v>
      </c>
      <c r="E6" s="17">
        <v>-42157</v>
      </c>
      <c r="F6" s="26">
        <f>-E6/E$5</f>
        <v>0.52573359771534034</v>
      </c>
      <c r="G6" s="17">
        <v>-42760</v>
      </c>
      <c r="H6" s="26">
        <f>-G6/G$5</f>
        <v>0.52142526156622682</v>
      </c>
      <c r="I6" s="17">
        <v>-40848</v>
      </c>
      <c r="J6" s="26">
        <f>-I6/I$5</f>
        <v>0.48606004355120835</v>
      </c>
      <c r="K6" s="17">
        <v>-41164</v>
      </c>
      <c r="L6" s="26">
        <f>-K6/K$5</f>
        <v>0.48839637416354231</v>
      </c>
    </row>
    <row r="7" spans="2:12" ht="12" x14ac:dyDescent="0.25">
      <c r="B7" s="13" t="s">
        <v>10</v>
      </c>
      <c r="C7" s="18">
        <f>SUM(C5:C6)</f>
        <v>39010</v>
      </c>
      <c r="D7" s="25">
        <f t="shared" ref="D7:F18" si="0">C7/C$5</f>
        <v>0.51249375968890409</v>
      </c>
      <c r="E7" s="18">
        <f t="shared" ref="E7" si="1">SUM(E5:E6)</f>
        <v>38030</v>
      </c>
      <c r="F7" s="25">
        <f t="shared" si="0"/>
        <v>0.47426640228465961</v>
      </c>
      <c r="G7" s="18">
        <f>SUM(G5:G6)</f>
        <v>39246</v>
      </c>
      <c r="H7" s="25">
        <f t="shared" ref="H7" si="2">G7/G$5</f>
        <v>0.47857473843377313</v>
      </c>
      <c r="I7" s="18">
        <f>SUM(I5:I6)</f>
        <v>43191</v>
      </c>
      <c r="J7" s="25">
        <f t="shared" ref="J7:L7" si="3">I7/I$5</f>
        <v>0.51393995644879165</v>
      </c>
      <c r="K7" s="18">
        <f>SUM(K5:K6)</f>
        <v>43120</v>
      </c>
      <c r="L7" s="25">
        <f t="shared" si="3"/>
        <v>0.51160362583645769</v>
      </c>
    </row>
    <row r="8" spans="2:12" x14ac:dyDescent="0.2">
      <c r="B8" s="4" t="s">
        <v>4</v>
      </c>
      <c r="C8" s="16">
        <v>-21024</v>
      </c>
      <c r="D8" s="25">
        <f>-C8/C$5</f>
        <v>0.27620273785438398</v>
      </c>
      <c r="E8" s="16">
        <v>-20217</v>
      </c>
      <c r="F8" s="25">
        <f>-E8/E$5</f>
        <v>0.25212316210857122</v>
      </c>
      <c r="G8" s="16">
        <v>-21112</v>
      </c>
      <c r="H8" s="25">
        <f>-G8/G$5</f>
        <v>0.25744457722605663</v>
      </c>
      <c r="I8" s="16">
        <v>-23305</v>
      </c>
      <c r="J8" s="25">
        <f>-I8/I$5</f>
        <v>0.27731172431847118</v>
      </c>
      <c r="K8" s="16">
        <v>-22669</v>
      </c>
      <c r="L8" s="25">
        <f>-K8/K$5</f>
        <v>0.26895970765507093</v>
      </c>
    </row>
    <row r="9" spans="2:12" x14ac:dyDescent="0.2">
      <c r="B9" s="8" t="s">
        <v>9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1341</v>
      </c>
      <c r="J9" s="27">
        <f>I9/I5</f>
        <v>1.5956877164173777E-2</v>
      </c>
      <c r="K9" s="17">
        <v>0</v>
      </c>
      <c r="L9" s="27">
        <f>K9/K5</f>
        <v>0</v>
      </c>
    </row>
    <row r="10" spans="2:12" ht="12" x14ac:dyDescent="0.2">
      <c r="B10" s="15" t="s">
        <v>11</v>
      </c>
      <c r="C10" s="19">
        <f>SUM(C7:C9)</f>
        <v>17986</v>
      </c>
      <c r="D10" s="25">
        <f t="shared" si="0"/>
        <v>0.23629102183452008</v>
      </c>
      <c r="E10" s="19">
        <v>17813</v>
      </c>
      <c r="F10" s="25">
        <f t="shared" si="0"/>
        <v>0.22214324017608839</v>
      </c>
      <c r="G10" s="19">
        <v>18134</v>
      </c>
      <c r="H10" s="25">
        <f t="shared" ref="H10" si="4">G10/G$5</f>
        <v>0.2211301612077165</v>
      </c>
      <c r="I10" s="19">
        <v>18545</v>
      </c>
      <c r="J10" s="25">
        <f t="shared" ref="J10:L10" si="5">I10/I$5</f>
        <v>0.22067135496614668</v>
      </c>
      <c r="K10" s="19">
        <v>20451</v>
      </c>
      <c r="L10" s="25">
        <f t="shared" si="5"/>
        <v>0.24264391818138675</v>
      </c>
    </row>
    <row r="11" spans="2:12" x14ac:dyDescent="0.2">
      <c r="B11" s="4" t="s">
        <v>5</v>
      </c>
      <c r="C11" s="16">
        <v>-502</v>
      </c>
      <c r="D11" s="25">
        <f>-C11/C$5</f>
        <v>6.5950235161197088E-3</v>
      </c>
      <c r="E11" s="16">
        <v>-439</v>
      </c>
      <c r="F11" s="25">
        <f>-E11/E$5</f>
        <v>5.4747028820132937E-3</v>
      </c>
      <c r="G11" s="16">
        <v>-756</v>
      </c>
      <c r="H11" s="25">
        <f>-G11/G$5</f>
        <v>9.2188376460259E-3</v>
      </c>
      <c r="I11" s="16">
        <v>-925</v>
      </c>
      <c r="J11" s="25">
        <f>-I11/I$5</f>
        <v>1.1006794464474827E-2</v>
      </c>
      <c r="K11" s="16">
        <v>-907</v>
      </c>
      <c r="L11" s="25">
        <f>-K11/K$5</f>
        <v>1.0761235821745527E-2</v>
      </c>
    </row>
    <row r="12" spans="2:12" x14ac:dyDescent="0.2">
      <c r="B12" s="4" t="s">
        <v>6</v>
      </c>
      <c r="C12" s="16">
        <v>45</v>
      </c>
      <c r="D12" s="25">
        <f t="shared" si="0"/>
        <v>5.9118736698284241E-4</v>
      </c>
      <c r="E12" s="16">
        <v>51</v>
      </c>
      <c r="F12" s="25">
        <f t="shared" si="0"/>
        <v>6.3601331886714802E-4</v>
      </c>
      <c r="G12" s="16">
        <v>307</v>
      </c>
      <c r="H12" s="25">
        <f t="shared" ref="H12" si="6">G12/G$5</f>
        <v>3.7436285149867084E-3</v>
      </c>
      <c r="I12" s="16">
        <v>473</v>
      </c>
      <c r="J12" s="25">
        <f t="shared" ref="J12:L12" si="7">I12/I$5</f>
        <v>5.6283392234557769E-3</v>
      </c>
      <c r="K12" s="16">
        <v>469</v>
      </c>
      <c r="L12" s="25">
        <f t="shared" si="7"/>
        <v>5.5645199563380951E-3</v>
      </c>
    </row>
    <row r="13" spans="2:12" x14ac:dyDescent="0.2">
      <c r="B13" s="8" t="s">
        <v>7</v>
      </c>
      <c r="C13" s="17">
        <v>86</v>
      </c>
      <c r="D13" s="26">
        <f t="shared" si="0"/>
        <v>1.1298247457894321E-3</v>
      </c>
      <c r="E13" s="17">
        <v>570</v>
      </c>
      <c r="F13" s="26">
        <f t="shared" si="0"/>
        <v>7.1083841520445954E-3</v>
      </c>
      <c r="G13" s="17">
        <v>668</v>
      </c>
      <c r="H13" s="26">
        <f t="shared" ref="H13" si="8">G13/G$5</f>
        <v>8.1457454332609803E-3</v>
      </c>
      <c r="I13" s="17">
        <v>668</v>
      </c>
      <c r="J13" s="26">
        <f t="shared" ref="J13:L13" si="9">I13/I$5</f>
        <v>7.9486904889396592E-3</v>
      </c>
      <c r="K13" s="17">
        <v>154</v>
      </c>
      <c r="L13" s="26">
        <f t="shared" si="9"/>
        <v>1.8271558065587775E-3</v>
      </c>
    </row>
    <row r="14" spans="2:12" ht="12" x14ac:dyDescent="0.2">
      <c r="B14" s="15" t="s">
        <v>19</v>
      </c>
      <c r="C14" s="19">
        <f>SUM(C10:C13)</f>
        <v>17615</v>
      </c>
      <c r="D14" s="25">
        <f t="shared" si="0"/>
        <v>0.23141701043117266</v>
      </c>
      <c r="E14" s="19">
        <f t="shared" ref="E14" si="10">SUM(E10:E13)</f>
        <v>17995</v>
      </c>
      <c r="F14" s="25">
        <f t="shared" si="0"/>
        <v>0.22441293476498683</v>
      </c>
      <c r="G14" s="19">
        <f>SUM(G10:G13)</f>
        <v>18353</v>
      </c>
      <c r="H14" s="25">
        <f t="shared" ref="H14" si="11">G14/G$5</f>
        <v>0.22380069750993831</v>
      </c>
      <c r="I14" s="19">
        <f>SUM(I10:I13)</f>
        <v>18761</v>
      </c>
      <c r="J14" s="25">
        <f t="shared" ref="J14:L14" si="12">I14/I$5</f>
        <v>0.22324159021406728</v>
      </c>
      <c r="K14" s="19">
        <f>SUM(K10:K13)</f>
        <v>20167</v>
      </c>
      <c r="L14" s="25">
        <f t="shared" si="12"/>
        <v>0.23927435812253808</v>
      </c>
    </row>
    <row r="15" spans="2:12" x14ac:dyDescent="0.2">
      <c r="B15" s="8" t="s">
        <v>8</v>
      </c>
      <c r="C15" s="17">
        <v>-3263</v>
      </c>
      <c r="D15" s="26">
        <f>-C15/C$5</f>
        <v>4.2867652854778109E-2</v>
      </c>
      <c r="E15" s="17">
        <v>-3202</v>
      </c>
      <c r="F15" s="26">
        <f>-E15/E$5</f>
        <v>3.9931659745345252E-2</v>
      </c>
      <c r="G15" s="17">
        <v>-3615</v>
      </c>
      <c r="H15" s="26">
        <f>-G15/G$5</f>
        <v>4.4082140331195278E-2</v>
      </c>
      <c r="I15" s="17">
        <v>-3787</v>
      </c>
      <c r="J15" s="26">
        <f>-I15/I$5</f>
        <v>4.5062411499422889E-2</v>
      </c>
      <c r="K15" s="17">
        <v>-4102</v>
      </c>
      <c r="L15" s="26">
        <f>-K15/K$5</f>
        <v>4.8668786483792893E-2</v>
      </c>
    </row>
    <row r="16" spans="2:12" ht="12" x14ac:dyDescent="0.2">
      <c r="B16" s="15" t="s">
        <v>12</v>
      </c>
      <c r="C16" s="19">
        <f>SUM(C14:C15)</f>
        <v>14352</v>
      </c>
      <c r="D16" s="25">
        <f t="shared" si="0"/>
        <v>0.18854935757639454</v>
      </c>
      <c r="E16" s="19">
        <f t="shared" ref="E16" si="13">SUM(E14:E15)</f>
        <v>14793</v>
      </c>
      <c r="F16" s="25">
        <f t="shared" si="0"/>
        <v>0.18448127501964159</v>
      </c>
      <c r="G16" s="19">
        <f>SUM(G14:G15)</f>
        <v>14738</v>
      </c>
      <c r="H16" s="25">
        <f t="shared" ref="H16" si="14">G16/G$5</f>
        <v>0.17971855717874302</v>
      </c>
      <c r="I16" s="19">
        <f>SUM(I14:I15)</f>
        <v>14974</v>
      </c>
      <c r="J16" s="25">
        <f t="shared" ref="J16:L16" si="15">I16/I$5</f>
        <v>0.17817917871464439</v>
      </c>
      <c r="K16" s="19">
        <f>SUM(K14:K15)</f>
        <v>16065</v>
      </c>
      <c r="L16" s="25">
        <f t="shared" si="15"/>
        <v>0.1906055716387452</v>
      </c>
    </row>
    <row r="17" spans="2:12" x14ac:dyDescent="0.2">
      <c r="B17" s="8" t="s">
        <v>13</v>
      </c>
      <c r="C17" s="17">
        <v>-46</v>
      </c>
      <c r="D17" s="26">
        <f>-C17/C$5</f>
        <v>6.0432486402690563E-4</v>
      </c>
      <c r="E17" s="17">
        <v>-51</v>
      </c>
      <c r="F17" s="26">
        <f>-E17/E$5</f>
        <v>6.3601331886714802E-4</v>
      </c>
      <c r="G17" s="17">
        <v>-85</v>
      </c>
      <c r="H17" s="26">
        <f>-G17/G$5</f>
        <v>1.0365095236933883E-3</v>
      </c>
      <c r="I17" s="17">
        <v>-95</v>
      </c>
      <c r="J17" s="26">
        <f>-I17/I$5</f>
        <v>1.130427539594712E-3</v>
      </c>
      <c r="K17" s="17">
        <v>-91</v>
      </c>
      <c r="L17" s="26">
        <f>-K17/K$5</f>
        <v>1.079682976602914E-3</v>
      </c>
    </row>
    <row r="18" spans="2:12" ht="12.6" thickBot="1" x14ac:dyDescent="0.3">
      <c r="B18" s="23" t="s">
        <v>14</v>
      </c>
      <c r="C18" s="24">
        <f>SUM(C16:C17)</f>
        <v>14306</v>
      </c>
      <c r="D18" s="28">
        <f t="shared" si="0"/>
        <v>0.18794503271236765</v>
      </c>
      <c r="E18" s="24">
        <f>SUM(E16:E17)</f>
        <v>14742</v>
      </c>
      <c r="F18" s="28">
        <f t="shared" si="0"/>
        <v>0.18384526170077445</v>
      </c>
      <c r="G18" s="24">
        <f>SUM(G16:G17)</f>
        <v>14653</v>
      </c>
      <c r="H18" s="28">
        <f t="shared" ref="H18" si="16">G18/G$5</f>
        <v>0.17868204765504964</v>
      </c>
      <c r="I18" s="24">
        <f>SUM(I16:I17)</f>
        <v>14879</v>
      </c>
      <c r="J18" s="28">
        <f t="shared" ref="J18:L18" si="17">I18/I$5</f>
        <v>0.17704875117504967</v>
      </c>
      <c r="K18" s="24">
        <f>SUM(K16:K17)</f>
        <v>15974</v>
      </c>
      <c r="L18" s="28">
        <f t="shared" si="17"/>
        <v>0.18952588866214229</v>
      </c>
    </row>
    <row r="19" spans="2:12" ht="12" thickTop="1" x14ac:dyDescent="0.2"/>
    <row r="20" spans="2:12" ht="12" x14ac:dyDescent="0.25">
      <c r="B20" s="32" t="s">
        <v>23</v>
      </c>
      <c r="C20" s="64">
        <v>2021</v>
      </c>
      <c r="D20" s="64">
        <v>2022</v>
      </c>
      <c r="E20" s="64">
        <v>2023</v>
      </c>
      <c r="F20" s="64">
        <v>2024</v>
      </c>
      <c r="G20" s="64">
        <v>2025</v>
      </c>
    </row>
    <row r="21" spans="2:12" ht="12" x14ac:dyDescent="0.25">
      <c r="B21" s="13" t="s">
        <v>20</v>
      </c>
      <c r="C21" s="65">
        <f>C7/C5</f>
        <v>0.51249375968890409</v>
      </c>
      <c r="D21" s="65">
        <f>E7/E5</f>
        <v>0.47426640228465961</v>
      </c>
      <c r="E21" s="65">
        <f>G7/G5</f>
        <v>0.47857473843377313</v>
      </c>
      <c r="F21" s="65">
        <f>I7/I5</f>
        <v>0.51393995644879165</v>
      </c>
      <c r="G21" s="65">
        <f>K7/K5</f>
        <v>0.51160362583645769</v>
      </c>
    </row>
    <row r="22" spans="2:12" ht="12" x14ac:dyDescent="0.25">
      <c r="B22" s="13" t="s">
        <v>22</v>
      </c>
      <c r="C22" s="65">
        <f>C10/C5</f>
        <v>0.23629102183452008</v>
      </c>
      <c r="D22" s="65">
        <f>E10/E5</f>
        <v>0.22214324017608839</v>
      </c>
      <c r="E22" s="65">
        <f>G10/G5</f>
        <v>0.2211301612077165</v>
      </c>
      <c r="F22" s="65">
        <f>I10/I5</f>
        <v>0.22067135496614668</v>
      </c>
      <c r="G22" s="65">
        <f>K10/K5</f>
        <v>0.24264391818138675</v>
      </c>
    </row>
    <row r="23" spans="2:12" ht="12" x14ac:dyDescent="0.25">
      <c r="B23" s="13" t="s">
        <v>21</v>
      </c>
      <c r="C23" s="65">
        <f>C18/C5</f>
        <v>0.18794503271236765</v>
      </c>
      <c r="D23" s="65">
        <f>E18/E5</f>
        <v>0.18384526170077445</v>
      </c>
      <c r="E23" s="65">
        <f>G18/G5</f>
        <v>0.17868204765504964</v>
      </c>
      <c r="F23" s="65">
        <f>I18/I5</f>
        <v>0.17704875117504967</v>
      </c>
      <c r="G23" s="65">
        <f>K18/K5</f>
        <v>0.18952588866214229</v>
      </c>
    </row>
    <row r="24" spans="2:12" ht="14.4" x14ac:dyDescent="0.3">
      <c r="B24" s="53"/>
      <c r="C24" s="53"/>
      <c r="D24" s="53"/>
      <c r="E24" s="53"/>
      <c r="F24" s="53"/>
      <c r="G24" s="53"/>
    </row>
    <row r="25" spans="2:12" ht="14.4" x14ac:dyDescent="0.3">
      <c r="B25" s="53"/>
      <c r="C25" s="53"/>
      <c r="D25" s="53"/>
      <c r="E25" s="53"/>
      <c r="F25" s="53"/>
      <c r="G25" s="53"/>
    </row>
    <row r="26" spans="2:12" ht="14.4" x14ac:dyDescent="0.3">
      <c r="B26" s="53"/>
      <c r="C26" s="53"/>
      <c r="D26" s="53"/>
      <c r="E26" s="53"/>
      <c r="F26" s="53"/>
      <c r="G26" s="5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8F773-A76D-4D60-8434-53FC36592BB9}">
  <dimension ref="B1:K50"/>
  <sheetViews>
    <sheetView topLeftCell="B1" zoomScale="110" zoomScaleNormal="110" workbookViewId="0">
      <selection activeCell="B1" sqref="B1"/>
    </sheetView>
  </sheetViews>
  <sheetFormatPr defaultRowHeight="11.4" x14ac:dyDescent="0.2"/>
  <cols>
    <col min="1" max="1" width="2" style="1" customWidth="1"/>
    <col min="2" max="2" width="58" style="1" bestFit="1" customWidth="1"/>
    <col min="3" max="7" width="10.44140625" style="1" bestFit="1" customWidth="1"/>
    <col min="8" max="16384" width="8.88671875" style="1"/>
  </cols>
  <sheetData>
    <row r="1" spans="2:11" ht="15" x14ac:dyDescent="0.25">
      <c r="B1" s="2" t="s">
        <v>24</v>
      </c>
    </row>
    <row r="4" spans="2:11" ht="24" x14ac:dyDescent="0.25">
      <c r="B4" s="3" t="s">
        <v>1</v>
      </c>
      <c r="C4" s="31">
        <v>44377</v>
      </c>
      <c r="D4" s="31">
        <v>44742</v>
      </c>
      <c r="E4" s="31">
        <v>45107</v>
      </c>
      <c r="F4" s="31">
        <v>45473</v>
      </c>
      <c r="G4" s="31">
        <v>45838</v>
      </c>
      <c r="H4" s="5" t="s">
        <v>64</v>
      </c>
      <c r="I4" s="5" t="s">
        <v>65</v>
      </c>
      <c r="J4" s="5" t="s">
        <v>66</v>
      </c>
      <c r="K4" s="5" t="s">
        <v>67</v>
      </c>
    </row>
    <row r="5" spans="2:11" ht="13.8" x14ac:dyDescent="0.25">
      <c r="B5" s="43" t="s">
        <v>25</v>
      </c>
      <c r="C5" s="36"/>
      <c r="D5" s="36"/>
      <c r="E5" s="16"/>
      <c r="F5" s="16"/>
      <c r="G5" s="16"/>
      <c r="I5" s="32"/>
    </row>
    <row r="6" spans="2:11" ht="13.2" x14ac:dyDescent="0.25">
      <c r="B6" s="41" t="s">
        <v>41</v>
      </c>
      <c r="C6" s="36"/>
      <c r="D6" s="36"/>
      <c r="E6" s="18"/>
      <c r="F6" s="18"/>
      <c r="G6" s="18"/>
    </row>
    <row r="7" spans="2:11" x14ac:dyDescent="0.2">
      <c r="B7" s="40" t="s">
        <v>26</v>
      </c>
      <c r="C7" s="37">
        <v>10288</v>
      </c>
      <c r="D7" s="37">
        <v>7214</v>
      </c>
      <c r="E7" s="37">
        <v>8246</v>
      </c>
      <c r="F7" s="37">
        <v>9482</v>
      </c>
      <c r="G7" s="16">
        <v>9556</v>
      </c>
      <c r="H7" s="7">
        <f>D7/C7-1</f>
        <v>-0.29879471228615861</v>
      </c>
      <c r="I7" s="7">
        <f t="shared" ref="I7:K7" si="0">E7/D7-1</f>
        <v>0.14305517050180194</v>
      </c>
      <c r="J7" s="7">
        <f t="shared" si="0"/>
        <v>0.14989085617268971</v>
      </c>
      <c r="K7" s="7">
        <f t="shared" si="0"/>
        <v>7.8042607044928047E-3</v>
      </c>
    </row>
    <row r="8" spans="2:11" x14ac:dyDescent="0.2">
      <c r="B8" s="40" t="s">
        <v>27</v>
      </c>
      <c r="C8" s="37">
        <v>4725</v>
      </c>
      <c r="D8" s="37">
        <v>5143</v>
      </c>
      <c r="E8" s="37">
        <v>5471</v>
      </c>
      <c r="F8" s="37">
        <v>6118</v>
      </c>
      <c r="G8" s="16">
        <v>6185</v>
      </c>
      <c r="H8" s="7">
        <f t="shared" ref="H8:H20" si="1">D8/C8-1</f>
        <v>8.8465608465608359E-2</v>
      </c>
      <c r="I8" s="7">
        <f t="shared" ref="I8:I20" si="2">E8/D8-1</f>
        <v>6.3776006222049375E-2</v>
      </c>
      <c r="J8" s="7">
        <f t="shared" ref="J8:J20" si="3">F8/E8-1</f>
        <v>0.11825991592030705</v>
      </c>
      <c r="K8" s="7">
        <f t="shared" ref="K8:K20" si="4">G8/F8-1</f>
        <v>1.0951291271657393E-2</v>
      </c>
    </row>
    <row r="9" spans="2:11" ht="13.2" x14ac:dyDescent="0.2">
      <c r="B9" s="41" t="s">
        <v>42</v>
      </c>
      <c r="C9" s="37"/>
      <c r="D9" s="37"/>
      <c r="E9" s="37"/>
      <c r="F9" s="37"/>
      <c r="G9" s="38"/>
      <c r="H9" s="7"/>
      <c r="I9" s="7"/>
      <c r="J9" s="7"/>
      <c r="K9" s="7"/>
    </row>
    <row r="10" spans="2:11" x14ac:dyDescent="0.2">
      <c r="B10" s="40" t="s">
        <v>28</v>
      </c>
      <c r="C10" s="37">
        <v>1645</v>
      </c>
      <c r="D10" s="37">
        <v>2168</v>
      </c>
      <c r="E10" s="37">
        <v>1863</v>
      </c>
      <c r="F10" s="37">
        <v>1617</v>
      </c>
      <c r="G10" s="16">
        <v>2022</v>
      </c>
      <c r="H10" s="7">
        <f t="shared" si="1"/>
        <v>0.31793313069908824</v>
      </c>
      <c r="I10" s="7">
        <f t="shared" si="2"/>
        <v>-0.14068265682656822</v>
      </c>
      <c r="J10" s="7">
        <f t="shared" si="3"/>
        <v>-0.13204508856682773</v>
      </c>
      <c r="K10" s="7">
        <f t="shared" si="4"/>
        <v>0.25046382189239336</v>
      </c>
    </row>
    <row r="11" spans="2:11" x14ac:dyDescent="0.2">
      <c r="B11" s="40" t="s">
        <v>29</v>
      </c>
      <c r="C11" s="37">
        <v>719</v>
      </c>
      <c r="D11" s="37">
        <v>856</v>
      </c>
      <c r="E11" s="37">
        <v>956</v>
      </c>
      <c r="F11" s="37">
        <v>929</v>
      </c>
      <c r="G11" s="16">
        <v>1012</v>
      </c>
      <c r="H11" s="7">
        <f t="shared" si="1"/>
        <v>0.19054242002781652</v>
      </c>
      <c r="I11" s="7">
        <f t="shared" si="2"/>
        <v>0.11682242990654212</v>
      </c>
      <c r="J11" s="7">
        <f t="shared" si="3"/>
        <v>-2.8242677824267814E-2</v>
      </c>
      <c r="K11" s="7">
        <f t="shared" si="4"/>
        <v>8.9343379978471527E-2</v>
      </c>
    </row>
    <row r="12" spans="2:11" x14ac:dyDescent="0.2">
      <c r="B12" s="42" t="s">
        <v>30</v>
      </c>
      <c r="C12" s="39">
        <v>3619</v>
      </c>
      <c r="D12" s="39">
        <v>3900</v>
      </c>
      <c r="E12" s="39">
        <v>4254</v>
      </c>
      <c r="F12" s="39">
        <v>4470</v>
      </c>
      <c r="G12" s="17">
        <v>4516</v>
      </c>
      <c r="H12" s="7">
        <f t="shared" si="1"/>
        <v>7.7645758496822426E-2</v>
      </c>
      <c r="I12" s="7">
        <f t="shared" si="2"/>
        <v>9.0769230769230713E-2</v>
      </c>
      <c r="J12" s="7">
        <f t="shared" si="3"/>
        <v>5.0775740479548581E-2</v>
      </c>
      <c r="K12" s="7">
        <f t="shared" si="4"/>
        <v>1.0290827740492059E-2</v>
      </c>
    </row>
    <row r="13" spans="2:11" x14ac:dyDescent="0.2">
      <c r="B13" s="40" t="s">
        <v>31</v>
      </c>
      <c r="C13" s="37">
        <v>5983</v>
      </c>
      <c r="D13" s="37">
        <v>6924</v>
      </c>
      <c r="E13" s="37">
        <v>7073</v>
      </c>
      <c r="F13" s="37">
        <v>7016</v>
      </c>
      <c r="G13" s="16">
        <v>7551</v>
      </c>
      <c r="H13" s="7">
        <f t="shared" si="1"/>
        <v>0.15727895704496064</v>
      </c>
      <c r="I13" s="7">
        <f t="shared" si="2"/>
        <v>2.1519352975158945E-2</v>
      </c>
      <c r="J13" s="7">
        <f t="shared" si="3"/>
        <v>-8.0588152127809565E-3</v>
      </c>
      <c r="K13" s="7">
        <f t="shared" si="4"/>
        <v>7.6254275940706995E-2</v>
      </c>
    </row>
    <row r="14" spans="2:11" x14ac:dyDescent="0.2">
      <c r="B14" s="42" t="s">
        <v>32</v>
      </c>
      <c r="C14" s="39">
        <v>2095</v>
      </c>
      <c r="D14" s="39">
        <v>2372</v>
      </c>
      <c r="E14" s="39">
        <v>1858</v>
      </c>
      <c r="F14" s="39">
        <v>2095</v>
      </c>
      <c r="G14" s="17">
        <v>2100</v>
      </c>
      <c r="H14" s="7">
        <f t="shared" si="1"/>
        <v>0.13221957040572785</v>
      </c>
      <c r="I14" s="7">
        <f t="shared" si="2"/>
        <v>-0.21669477234401346</v>
      </c>
      <c r="J14" s="7">
        <f t="shared" si="3"/>
        <v>0.12755651237890198</v>
      </c>
      <c r="K14" s="7">
        <f t="shared" si="4"/>
        <v>2.3866348448686736E-3</v>
      </c>
    </row>
    <row r="15" spans="2:11" ht="13.2" x14ac:dyDescent="0.2">
      <c r="B15" s="41" t="s">
        <v>43</v>
      </c>
      <c r="C15" s="37">
        <v>23091</v>
      </c>
      <c r="D15" s="37">
        <v>21653</v>
      </c>
      <c r="E15" s="37">
        <v>22648</v>
      </c>
      <c r="F15" s="37">
        <v>24709</v>
      </c>
      <c r="G15" s="16">
        <v>25392</v>
      </c>
      <c r="H15" s="7">
        <f t="shared" si="1"/>
        <v>-6.2275345372655999E-2</v>
      </c>
      <c r="I15" s="7">
        <f t="shared" si="2"/>
        <v>4.5952062069920974E-2</v>
      </c>
      <c r="J15" s="7">
        <f t="shared" si="3"/>
        <v>9.100141292829389E-2</v>
      </c>
      <c r="K15" s="7">
        <f t="shared" si="4"/>
        <v>2.7641749969646634E-2</v>
      </c>
    </row>
    <row r="16" spans="2:11" x14ac:dyDescent="0.2">
      <c r="B16" s="40" t="s">
        <v>44</v>
      </c>
      <c r="C16" s="37">
        <v>21686</v>
      </c>
      <c r="D16" s="37">
        <v>21195</v>
      </c>
      <c r="E16" s="37">
        <v>21909</v>
      </c>
      <c r="F16" s="37">
        <v>22152</v>
      </c>
      <c r="G16" s="16">
        <v>23897</v>
      </c>
      <c r="H16" s="7">
        <f t="shared" si="1"/>
        <v>-2.2641335423775666E-2</v>
      </c>
      <c r="I16" s="7">
        <f t="shared" si="2"/>
        <v>3.3687190375088383E-2</v>
      </c>
      <c r="J16" s="7">
        <f t="shared" si="3"/>
        <v>1.1091332329179693E-2</v>
      </c>
      <c r="K16" s="7">
        <f t="shared" si="4"/>
        <v>7.8773925604911588E-2</v>
      </c>
    </row>
    <row r="17" spans="2:11" x14ac:dyDescent="0.2">
      <c r="B17" s="40" t="s">
        <v>45</v>
      </c>
      <c r="C17" s="37">
        <v>40924</v>
      </c>
      <c r="D17" s="37">
        <v>39700</v>
      </c>
      <c r="E17" s="37">
        <v>40659</v>
      </c>
      <c r="F17" s="37">
        <v>40303</v>
      </c>
      <c r="G17" s="16">
        <v>41650</v>
      </c>
      <c r="H17" s="7">
        <f t="shared" si="1"/>
        <v>-2.9909099794741434E-2</v>
      </c>
      <c r="I17" s="7">
        <f t="shared" si="2"/>
        <v>2.4156171284634764E-2</v>
      </c>
      <c r="J17" s="7">
        <f t="shared" si="3"/>
        <v>-8.7557490346540368E-3</v>
      </c>
      <c r="K17" s="7">
        <f t="shared" si="4"/>
        <v>3.3421829640473355E-2</v>
      </c>
    </row>
    <row r="18" spans="2:11" x14ac:dyDescent="0.2">
      <c r="B18" s="40" t="s">
        <v>46</v>
      </c>
      <c r="C18" s="37">
        <v>23642</v>
      </c>
      <c r="D18" s="37">
        <v>23679</v>
      </c>
      <c r="E18" s="37">
        <v>23783</v>
      </c>
      <c r="F18" s="37">
        <v>22047</v>
      </c>
      <c r="G18" s="16">
        <v>21910</v>
      </c>
      <c r="H18" s="7">
        <f t="shared" si="1"/>
        <v>1.5650114203535903E-3</v>
      </c>
      <c r="I18" s="7">
        <f t="shared" si="2"/>
        <v>4.3920773681320746E-3</v>
      </c>
      <c r="J18" s="7">
        <f t="shared" si="3"/>
        <v>-7.2993314552411426E-2</v>
      </c>
      <c r="K18" s="7">
        <f t="shared" si="4"/>
        <v>-6.2139973692565409E-3</v>
      </c>
    </row>
    <row r="19" spans="2:11" x14ac:dyDescent="0.2">
      <c r="B19" s="42" t="s">
        <v>47</v>
      </c>
      <c r="C19" s="39">
        <v>9964</v>
      </c>
      <c r="D19" s="39">
        <v>10981</v>
      </c>
      <c r="E19" s="39">
        <v>11830</v>
      </c>
      <c r="F19" s="39">
        <v>13158</v>
      </c>
      <c r="G19" s="17">
        <v>12381</v>
      </c>
      <c r="H19" s="7">
        <f t="shared" si="1"/>
        <v>0.10206744279405866</v>
      </c>
      <c r="I19" s="7">
        <f t="shared" si="2"/>
        <v>7.7315362899553763E-2</v>
      </c>
      <c r="J19" s="7">
        <f t="shared" si="3"/>
        <v>0.11225697379543531</v>
      </c>
      <c r="K19" s="7">
        <f t="shared" si="4"/>
        <v>-5.9051527587779318E-2</v>
      </c>
    </row>
    <row r="20" spans="2:11" ht="14.4" thickBot="1" x14ac:dyDescent="0.25">
      <c r="B20" s="44" t="s">
        <v>48</v>
      </c>
      <c r="C20" s="45">
        <v>119307</v>
      </c>
      <c r="D20" s="45">
        <v>117208</v>
      </c>
      <c r="E20" s="45">
        <v>120829</v>
      </c>
      <c r="F20" s="45">
        <v>122370</v>
      </c>
      <c r="G20" s="45">
        <v>125231</v>
      </c>
      <c r="H20" s="7">
        <f t="shared" si="1"/>
        <v>-1.7593267788143185E-2</v>
      </c>
      <c r="I20" s="7">
        <f t="shared" si="2"/>
        <v>3.0893795645348332E-2</v>
      </c>
      <c r="J20" s="7">
        <f t="shared" si="3"/>
        <v>1.275356081735346E-2</v>
      </c>
      <c r="K20" s="7">
        <f t="shared" si="4"/>
        <v>2.3379913377461703E-2</v>
      </c>
    </row>
    <row r="21" spans="2:11" ht="12" thickTop="1" x14ac:dyDescent="0.2">
      <c r="B21" s="40"/>
      <c r="C21" s="35"/>
      <c r="D21" s="35"/>
      <c r="E21" s="35"/>
      <c r="F21" s="35"/>
      <c r="G21" s="38"/>
    </row>
    <row r="22" spans="2:11" ht="13.8" x14ac:dyDescent="0.2">
      <c r="B22" s="43" t="s">
        <v>49</v>
      </c>
      <c r="C22" s="37"/>
      <c r="D22" s="37"/>
      <c r="E22" s="37"/>
      <c r="F22" s="37"/>
      <c r="G22" s="38"/>
    </row>
    <row r="23" spans="2:11" ht="13.2" x14ac:dyDescent="0.2">
      <c r="B23" s="41" t="s">
        <v>50</v>
      </c>
      <c r="C23" s="37"/>
      <c r="D23" s="37"/>
      <c r="E23" s="37"/>
      <c r="F23" s="37"/>
      <c r="G23" s="38"/>
    </row>
    <row r="24" spans="2:11" x14ac:dyDescent="0.2">
      <c r="B24" s="40" t="s">
        <v>33</v>
      </c>
      <c r="C24" s="37">
        <v>13720</v>
      </c>
      <c r="D24" s="37">
        <v>14882</v>
      </c>
      <c r="E24" s="37">
        <v>14598</v>
      </c>
      <c r="F24" s="37">
        <v>15364</v>
      </c>
      <c r="G24" s="16">
        <v>15227</v>
      </c>
      <c r="H24" s="52">
        <f>D24/C24-1</f>
        <v>8.4693877551020424E-2</v>
      </c>
      <c r="I24" s="52">
        <f t="shared" ref="I24:K24" si="5">E24/D24-1</f>
        <v>-1.9083456524660702E-2</v>
      </c>
      <c r="J24" s="52">
        <f t="shared" si="5"/>
        <v>5.2472941498835413E-2</v>
      </c>
      <c r="K24" s="52">
        <f t="shared" si="5"/>
        <v>-8.9169487112731316E-3</v>
      </c>
    </row>
    <row r="25" spans="2:11" x14ac:dyDescent="0.2">
      <c r="B25" s="40" t="s">
        <v>34</v>
      </c>
      <c r="C25" s="37">
        <v>10523</v>
      </c>
      <c r="D25" s="37">
        <v>9554</v>
      </c>
      <c r="E25" s="37">
        <v>10929</v>
      </c>
      <c r="F25" s="37">
        <v>11073</v>
      </c>
      <c r="G25" s="16">
        <v>11318</v>
      </c>
      <c r="H25" s="52">
        <f t="shared" ref="H25:H31" si="6">D25/C25-1</f>
        <v>-9.2084006462035517E-2</v>
      </c>
      <c r="I25" s="52">
        <f t="shared" ref="I25:I31" si="7">E25/D25-1</f>
        <v>0.14391877747540294</v>
      </c>
      <c r="J25" s="52">
        <f t="shared" ref="J25:J31" si="8">F25/E25-1</f>
        <v>1.3175953884161373E-2</v>
      </c>
      <c r="K25" s="52">
        <f t="shared" ref="K25:K31" si="9">G25/F25-1</f>
        <v>2.2125891808904452E-2</v>
      </c>
    </row>
    <row r="26" spans="2:11" x14ac:dyDescent="0.2">
      <c r="B26" s="42" t="s">
        <v>35</v>
      </c>
      <c r="C26" s="39">
        <v>8889</v>
      </c>
      <c r="D26" s="39">
        <v>8645</v>
      </c>
      <c r="E26" s="39">
        <v>10229</v>
      </c>
      <c r="F26" s="39">
        <v>7191</v>
      </c>
      <c r="G26" s="17">
        <v>9513</v>
      </c>
      <c r="H26" s="52">
        <f t="shared" si="6"/>
        <v>-2.7449656879289019E-2</v>
      </c>
      <c r="I26" s="52">
        <f t="shared" si="7"/>
        <v>0.1832272990167727</v>
      </c>
      <c r="J26" s="52">
        <f t="shared" si="8"/>
        <v>-0.2969987291035292</v>
      </c>
      <c r="K26" s="52">
        <f t="shared" si="9"/>
        <v>0.3229036295369212</v>
      </c>
    </row>
    <row r="27" spans="2:11" ht="13.2" x14ac:dyDescent="0.2">
      <c r="B27" s="41" t="s">
        <v>51</v>
      </c>
      <c r="C27" s="37">
        <v>33132</v>
      </c>
      <c r="D27" s="37">
        <v>33081</v>
      </c>
      <c r="E27" s="37">
        <v>35756</v>
      </c>
      <c r="F27" s="37">
        <v>33627</v>
      </c>
      <c r="G27" s="16">
        <v>36058</v>
      </c>
      <c r="H27" s="52">
        <f t="shared" si="6"/>
        <v>-1.5392973560304224E-3</v>
      </c>
      <c r="I27" s="52">
        <f t="shared" si="7"/>
        <v>8.0862126296061154E-2</v>
      </c>
      <c r="J27" s="52">
        <f t="shared" si="8"/>
        <v>-5.9542454413245349E-2</v>
      </c>
      <c r="K27" s="52">
        <f t="shared" si="9"/>
        <v>7.2293097808308726E-2</v>
      </c>
    </row>
    <row r="28" spans="2:11" x14ac:dyDescent="0.2">
      <c r="B28" s="40" t="s">
        <v>52</v>
      </c>
      <c r="C28" s="37">
        <v>23099</v>
      </c>
      <c r="D28" s="37">
        <v>22848</v>
      </c>
      <c r="E28" s="37">
        <v>24378</v>
      </c>
      <c r="F28" s="37">
        <v>25269</v>
      </c>
      <c r="G28" s="16">
        <v>24995</v>
      </c>
      <c r="H28" s="52">
        <f t="shared" si="6"/>
        <v>-1.0866271267154448E-2</v>
      </c>
      <c r="I28" s="52">
        <f t="shared" si="7"/>
        <v>6.6964285714285809E-2</v>
      </c>
      <c r="J28" s="52">
        <f t="shared" si="8"/>
        <v>3.6549347772581786E-2</v>
      </c>
      <c r="K28" s="52">
        <f t="shared" si="9"/>
        <v>-1.0843325814238747E-2</v>
      </c>
    </row>
    <row r="29" spans="2:11" x14ac:dyDescent="0.2">
      <c r="B29" s="40" t="s">
        <v>53</v>
      </c>
      <c r="C29" s="37">
        <v>6153</v>
      </c>
      <c r="D29" s="37">
        <v>6809</v>
      </c>
      <c r="E29" s="37">
        <v>6478</v>
      </c>
      <c r="F29" s="37">
        <v>6516</v>
      </c>
      <c r="G29" s="16">
        <v>5774</v>
      </c>
      <c r="H29" s="52">
        <f t="shared" si="6"/>
        <v>0.10661465951568339</v>
      </c>
      <c r="I29" s="52">
        <f t="shared" si="7"/>
        <v>-4.8612131003084147E-2</v>
      </c>
      <c r="J29" s="52">
        <f t="shared" si="8"/>
        <v>5.8660080271688564E-3</v>
      </c>
      <c r="K29" s="52">
        <f t="shared" si="9"/>
        <v>-0.11387354205033762</v>
      </c>
    </row>
    <row r="30" spans="2:11" x14ac:dyDescent="0.2">
      <c r="B30" s="42" t="s">
        <v>54</v>
      </c>
      <c r="C30" s="39">
        <v>10269</v>
      </c>
      <c r="D30" s="39">
        <v>7616</v>
      </c>
      <c r="E30" s="39">
        <v>7152</v>
      </c>
      <c r="F30" s="39">
        <v>6398</v>
      </c>
      <c r="G30" s="17">
        <v>6120</v>
      </c>
      <c r="H30" s="52">
        <f t="shared" si="6"/>
        <v>-0.25835037491479207</v>
      </c>
      <c r="I30" s="52">
        <f t="shared" si="7"/>
        <v>-6.0924369747899165E-2</v>
      </c>
      <c r="J30" s="52">
        <f t="shared" si="8"/>
        <v>-0.10542505592841167</v>
      </c>
      <c r="K30" s="52">
        <f t="shared" si="9"/>
        <v>-4.3451078462019344E-2</v>
      </c>
    </row>
    <row r="31" spans="2:11" ht="13.2" x14ac:dyDescent="0.2">
      <c r="B31" s="41" t="s">
        <v>55</v>
      </c>
      <c r="C31" s="37">
        <v>72653</v>
      </c>
      <c r="D31" s="37">
        <v>70354</v>
      </c>
      <c r="E31" s="37">
        <v>73764</v>
      </c>
      <c r="F31" s="37">
        <v>71811</v>
      </c>
      <c r="G31" s="16">
        <v>72946</v>
      </c>
      <c r="H31" s="52">
        <f t="shared" si="6"/>
        <v>-3.1643565991769096E-2</v>
      </c>
      <c r="I31" s="52">
        <f t="shared" si="7"/>
        <v>4.8469170196435263E-2</v>
      </c>
      <c r="J31" s="52">
        <f t="shared" si="8"/>
        <v>-2.6476329917032748E-2</v>
      </c>
      <c r="K31" s="52">
        <f t="shared" si="9"/>
        <v>1.5805378006155113E-2</v>
      </c>
    </row>
    <row r="34" spans="2:11" ht="13.2" x14ac:dyDescent="0.2">
      <c r="B34" s="41" t="s">
        <v>56</v>
      </c>
      <c r="C34" s="37"/>
      <c r="D34" s="37"/>
      <c r="E34" s="37"/>
      <c r="F34" s="37"/>
      <c r="G34" s="38"/>
    </row>
    <row r="35" spans="2:11" x14ac:dyDescent="0.2">
      <c r="B35" s="40" t="s">
        <v>57</v>
      </c>
      <c r="C35" s="37"/>
      <c r="D35" s="37"/>
      <c r="E35" s="37"/>
      <c r="F35" s="37"/>
      <c r="G35" s="38"/>
    </row>
    <row r="36" spans="2:11" x14ac:dyDescent="0.2">
      <c r="B36" s="40" t="s">
        <v>58</v>
      </c>
      <c r="C36" s="37">
        <v>870</v>
      </c>
      <c r="D36" s="37">
        <v>843</v>
      </c>
      <c r="E36" s="37">
        <v>819</v>
      </c>
      <c r="F36" s="37">
        <v>798</v>
      </c>
      <c r="G36" s="16">
        <v>777</v>
      </c>
      <c r="H36" s="7">
        <f>D36/C36-1</f>
        <v>-3.1034482758620641E-2</v>
      </c>
      <c r="I36" s="7">
        <f t="shared" ref="I36:K36" si="10">E36/D36-1</f>
        <v>-2.8469750889679735E-2</v>
      </c>
      <c r="J36" s="7">
        <f t="shared" si="10"/>
        <v>-2.5641025641025661E-2</v>
      </c>
      <c r="K36" s="7">
        <f t="shared" si="10"/>
        <v>-2.6315789473684181E-2</v>
      </c>
    </row>
    <row r="37" spans="2:11" x14ac:dyDescent="0.2">
      <c r="B37" s="40" t="s">
        <v>59</v>
      </c>
      <c r="C37" s="37"/>
      <c r="D37" s="37"/>
      <c r="E37" s="37"/>
      <c r="F37" s="37"/>
      <c r="G37" s="38"/>
      <c r="H37" s="7"/>
      <c r="I37" s="7"/>
      <c r="J37" s="7"/>
      <c r="K37" s="7"/>
    </row>
    <row r="38" spans="2:11" x14ac:dyDescent="0.2">
      <c r="B38" s="40" t="s">
        <v>58</v>
      </c>
      <c r="C38" s="37">
        <v>0</v>
      </c>
      <c r="D38" s="37">
        <v>0</v>
      </c>
      <c r="E38" s="37">
        <v>0</v>
      </c>
      <c r="F38" s="37">
        <v>0</v>
      </c>
      <c r="G38" s="16">
        <v>0</v>
      </c>
      <c r="H38" s="7"/>
      <c r="I38" s="7"/>
      <c r="J38" s="7"/>
      <c r="K38" s="7"/>
    </row>
    <row r="39" spans="2:11" ht="13.2" x14ac:dyDescent="0.2">
      <c r="B39" s="41" t="s">
        <v>36</v>
      </c>
      <c r="C39" s="37"/>
      <c r="D39" s="37"/>
      <c r="E39" s="37"/>
      <c r="F39" s="37"/>
      <c r="G39" s="38"/>
      <c r="H39" s="7"/>
      <c r="I39" s="7"/>
      <c r="J39" s="7"/>
      <c r="K39" s="7"/>
    </row>
    <row r="40" spans="2:11" ht="22.8" x14ac:dyDescent="0.2">
      <c r="B40" s="47" t="s">
        <v>63</v>
      </c>
      <c r="C40" s="48">
        <v>4009</v>
      </c>
      <c r="D40" s="48">
        <v>4009</v>
      </c>
      <c r="E40" s="48">
        <v>4009</v>
      </c>
      <c r="F40" s="48">
        <v>4009</v>
      </c>
      <c r="G40" s="49">
        <v>4009</v>
      </c>
      <c r="H40" s="7">
        <f t="shared" ref="H40:H49" si="11">D40/C40-1</f>
        <v>0</v>
      </c>
      <c r="I40" s="7">
        <f t="shared" ref="I40:I49" si="12">E40/D40-1</f>
        <v>0</v>
      </c>
      <c r="J40" s="7">
        <f t="shared" ref="J40:J49" si="13">F40/E40-1</f>
        <v>0</v>
      </c>
      <c r="K40" s="7">
        <f t="shared" ref="K40:K49" si="14">G40/F40-1</f>
        <v>0</v>
      </c>
    </row>
    <row r="41" spans="2:11" x14ac:dyDescent="0.2">
      <c r="B41" s="40" t="s">
        <v>37</v>
      </c>
      <c r="C41" s="37">
        <v>64848</v>
      </c>
      <c r="D41" s="37">
        <v>65795</v>
      </c>
      <c r="E41" s="37">
        <v>66556</v>
      </c>
      <c r="F41" s="37">
        <v>67684</v>
      </c>
      <c r="G41" s="16">
        <v>68770</v>
      </c>
      <c r="H41" s="7">
        <f t="shared" si="11"/>
        <v>1.4603380212188544E-2</v>
      </c>
      <c r="I41" s="7">
        <f t="shared" si="12"/>
        <v>1.156622843681121E-2</v>
      </c>
      <c r="J41" s="7">
        <f t="shared" si="13"/>
        <v>1.6948133902277673E-2</v>
      </c>
      <c r="K41" s="7">
        <f t="shared" si="14"/>
        <v>1.6045150995803947E-2</v>
      </c>
    </row>
    <row r="42" spans="2:11" x14ac:dyDescent="0.2">
      <c r="B42" s="40" t="s">
        <v>60</v>
      </c>
      <c r="C42" s="37">
        <v>-1006</v>
      </c>
      <c r="D42" s="37">
        <v>-916</v>
      </c>
      <c r="E42" s="37">
        <v>-821</v>
      </c>
      <c r="F42" s="37">
        <v>-737</v>
      </c>
      <c r="G42" s="16">
        <v>-672</v>
      </c>
      <c r="H42" s="7">
        <f t="shared" si="11"/>
        <v>-8.9463220675944366E-2</v>
      </c>
      <c r="I42" s="7">
        <f t="shared" si="12"/>
        <v>-0.10371179039301315</v>
      </c>
      <c r="J42" s="7">
        <f t="shared" si="13"/>
        <v>-0.10231425091352009</v>
      </c>
      <c r="K42" s="7">
        <f t="shared" si="14"/>
        <v>-8.8195386702849432E-2</v>
      </c>
    </row>
    <row r="43" spans="2:11" x14ac:dyDescent="0.2">
      <c r="B43" s="40" t="s">
        <v>38</v>
      </c>
      <c r="C43" s="37">
        <v>-13744</v>
      </c>
      <c r="D43" s="37">
        <v>-12189</v>
      </c>
      <c r="E43" s="37">
        <v>-12220</v>
      </c>
      <c r="F43" s="37">
        <v>-11900</v>
      </c>
      <c r="G43" s="16">
        <v>-12143</v>
      </c>
      <c r="H43" s="7">
        <f t="shared" si="11"/>
        <v>-0.11314027939464488</v>
      </c>
      <c r="I43" s="7">
        <f t="shared" si="12"/>
        <v>2.5432767249158328E-3</v>
      </c>
      <c r="J43" s="7">
        <f t="shared" si="13"/>
        <v>-2.6186579378068786E-2</v>
      </c>
      <c r="K43" s="7">
        <f t="shared" si="14"/>
        <v>2.0420168067226907E-2</v>
      </c>
    </row>
    <row r="44" spans="2:11" ht="22.8" x14ac:dyDescent="0.2">
      <c r="B44" s="47" t="s">
        <v>68</v>
      </c>
      <c r="C44" s="50">
        <v>-114973</v>
      </c>
      <c r="D44" s="50">
        <v>-123382</v>
      </c>
      <c r="E44" s="50">
        <v>-129736</v>
      </c>
      <c r="F44" s="50">
        <v>-133379</v>
      </c>
      <c r="G44" s="51">
        <v>-138702</v>
      </c>
      <c r="H44" s="7">
        <f t="shared" si="11"/>
        <v>7.3138910874727125E-2</v>
      </c>
      <c r="I44" s="7">
        <f t="shared" si="12"/>
        <v>5.1498597850577976E-2</v>
      </c>
      <c r="J44" s="7">
        <f t="shared" si="13"/>
        <v>2.80801011284455E-2</v>
      </c>
      <c r="K44" s="7">
        <f t="shared" si="14"/>
        <v>3.9908831225305308E-2</v>
      </c>
    </row>
    <row r="45" spans="2:11" x14ac:dyDescent="0.2">
      <c r="B45" s="40" t="s">
        <v>39</v>
      </c>
      <c r="C45" s="37">
        <v>106374</v>
      </c>
      <c r="D45" s="37">
        <v>112429</v>
      </c>
      <c r="E45" s="37">
        <v>118170</v>
      </c>
      <c r="F45" s="37">
        <v>123811</v>
      </c>
      <c r="G45" s="16">
        <v>129973</v>
      </c>
      <c r="H45" s="7">
        <f t="shared" si="11"/>
        <v>5.6921804200274595E-2</v>
      </c>
      <c r="I45" s="7">
        <f t="shared" si="12"/>
        <v>5.1063337750936189E-2</v>
      </c>
      <c r="J45" s="7">
        <f t="shared" si="13"/>
        <v>4.7736312092747646E-2</v>
      </c>
      <c r="K45" s="7">
        <f t="shared" si="14"/>
        <v>4.9769406595536747E-2</v>
      </c>
    </row>
    <row r="46" spans="2:11" x14ac:dyDescent="0.2">
      <c r="B46" s="42" t="s">
        <v>40</v>
      </c>
      <c r="C46" s="39">
        <v>276</v>
      </c>
      <c r="D46" s="39">
        <v>265</v>
      </c>
      <c r="E46" s="39">
        <v>288</v>
      </c>
      <c r="F46" s="39">
        <v>272</v>
      </c>
      <c r="G46" s="17">
        <v>272</v>
      </c>
      <c r="H46" s="7">
        <f t="shared" si="11"/>
        <v>-3.9855072463768071E-2</v>
      </c>
      <c r="I46" s="7">
        <f t="shared" si="12"/>
        <v>8.679245283018866E-2</v>
      </c>
      <c r="J46" s="7">
        <f t="shared" si="13"/>
        <v>-5.555555555555558E-2</v>
      </c>
      <c r="K46" s="7">
        <f t="shared" si="14"/>
        <v>0</v>
      </c>
    </row>
    <row r="47" spans="2:11" ht="13.2" x14ac:dyDescent="0.2">
      <c r="B47" s="41" t="s">
        <v>61</v>
      </c>
      <c r="C47" s="33">
        <v>46654</v>
      </c>
      <c r="D47" s="33">
        <v>46854</v>
      </c>
      <c r="E47" s="33">
        <v>47065</v>
      </c>
      <c r="F47" s="33">
        <v>50559</v>
      </c>
      <c r="G47" s="34">
        <v>52284</v>
      </c>
      <c r="H47" s="7">
        <f t="shared" si="11"/>
        <v>4.2868778668496699E-3</v>
      </c>
      <c r="I47" s="7">
        <f t="shared" si="12"/>
        <v>4.5033508345071471E-3</v>
      </c>
      <c r="J47" s="7">
        <f t="shared" si="13"/>
        <v>7.4237756294486257E-2</v>
      </c>
      <c r="K47" s="7">
        <f t="shared" si="14"/>
        <v>3.4118554560018888E-2</v>
      </c>
    </row>
    <row r="48" spans="2:11" x14ac:dyDescent="0.2">
      <c r="H48" s="7"/>
      <c r="I48" s="7"/>
      <c r="J48" s="7"/>
      <c r="K48" s="7"/>
    </row>
    <row r="49" spans="2:11" ht="14.4" thickBot="1" x14ac:dyDescent="0.25">
      <c r="B49" s="46" t="s">
        <v>62</v>
      </c>
      <c r="C49" s="45">
        <v>119307</v>
      </c>
      <c r="D49" s="45">
        <v>117208</v>
      </c>
      <c r="E49" s="45">
        <v>120829</v>
      </c>
      <c r="F49" s="45">
        <v>122370</v>
      </c>
      <c r="G49" s="45">
        <v>125231</v>
      </c>
      <c r="H49" s="7">
        <f t="shared" si="11"/>
        <v>-1.7593267788143185E-2</v>
      </c>
      <c r="I49" s="7">
        <f t="shared" si="12"/>
        <v>3.0893795645348332E-2</v>
      </c>
      <c r="J49" s="7">
        <f t="shared" si="13"/>
        <v>1.275356081735346E-2</v>
      </c>
      <c r="K49" s="7">
        <f t="shared" si="14"/>
        <v>2.3379913377461703E-2</v>
      </c>
    </row>
    <row r="50" spans="2:11" ht="12" thickTop="1" x14ac:dyDescent="0.2"/>
  </sheetData>
  <phoneticPr fontId="16" type="noConversion"/>
  <conditionalFormatting sqref="H7:K20">
    <cfRule type="iconSet" priority="3">
      <iconSet>
        <cfvo type="percent" val="0"/>
        <cfvo type="num" val="0"/>
        <cfvo type="num" val="0.1"/>
      </iconSet>
    </cfRule>
  </conditionalFormatting>
  <conditionalFormatting sqref="H24:K31">
    <cfRule type="iconSet" priority="2">
      <iconSet reverse="1">
        <cfvo type="percent" val="0"/>
        <cfvo type="num" val="0"/>
        <cfvo type="num" val="0.1"/>
      </iconSet>
    </cfRule>
  </conditionalFormatting>
  <conditionalFormatting sqref="H36:K49">
    <cfRule type="iconSet" priority="1">
      <iconSet reverse="1">
        <cfvo type="percent" val="0"/>
        <cfvo type="num" val="0"/>
        <cfvo type="num" val="0.1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2570-0028-41EB-87EF-F3D1CF5BEB68}">
  <dimension ref="B1:S55"/>
  <sheetViews>
    <sheetView zoomScaleNormal="100" workbookViewId="0"/>
  </sheetViews>
  <sheetFormatPr defaultRowHeight="11.4" x14ac:dyDescent="0.2"/>
  <cols>
    <col min="1" max="1" width="2" style="1" customWidth="1"/>
    <col min="2" max="2" width="58" style="1" bestFit="1" customWidth="1"/>
    <col min="3" max="7" width="9.6640625" style="1" bestFit="1" customWidth="1"/>
    <col min="8" max="8" width="8.88671875" style="1"/>
    <col min="9" max="9" width="15.77734375" style="1" bestFit="1" customWidth="1"/>
    <col min="10" max="16384" width="8.88671875" style="1"/>
  </cols>
  <sheetData>
    <row r="1" spans="2:19" ht="15" x14ac:dyDescent="0.25">
      <c r="B1" s="2" t="s">
        <v>24</v>
      </c>
    </row>
    <row r="4" spans="2:19" ht="12" x14ac:dyDescent="0.25">
      <c r="B4" s="3" t="s">
        <v>1</v>
      </c>
      <c r="C4" s="31">
        <v>44377</v>
      </c>
      <c r="D4" s="31">
        <v>44742</v>
      </c>
      <c r="E4" s="31">
        <v>45107</v>
      </c>
      <c r="F4" s="31">
        <v>45473</v>
      </c>
      <c r="G4" s="31">
        <v>45838</v>
      </c>
      <c r="I4" s="30" t="s">
        <v>23</v>
      </c>
      <c r="J4" s="30">
        <v>2021</v>
      </c>
      <c r="K4" s="30">
        <v>2022</v>
      </c>
      <c r="L4" s="30">
        <v>2023</v>
      </c>
      <c r="M4" s="30">
        <v>2024</v>
      </c>
      <c r="N4" s="30">
        <v>2025</v>
      </c>
      <c r="O4" s="13"/>
      <c r="P4" s="13"/>
      <c r="Q4" s="13"/>
      <c r="R4" s="13"/>
      <c r="S4" s="13"/>
    </row>
    <row r="5" spans="2:19" ht="13.8" x14ac:dyDescent="0.25">
      <c r="B5" s="43" t="s">
        <v>25</v>
      </c>
      <c r="C5" s="36"/>
      <c r="D5" s="36"/>
      <c r="E5" s="16"/>
      <c r="F5" s="16"/>
      <c r="G5" s="16"/>
      <c r="I5" s="30" t="s">
        <v>69</v>
      </c>
      <c r="J5" s="54">
        <f>C15/C27</f>
        <v>0.69693951466859838</v>
      </c>
      <c r="K5" s="54">
        <f t="shared" ref="K5:N5" si="0">D15/D27</f>
        <v>0.65454490493032258</v>
      </c>
      <c r="L5" s="54">
        <f t="shared" si="0"/>
        <v>0.63340418391318942</v>
      </c>
      <c r="M5" s="54">
        <f t="shared" si="0"/>
        <v>0.73479644333422545</v>
      </c>
      <c r="N5" s="54">
        <f t="shared" si="0"/>
        <v>0.70419879083698489</v>
      </c>
      <c r="O5" s="13"/>
      <c r="P5" s="13"/>
      <c r="Q5" s="13"/>
      <c r="R5" s="13"/>
      <c r="S5" s="13"/>
    </row>
    <row r="6" spans="2:19" ht="13.2" x14ac:dyDescent="0.25">
      <c r="B6" s="41" t="s">
        <v>41</v>
      </c>
      <c r="C6" s="36"/>
      <c r="D6" s="36"/>
      <c r="E6" s="18"/>
      <c r="F6" s="18"/>
      <c r="G6" s="18"/>
      <c r="I6" s="30" t="s">
        <v>70</v>
      </c>
      <c r="J6" s="54">
        <f>(C7+C8)/C27</f>
        <v>0.45312688639381865</v>
      </c>
      <c r="K6" s="54">
        <f t="shared" ref="K6:N6" si="1">(D7+D8)/D27</f>
        <v>0.37353768023941236</v>
      </c>
      <c r="L6" s="54">
        <f t="shared" si="1"/>
        <v>0.38362792258641909</v>
      </c>
      <c r="M6" s="54">
        <f t="shared" si="1"/>
        <v>0.46391292711214205</v>
      </c>
      <c r="N6" s="54">
        <f t="shared" si="1"/>
        <v>0.43654667480170833</v>
      </c>
      <c r="O6" s="13"/>
      <c r="P6" s="13"/>
      <c r="Q6" s="13"/>
      <c r="R6" s="13"/>
      <c r="S6" s="13"/>
    </row>
    <row r="7" spans="2:19" ht="12" x14ac:dyDescent="0.25">
      <c r="B7" s="40" t="s">
        <v>26</v>
      </c>
      <c r="C7" s="37">
        <v>10288</v>
      </c>
      <c r="D7" s="37">
        <v>7214</v>
      </c>
      <c r="E7" s="37">
        <v>8246</v>
      </c>
      <c r="F7" s="37">
        <v>9482</v>
      </c>
      <c r="G7" s="16">
        <v>9556</v>
      </c>
      <c r="I7" s="30" t="s">
        <v>71</v>
      </c>
      <c r="J7" s="54">
        <f>C7/C27</f>
        <v>0.3105155137027647</v>
      </c>
      <c r="K7" s="54">
        <f t="shared" ref="K7:N7" si="2">D7/D27</f>
        <v>0.21807079592515341</v>
      </c>
      <c r="L7" s="54">
        <f t="shared" si="2"/>
        <v>0.23061863743148003</v>
      </c>
      <c r="M7" s="54">
        <f t="shared" si="2"/>
        <v>0.28197579326136735</v>
      </c>
      <c r="N7" s="54">
        <f t="shared" si="2"/>
        <v>0.26501747185090685</v>
      </c>
      <c r="O7" s="13"/>
      <c r="P7" s="13"/>
      <c r="Q7" s="13"/>
      <c r="R7" s="13"/>
      <c r="S7" s="13"/>
    </row>
    <row r="8" spans="2:19" ht="12" x14ac:dyDescent="0.25">
      <c r="B8" s="40" t="s">
        <v>27</v>
      </c>
      <c r="C8" s="37">
        <v>4725</v>
      </c>
      <c r="D8" s="37">
        <v>5143</v>
      </c>
      <c r="E8" s="37">
        <v>5471</v>
      </c>
      <c r="F8" s="37">
        <v>6118</v>
      </c>
      <c r="G8" s="16">
        <v>6185</v>
      </c>
      <c r="I8" s="30" t="s">
        <v>100</v>
      </c>
      <c r="J8" s="55">
        <f>C15-C27</f>
        <v>-10041</v>
      </c>
      <c r="K8" s="55">
        <f t="shared" ref="K8:N8" si="3">D15-D27</f>
        <v>-11428</v>
      </c>
      <c r="L8" s="55">
        <f t="shared" si="3"/>
        <v>-13108</v>
      </c>
      <c r="M8" s="55">
        <f t="shared" si="3"/>
        <v>-8918</v>
      </c>
      <c r="N8" s="55">
        <f t="shared" si="3"/>
        <v>-10666</v>
      </c>
      <c r="O8" s="13"/>
      <c r="P8" s="13"/>
      <c r="Q8" s="13"/>
      <c r="R8" s="13"/>
      <c r="S8" s="13"/>
    </row>
    <row r="9" spans="2:19" ht="13.2" x14ac:dyDescent="0.25">
      <c r="B9" s="41" t="s">
        <v>42</v>
      </c>
      <c r="C9" s="37"/>
      <c r="D9" s="37"/>
      <c r="E9" s="37"/>
      <c r="F9" s="37"/>
      <c r="G9" s="38"/>
      <c r="I9" s="30"/>
      <c r="J9" s="30"/>
      <c r="K9" s="30"/>
      <c r="L9" s="30"/>
      <c r="M9" s="30"/>
      <c r="N9" s="30"/>
      <c r="O9" s="13"/>
      <c r="P9" s="13"/>
      <c r="Q9" s="13"/>
      <c r="R9" s="13"/>
      <c r="S9" s="13"/>
    </row>
    <row r="10" spans="2:19" ht="12" x14ac:dyDescent="0.25">
      <c r="B10" s="40" t="s">
        <v>28</v>
      </c>
      <c r="C10" s="37">
        <v>1645</v>
      </c>
      <c r="D10" s="37">
        <v>2168</v>
      </c>
      <c r="E10" s="37">
        <v>1863</v>
      </c>
      <c r="F10" s="37">
        <v>1617</v>
      </c>
      <c r="G10" s="16">
        <v>2022</v>
      </c>
      <c r="I10" s="30" t="s">
        <v>72</v>
      </c>
      <c r="J10" s="54">
        <f>C31/C47</f>
        <v>1.5572726883011103</v>
      </c>
      <c r="K10" s="54">
        <f>D31/D47</f>
        <v>1.5015580313313699</v>
      </c>
      <c r="L10" s="54">
        <f>E31/E47</f>
        <v>1.5672792945925846</v>
      </c>
      <c r="M10" s="54">
        <f>F31/F47</f>
        <v>1.4203405921794339</v>
      </c>
      <c r="N10" s="54">
        <f>G31/G47</f>
        <v>1.3951878203656951</v>
      </c>
      <c r="O10" s="13"/>
      <c r="P10" s="13"/>
      <c r="Q10" s="13"/>
      <c r="R10" s="13"/>
      <c r="S10" s="13"/>
    </row>
    <row r="11" spans="2:19" ht="12" x14ac:dyDescent="0.25">
      <c r="B11" s="40" t="s">
        <v>29</v>
      </c>
      <c r="C11" s="37">
        <v>719</v>
      </c>
      <c r="D11" s="37">
        <v>856</v>
      </c>
      <c r="E11" s="37">
        <v>956</v>
      </c>
      <c r="F11" s="37">
        <v>929</v>
      </c>
      <c r="G11" s="16">
        <v>1012</v>
      </c>
      <c r="I11" s="30" t="s">
        <v>73</v>
      </c>
      <c r="J11" s="54">
        <f>(C31-(C24+C25))/C49</f>
        <v>0.40575993026394092</v>
      </c>
      <c r="K11" s="54">
        <f>(D31-(D24+D25))/D49</f>
        <v>0.39176506723090576</v>
      </c>
      <c r="L11" s="54">
        <f>(E31-(E24+E25))/E49</f>
        <v>0.39921707537097884</v>
      </c>
      <c r="M11" s="54">
        <f>(F31-(F24+F25))/F49</f>
        <v>0.37079349513769716</v>
      </c>
      <c r="N11" s="54">
        <f>(G31-(G24+G25))/G49</f>
        <v>0.37052327299151167</v>
      </c>
      <c r="O11" s="13"/>
      <c r="P11" s="13"/>
      <c r="Q11" s="13"/>
      <c r="R11" s="13"/>
      <c r="S11" s="13"/>
    </row>
    <row r="12" spans="2:19" ht="12" x14ac:dyDescent="0.25">
      <c r="B12" s="42" t="s">
        <v>30</v>
      </c>
      <c r="C12" s="39">
        <v>3619</v>
      </c>
      <c r="D12" s="39">
        <v>3900</v>
      </c>
      <c r="E12" s="39">
        <v>4254</v>
      </c>
      <c r="F12" s="39">
        <v>4470</v>
      </c>
      <c r="G12" s="17">
        <v>4516</v>
      </c>
      <c r="I12" s="30" t="s">
        <v>74</v>
      </c>
      <c r="J12" s="54">
        <f>C31/C20</f>
        <v>0.6089584014349535</v>
      </c>
      <c r="K12" s="54">
        <f>D31/D20</f>
        <v>0.60024912975223532</v>
      </c>
      <c r="L12" s="54">
        <f>E31/E20</f>
        <v>0.61048258282365986</v>
      </c>
      <c r="M12" s="54">
        <f>F31/F20</f>
        <v>0.58683500858053439</v>
      </c>
      <c r="N12" s="54">
        <f>G31/G20</f>
        <v>0.58249155560524146</v>
      </c>
      <c r="O12" s="13"/>
      <c r="P12" s="13"/>
      <c r="Q12" s="13"/>
      <c r="R12" s="13"/>
      <c r="S12" s="13"/>
    </row>
    <row r="13" spans="2:19" ht="14.4" x14ac:dyDescent="0.3">
      <c r="B13" s="40" t="s">
        <v>31</v>
      </c>
      <c r="C13" s="37">
        <v>5983</v>
      </c>
      <c r="D13" s="37">
        <v>6924</v>
      </c>
      <c r="E13" s="37">
        <v>7073</v>
      </c>
      <c r="F13" s="37">
        <v>7016</v>
      </c>
      <c r="G13" s="16">
        <v>7551</v>
      </c>
      <c r="I13" s="30" t="s">
        <v>75</v>
      </c>
      <c r="J13" s="54"/>
      <c r="K13" s="54">
        <f>((C20+D20)/2)/((C47+D47)/2)</f>
        <v>2.5293557770458142</v>
      </c>
      <c r="L13" s="54">
        <f>((D20+E20)/2)/((D47+E47)/2)</f>
        <v>2.5344924882079241</v>
      </c>
      <c r="M13" s="54">
        <f>((E20+F20)/2)/((E47+F47)/2)</f>
        <v>2.4911804474309598</v>
      </c>
      <c r="N13" s="54">
        <f>((F20+G20)/2)/((F47+G47)/2)</f>
        <v>2.4075629843547932</v>
      </c>
      <c r="O13" s="53"/>
      <c r="P13" s="53"/>
      <c r="Q13" s="53"/>
      <c r="R13" s="53"/>
      <c r="S13" s="53"/>
    </row>
    <row r="14" spans="2:19" ht="14.4" x14ac:dyDescent="0.3">
      <c r="B14" s="42" t="s">
        <v>32</v>
      </c>
      <c r="C14" s="39">
        <v>2095</v>
      </c>
      <c r="D14" s="39">
        <v>2372</v>
      </c>
      <c r="E14" s="39">
        <v>1858</v>
      </c>
      <c r="F14" s="39">
        <v>2095</v>
      </c>
      <c r="G14" s="17">
        <v>2100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</row>
    <row r="15" spans="2:19" ht="14.4" x14ac:dyDescent="0.3">
      <c r="B15" s="41" t="s">
        <v>43</v>
      </c>
      <c r="C15" s="37">
        <v>23091</v>
      </c>
      <c r="D15" s="37">
        <v>21653</v>
      </c>
      <c r="E15" s="37">
        <v>22648</v>
      </c>
      <c r="F15" s="37">
        <v>24709</v>
      </c>
      <c r="G15" s="16">
        <v>25392</v>
      </c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</row>
    <row r="16" spans="2:19" ht="14.4" x14ac:dyDescent="0.3">
      <c r="B16" s="40" t="s">
        <v>44</v>
      </c>
      <c r="C16" s="37">
        <v>21686</v>
      </c>
      <c r="D16" s="37">
        <v>21195</v>
      </c>
      <c r="E16" s="37">
        <v>21909</v>
      </c>
      <c r="F16" s="37">
        <v>22152</v>
      </c>
      <c r="G16" s="16">
        <v>23897</v>
      </c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2:19" ht="14.4" x14ac:dyDescent="0.3">
      <c r="B17" s="40" t="s">
        <v>45</v>
      </c>
      <c r="C17" s="37">
        <v>40924</v>
      </c>
      <c r="D17" s="37">
        <v>39700</v>
      </c>
      <c r="E17" s="37">
        <v>40659</v>
      </c>
      <c r="F17" s="37">
        <v>40303</v>
      </c>
      <c r="G17" s="16">
        <v>41650</v>
      </c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</row>
    <row r="18" spans="2:19" ht="14.4" x14ac:dyDescent="0.3">
      <c r="B18" s="40" t="s">
        <v>46</v>
      </c>
      <c r="C18" s="37">
        <v>23642</v>
      </c>
      <c r="D18" s="37">
        <v>23679</v>
      </c>
      <c r="E18" s="37">
        <v>23783</v>
      </c>
      <c r="F18" s="37">
        <v>22047</v>
      </c>
      <c r="G18" s="16">
        <v>21910</v>
      </c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</row>
    <row r="19" spans="2:19" ht="14.4" x14ac:dyDescent="0.3">
      <c r="B19" s="42" t="s">
        <v>47</v>
      </c>
      <c r="C19" s="39">
        <v>9964</v>
      </c>
      <c r="D19" s="39">
        <v>10981</v>
      </c>
      <c r="E19" s="39">
        <v>11830</v>
      </c>
      <c r="F19" s="39">
        <v>13158</v>
      </c>
      <c r="G19" s="17">
        <v>12381</v>
      </c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</row>
    <row r="20" spans="2:19" ht="15" thickBot="1" x14ac:dyDescent="0.35">
      <c r="B20" s="44" t="s">
        <v>48</v>
      </c>
      <c r="C20" s="45">
        <v>119307</v>
      </c>
      <c r="D20" s="45">
        <v>117208</v>
      </c>
      <c r="E20" s="45">
        <v>120829</v>
      </c>
      <c r="F20" s="45">
        <v>122370</v>
      </c>
      <c r="G20" s="45">
        <v>125231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</row>
    <row r="21" spans="2:19" ht="15" thickTop="1" x14ac:dyDescent="0.3">
      <c r="B21" s="40"/>
      <c r="C21" s="35"/>
      <c r="D21" s="35"/>
      <c r="E21" s="35"/>
      <c r="F21" s="35"/>
      <c r="G21" s="38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</row>
    <row r="22" spans="2:19" ht="13.8" x14ac:dyDescent="0.2">
      <c r="B22" s="43" t="s">
        <v>49</v>
      </c>
      <c r="C22" s="37"/>
      <c r="D22" s="37"/>
      <c r="E22" s="37"/>
      <c r="F22" s="37"/>
      <c r="G22" s="38"/>
    </row>
    <row r="23" spans="2:19" ht="13.2" x14ac:dyDescent="0.2">
      <c r="B23" s="41" t="s">
        <v>50</v>
      </c>
      <c r="C23" s="37"/>
      <c r="D23" s="37"/>
      <c r="E23" s="37"/>
      <c r="F23" s="37"/>
      <c r="G23" s="38"/>
    </row>
    <row r="24" spans="2:19" x14ac:dyDescent="0.2">
      <c r="B24" s="40" t="s">
        <v>33</v>
      </c>
      <c r="C24" s="37">
        <v>13720</v>
      </c>
      <c r="D24" s="37">
        <v>14882</v>
      </c>
      <c r="E24" s="37">
        <v>14598</v>
      </c>
      <c r="F24" s="37">
        <v>15364</v>
      </c>
      <c r="G24" s="16">
        <v>15227</v>
      </c>
    </row>
    <row r="25" spans="2:19" x14ac:dyDescent="0.2">
      <c r="B25" s="40" t="s">
        <v>34</v>
      </c>
      <c r="C25" s="37">
        <v>10523</v>
      </c>
      <c r="D25" s="37">
        <v>9554</v>
      </c>
      <c r="E25" s="37">
        <v>10929</v>
      </c>
      <c r="F25" s="37">
        <v>11073</v>
      </c>
      <c r="G25" s="16">
        <v>11318</v>
      </c>
    </row>
    <row r="26" spans="2:19" x14ac:dyDescent="0.2">
      <c r="B26" s="42" t="s">
        <v>35</v>
      </c>
      <c r="C26" s="39">
        <v>8889</v>
      </c>
      <c r="D26" s="39">
        <v>8645</v>
      </c>
      <c r="E26" s="39">
        <v>10229</v>
      </c>
      <c r="F26" s="39">
        <v>7191</v>
      </c>
      <c r="G26" s="17">
        <v>9513</v>
      </c>
    </row>
    <row r="27" spans="2:19" ht="13.2" x14ac:dyDescent="0.2">
      <c r="B27" s="41" t="s">
        <v>51</v>
      </c>
      <c r="C27" s="37">
        <v>33132</v>
      </c>
      <c r="D27" s="37">
        <v>33081</v>
      </c>
      <c r="E27" s="37">
        <v>35756</v>
      </c>
      <c r="F27" s="37">
        <v>33627</v>
      </c>
      <c r="G27" s="16">
        <v>36058</v>
      </c>
    </row>
    <row r="28" spans="2:19" x14ac:dyDescent="0.2">
      <c r="B28" s="40" t="s">
        <v>52</v>
      </c>
      <c r="C28" s="37">
        <v>23099</v>
      </c>
      <c r="D28" s="37">
        <v>22848</v>
      </c>
      <c r="E28" s="37">
        <v>24378</v>
      </c>
      <c r="F28" s="37">
        <v>25269</v>
      </c>
      <c r="G28" s="16">
        <v>24995</v>
      </c>
    </row>
    <row r="29" spans="2:19" x14ac:dyDescent="0.2">
      <c r="B29" s="40" t="s">
        <v>53</v>
      </c>
      <c r="C29" s="37">
        <v>6153</v>
      </c>
      <c r="D29" s="37">
        <v>6809</v>
      </c>
      <c r="E29" s="37">
        <v>6478</v>
      </c>
      <c r="F29" s="37">
        <v>6516</v>
      </c>
      <c r="G29" s="16">
        <v>5774</v>
      </c>
    </row>
    <row r="30" spans="2:19" x14ac:dyDescent="0.2">
      <c r="B30" s="42" t="s">
        <v>54</v>
      </c>
      <c r="C30" s="39">
        <v>10269</v>
      </c>
      <c r="D30" s="39">
        <v>7616</v>
      </c>
      <c r="E30" s="39">
        <v>7152</v>
      </c>
      <c r="F30" s="39">
        <v>6398</v>
      </c>
      <c r="G30" s="17">
        <v>6120</v>
      </c>
    </row>
    <row r="31" spans="2:19" ht="13.2" x14ac:dyDescent="0.2">
      <c r="B31" s="41" t="s">
        <v>55</v>
      </c>
      <c r="C31" s="37">
        <v>72653</v>
      </c>
      <c r="D31" s="37">
        <v>70354</v>
      </c>
      <c r="E31" s="37">
        <v>73764</v>
      </c>
      <c r="F31" s="37">
        <v>71811</v>
      </c>
      <c r="G31" s="16">
        <v>72946</v>
      </c>
    </row>
    <row r="34" spans="2:7" ht="13.2" x14ac:dyDescent="0.2">
      <c r="B34" s="41" t="s">
        <v>56</v>
      </c>
      <c r="C34" s="37"/>
      <c r="D34" s="37"/>
      <c r="E34" s="37"/>
      <c r="F34" s="37"/>
      <c r="G34" s="38"/>
    </row>
    <row r="35" spans="2:7" x14ac:dyDescent="0.2">
      <c r="B35" s="40" t="s">
        <v>57</v>
      </c>
      <c r="C35" s="37"/>
      <c r="D35" s="37"/>
      <c r="E35" s="37"/>
      <c r="F35" s="37"/>
      <c r="G35" s="38"/>
    </row>
    <row r="36" spans="2:7" x14ac:dyDescent="0.2">
      <c r="B36" s="40" t="s">
        <v>58</v>
      </c>
      <c r="C36" s="37">
        <v>870</v>
      </c>
      <c r="D36" s="37">
        <v>843</v>
      </c>
      <c r="E36" s="37">
        <v>819</v>
      </c>
      <c r="F36" s="37">
        <v>798</v>
      </c>
      <c r="G36" s="16">
        <v>777</v>
      </c>
    </row>
    <row r="37" spans="2:7" x14ac:dyDescent="0.2">
      <c r="B37" s="40" t="s">
        <v>59</v>
      </c>
      <c r="C37" s="37"/>
      <c r="D37" s="37"/>
      <c r="E37" s="37"/>
      <c r="F37" s="37"/>
      <c r="G37" s="38"/>
    </row>
    <row r="38" spans="2:7" x14ac:dyDescent="0.2">
      <c r="B38" s="40" t="s">
        <v>58</v>
      </c>
      <c r="C38" s="37">
        <v>0</v>
      </c>
      <c r="D38" s="37">
        <v>0</v>
      </c>
      <c r="E38" s="37">
        <v>0</v>
      </c>
      <c r="F38" s="37">
        <v>0</v>
      </c>
      <c r="G38" s="16">
        <v>0</v>
      </c>
    </row>
    <row r="39" spans="2:7" ht="13.2" x14ac:dyDescent="0.2">
      <c r="B39" s="41" t="s">
        <v>36</v>
      </c>
      <c r="C39" s="37"/>
      <c r="D39" s="37"/>
      <c r="E39" s="37"/>
      <c r="F39" s="37"/>
      <c r="G39" s="38"/>
    </row>
    <row r="40" spans="2:7" x14ac:dyDescent="0.2">
      <c r="B40" s="40" t="s">
        <v>63</v>
      </c>
      <c r="C40" s="48">
        <v>4009</v>
      </c>
      <c r="D40" s="48">
        <v>4009</v>
      </c>
      <c r="E40" s="48">
        <v>4009</v>
      </c>
      <c r="F40" s="48">
        <v>4009</v>
      </c>
      <c r="G40" s="49">
        <v>4009</v>
      </c>
    </row>
    <row r="41" spans="2:7" x14ac:dyDescent="0.2">
      <c r="B41" s="40" t="s">
        <v>37</v>
      </c>
      <c r="C41" s="37">
        <v>64848</v>
      </c>
      <c r="D41" s="37">
        <v>65795</v>
      </c>
      <c r="E41" s="37">
        <v>66556</v>
      </c>
      <c r="F41" s="37">
        <v>67684</v>
      </c>
      <c r="G41" s="16">
        <v>68770</v>
      </c>
    </row>
    <row r="42" spans="2:7" x14ac:dyDescent="0.2">
      <c r="B42" s="40" t="s">
        <v>60</v>
      </c>
      <c r="C42" s="37">
        <v>-1006</v>
      </c>
      <c r="D42" s="37">
        <v>-916</v>
      </c>
      <c r="E42" s="37">
        <v>-821</v>
      </c>
      <c r="F42" s="37">
        <v>-737</v>
      </c>
      <c r="G42" s="16">
        <v>-672</v>
      </c>
    </row>
    <row r="43" spans="2:7" x14ac:dyDescent="0.2">
      <c r="B43" s="40" t="s">
        <v>38</v>
      </c>
      <c r="C43" s="37">
        <v>-13744</v>
      </c>
      <c r="D43" s="37">
        <v>-12189</v>
      </c>
      <c r="E43" s="37">
        <v>-12220</v>
      </c>
      <c r="F43" s="37">
        <v>-11900</v>
      </c>
      <c r="G43" s="16">
        <v>-12143</v>
      </c>
    </row>
    <row r="44" spans="2:7" x14ac:dyDescent="0.2">
      <c r="B44" s="40" t="s">
        <v>68</v>
      </c>
      <c r="C44" s="50">
        <v>-114973</v>
      </c>
      <c r="D44" s="50">
        <v>-123382</v>
      </c>
      <c r="E44" s="50">
        <v>-129736</v>
      </c>
      <c r="F44" s="50">
        <v>-133379</v>
      </c>
      <c r="G44" s="51">
        <v>-138702</v>
      </c>
    </row>
    <row r="45" spans="2:7" x14ac:dyDescent="0.2">
      <c r="B45" s="40" t="s">
        <v>39</v>
      </c>
      <c r="C45" s="37">
        <v>106374</v>
      </c>
      <c r="D45" s="37">
        <v>112429</v>
      </c>
      <c r="E45" s="37">
        <v>118170</v>
      </c>
      <c r="F45" s="37">
        <v>123811</v>
      </c>
      <c r="G45" s="16">
        <v>129973</v>
      </c>
    </row>
    <row r="46" spans="2:7" x14ac:dyDescent="0.2">
      <c r="B46" s="42" t="s">
        <v>40</v>
      </c>
      <c r="C46" s="39">
        <v>276</v>
      </c>
      <c r="D46" s="39">
        <v>265</v>
      </c>
      <c r="E46" s="39">
        <v>288</v>
      </c>
      <c r="F46" s="39">
        <v>272</v>
      </c>
      <c r="G46" s="17">
        <v>272</v>
      </c>
    </row>
    <row r="47" spans="2:7" ht="13.2" x14ac:dyDescent="0.2">
      <c r="B47" s="41" t="s">
        <v>61</v>
      </c>
      <c r="C47" s="33">
        <v>46654</v>
      </c>
      <c r="D47" s="33">
        <v>46854</v>
      </c>
      <c r="E47" s="33">
        <v>47065</v>
      </c>
      <c r="F47" s="33">
        <v>50559</v>
      </c>
      <c r="G47" s="34">
        <v>52284</v>
      </c>
    </row>
    <row r="49" spans="2:7" ht="14.4" thickBot="1" x14ac:dyDescent="0.25">
      <c r="B49" s="46" t="s">
        <v>62</v>
      </c>
      <c r="C49" s="45">
        <v>119307</v>
      </c>
      <c r="D49" s="45">
        <v>117208</v>
      </c>
      <c r="E49" s="45">
        <v>120829</v>
      </c>
      <c r="F49" s="45">
        <v>122370</v>
      </c>
      <c r="G49" s="45">
        <v>125231</v>
      </c>
    </row>
    <row r="50" spans="2:7" ht="12" thickTop="1" x14ac:dyDescent="0.2"/>
    <row r="53" spans="2:7" x14ac:dyDescent="0.2">
      <c r="B53" s="1" t="s">
        <v>143</v>
      </c>
    </row>
    <row r="54" spans="2:7" x14ac:dyDescent="0.2">
      <c r="B54" s="1" t="s">
        <v>154</v>
      </c>
      <c r="C54" s="1">
        <f>2465.8*1000000</f>
        <v>2465800000</v>
      </c>
      <c r="D54" s="1">
        <f>2410.3*1000000</f>
        <v>2410300000</v>
      </c>
      <c r="E54" s="1">
        <f>2368.2*1000000</f>
        <v>2368200000</v>
      </c>
      <c r="F54" s="1">
        <f>2360.1*1000000</f>
        <v>2360100000</v>
      </c>
      <c r="G54" s="1">
        <f>2350.1*1000000</f>
        <v>2350100000</v>
      </c>
    </row>
    <row r="55" spans="2:7" x14ac:dyDescent="0.2">
      <c r="B55" s="1" t="s">
        <v>199</v>
      </c>
      <c r="C55" s="1">
        <f>C54/1000000</f>
        <v>2465.8000000000002</v>
      </c>
      <c r="D55" s="1">
        <f t="shared" ref="D55:G55" si="4">D54/1000000</f>
        <v>2410.3000000000002</v>
      </c>
      <c r="E55" s="1">
        <f t="shared" si="4"/>
        <v>2368.1999999999998</v>
      </c>
      <c r="F55" s="1">
        <f t="shared" si="4"/>
        <v>2360.1</v>
      </c>
      <c r="G55" s="1">
        <f t="shared" si="4"/>
        <v>2350.1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AFDC-3406-4F01-9E18-B39976FCFE80}">
  <dimension ref="B1:G31"/>
  <sheetViews>
    <sheetView zoomScale="120" zoomScaleNormal="120" workbookViewId="0"/>
  </sheetViews>
  <sheetFormatPr defaultRowHeight="11.4" x14ac:dyDescent="0.2"/>
  <cols>
    <col min="1" max="1" width="2" style="1" customWidth="1"/>
    <col min="2" max="2" width="18.88671875" style="1" bestFit="1" customWidth="1"/>
    <col min="3" max="3" width="8.88671875" style="1"/>
    <col min="4" max="4" width="7.33203125" style="1" bestFit="1" customWidth="1"/>
    <col min="5" max="16384" width="8.88671875" style="1"/>
  </cols>
  <sheetData>
    <row r="1" spans="2:7" ht="15" x14ac:dyDescent="0.25">
      <c r="B1" s="2" t="s">
        <v>76</v>
      </c>
    </row>
    <row r="3" spans="2:7" x14ac:dyDescent="0.2">
      <c r="B3" s="1" t="s">
        <v>77</v>
      </c>
      <c r="C3" s="1">
        <v>2021</v>
      </c>
      <c r="D3" s="1">
        <v>2022</v>
      </c>
      <c r="E3" s="1">
        <v>2023</v>
      </c>
      <c r="F3" s="1">
        <v>2024</v>
      </c>
      <c r="G3" s="1">
        <v>2025</v>
      </c>
    </row>
    <row r="4" spans="2:7" x14ac:dyDescent="0.2">
      <c r="B4" s="1" t="s">
        <v>78</v>
      </c>
      <c r="D4" s="7">
        <f>'Income Statment (Trend)'!D10/(('Balance sheet (KPIs)'!C20+'Balance sheet (KPIs)'!D20)/2)</f>
        <v>0.15062892416971441</v>
      </c>
      <c r="E4" s="7">
        <f>'Income Statment (Trend)'!E10/(('Balance sheet (KPIs)'!D20+'Balance sheet (KPIs)'!E20)/2)</f>
        <v>0.1523628679575024</v>
      </c>
      <c r="F4" s="7">
        <f>'Income Statment (Trend)'!F10/(('Balance sheet (KPIs)'!E20+'Balance sheet (KPIs)'!F20)/2)</f>
        <v>0.15250885077652457</v>
      </c>
      <c r="G4" s="7">
        <f>'Income Statment (Trend)'!G10/(('Balance sheet (KPIs)'!F20+'Balance sheet (KPIs)'!G20)/2)</f>
        <v>0.16519319388855458</v>
      </c>
    </row>
    <row r="5" spans="2:7" x14ac:dyDescent="0.2">
      <c r="B5" s="1" t="s">
        <v>79</v>
      </c>
      <c r="D5" s="7">
        <f>'Income Statment (Trend)'!C18/(('Balance sheet (KPIs)'!C47+'Balance sheet (KPIs)'!D47)/2)</f>
        <v>0.30598451469392995</v>
      </c>
      <c r="E5" s="7">
        <f>'Income Statment (Trend)'!D18/(('Balance sheet (KPIs)'!D47+'Balance sheet (KPIs)'!E47)/2)</f>
        <v>0.31393008869344863</v>
      </c>
      <c r="F5" s="7">
        <f>'Income Statment (Trend)'!E18/(('Balance sheet (KPIs)'!E47+'Balance sheet (KPIs)'!F47)/2)</f>
        <v>0.30019257559616486</v>
      </c>
      <c r="G5" s="7">
        <f>'Income Statment (Trend)'!F18/(('Balance sheet (KPIs)'!F47+'Balance sheet (KPIs)'!G47)/2)</f>
        <v>0.289353675019204</v>
      </c>
    </row>
    <row r="6" spans="2:7" x14ac:dyDescent="0.2">
      <c r="B6" s="1" t="s">
        <v>80</v>
      </c>
      <c r="D6" s="7">
        <f>'Income Statment (Trend)'!D10/(('Balance sheet (KPIs)'!C47+'Balance sheet (KPIs)'!D47)/2)</f>
        <v>0.38099413953886296</v>
      </c>
      <c r="E6" s="7">
        <f>'Income Statment (Trend)'!E10/(('Balance sheet (KPIs)'!D47+'Balance sheet (KPIs)'!E47)/2)</f>
        <v>0.38616254432010561</v>
      </c>
      <c r="F6" s="7">
        <f>'Income Statment (Trend)'!F10/(('Balance sheet (KPIs)'!E47+'Balance sheet (KPIs)'!F47)/2)</f>
        <v>0.37992706711464391</v>
      </c>
      <c r="G6" s="7">
        <f>'Income Statment (Trend)'!G10/(('Balance sheet (KPIs)'!F47+'Balance sheet (KPIs)'!G47)/2)</f>
        <v>0.39771301887342841</v>
      </c>
    </row>
    <row r="8" spans="2:7" ht="15" x14ac:dyDescent="0.25">
      <c r="B8" s="2" t="s">
        <v>81</v>
      </c>
    </row>
    <row r="9" spans="2:7" x14ac:dyDescent="0.2">
      <c r="B9" s="1" t="s">
        <v>101</v>
      </c>
      <c r="C9" s="1">
        <v>130.02699999999999</v>
      </c>
      <c r="D9" s="1">
        <v>141.85599999999999</v>
      </c>
      <c r="E9" s="1">
        <v>151.74</v>
      </c>
      <c r="F9" s="1">
        <v>164.92</v>
      </c>
      <c r="G9" s="1">
        <v>159.32</v>
      </c>
    </row>
    <row r="10" spans="2:7" ht="14.4" x14ac:dyDescent="0.3">
      <c r="B10" s="1" t="s">
        <v>104</v>
      </c>
      <c r="C10" s="57">
        <f>2427424874/1000000</f>
        <v>2427.4248739999998</v>
      </c>
      <c r="D10" s="57">
        <f>2389553883/1000000</f>
        <v>2389.553883</v>
      </c>
      <c r="E10" s="59">
        <f>2357306187/1000000</f>
        <v>2357.3061870000001</v>
      </c>
      <c r="F10" s="59">
        <f>2354050987/1000000</f>
        <v>2354.0509870000001</v>
      </c>
      <c r="G10" s="59">
        <f>2342371488/1000000</f>
        <v>2342.3714880000002</v>
      </c>
    </row>
    <row r="11" spans="2:7" x14ac:dyDescent="0.2">
      <c r="B11" s="1" t="s">
        <v>82</v>
      </c>
      <c r="C11" s="56">
        <f>'Income Statment (Trend)'!C20/'Ratio Analysis'!C10</f>
        <v>5.7818473190779383</v>
      </c>
      <c r="D11" s="56">
        <f>'Income Statment (Trend)'!D20/'Ratio Analysis'!D10</f>
        <v>6.0517572350554101</v>
      </c>
      <c r="E11" s="56">
        <f>'Income Statment (Trend)'!E20/'Ratio Analysis'!E10</f>
        <v>6.0963654527582163</v>
      </c>
      <c r="F11" s="56">
        <f>'Income Statment (Trend)'!F20/'Ratio Analysis'!F10</f>
        <v>6.1999506725212656</v>
      </c>
      <c r="G11" s="56">
        <f>'Income Statment (Trend)'!G20/'Ratio Analysis'!G10</f>
        <v>6.6953513054373373</v>
      </c>
    </row>
    <row r="12" spans="2:7" x14ac:dyDescent="0.2">
      <c r="B12" s="1" t="s">
        <v>83</v>
      </c>
      <c r="C12" s="56">
        <f>C9/C11</f>
        <v>22.48883320923391</v>
      </c>
      <c r="D12" s="56">
        <f t="shared" ref="D12:G12" si="0">D9/D11</f>
        <v>23.440464395743586</v>
      </c>
      <c r="E12" s="56">
        <f t="shared" si="0"/>
        <v>24.890240123539073</v>
      </c>
      <c r="F12" s="56">
        <f t="shared" si="0"/>
        <v>26.600211632479617</v>
      </c>
      <c r="G12" s="56">
        <f t="shared" si="0"/>
        <v>23.79561470816553</v>
      </c>
    </row>
    <row r="13" spans="2:7" x14ac:dyDescent="0.2">
      <c r="B13" s="1" t="s">
        <v>106</v>
      </c>
      <c r="C13" s="1">
        <v>8263</v>
      </c>
      <c r="D13" s="1">
        <v>8770</v>
      </c>
      <c r="E13" s="1">
        <v>8999</v>
      </c>
      <c r="F13" s="1">
        <v>9312</v>
      </c>
      <c r="G13" s="1">
        <v>9872</v>
      </c>
    </row>
    <row r="14" spans="2:7" x14ac:dyDescent="0.2">
      <c r="B14" s="1" t="s">
        <v>105</v>
      </c>
      <c r="C14" s="56">
        <f>C13/C10</f>
        <v>3.4040188384425365</v>
      </c>
      <c r="D14" s="56">
        <f t="shared" ref="D14:G14" si="1">D13/D10</f>
        <v>3.670141134875593</v>
      </c>
      <c r="E14" s="56">
        <f t="shared" si="1"/>
        <v>3.8174930561110005</v>
      </c>
      <c r="F14" s="56">
        <f t="shared" si="1"/>
        <v>3.9557342009262095</v>
      </c>
      <c r="G14" s="56">
        <f t="shared" si="1"/>
        <v>4.2145321741552886</v>
      </c>
    </row>
    <row r="15" spans="2:7" x14ac:dyDescent="0.2">
      <c r="B15" s="1" t="s">
        <v>84</v>
      </c>
      <c r="C15" s="7">
        <f>C14/C9</f>
        <v>2.6179323051693393E-2</v>
      </c>
      <c r="D15" s="7">
        <f t="shared" ref="D15:G15" si="2">D14/D9</f>
        <v>2.5872301029745609E-2</v>
      </c>
      <c r="E15" s="7">
        <f t="shared" si="2"/>
        <v>2.5158119520963491E-2</v>
      </c>
      <c r="F15" s="7">
        <f t="shared" si="2"/>
        <v>2.3985776139499211E-2</v>
      </c>
      <c r="G15" s="7">
        <f t="shared" si="2"/>
        <v>2.6453252411218233E-2</v>
      </c>
    </row>
    <row r="16" spans="2:7" x14ac:dyDescent="0.2">
      <c r="B16" s="1" t="s">
        <v>85</v>
      </c>
      <c r="C16" s="7">
        <f>('Income Statment (Trend)'!C20-'Ratio Analysis'!C13)/'Income Statment (Trend)'!C20</f>
        <v>0.41125757035981475</v>
      </c>
      <c r="D16" s="7">
        <f>('Income Statment (Trend)'!D20-'Ratio Analysis'!D13)/'Income Statment (Trend)'!D20</f>
        <v>0.39354124887628794</v>
      </c>
      <c r="E16" s="7">
        <f>('Income Statment (Trend)'!E20-'Ratio Analysis'!E13)/'Income Statment (Trend)'!E20</f>
        <v>0.37380836406652285</v>
      </c>
      <c r="F16" s="7">
        <f>('Income Statment (Trend)'!F20-'Ratio Analysis'!F13)/'Income Statment (Trend)'!F20</f>
        <v>0.36197327852004113</v>
      </c>
      <c r="G16" s="7">
        <f>('Income Statment (Trend)'!G20-'Ratio Analysis'!G13)/'Income Statment (Trend)'!G20</f>
        <v>0.37052859784480008</v>
      </c>
    </row>
    <row r="17" spans="2:7" x14ac:dyDescent="0.2">
      <c r="B17" s="1" t="s">
        <v>86</v>
      </c>
      <c r="C17" s="25">
        <f>C13/'Income Statment (Trend)'!C20</f>
        <v>0.58874242964018531</v>
      </c>
      <c r="D17" s="25">
        <f>D13/'Income Statment (Trend)'!D20</f>
        <v>0.60645875112371206</v>
      </c>
      <c r="E17" s="25">
        <f>E13/'Income Statment (Trend)'!E20</f>
        <v>0.62619163593347715</v>
      </c>
      <c r="F17" s="25">
        <f>F13/'Income Statment (Trend)'!F20</f>
        <v>0.63802672147995887</v>
      </c>
      <c r="G17" s="25">
        <f>G13/'Income Statment (Trend)'!G20</f>
        <v>0.62947140215519992</v>
      </c>
    </row>
    <row r="18" spans="2:7" x14ac:dyDescent="0.2">
      <c r="B18" s="1" t="s">
        <v>87</v>
      </c>
      <c r="D18" s="60">
        <f>D16*D5</f>
        <v>0.12041752804945408</v>
      </c>
      <c r="E18" s="60">
        <f t="shared" ref="E18:G18" si="3">E16*E5</f>
        <v>0.11734969288575645</v>
      </c>
      <c r="F18" s="60">
        <f t="shared" si="3"/>
        <v>0.10866169077591908</v>
      </c>
      <c r="G18" s="60">
        <f t="shared" si="3"/>
        <v>0.10721381148610562</v>
      </c>
    </row>
    <row r="20" spans="2:7" ht="15" x14ac:dyDescent="0.25">
      <c r="B20" s="2" t="s">
        <v>88</v>
      </c>
    </row>
    <row r="21" spans="2:7" x14ac:dyDescent="0.2">
      <c r="B21" s="1" t="s">
        <v>89</v>
      </c>
      <c r="D21" s="56">
        <f>'Income Statment (Trend)'!D5/(('Balance sheet (KPIs)'!C8+'Balance sheet (KPIs)'!D8)/2)</f>
        <v>16.251925415484394</v>
      </c>
      <c r="E21" s="56">
        <f>'Income Statment (Trend)'!E5/(('Balance sheet (KPIs)'!D8+'Balance sheet (KPIs)'!E8)/2)</f>
        <v>15.452421330318447</v>
      </c>
      <c r="F21" s="56">
        <f>'Income Statment (Trend)'!F5/(('Balance sheet (KPIs)'!E8+'Balance sheet (KPIs)'!F8)/2)</f>
        <v>14.5032358270774</v>
      </c>
      <c r="G21" s="56">
        <f>'Income Statment (Trend)'!G5/(('Balance sheet (KPIs)'!F8+'Balance sheet (KPIs)'!G8)/2)</f>
        <v>13.701373648703568</v>
      </c>
    </row>
    <row r="22" spans="2:7" x14ac:dyDescent="0.2">
      <c r="B22" s="1" t="s">
        <v>90</v>
      </c>
      <c r="D22" s="56">
        <f>365/D21</f>
        <v>22.458877374137952</v>
      </c>
      <c r="E22" s="56">
        <f t="shared" ref="E22:G22" si="4">365/E21</f>
        <v>23.62089359315172</v>
      </c>
      <c r="F22" s="56">
        <f t="shared" si="4"/>
        <v>25.166797558276514</v>
      </c>
      <c r="G22" s="56">
        <f t="shared" si="4"/>
        <v>26.639664705044851</v>
      </c>
    </row>
    <row r="23" spans="2:7" x14ac:dyDescent="0.2">
      <c r="B23" s="1" t="s">
        <v>91</v>
      </c>
      <c r="D23" s="56">
        <f>-('Income Statment (Trend)'!D6/(('Balance sheet (KPIs)'!C13+'Balance sheet (KPIs)'!D13)/2))</f>
        <v>6.5324242659022236</v>
      </c>
      <c r="E23" s="56">
        <f>-('Income Statment (Trend)'!E6/(('Balance sheet (KPIs)'!D13+'Balance sheet (KPIs)'!E13)/2))</f>
        <v>6.1098806887190111</v>
      </c>
      <c r="F23" s="56">
        <f>-('Income Statment (Trend)'!F6/(('Balance sheet (KPIs)'!E13+'Balance sheet (KPIs)'!F13)/2))</f>
        <v>5.798566257363901</v>
      </c>
      <c r="G23" s="56">
        <f>-('Income Statment (Trend)'!G6/(('Balance sheet (KPIs)'!F13+'Balance sheet (KPIs)'!G13)/2))</f>
        <v>5.6516784512940204</v>
      </c>
    </row>
    <row r="24" spans="2:7" x14ac:dyDescent="0.2">
      <c r="B24" s="1" t="s">
        <v>92</v>
      </c>
      <c r="D24" s="56">
        <f>365/D23</f>
        <v>55.875121569371636</v>
      </c>
      <c r="E24" s="56">
        <f t="shared" ref="E24:G24" si="5">365/E23</f>
        <v>59.739300748362957</v>
      </c>
      <c r="F24" s="56">
        <f t="shared" si="5"/>
        <v>62.946594692518602</v>
      </c>
      <c r="G24" s="56">
        <f t="shared" si="5"/>
        <v>64.582584296958515</v>
      </c>
    </row>
    <row r="25" spans="2:7" x14ac:dyDescent="0.2">
      <c r="B25" s="1" t="s">
        <v>93</v>
      </c>
      <c r="D25" s="56">
        <f>-('Income Statment (Trend)'!D6/(('Balance sheet (KPIs)'!C24+'Balance sheet (KPIs)'!D24)/2))</f>
        <v>2.9478358156772253</v>
      </c>
      <c r="E25" s="56">
        <f>-('Income Statment (Trend)'!E6/(('Balance sheet (KPIs)'!D24+'Balance sheet (KPIs)'!E24)/2))</f>
        <v>2.9009497964721844</v>
      </c>
      <c r="F25" s="56">
        <f>-('Income Statment (Trend)'!F6/(('Balance sheet (KPIs)'!E24+'Balance sheet (KPIs)'!F24)/2))</f>
        <v>2.7266537614311459</v>
      </c>
      <c r="G25" s="56">
        <f>-('Income Statment (Trend)'!G6/(('Balance sheet (KPIs)'!F24+'Balance sheet (KPIs)'!G24)/2))</f>
        <v>2.6912490601810992</v>
      </c>
    </row>
    <row r="26" spans="2:7" x14ac:dyDescent="0.2">
      <c r="B26" s="1" t="s">
        <v>94</v>
      </c>
      <c r="D26" s="56">
        <f>365/D25</f>
        <v>123.81965035462676</v>
      </c>
      <c r="E26" s="56">
        <f t="shared" ref="E26:G26" si="6">365/E25</f>
        <v>125.82086061739945</v>
      </c>
      <c r="F26" s="56">
        <f t="shared" si="6"/>
        <v>133.86371425773601</v>
      </c>
      <c r="G26" s="56">
        <f t="shared" si="6"/>
        <v>135.62475706928382</v>
      </c>
    </row>
    <row r="27" spans="2:7" x14ac:dyDescent="0.2">
      <c r="B27" s="1" t="s">
        <v>95</v>
      </c>
      <c r="D27" s="56">
        <f>D22+D24+D26</f>
        <v>202.15364929813634</v>
      </c>
      <c r="E27" s="56">
        <f t="shared" ref="E27:G27" si="7">E22+E24+E26</f>
        <v>209.1810549589141</v>
      </c>
      <c r="F27" s="56">
        <f t="shared" si="7"/>
        <v>221.97710650853111</v>
      </c>
      <c r="G27" s="56">
        <f t="shared" si="7"/>
        <v>226.84700607128718</v>
      </c>
    </row>
    <row r="28" spans="2:7" x14ac:dyDescent="0.2">
      <c r="B28" s="1" t="s">
        <v>96</v>
      </c>
      <c r="D28" s="56">
        <f>'Income Statment (Trend)'!D5/(('Balance sheet (KPIs)'!C16+'Balance sheet (KPIs)'!D16)/2)</f>
        <v>3.7399780788694295</v>
      </c>
      <c r="E28" s="56">
        <f>'Income Statment (Trend)'!E5/(('Balance sheet (KPIs)'!D16+'Balance sheet (KPIs)'!E16)/2)</f>
        <v>3.8050296956198961</v>
      </c>
      <c r="F28" s="56">
        <f>'Income Statment (Trend)'!F5/(('Balance sheet (KPIs)'!E16+'Balance sheet (KPIs)'!F16)/2)</f>
        <v>3.8146660311840401</v>
      </c>
      <c r="G28" s="56">
        <f>'Income Statment (Trend)'!G5/(('Balance sheet (KPIs)'!F16+'Balance sheet (KPIs)'!G16)/2)</f>
        <v>3.66062238050772</v>
      </c>
    </row>
    <row r="29" spans="2:7" x14ac:dyDescent="0.2">
      <c r="B29" s="1" t="s">
        <v>97</v>
      </c>
      <c r="D29" s="56">
        <f>'Income Statment (Trend)'!D5/(('Balance sheet (KPIs)'!J8+'Balance sheet (KPIs)'!K8)/2)</f>
        <v>-7.4700265499091714</v>
      </c>
      <c r="E29" s="56">
        <f>'Income Statment (Trend)'!E5/(('Balance sheet (KPIs)'!K8+'Balance sheet (KPIs)'!L8)/2)</f>
        <v>-6.6845451581349851</v>
      </c>
      <c r="F29" s="56">
        <f>'Income Statment (Trend)'!F5/(('Balance sheet (KPIs)'!L8+'Balance sheet (KPIs)'!M8)/2)</f>
        <v>-7.6308907654590028</v>
      </c>
      <c r="G29" s="56">
        <f>'Income Statment (Trend)'!G5/(('Balance sheet (KPIs)'!M8+'Balance sheet (KPIs)'!N8)/2)</f>
        <v>-8.6074346405228752</v>
      </c>
    </row>
    <row r="30" spans="2:7" x14ac:dyDescent="0.2">
      <c r="B30" s="1" t="s">
        <v>98</v>
      </c>
      <c r="D30" s="56">
        <f>'Income Statment (Trend)'!D5/(('Balance sheet (KPIs)'!C20+'Balance sheet (KPIs)'!D20)/2)</f>
        <v>0.67807115827748765</v>
      </c>
      <c r="E30" s="56">
        <f>'Income Statment (Trend)'!E5/(('Balance sheet (KPIs)'!D20+'Balance sheet (KPIs)'!E20)/2)</f>
        <v>0.68901893403126402</v>
      </c>
      <c r="F30" s="56">
        <f>'Income Statment (Trend)'!F5/(('Balance sheet (KPIs)'!E20+'Balance sheet (KPIs)'!F20)/2)</f>
        <v>0.69111303911611477</v>
      </c>
      <c r="G30" s="56">
        <f>'Income Statment (Trend)'!G5/(('Balance sheet (KPIs)'!F20+'Balance sheet (KPIs)'!G20)/2)</f>
        <v>0.68080500482631334</v>
      </c>
    </row>
    <row r="31" spans="2:7" x14ac:dyDescent="0.2">
      <c r="B31" s="1" t="s">
        <v>99</v>
      </c>
      <c r="D31" s="58">
        <f>'Income Statment (Trend)'!D5/(('Balance sheet (KPIs)'!C47+'Balance sheet (KPIs)'!D47)/2)</f>
        <v>1.7150832014373101</v>
      </c>
      <c r="E31" s="58">
        <f>'Income Statment (Trend)'!E5/(('Balance sheet (KPIs)'!D47+'Balance sheet (KPIs)'!E47)/2)</f>
        <v>1.7463133125352697</v>
      </c>
      <c r="F31" s="58">
        <f>'Income Statment (Trend)'!F5/(('Balance sheet (KPIs)'!E47+'Balance sheet (KPIs)'!F47)/2)</f>
        <v>1.721687290010653</v>
      </c>
      <c r="G31" s="58">
        <f>'Income Statment (Trend)'!G5/(('Balance sheet (KPIs)'!F47+'Balance sheet (KPIs)'!G47)/2)</f>
        <v>1.6390809291833182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327D-6DE8-4D16-A768-06681006337F}">
  <dimension ref="B1:N41"/>
  <sheetViews>
    <sheetView zoomScaleNormal="100" workbookViewId="0"/>
  </sheetViews>
  <sheetFormatPr defaultRowHeight="11.4" x14ac:dyDescent="0.2"/>
  <cols>
    <col min="1" max="1" width="2" style="1" customWidth="1"/>
    <col min="2" max="2" width="69.77734375" style="1" bestFit="1" customWidth="1"/>
    <col min="3" max="8" width="8.88671875" style="1"/>
    <col min="9" max="9" width="26.109375" style="1" bestFit="1" customWidth="1"/>
    <col min="10" max="10" width="14.5546875" style="1" customWidth="1"/>
    <col min="11" max="14" width="12.109375" style="1" bestFit="1" customWidth="1"/>
    <col min="15" max="16384" width="8.88671875" style="1"/>
  </cols>
  <sheetData>
    <row r="1" spans="2:14" ht="15.6" x14ac:dyDescent="0.3">
      <c r="B1" s="61" t="s">
        <v>201</v>
      </c>
    </row>
    <row r="4" spans="2:14" ht="12" x14ac:dyDescent="0.25">
      <c r="B4" s="3" t="s">
        <v>1</v>
      </c>
      <c r="C4" s="3">
        <v>2021</v>
      </c>
      <c r="D4" s="3">
        <v>2022</v>
      </c>
      <c r="E4" s="3">
        <v>2023</v>
      </c>
      <c r="F4" s="3">
        <v>2024</v>
      </c>
      <c r="G4" s="3">
        <v>2025</v>
      </c>
      <c r="I4" s="3"/>
      <c r="J4" s="3">
        <v>2021</v>
      </c>
      <c r="K4" s="3">
        <v>2022</v>
      </c>
      <c r="L4" s="3">
        <v>2023</v>
      </c>
      <c r="M4" s="3">
        <v>2024</v>
      </c>
      <c r="N4" s="1">
        <v>2025</v>
      </c>
    </row>
    <row r="5" spans="2:14" x14ac:dyDescent="0.2">
      <c r="B5" s="40" t="s">
        <v>131</v>
      </c>
      <c r="C5" s="16">
        <v>16181</v>
      </c>
      <c r="D5" s="16">
        <v>10288</v>
      </c>
      <c r="E5" s="16">
        <v>7214</v>
      </c>
      <c r="F5" s="16">
        <v>8246</v>
      </c>
      <c r="G5" s="16">
        <v>9482</v>
      </c>
      <c r="I5" s="1" t="s">
        <v>146</v>
      </c>
      <c r="J5" s="59">
        <f>C19</f>
        <v>18371</v>
      </c>
      <c r="K5" s="59">
        <f t="shared" ref="K5:N5" si="0">D19</f>
        <v>16723</v>
      </c>
      <c r="L5" s="59">
        <f t="shared" si="0"/>
        <v>16848</v>
      </c>
      <c r="M5" s="59">
        <f t="shared" si="0"/>
        <v>19846</v>
      </c>
      <c r="N5" s="59">
        <f t="shared" si="0"/>
        <v>17817</v>
      </c>
    </row>
    <row r="6" spans="2:14" ht="13.2" x14ac:dyDescent="0.2">
      <c r="B6" s="41" t="s">
        <v>132</v>
      </c>
      <c r="C6" s="38"/>
      <c r="D6" s="38"/>
      <c r="E6" s="38"/>
      <c r="F6" s="38"/>
      <c r="G6" s="38"/>
      <c r="I6" s="1" t="s">
        <v>5</v>
      </c>
      <c r="J6" s="1">
        <f>-'Income Statment (Trend)'!C11</f>
        <v>502</v>
      </c>
      <c r="K6" s="1">
        <f>-'Income Statment (Trend)'!D11</f>
        <v>439</v>
      </c>
      <c r="L6" s="1">
        <f>-'Income Statment (Trend)'!E11</f>
        <v>756</v>
      </c>
      <c r="M6" s="1">
        <f>-'Income Statment (Trend)'!F11</f>
        <v>925</v>
      </c>
      <c r="N6" s="1">
        <f>-'Income Statment (Trend)'!G11</f>
        <v>907</v>
      </c>
    </row>
    <row r="7" spans="2:14" x14ac:dyDescent="0.2">
      <c r="B7" s="40" t="s">
        <v>108</v>
      </c>
      <c r="C7" s="16">
        <v>14352</v>
      </c>
      <c r="D7" s="16">
        <v>14793</v>
      </c>
      <c r="E7" s="16">
        <v>14738</v>
      </c>
      <c r="F7" s="16">
        <v>14974</v>
      </c>
      <c r="G7" s="16">
        <v>16065</v>
      </c>
      <c r="I7" s="1" t="s">
        <v>144</v>
      </c>
      <c r="J7" s="60">
        <f>'Income Statment (Trend)'!C23</f>
        <v>0.185</v>
      </c>
      <c r="K7" s="60">
        <f>'Income Statment (Trend)'!D23</f>
        <v>0.17799999999999999</v>
      </c>
      <c r="L7" s="60">
        <f>'Income Statment (Trend)'!E23</f>
        <v>0.19700000000000001</v>
      </c>
      <c r="M7" s="60">
        <f>'Income Statment (Trend)'!F23</f>
        <v>0.20200000000000001</v>
      </c>
      <c r="N7" s="60">
        <f>'Income Statment (Trend)'!G23</f>
        <v>0.20300000000000001</v>
      </c>
    </row>
    <row r="8" spans="2:14" x14ac:dyDescent="0.2">
      <c r="B8" s="40" t="s">
        <v>109</v>
      </c>
      <c r="C8" s="16">
        <v>2735</v>
      </c>
      <c r="D8" s="16">
        <v>2807</v>
      </c>
      <c r="E8" s="16">
        <v>2714</v>
      </c>
      <c r="F8" s="16">
        <v>2896</v>
      </c>
      <c r="G8" s="16">
        <v>2847</v>
      </c>
      <c r="I8" s="1" t="s">
        <v>157</v>
      </c>
      <c r="J8" s="1">
        <f>-'Income Statment (Trend)'!C15</f>
        <v>3263</v>
      </c>
      <c r="K8" s="1">
        <f>-'Income Statment (Trend)'!D15</f>
        <v>3202</v>
      </c>
      <c r="L8" s="1">
        <f>-'Income Statment (Trend)'!E15</f>
        <v>3615</v>
      </c>
      <c r="M8" s="1">
        <f>-'Income Statment (Trend)'!F15</f>
        <v>3787</v>
      </c>
      <c r="N8" s="1">
        <f>-'Income Statment (Trend)'!G15</f>
        <v>4102</v>
      </c>
    </row>
    <row r="9" spans="2:14" x14ac:dyDescent="0.2">
      <c r="B9" s="40" t="s">
        <v>110</v>
      </c>
      <c r="C9" s="16">
        <v>512</v>
      </c>
      <c r="D9" s="16">
        <v>0</v>
      </c>
      <c r="E9" s="16">
        <v>0</v>
      </c>
      <c r="F9" s="16">
        <v>0</v>
      </c>
      <c r="G9" s="16">
        <v>0</v>
      </c>
      <c r="I9" s="1" t="s">
        <v>147</v>
      </c>
      <c r="J9" s="35">
        <f>-C25</f>
        <v>2834</v>
      </c>
      <c r="K9" s="35">
        <f>-D25</f>
        <v>4424</v>
      </c>
      <c r="L9" s="35">
        <f>-E25</f>
        <v>3500</v>
      </c>
      <c r="M9" s="35">
        <f>-F25</f>
        <v>3504</v>
      </c>
      <c r="N9" s="35">
        <f>-G25</f>
        <v>3818</v>
      </c>
    </row>
    <row r="10" spans="2:14" x14ac:dyDescent="0.2">
      <c r="B10" s="40" t="s">
        <v>111</v>
      </c>
      <c r="C10" s="16">
        <v>540</v>
      </c>
      <c r="D10" s="16">
        <v>528</v>
      </c>
      <c r="E10" s="16">
        <v>545</v>
      </c>
      <c r="F10" s="16">
        <v>562</v>
      </c>
      <c r="G10" s="16">
        <v>476</v>
      </c>
      <c r="I10" s="40" t="s">
        <v>126</v>
      </c>
      <c r="J10" s="16">
        <f>C33</f>
        <v>4417</v>
      </c>
      <c r="K10" s="16">
        <f>D33</f>
        <v>4385</v>
      </c>
      <c r="L10" s="16">
        <f>E33</f>
        <v>3997</v>
      </c>
      <c r="M10" s="16">
        <f>F33</f>
        <v>3197</v>
      </c>
      <c r="N10" s="16">
        <f>G33</f>
        <v>2237</v>
      </c>
    </row>
    <row r="11" spans="2:14" x14ac:dyDescent="0.2">
      <c r="B11" s="40" t="s">
        <v>53</v>
      </c>
      <c r="C11" s="16">
        <v>-258</v>
      </c>
      <c r="D11" s="16">
        <v>-402</v>
      </c>
      <c r="E11" s="16">
        <v>-453</v>
      </c>
      <c r="F11" s="16">
        <v>-244</v>
      </c>
      <c r="G11" s="16">
        <v>149</v>
      </c>
      <c r="I11" s="40" t="s">
        <v>127</v>
      </c>
      <c r="J11" s="16">
        <f>-C34</f>
        <v>4987</v>
      </c>
      <c r="K11" s="16">
        <f>-D34</f>
        <v>2343</v>
      </c>
      <c r="L11" s="16">
        <f>-E34</f>
        <v>1878</v>
      </c>
      <c r="M11" s="16">
        <f>-F34</f>
        <v>2335</v>
      </c>
      <c r="N11" s="16">
        <f>-G34</f>
        <v>1977</v>
      </c>
    </row>
    <row r="12" spans="2:14" x14ac:dyDescent="0.2">
      <c r="B12" s="40" t="s">
        <v>112</v>
      </c>
      <c r="C12" s="16">
        <v>-16</v>
      </c>
      <c r="D12" s="16">
        <v>-85</v>
      </c>
      <c r="E12" s="16">
        <v>-40</v>
      </c>
      <c r="F12" s="16">
        <v>-215</v>
      </c>
      <c r="G12" s="16">
        <v>755</v>
      </c>
      <c r="I12" s="1" t="s">
        <v>130</v>
      </c>
      <c r="J12" s="59">
        <f>J5+J6*(1-J7)-J9</f>
        <v>15946.130000000001</v>
      </c>
      <c r="K12" s="59">
        <f>K5+K6*(1-K7)-K9</f>
        <v>12659.858</v>
      </c>
      <c r="L12" s="59">
        <f>L5+L6*(1-L7)-L9</f>
        <v>13955.067999999999</v>
      </c>
      <c r="M12" s="59">
        <f>M5+M6*(1-M7)-M9</f>
        <v>17080.150000000001</v>
      </c>
      <c r="N12" s="59">
        <f>N5+N6*(1-N7)-N9</f>
        <v>14721.879000000001</v>
      </c>
    </row>
    <row r="13" spans="2:14" x14ac:dyDescent="0.2">
      <c r="B13" s="40" t="s">
        <v>9</v>
      </c>
      <c r="C13" s="35"/>
      <c r="D13" s="35"/>
      <c r="E13" s="16">
        <v>0</v>
      </c>
      <c r="F13" s="16">
        <v>1341</v>
      </c>
      <c r="G13" s="16">
        <v>0</v>
      </c>
      <c r="I13" s="1" t="s">
        <v>145</v>
      </c>
      <c r="J13" s="1">
        <f>J12-J6*(1-J7)+J10-J11</f>
        <v>14967</v>
      </c>
      <c r="K13" s="1">
        <f>K12-K6*(1-K7)+K10-K11</f>
        <v>14341</v>
      </c>
      <c r="L13" s="1">
        <f>L12-L6*(1-L7)+L10-L11</f>
        <v>15467</v>
      </c>
      <c r="M13" s="1">
        <f>M12-M6*(1-M7)+M10-M11</f>
        <v>17204</v>
      </c>
      <c r="N13" s="1">
        <f>N12-N6*(1-N7)+N10-N11</f>
        <v>14259</v>
      </c>
    </row>
    <row r="14" spans="2:14" x14ac:dyDescent="0.2">
      <c r="B14" s="40" t="s">
        <v>113</v>
      </c>
      <c r="C14" s="16">
        <v>-342</v>
      </c>
      <c r="D14" s="16">
        <v>-694</v>
      </c>
      <c r="E14" s="16">
        <v>-307</v>
      </c>
      <c r="F14" s="16">
        <v>-766</v>
      </c>
      <c r="G14" s="16">
        <v>45</v>
      </c>
    </row>
    <row r="15" spans="2:14" x14ac:dyDescent="0.2">
      <c r="B15" s="40" t="s">
        <v>114</v>
      </c>
      <c r="C15" s="16">
        <v>-309</v>
      </c>
      <c r="D15" s="16">
        <v>-1247</v>
      </c>
      <c r="E15" s="16">
        <v>-119</v>
      </c>
      <c r="F15" s="16">
        <v>-70</v>
      </c>
      <c r="G15" s="16">
        <v>-324</v>
      </c>
    </row>
    <row r="16" spans="2:14" x14ac:dyDescent="0.2">
      <c r="B16" s="40" t="s">
        <v>115</v>
      </c>
      <c r="C16" s="16">
        <v>1391</v>
      </c>
      <c r="D16" s="16">
        <v>1429</v>
      </c>
      <c r="E16" s="16">
        <v>313</v>
      </c>
      <c r="F16" s="16">
        <v>878</v>
      </c>
      <c r="G16" s="16">
        <v>-542</v>
      </c>
      <c r="I16" s="40" t="s">
        <v>133</v>
      </c>
      <c r="J16" s="16">
        <v>18371</v>
      </c>
      <c r="K16" s="16">
        <v>16723</v>
      </c>
      <c r="L16" s="16">
        <v>16848</v>
      </c>
      <c r="M16" s="16">
        <v>19846</v>
      </c>
      <c r="N16" s="16">
        <v>17817</v>
      </c>
    </row>
    <row r="17" spans="2:14" x14ac:dyDescent="0.2">
      <c r="B17" s="40" t="s">
        <v>116</v>
      </c>
      <c r="C17" s="16">
        <v>-369</v>
      </c>
      <c r="D17" s="16">
        <v>-635</v>
      </c>
      <c r="E17" s="16">
        <v>-1107</v>
      </c>
      <c r="F17" s="38"/>
      <c r="G17" s="38"/>
      <c r="I17" s="40" t="s">
        <v>135</v>
      </c>
      <c r="J17" s="16">
        <f>-C25</f>
        <v>2834</v>
      </c>
      <c r="K17" s="16">
        <f t="shared" ref="K17:N17" si="1">-D25</f>
        <v>4424</v>
      </c>
      <c r="L17" s="16">
        <f t="shared" si="1"/>
        <v>3500</v>
      </c>
      <c r="M17" s="16">
        <f t="shared" si="1"/>
        <v>3504</v>
      </c>
      <c r="N17" s="16">
        <f t="shared" si="1"/>
        <v>3818</v>
      </c>
    </row>
    <row r="18" spans="2:14" x14ac:dyDescent="0.2">
      <c r="B18" s="40" t="s">
        <v>117</v>
      </c>
      <c r="C18" s="16">
        <v>135</v>
      </c>
      <c r="D18" s="16">
        <v>229</v>
      </c>
      <c r="E18" s="16">
        <v>564</v>
      </c>
      <c r="F18" s="16">
        <v>491</v>
      </c>
      <c r="G18" s="16">
        <v>-1653</v>
      </c>
      <c r="I18" s="40" t="s">
        <v>138</v>
      </c>
      <c r="J18" s="16">
        <f>-C37</f>
        <v>21531</v>
      </c>
      <c r="K18" s="16">
        <f t="shared" ref="K18:N18" si="2">-D37</f>
        <v>14876</v>
      </c>
      <c r="L18" s="16">
        <f t="shared" si="2"/>
        <v>12146</v>
      </c>
      <c r="M18" s="16">
        <f t="shared" si="2"/>
        <v>14855</v>
      </c>
      <c r="N18" s="16">
        <f t="shared" si="2"/>
        <v>14036</v>
      </c>
    </row>
    <row r="19" spans="2:14" ht="12" x14ac:dyDescent="0.2">
      <c r="B19" s="62" t="s">
        <v>133</v>
      </c>
      <c r="C19" s="63">
        <v>18371</v>
      </c>
      <c r="D19" s="63">
        <v>16723</v>
      </c>
      <c r="E19" s="63">
        <v>16848</v>
      </c>
      <c r="F19" s="63">
        <v>19846</v>
      </c>
      <c r="G19" s="63">
        <v>17817</v>
      </c>
      <c r="H19" s="35"/>
    </row>
    <row r="20" spans="2:14" x14ac:dyDescent="0.2">
      <c r="B20" s="40" t="s">
        <v>134</v>
      </c>
      <c r="C20" s="38"/>
      <c r="D20" s="38"/>
      <c r="E20" s="38"/>
      <c r="F20" s="38"/>
      <c r="G20" s="38"/>
      <c r="I20" s="1" t="s">
        <v>148</v>
      </c>
    </row>
    <row r="21" spans="2:14" x14ac:dyDescent="0.2">
      <c r="B21" s="40" t="s">
        <v>118</v>
      </c>
      <c r="C21" s="16">
        <v>-2787</v>
      </c>
      <c r="D21" s="16">
        <v>-3156</v>
      </c>
      <c r="E21" s="16">
        <v>-3062</v>
      </c>
      <c r="F21" s="16">
        <v>-3322</v>
      </c>
      <c r="G21" s="16">
        <v>-3773</v>
      </c>
      <c r="I21" s="1" t="s">
        <v>149</v>
      </c>
      <c r="J21" s="58">
        <f>J16/'Income Statment (Trend)'!C5</f>
        <v>0.24134895819648441</v>
      </c>
      <c r="K21" s="58">
        <f>K16/'Income Statment (Trend)'!D5</f>
        <v>0.2085500143414768</v>
      </c>
      <c r="L21" s="58">
        <f>L16/'Income Statment (Trend)'!E5</f>
        <v>0.20544838182572006</v>
      </c>
      <c r="M21" s="58">
        <f>M16/'Income Statment (Trend)'!F5</f>
        <v>0.23615226263996478</v>
      </c>
      <c r="N21" s="58">
        <f>N16/'Income Statment (Trend)'!G5</f>
        <v>0.21139243510037492</v>
      </c>
    </row>
    <row r="22" spans="2:14" x14ac:dyDescent="0.2">
      <c r="B22" s="40" t="s">
        <v>119</v>
      </c>
      <c r="C22" s="16">
        <v>42</v>
      </c>
      <c r="D22" s="16">
        <v>110</v>
      </c>
      <c r="E22" s="16">
        <v>46</v>
      </c>
      <c r="F22" s="16">
        <v>346</v>
      </c>
      <c r="G22" s="16">
        <v>107</v>
      </c>
      <c r="I22" s="1" t="s">
        <v>150</v>
      </c>
      <c r="J22" s="58">
        <f>J16/'Income Statment (Trend)'!C10</f>
        <v>1.021405537640387</v>
      </c>
      <c r="K22" s="58">
        <f>K16/'Income Statment (Trend)'!D10</f>
        <v>0.93880873519339803</v>
      </c>
      <c r="L22" s="58">
        <f>L16/'Income Statment (Trend)'!E10</f>
        <v>0.92908348957758902</v>
      </c>
      <c r="M22" s="58">
        <f>M16/'Income Statment (Trend)'!F10</f>
        <v>1.0701536802372607</v>
      </c>
      <c r="N22" s="58">
        <f>N16/'Income Statment (Trend)'!G10</f>
        <v>0.87120434208596154</v>
      </c>
    </row>
    <row r="23" spans="2:14" x14ac:dyDescent="0.2">
      <c r="B23" s="40" t="s">
        <v>120</v>
      </c>
      <c r="C23" s="16">
        <v>-34</v>
      </c>
      <c r="D23" s="16">
        <v>-1381</v>
      </c>
      <c r="E23" s="16">
        <v>-765</v>
      </c>
      <c r="F23" s="16">
        <v>-21</v>
      </c>
      <c r="G23" s="16">
        <v>-11</v>
      </c>
      <c r="I23" s="1" t="s">
        <v>151</v>
      </c>
      <c r="J23" s="58"/>
      <c r="K23" s="58">
        <f>K16/(('Balance sheet (KPIs)'!C20+'Balance sheet (KPIs)'!D20)/2)</f>
        <v>0.14141174978331184</v>
      </c>
      <c r="L23" s="58">
        <f>L16/(('Balance sheet (KPIs)'!D20+'Balance sheet (KPIs)'!E20)/2)</f>
        <v>0.14155782504400577</v>
      </c>
      <c r="M23" s="58">
        <f>M16/(('Balance sheet (KPIs)'!E20+'Balance sheet (KPIs)'!F20)/2)</f>
        <v>0.16320790792725298</v>
      </c>
      <c r="N23" s="58">
        <f>N16/(('Balance sheet (KPIs)'!F20+'Balance sheet (KPIs)'!G20)/2)</f>
        <v>0.14391702779875687</v>
      </c>
    </row>
    <row r="24" spans="2:14" x14ac:dyDescent="0.2">
      <c r="B24" s="40" t="s">
        <v>121</v>
      </c>
      <c r="C24" s="16">
        <v>-55</v>
      </c>
      <c r="D24" s="16">
        <v>3</v>
      </c>
      <c r="E24" s="16">
        <v>281</v>
      </c>
      <c r="F24" s="16">
        <v>-507</v>
      </c>
      <c r="G24" s="16">
        <v>-141</v>
      </c>
      <c r="I24" s="1" t="s">
        <v>153</v>
      </c>
      <c r="J24" s="58"/>
      <c r="K24" s="58">
        <f>K16/(('Balance sheet (KPIs)'!C47+'Balance sheet (KPIs)'!D47)/2)</f>
        <v>0.35768062625657698</v>
      </c>
      <c r="L24" s="58">
        <f>L16/(('Balance sheet (KPIs)'!D47+'Balance sheet (KPIs)'!E47)/2)</f>
        <v>0.35877724422108415</v>
      </c>
      <c r="M24" s="58">
        <f>M16/(('Balance sheet (KPIs)'!E47+'Balance sheet (KPIs)'!F47)/2)</f>
        <v>0.40658034909448498</v>
      </c>
      <c r="N24" s="58">
        <f>N16/(('Balance sheet (KPIs)'!F47+'Balance sheet (KPIs)'!G47)/2)</f>
        <v>0.34648930894664681</v>
      </c>
    </row>
    <row r="25" spans="2:14" ht="12" x14ac:dyDescent="0.2">
      <c r="B25" s="62" t="s">
        <v>135</v>
      </c>
      <c r="C25" s="63">
        <v>-2834</v>
      </c>
      <c r="D25" s="63">
        <v>-4424</v>
      </c>
      <c r="E25" s="63">
        <v>-3500</v>
      </c>
      <c r="F25" s="63">
        <v>-3504</v>
      </c>
      <c r="G25" s="63">
        <v>-3818</v>
      </c>
      <c r="I25" s="1" t="s">
        <v>152</v>
      </c>
      <c r="J25" s="58">
        <f>(J16-'Income Statment (Trend)'!C19)/'Balance sheet (KPIs)'!C54</f>
        <v>7.3404169032362723E-6</v>
      </c>
      <c r="K25" s="58">
        <f>(K16-'Income Statment (Trend)'!D19)/'Balance sheet (KPIs)'!D54</f>
        <v>6.8215574824710619E-6</v>
      </c>
      <c r="L25" s="58">
        <f>(L16-'Income Statment (Trend)'!E19)/'Balance sheet (KPIs)'!E54</f>
        <v>6.9951862173802888E-6</v>
      </c>
      <c r="M25" s="58">
        <f>(M16-'Income Statment (Trend)'!F19)/'Balance sheet (KPIs)'!F54</f>
        <v>8.288631837633999E-6</v>
      </c>
      <c r="N25" s="58">
        <f>(N16-'Income Statment (Trend)'!G19)/'Balance sheet (KPIs)'!G54</f>
        <v>7.457554997659674E-6</v>
      </c>
    </row>
    <row r="26" spans="2:14" x14ac:dyDescent="0.2">
      <c r="B26" s="40" t="s">
        <v>136</v>
      </c>
      <c r="C26" s="38"/>
      <c r="D26" s="38"/>
      <c r="E26" s="38"/>
      <c r="F26" s="38"/>
      <c r="G26" s="38"/>
      <c r="J26" s="58"/>
      <c r="K26" s="58"/>
      <c r="L26" s="58"/>
      <c r="M26" s="58"/>
      <c r="N26" s="58"/>
    </row>
    <row r="27" spans="2:14" x14ac:dyDescent="0.2">
      <c r="B27" s="40" t="s">
        <v>122</v>
      </c>
      <c r="C27" s="16">
        <v>-8263</v>
      </c>
      <c r="D27" s="16">
        <v>-8770</v>
      </c>
      <c r="E27" s="16">
        <v>-8999</v>
      </c>
      <c r="F27" s="16">
        <v>-9312</v>
      </c>
      <c r="G27" s="16">
        <v>-9872</v>
      </c>
      <c r="I27" s="1" t="s">
        <v>155</v>
      </c>
      <c r="J27" s="58">
        <f>(J5+J6+J8)/J6</f>
        <v>44.095617529880478</v>
      </c>
      <c r="K27" s="58">
        <f t="shared" ref="K27:N27" si="3">(K5+K6+K8)/K6</f>
        <v>46.3872437357631</v>
      </c>
      <c r="L27" s="58">
        <f t="shared" si="3"/>
        <v>28.067460317460316</v>
      </c>
      <c r="M27" s="58">
        <f t="shared" si="3"/>
        <v>26.549189189189189</v>
      </c>
      <c r="N27" s="58">
        <f t="shared" si="3"/>
        <v>25.166482910694597</v>
      </c>
    </row>
    <row r="28" spans="2:14" x14ac:dyDescent="0.2">
      <c r="B28" s="40" t="s">
        <v>123</v>
      </c>
      <c r="C28" s="38"/>
      <c r="D28" s="38"/>
      <c r="E28" s="38"/>
      <c r="F28" s="38"/>
      <c r="G28" s="38"/>
      <c r="I28" s="1" t="s">
        <v>156</v>
      </c>
      <c r="J28" s="58">
        <f>J5/'Balance sheet (KPIs)'!C31</f>
        <v>0.25285948274675513</v>
      </c>
      <c r="K28" s="58">
        <f>K5/'Balance sheet (KPIs)'!D31</f>
        <v>0.23769792762316286</v>
      </c>
      <c r="L28" s="58">
        <f>L5/'Balance sheet (KPIs)'!E31</f>
        <v>0.22840409956076135</v>
      </c>
      <c r="M28" s="58">
        <f>M5/'Balance sheet (KPIs)'!F31</f>
        <v>0.27636434529528903</v>
      </c>
      <c r="N28" s="58">
        <f>N5/'Balance sheet (KPIs)'!G31</f>
        <v>0.24424917061936227</v>
      </c>
    </row>
    <row r="29" spans="2:14" x14ac:dyDescent="0.2">
      <c r="B29" s="40" t="s">
        <v>137</v>
      </c>
      <c r="C29" s="16">
        <v>7675</v>
      </c>
      <c r="D29" s="16">
        <v>10411</v>
      </c>
      <c r="E29" s="16">
        <v>17168</v>
      </c>
      <c r="F29" s="16">
        <v>3528</v>
      </c>
      <c r="G29" s="16">
        <v>8020</v>
      </c>
    </row>
    <row r="30" spans="2:14" x14ac:dyDescent="0.2">
      <c r="B30" s="40" t="s">
        <v>124</v>
      </c>
      <c r="C30" s="38"/>
      <c r="D30" s="38"/>
      <c r="E30" s="38"/>
      <c r="F30" s="38"/>
      <c r="G30" s="38"/>
    </row>
    <row r="31" spans="2:14" x14ac:dyDescent="0.2">
      <c r="B31" s="40" t="s">
        <v>137</v>
      </c>
      <c r="C31" s="16">
        <v>-7577</v>
      </c>
      <c r="D31" s="16">
        <v>-11478</v>
      </c>
      <c r="E31" s="16">
        <v>-13031</v>
      </c>
      <c r="F31" s="16">
        <v>-7689</v>
      </c>
      <c r="G31" s="16">
        <v>-6512</v>
      </c>
    </row>
    <row r="32" spans="2:14" x14ac:dyDescent="0.2">
      <c r="B32" s="40" t="s">
        <v>125</v>
      </c>
      <c r="C32" s="16">
        <v>-3431</v>
      </c>
      <c r="D32" s="16">
        <v>917</v>
      </c>
      <c r="E32" s="16">
        <v>-3319</v>
      </c>
      <c r="F32" s="16">
        <v>857</v>
      </c>
      <c r="G32" s="16">
        <v>-1138</v>
      </c>
    </row>
    <row r="33" spans="2:7" x14ac:dyDescent="0.2">
      <c r="B33" s="40" t="s">
        <v>126</v>
      </c>
      <c r="C33" s="16">
        <v>4417</v>
      </c>
      <c r="D33" s="16">
        <v>4385</v>
      </c>
      <c r="E33" s="16">
        <v>3997</v>
      </c>
      <c r="F33" s="16">
        <v>3197</v>
      </c>
      <c r="G33" s="16">
        <v>2237</v>
      </c>
    </row>
    <row r="34" spans="2:7" x14ac:dyDescent="0.2">
      <c r="B34" s="40" t="s">
        <v>127</v>
      </c>
      <c r="C34" s="16">
        <v>-4987</v>
      </c>
      <c r="D34" s="16">
        <v>-2343</v>
      </c>
      <c r="E34" s="16">
        <v>-1878</v>
      </c>
      <c r="F34" s="16">
        <v>-2335</v>
      </c>
      <c r="G34" s="16">
        <v>-1977</v>
      </c>
    </row>
    <row r="35" spans="2:7" x14ac:dyDescent="0.2">
      <c r="B35" s="40" t="s">
        <v>128</v>
      </c>
      <c r="C35" s="16">
        <v>-11009</v>
      </c>
      <c r="D35" s="16">
        <v>-10003</v>
      </c>
      <c r="E35" s="16">
        <v>-7353</v>
      </c>
      <c r="F35" s="16">
        <v>-5006</v>
      </c>
      <c r="G35" s="16">
        <v>-6500</v>
      </c>
    </row>
    <row r="36" spans="2:7" x14ac:dyDescent="0.2">
      <c r="B36" s="40" t="s">
        <v>129</v>
      </c>
      <c r="C36" s="16">
        <v>1644</v>
      </c>
      <c r="D36" s="16">
        <v>2005</v>
      </c>
      <c r="E36" s="16">
        <v>1269</v>
      </c>
      <c r="F36" s="16">
        <v>1905</v>
      </c>
      <c r="G36" s="16">
        <v>1707</v>
      </c>
    </row>
    <row r="37" spans="2:7" ht="12" x14ac:dyDescent="0.2">
      <c r="B37" s="62" t="s">
        <v>138</v>
      </c>
      <c r="C37" s="63">
        <v>-21531</v>
      </c>
      <c r="D37" s="63">
        <v>-14876</v>
      </c>
      <c r="E37" s="63">
        <v>-12146</v>
      </c>
      <c r="F37" s="63">
        <v>-14855</v>
      </c>
      <c r="G37" s="63">
        <v>-14036</v>
      </c>
    </row>
    <row r="38" spans="2:7" x14ac:dyDescent="0.2">
      <c r="B38" s="40" t="s">
        <v>139</v>
      </c>
      <c r="C38" s="38"/>
      <c r="D38" s="38"/>
      <c r="E38" s="38"/>
      <c r="F38" s="38"/>
      <c r="G38" s="38"/>
    </row>
    <row r="39" spans="2:7" x14ac:dyDescent="0.2">
      <c r="B39" s="40" t="s">
        <v>140</v>
      </c>
      <c r="C39" s="16">
        <v>101</v>
      </c>
      <c r="D39" s="16">
        <v>-497</v>
      </c>
      <c r="E39" s="16">
        <v>-170</v>
      </c>
      <c r="F39" s="16">
        <v>-251</v>
      </c>
      <c r="G39" s="16">
        <v>112</v>
      </c>
    </row>
    <row r="40" spans="2:7" x14ac:dyDescent="0.2">
      <c r="B40" s="40" t="s">
        <v>141</v>
      </c>
      <c r="C40" s="16">
        <v>-5893</v>
      </c>
      <c r="D40" s="16">
        <v>-3074</v>
      </c>
      <c r="E40" s="16">
        <v>1032</v>
      </c>
      <c r="F40" s="16">
        <v>1235</v>
      </c>
      <c r="G40" s="16">
        <v>75</v>
      </c>
    </row>
    <row r="41" spans="2:7" x14ac:dyDescent="0.2">
      <c r="B41" s="40" t="s">
        <v>142</v>
      </c>
      <c r="C41" s="16">
        <v>10288</v>
      </c>
      <c r="D41" s="16">
        <v>7214</v>
      </c>
      <c r="E41" s="16">
        <v>8246</v>
      </c>
      <c r="F41" s="16">
        <v>9482</v>
      </c>
      <c r="G41" s="16">
        <v>9556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6173-D710-43E9-8549-3AF3A8C9AB03}">
  <dimension ref="B1:R34"/>
  <sheetViews>
    <sheetView zoomScale="109" workbookViewId="0"/>
  </sheetViews>
  <sheetFormatPr defaultRowHeight="11.4" x14ac:dyDescent="0.2"/>
  <cols>
    <col min="1" max="1" width="2" style="1" customWidth="1"/>
    <col min="2" max="2" width="16.6640625" style="1" bestFit="1" customWidth="1"/>
    <col min="3" max="3" width="11.5546875" style="1" bestFit="1" customWidth="1"/>
    <col min="4" max="6" width="9.77734375" style="1" bestFit="1" customWidth="1"/>
    <col min="7" max="15" width="8.88671875" style="1"/>
    <col min="16" max="16" width="18" style="1" bestFit="1" customWidth="1"/>
    <col min="17" max="16384" width="8.88671875" style="1"/>
  </cols>
  <sheetData>
    <row r="1" spans="2:15" ht="15" x14ac:dyDescent="0.25">
      <c r="B1" s="2" t="s">
        <v>179</v>
      </c>
    </row>
    <row r="3" spans="2:15" ht="12" x14ac:dyDescent="0.25">
      <c r="B3" s="13" t="s">
        <v>185</v>
      </c>
      <c r="C3" s="75">
        <v>3.3000000000000002E-2</v>
      </c>
    </row>
    <row r="4" spans="2:15" x14ac:dyDescent="0.2">
      <c r="B4" s="1" t="s">
        <v>178</v>
      </c>
    </row>
    <row r="5" spans="2:15" x14ac:dyDescent="0.2">
      <c r="B5" s="1" t="s">
        <v>187</v>
      </c>
      <c r="C5" s="60">
        <v>4.2000000000000003E-2</v>
      </c>
    </row>
    <row r="6" spans="2:15" x14ac:dyDescent="0.2">
      <c r="B6" s="1" t="s">
        <v>188</v>
      </c>
      <c r="C6" s="1">
        <v>0.43</v>
      </c>
    </row>
    <row r="7" spans="2:15" x14ac:dyDescent="0.2">
      <c r="B7" s="1" t="s">
        <v>189</v>
      </c>
      <c r="C7" s="71">
        <v>0.1</v>
      </c>
    </row>
    <row r="8" spans="2:15" ht="12" x14ac:dyDescent="0.25">
      <c r="B8" s="13" t="s">
        <v>186</v>
      </c>
      <c r="C8" s="76">
        <f>C5+C6*(C7-C5)</f>
        <v>6.694E-2</v>
      </c>
    </row>
    <row r="9" spans="2:15" x14ac:dyDescent="0.2">
      <c r="B9" s="1" t="s">
        <v>144</v>
      </c>
      <c r="C9" s="60">
        <f>'Income Statment (Trend)'!G23</f>
        <v>0.20300000000000001</v>
      </c>
    </row>
    <row r="10" spans="2:15" x14ac:dyDescent="0.2">
      <c r="B10" s="1" t="s">
        <v>177</v>
      </c>
      <c r="C10" s="72">
        <f>(F20/(F20+G20)*(C8))+(G20/(F20+G20)*(C3*(1-C9)))</f>
        <v>5.0513363292118238E-2</v>
      </c>
      <c r="D10" s="71">
        <v>7.0000000000000007E-2</v>
      </c>
      <c r="E10" s="1" t="s">
        <v>200</v>
      </c>
    </row>
    <row r="11" spans="2:15" x14ac:dyDescent="0.2">
      <c r="B11" s="1" t="s">
        <v>190</v>
      </c>
      <c r="C11" s="7">
        <f>AVERAGE('Income Statment (Trend)'!I5:L5)</f>
        <v>2.5961783150281081E-2</v>
      </c>
      <c r="H11" s="25"/>
      <c r="I11" s="25"/>
      <c r="J11" s="25"/>
      <c r="K11" s="25"/>
      <c r="L11" s="60"/>
    </row>
    <row r="12" spans="2:15" x14ac:dyDescent="0.2">
      <c r="H12" s="25"/>
    </row>
    <row r="13" spans="2:15" ht="14.4" x14ac:dyDescent="0.3">
      <c r="B13" s="1" t="s">
        <v>177</v>
      </c>
      <c r="H13" s="53"/>
      <c r="I13" s="53"/>
    </row>
    <row r="14" spans="2:15" ht="14.4" x14ac:dyDescent="0.3">
      <c r="B14" s="1" t="s">
        <v>180</v>
      </c>
      <c r="C14" s="1" t="s">
        <v>181</v>
      </c>
      <c r="D14" s="1" t="s">
        <v>182</v>
      </c>
      <c r="E14" s="1" t="s">
        <v>183</v>
      </c>
      <c r="H14" s="53"/>
      <c r="I14" s="53"/>
    </row>
    <row r="15" spans="2:15" ht="14.4" x14ac:dyDescent="0.3">
      <c r="B15" s="1">
        <v>2021</v>
      </c>
      <c r="C15" s="1">
        <f>'Balance sheet (KPIs)'!C47</f>
        <v>46654</v>
      </c>
      <c r="D15" s="1">
        <f>'Balance sheet (KPIs)'!C28+'Balance sheet (KPIs)'!C26</f>
        <v>31988</v>
      </c>
      <c r="E15" s="70">
        <f>C15+D15</f>
        <v>78642</v>
      </c>
      <c r="F15" s="7">
        <f t="shared" ref="F15:G19" si="0">C15/$E15</f>
        <v>0.59324533964039572</v>
      </c>
      <c r="G15" s="7">
        <f t="shared" si="0"/>
        <v>0.40675466035960428</v>
      </c>
      <c r="H15" s="53"/>
      <c r="I15" s="53"/>
      <c r="O15" s="71"/>
    </row>
    <row r="16" spans="2:15" ht="14.4" x14ac:dyDescent="0.3">
      <c r="B16" s="1">
        <v>2022</v>
      </c>
      <c r="C16" s="1">
        <f>'Balance sheet (KPIs)'!D47</f>
        <v>46854</v>
      </c>
      <c r="D16" s="1">
        <f>'Balance sheet (KPIs)'!D28+'Balance sheet (KPIs)'!D26</f>
        <v>31493</v>
      </c>
      <c r="E16" s="70">
        <f t="shared" ref="E16:E19" si="1">C16+D16</f>
        <v>78347</v>
      </c>
      <c r="F16" s="7">
        <f t="shared" si="0"/>
        <v>0.59803183274407445</v>
      </c>
      <c r="G16" s="7">
        <f t="shared" si="0"/>
        <v>0.40196816725592555</v>
      </c>
      <c r="H16" s="53"/>
      <c r="I16" s="53"/>
    </row>
    <row r="17" spans="2:18" ht="14.4" x14ac:dyDescent="0.3">
      <c r="B17" s="1">
        <v>2023</v>
      </c>
      <c r="C17" s="1">
        <f>'Balance sheet (KPIs)'!E47</f>
        <v>47065</v>
      </c>
      <c r="D17" s="1">
        <f>'Balance sheet (KPIs)'!E28+'Balance sheet (KPIs)'!E26</f>
        <v>34607</v>
      </c>
      <c r="E17" s="70">
        <f t="shared" si="1"/>
        <v>81672</v>
      </c>
      <c r="F17" s="7">
        <f t="shared" si="0"/>
        <v>0.57626848858850033</v>
      </c>
      <c r="G17" s="7">
        <f t="shared" si="0"/>
        <v>0.42373151141149967</v>
      </c>
      <c r="H17" s="53"/>
      <c r="I17" s="53"/>
    </row>
    <row r="18" spans="2:18" ht="14.4" x14ac:dyDescent="0.3">
      <c r="B18" s="1">
        <v>2024</v>
      </c>
      <c r="C18" s="1">
        <f>'Balance sheet (KPIs)'!F47</f>
        <v>50559</v>
      </c>
      <c r="D18" s="1">
        <f>'Balance sheet (KPIs)'!F28+'Balance sheet (KPIs)'!F26</f>
        <v>32460</v>
      </c>
      <c r="E18" s="70">
        <f t="shared" si="1"/>
        <v>83019</v>
      </c>
      <c r="F18" s="7">
        <f t="shared" si="0"/>
        <v>0.60900516749177902</v>
      </c>
      <c r="G18" s="7">
        <f t="shared" si="0"/>
        <v>0.39099483250822104</v>
      </c>
      <c r="H18" s="53"/>
      <c r="I18" s="53"/>
      <c r="O18" s="71"/>
    </row>
    <row r="19" spans="2:18" ht="14.4" x14ac:dyDescent="0.3">
      <c r="B19" s="1">
        <v>2025</v>
      </c>
      <c r="C19" s="1">
        <f>'Balance sheet (KPIs)'!G47</f>
        <v>52284</v>
      </c>
      <c r="D19" s="1">
        <f>'Balance sheet (KPIs)'!G28+'Balance sheet (KPIs)'!G26</f>
        <v>34508</v>
      </c>
      <c r="E19" s="70">
        <f t="shared" si="1"/>
        <v>86792</v>
      </c>
      <c r="F19" s="7">
        <f t="shared" si="0"/>
        <v>0.60240575168218269</v>
      </c>
      <c r="G19" s="7">
        <f t="shared" si="0"/>
        <v>0.39759424831781731</v>
      </c>
      <c r="H19" s="53"/>
      <c r="I19" s="53"/>
      <c r="O19" s="60"/>
    </row>
    <row r="20" spans="2:18" ht="14.4" x14ac:dyDescent="0.3">
      <c r="B20" s="1" t="s">
        <v>184</v>
      </c>
      <c r="C20" s="59"/>
      <c r="D20" s="59"/>
      <c r="E20" s="59"/>
      <c r="F20" s="6">
        <f>AVERAGE(F15:F19)</f>
        <v>0.59579131602938651</v>
      </c>
      <c r="G20" s="6">
        <f>AVERAGE(G15:G19)</f>
        <v>0.4042086839706136</v>
      </c>
      <c r="H20" s="53"/>
      <c r="I20" s="53"/>
    </row>
    <row r="21" spans="2:18" ht="14.4" x14ac:dyDescent="0.3">
      <c r="H21" s="53"/>
      <c r="I21" s="53"/>
      <c r="P21" s="70"/>
      <c r="Q21" s="70"/>
      <c r="R21" s="70"/>
    </row>
    <row r="22" spans="2:18" ht="14.4" x14ac:dyDescent="0.3">
      <c r="B22" s="53"/>
      <c r="C22" s="53"/>
      <c r="D22" s="53"/>
      <c r="E22" s="53"/>
      <c r="F22" s="53"/>
      <c r="G22" s="53"/>
      <c r="H22" s="53"/>
      <c r="I22" s="53"/>
    </row>
    <row r="23" spans="2:18" ht="12" x14ac:dyDescent="0.25">
      <c r="B23" s="32" t="s">
        <v>196</v>
      </c>
      <c r="C23" s="32">
        <v>0</v>
      </c>
      <c r="D23" s="32">
        <v>1</v>
      </c>
      <c r="E23" s="32">
        <v>2</v>
      </c>
      <c r="F23" s="32">
        <v>3</v>
      </c>
      <c r="G23" s="32">
        <v>4</v>
      </c>
      <c r="H23" s="32">
        <v>5</v>
      </c>
      <c r="I23" s="32">
        <v>6</v>
      </c>
      <c r="J23" s="32">
        <v>7</v>
      </c>
      <c r="K23" s="32">
        <v>8</v>
      </c>
      <c r="L23" s="32">
        <v>9</v>
      </c>
      <c r="M23" s="32">
        <v>10</v>
      </c>
    </row>
    <row r="24" spans="2:18" ht="12" x14ac:dyDescent="0.25">
      <c r="B24" s="3" t="s">
        <v>107</v>
      </c>
      <c r="C24" s="77">
        <v>2025</v>
      </c>
      <c r="D24" s="3">
        <v>2026</v>
      </c>
      <c r="E24" s="77">
        <v>2027</v>
      </c>
      <c r="F24" s="3">
        <v>2028</v>
      </c>
      <c r="G24" s="77">
        <v>2029</v>
      </c>
      <c r="H24" s="3">
        <v>2030</v>
      </c>
      <c r="I24" s="77">
        <v>2031</v>
      </c>
      <c r="J24" s="3">
        <v>2032</v>
      </c>
      <c r="K24" s="77">
        <v>2033</v>
      </c>
      <c r="L24" s="3">
        <v>2034</v>
      </c>
      <c r="M24" s="77">
        <v>2035</v>
      </c>
      <c r="P24" s="70"/>
    </row>
    <row r="25" spans="2:18" ht="12" x14ac:dyDescent="0.25">
      <c r="B25" s="13" t="s">
        <v>130</v>
      </c>
      <c r="C25" s="59">
        <f>'Cash flow Statment'!N12</f>
        <v>14721.879000000001</v>
      </c>
      <c r="D25" s="59">
        <f t="shared" ref="D25:M25" si="2">C25*(1+$C11)</f>
        <v>15104.08523016268</v>
      </c>
      <c r="E25" s="59">
        <f t="shared" si="2"/>
        <v>15496.214215591528</v>
      </c>
      <c r="F25" s="59">
        <f t="shared" si="2"/>
        <v>15898.52356870702</v>
      </c>
      <c r="G25" s="59">
        <f t="shared" si="2"/>
        <v>16311.277590007427</v>
      </c>
      <c r="H25" s="59">
        <f t="shared" si="2"/>
        <v>16734.747441703239</v>
      </c>
      <c r="I25" s="59">
        <f t="shared" si="2"/>
        <v>17169.211325859462</v>
      </c>
      <c r="J25" s="59">
        <f t="shared" si="2"/>
        <v>17614.954667162776</v>
      </c>
      <c r="K25" s="59">
        <f t="shared" si="2"/>
        <v>18072.270300433691</v>
      </c>
      <c r="L25" s="59">
        <f t="shared" si="2"/>
        <v>18541.458663006819</v>
      </c>
      <c r="M25" s="59">
        <f t="shared" si="2"/>
        <v>19022.827992105704</v>
      </c>
      <c r="Q25" s="58"/>
    </row>
    <row r="26" spans="2:18" x14ac:dyDescent="0.2">
      <c r="D26" s="74">
        <f>PV($C10,D23,0,-D25,0)</f>
        <v>14377.813512842158</v>
      </c>
      <c r="E26" s="74">
        <f t="shared" ref="E26:M26" si="3">PV($C10,E23,0,-E25,0)</f>
        <v>14041.789190772899</v>
      </c>
      <c r="F26" s="74">
        <f t="shared" si="3"/>
        <v>13713.618103475483</v>
      </c>
      <c r="G26" s="74">
        <f t="shared" si="3"/>
        <v>13393.116712758379</v>
      </c>
      <c r="H26" s="74">
        <f t="shared" si="3"/>
        <v>13080.105769906786</v>
      </c>
      <c r="I26" s="74">
        <f t="shared" si="3"/>
        <v>12774.410215433129</v>
      </c>
      <c r="J26" s="74">
        <f t="shared" si="3"/>
        <v>12475.859081170503</v>
      </c>
      <c r="K26" s="74">
        <f t="shared" si="3"/>
        <v>12184.285394654298</v>
      </c>
      <c r="L26" s="74">
        <f t="shared" si="3"/>
        <v>11899.526085738506</v>
      </c>
      <c r="M26" s="74">
        <f t="shared" si="3"/>
        <v>11621.421895394522</v>
      </c>
    </row>
    <row r="27" spans="2:18" x14ac:dyDescent="0.2">
      <c r="C27" s="74">
        <f>SUM(D26:M26)</f>
        <v>129561.94596214668</v>
      </c>
    </row>
    <row r="28" spans="2:18" ht="12" x14ac:dyDescent="0.25">
      <c r="B28" s="1" t="s">
        <v>191</v>
      </c>
      <c r="C28" s="78">
        <f>C25+C27</f>
        <v>144283.8249621467</v>
      </c>
    </row>
    <row r="29" spans="2:18" x14ac:dyDescent="0.2">
      <c r="B29" s="1" t="s">
        <v>192</v>
      </c>
      <c r="C29" s="74">
        <f>PV(C10,M23,0,-M29,0)</f>
        <v>485636.14486967574</v>
      </c>
      <c r="M29" s="1">
        <f>(M25*(1+C11))/(C10-C11)</f>
        <v>794926.20900943142</v>
      </c>
    </row>
    <row r="30" spans="2:18" x14ac:dyDescent="0.2">
      <c r="B30" s="1" t="s">
        <v>193</v>
      </c>
      <c r="C30" s="74">
        <f>C28+C29</f>
        <v>629919.96983182244</v>
      </c>
    </row>
    <row r="31" spans="2:18" x14ac:dyDescent="0.2">
      <c r="B31" s="1" t="s">
        <v>195</v>
      </c>
      <c r="C31" s="1" t="s">
        <v>194</v>
      </c>
    </row>
    <row r="33" spans="2:3" x14ac:dyDescent="0.2">
      <c r="B33" s="1" t="s">
        <v>197</v>
      </c>
      <c r="C33" s="74">
        <f>C30-(('Balance sheet (KPIs)'!G28+'Balance sheet (KPIs)'!G26)-'Cash flow Statment'!G41)</f>
        <v>604967.96983182244</v>
      </c>
    </row>
    <row r="34" spans="2:3" x14ac:dyDescent="0.2">
      <c r="B34" s="1" t="s">
        <v>198</v>
      </c>
      <c r="C34" s="73">
        <f>C33/'Balance sheet (KPIs)'!G55</f>
        <v>257.42222451462595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4BE5E-D612-431F-B926-3F32DB09DB66}">
  <dimension ref="A1:G24"/>
  <sheetViews>
    <sheetView workbookViewId="0"/>
  </sheetViews>
  <sheetFormatPr defaultRowHeight="11.4" x14ac:dyDescent="0.2"/>
  <cols>
    <col min="1" max="1" width="2.77734375" style="1" customWidth="1"/>
    <col min="2" max="2" width="16" style="1" bestFit="1" customWidth="1"/>
    <col min="3" max="3" width="10.5546875" style="1" bestFit="1" customWidth="1"/>
    <col min="4" max="4" width="11.6640625" style="1" bestFit="1" customWidth="1"/>
    <col min="5" max="5" width="25.5546875" style="1" bestFit="1" customWidth="1"/>
    <col min="6" max="6" width="16.44140625" style="1" bestFit="1" customWidth="1"/>
    <col min="7" max="7" width="12.33203125" style="1" bestFit="1" customWidth="1"/>
    <col min="8" max="9" width="8.88671875" style="1"/>
    <col min="10" max="10" width="45" style="1" bestFit="1" customWidth="1"/>
    <col min="11" max="16384" width="8.88671875" style="1"/>
  </cols>
  <sheetData>
    <row r="1" spans="1:7" ht="15.6" x14ac:dyDescent="0.3">
      <c r="B1" s="61">
        <v>2025</v>
      </c>
    </row>
    <row r="2" spans="1:7" ht="13.2" x14ac:dyDescent="0.25">
      <c r="A2" s="3"/>
      <c r="B2" s="3" t="s">
        <v>23</v>
      </c>
      <c r="C2" s="3" t="s">
        <v>158</v>
      </c>
      <c r="D2" s="79" t="s">
        <v>159</v>
      </c>
      <c r="E2" s="79" t="s">
        <v>160</v>
      </c>
      <c r="F2" s="79" t="s">
        <v>162</v>
      </c>
      <c r="G2" s="3" t="s">
        <v>161</v>
      </c>
    </row>
    <row r="3" spans="1:7" x14ac:dyDescent="0.2">
      <c r="A3" s="1">
        <v>1</v>
      </c>
      <c r="B3" s="1" t="str">
        <f>'Income Statment (Common Size)'!B23</f>
        <v>Net Profit Margin</v>
      </c>
      <c r="C3" s="60">
        <f>'Income Statment (Common Size)'!G23</f>
        <v>0.18952588866214229</v>
      </c>
      <c r="D3" s="66">
        <v>16.5</v>
      </c>
      <c r="E3" s="66">
        <v>10.5</v>
      </c>
      <c r="F3" s="66">
        <v>14</v>
      </c>
      <c r="G3" s="66">
        <v>12.6</v>
      </c>
    </row>
    <row r="4" spans="1:7" x14ac:dyDescent="0.2">
      <c r="A4" s="1">
        <v>2</v>
      </c>
      <c r="B4" s="1" t="str">
        <f>'Balance sheet (KPIs)'!I5</f>
        <v>Current Ratio</v>
      </c>
      <c r="C4" s="58">
        <f>'Balance sheet (KPIs)'!N5</f>
        <v>0.70419879083698489</v>
      </c>
      <c r="D4" s="1">
        <v>0.78</v>
      </c>
      <c r="E4" s="1">
        <v>0.83</v>
      </c>
      <c r="F4" s="1">
        <v>0.74</v>
      </c>
      <c r="G4" s="1">
        <v>0.8</v>
      </c>
    </row>
    <row r="5" spans="1:7" x14ac:dyDescent="0.2">
      <c r="A5" s="1">
        <v>3</v>
      </c>
      <c r="B5" s="1" t="str">
        <f>'Balance sheet (KPIs)'!I10</f>
        <v>Debt to equity</v>
      </c>
      <c r="C5" s="58">
        <f>'Balance sheet (KPIs)'!N10</f>
        <v>1.3951878203656951</v>
      </c>
      <c r="D5" s="1">
        <v>1.82</v>
      </c>
      <c r="E5" s="1">
        <v>147.9</v>
      </c>
      <c r="F5" s="1">
        <v>1.65</v>
      </c>
      <c r="G5" s="1">
        <v>4.79</v>
      </c>
    </row>
    <row r="6" spans="1:7" x14ac:dyDescent="0.2">
      <c r="A6" s="1">
        <v>4</v>
      </c>
      <c r="B6" s="1" t="str">
        <f>'Balance sheet (KPIs)'!I11</f>
        <v>Debt to capital</v>
      </c>
      <c r="C6" s="58">
        <f>'Balance sheet (KPIs)'!N11</f>
        <v>0.37052327299151167</v>
      </c>
      <c r="D6" s="1">
        <v>0.48</v>
      </c>
      <c r="E6" s="1">
        <v>0.99</v>
      </c>
      <c r="F6" s="1">
        <v>0.45</v>
      </c>
      <c r="G6" s="1">
        <v>0.62</v>
      </c>
    </row>
    <row r="7" spans="1:7" x14ac:dyDescent="0.2">
      <c r="A7" s="1">
        <v>5</v>
      </c>
      <c r="B7" s="1" t="str">
        <f>'Balance sheet (KPIs)'!I12</f>
        <v>Debt to Assets</v>
      </c>
      <c r="C7" s="58">
        <f>'Balance sheet (KPIs)'!N12</f>
        <v>0.58249155560524146</v>
      </c>
      <c r="D7" s="1">
        <v>0.61</v>
      </c>
      <c r="E7" s="1">
        <v>0.52</v>
      </c>
      <c r="F7" s="1">
        <v>0.55000000000000004</v>
      </c>
      <c r="G7" s="1">
        <v>0.64</v>
      </c>
    </row>
    <row r="8" spans="1:7" x14ac:dyDescent="0.2">
      <c r="A8" s="1">
        <v>6</v>
      </c>
      <c r="B8" s="1" t="str">
        <f>'Ratio Analysis'!B11</f>
        <v>Earning per share</v>
      </c>
      <c r="C8" s="58">
        <f>'Ratio Analysis'!G11</f>
        <v>6.6953513054373373</v>
      </c>
      <c r="D8" s="1">
        <v>3.25</v>
      </c>
      <c r="E8" s="1">
        <v>3.45</v>
      </c>
      <c r="F8" s="1">
        <v>3.1</v>
      </c>
      <c r="G8" s="1">
        <v>6.1</v>
      </c>
    </row>
    <row r="9" spans="1:7" x14ac:dyDescent="0.2">
      <c r="A9" s="1">
        <v>7</v>
      </c>
      <c r="B9" s="1" t="str">
        <f>'Ratio Analysis'!B12</f>
        <v xml:space="preserve">Price to Earnings </v>
      </c>
      <c r="C9" s="58">
        <f>'Ratio Analysis'!G12</f>
        <v>23.79561470816553</v>
      </c>
      <c r="D9" s="1">
        <v>19.600000000000001</v>
      </c>
      <c r="E9" s="1">
        <v>35.299999999999997</v>
      </c>
      <c r="F9" s="1">
        <v>21.4</v>
      </c>
      <c r="G9" s="1">
        <v>23.2</v>
      </c>
    </row>
    <row r="10" spans="1:7" x14ac:dyDescent="0.2">
      <c r="A10" s="1">
        <v>8</v>
      </c>
      <c r="B10" s="1" t="str">
        <f>'Ratio Analysis'!B14</f>
        <v>Dividend per share</v>
      </c>
      <c r="C10" s="58">
        <f>'Ratio Analysis'!G14</f>
        <v>4.2145321741552886</v>
      </c>
      <c r="D10" s="1">
        <v>1.87</v>
      </c>
      <c r="E10" s="1">
        <v>2</v>
      </c>
      <c r="F10" s="1">
        <v>2.12</v>
      </c>
      <c r="G10" s="1">
        <v>4.8</v>
      </c>
    </row>
    <row r="11" spans="1:7" x14ac:dyDescent="0.2">
      <c r="A11" s="1">
        <v>9</v>
      </c>
      <c r="B11" s="1" t="str">
        <f>'Ratio Analysis'!B17</f>
        <v>Dividend Payout</v>
      </c>
      <c r="C11" s="60">
        <f>'Ratio Analysis'!G17</f>
        <v>0.62947140215519992</v>
      </c>
      <c r="D11" s="1">
        <v>65</v>
      </c>
      <c r="E11" s="1">
        <v>75</v>
      </c>
      <c r="F11" s="1">
        <v>60</v>
      </c>
      <c r="G11" s="1">
        <v>78</v>
      </c>
    </row>
    <row r="12" spans="1:7" x14ac:dyDescent="0.2">
      <c r="A12" s="1">
        <v>10</v>
      </c>
      <c r="B12" s="1" t="str">
        <f>'Cash flow Statment'!I28</f>
        <v>Debt Coverage Ratio</v>
      </c>
      <c r="C12" s="58">
        <f>'Cash flow Statment'!N28</f>
        <v>0.24424917061936227</v>
      </c>
      <c r="D12" s="1">
        <v>0.22</v>
      </c>
      <c r="E12" s="1">
        <v>0.18</v>
      </c>
      <c r="F12" s="1">
        <v>0.2</v>
      </c>
      <c r="G12" s="1">
        <v>0.21</v>
      </c>
    </row>
    <row r="17" spans="2:5" ht="14.4" x14ac:dyDescent="0.2">
      <c r="B17" s="69" t="s">
        <v>164</v>
      </c>
      <c r="C17" s="69" t="s">
        <v>158</v>
      </c>
      <c r="D17" s="69" t="s">
        <v>165</v>
      </c>
      <c r="E17" s="69" t="s">
        <v>166</v>
      </c>
    </row>
    <row r="18" spans="2:5" ht="14.4" x14ac:dyDescent="0.2">
      <c r="B18" s="67" t="s">
        <v>21</v>
      </c>
      <c r="C18" s="80">
        <v>0.1895</v>
      </c>
      <c r="D18" s="81" t="s">
        <v>167</v>
      </c>
      <c r="E18" s="68" t="s">
        <v>168</v>
      </c>
    </row>
    <row r="19" spans="2:5" ht="14.4" x14ac:dyDescent="0.2">
      <c r="B19" s="67" t="s">
        <v>69</v>
      </c>
      <c r="C19" s="81">
        <v>0.7</v>
      </c>
      <c r="D19" s="81">
        <v>1.2</v>
      </c>
      <c r="E19" s="67" t="s">
        <v>169</v>
      </c>
    </row>
    <row r="20" spans="2:5" ht="14.4" x14ac:dyDescent="0.2">
      <c r="B20" s="67" t="s">
        <v>170</v>
      </c>
      <c r="C20" s="81">
        <v>1.4</v>
      </c>
      <c r="D20" s="81">
        <v>1.2</v>
      </c>
      <c r="E20" s="67" t="s">
        <v>171</v>
      </c>
    </row>
    <row r="21" spans="2:5" ht="14.4" x14ac:dyDescent="0.2">
      <c r="B21" s="67" t="s">
        <v>74</v>
      </c>
      <c r="C21" s="81">
        <v>0.57999999999999996</v>
      </c>
      <c r="D21" s="81">
        <v>0.55000000000000004</v>
      </c>
      <c r="E21" s="67" t="s">
        <v>172</v>
      </c>
    </row>
    <row r="22" spans="2:5" ht="14.4" x14ac:dyDescent="0.2">
      <c r="B22" s="67" t="s">
        <v>163</v>
      </c>
      <c r="C22" s="81">
        <v>23.8</v>
      </c>
      <c r="D22" s="81">
        <v>25</v>
      </c>
      <c r="E22" s="67" t="s">
        <v>173</v>
      </c>
    </row>
    <row r="23" spans="2:5" ht="14.4" x14ac:dyDescent="0.2">
      <c r="B23" s="67" t="s">
        <v>86</v>
      </c>
      <c r="C23" s="82">
        <v>0.63</v>
      </c>
      <c r="D23" s="81" t="s">
        <v>174</v>
      </c>
      <c r="E23" s="67" t="s">
        <v>172</v>
      </c>
    </row>
    <row r="24" spans="2:5" ht="14.4" x14ac:dyDescent="0.2">
      <c r="B24" s="67" t="s">
        <v>175</v>
      </c>
      <c r="C24" s="81">
        <v>0.24</v>
      </c>
      <c r="D24" s="81">
        <v>0.3</v>
      </c>
      <c r="E24" s="6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 Statment (Trend)</vt:lpstr>
      <vt:lpstr>Income Statment (Common Size)</vt:lpstr>
      <vt:lpstr>Balance Sheet (Trend)</vt:lpstr>
      <vt:lpstr>Balance sheet (KPIs)</vt:lpstr>
      <vt:lpstr>Ratio Analysis</vt:lpstr>
      <vt:lpstr>Cash flow Statment</vt:lpstr>
      <vt:lpstr>DCF</vt:lpstr>
      <vt:lpstr>Peer comparision and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Kandukuri Naveen Kumar</dc:creator>
  <cp:lastModifiedBy>Kandukuri Naveen Kumar</cp:lastModifiedBy>
  <cp:lastPrinted>2026-03-13T15:36:19Z</cp:lastPrinted>
  <dcterms:created xsi:type="dcterms:W3CDTF">2015-06-05T18:17:20Z</dcterms:created>
  <dcterms:modified xsi:type="dcterms:W3CDTF">2026-03-16T18:09:23Z</dcterms:modified>
</cp:coreProperties>
</file>